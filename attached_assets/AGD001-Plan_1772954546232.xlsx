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reasongroup.sharepoint.com/sites/RGDelivery/Shared Documents/General/00.Mgmt/Job Plans/01.Active plans/"/>
    </mc:Choice>
  </mc:AlternateContent>
  <xr:revisionPtr revIDLastSave="315" documentId="13_ncr:1_{EAE0CAE5-CB2D-4664-B3D1-A4C11A153C41}" xr6:coauthVersionLast="47" xr6:coauthVersionMax="47" xr10:uidLastSave="{D4E5665D-2C1A-4EC0-9200-284FC64F371B}"/>
  <bookViews>
    <workbookView xWindow="-80" yWindow="-80" windowWidth="28960" windowHeight="17440" tabRatio="711" firstSheet="9" activeTab="10" xr2:uid="{00000000-000D-0000-FFFF-FFFF00000000}"/>
  </bookViews>
  <sheets>
    <sheet name="Coversheet" sheetId="7" r:id="rId1"/>
    <sheet name="Pricing" sheetId="25" r:id="rId2"/>
    <sheet name="Exemplars" sheetId="26" r:id="rId3"/>
    <sheet name="KPIs" sheetId="11" r:id="rId4"/>
    <sheet name="Closing financials" sheetId="9" state="hidden" r:id="rId5"/>
    <sheet name="Closure" sheetId="13" r:id="rId6"/>
    <sheet name="Expenses" sheetId="14" state="hidden" r:id="rId7"/>
    <sheet name="Time Plan HY" sheetId="27" state="hidden" r:id="rId8"/>
    <sheet name="Variable" sheetId="10" r:id="rId9"/>
    <sheet name="Time Plan (Multiple Release)" sheetId="31" r:id="rId10"/>
    <sheet name="Time Plan (Partial Phani)" sheetId="33" r:id="rId11"/>
    <sheet name="Time Plan (Single Release)" sheetId="24" r:id="rId12"/>
    <sheet name="Milestones" sheetId="29" r:id="rId13"/>
    <sheet name="Time Plan (Lacy))" sheetId="30" state="hidden" r:id="rId14"/>
    <sheet name="Sheet1" sheetId="32" r:id="rId15"/>
  </sheets>
  <definedNames>
    <definedName name="_xlnm._FilterDatabase" localSheetId="13" hidden="1">'Time Plan (Lacy))'!$A$3:$WQ$62</definedName>
    <definedName name="_xlnm._FilterDatabase" localSheetId="9" hidden="1">'Time Plan (Multiple Release)'!$A$3:$WQ$63</definedName>
    <definedName name="_xlnm._FilterDatabase" localSheetId="10" hidden="1">'Time Plan (Partial Phani)'!$A$3:$WQ$64</definedName>
    <definedName name="_xlnm._FilterDatabase" localSheetId="11" hidden="1">'Time Plan (Single Release)'!$A$3:$WQ$64</definedName>
    <definedName name="Category_New" localSheetId="13">'Time Plan (Lacy))'!$F$5</definedName>
    <definedName name="Category_New" localSheetId="9">'Time Plan (Multiple Release)'!$F$5</definedName>
    <definedName name="Category_New" localSheetId="10">'Time Plan (Partial Phani)'!$F$5</definedName>
    <definedName name="Category_New" localSheetId="7">'Time Plan HY'!$F$5</definedName>
    <definedName name="Category_New">'Time Plan (Single Release)'!$F$5</definedName>
    <definedName name="ClientList" localSheetId="13">INDEX(Table2[Client Name],0)</definedName>
    <definedName name="ClientList" localSheetId="9">INDEX(Table2[Client Name],0)</definedName>
    <definedName name="ClientList" localSheetId="10">INDEX(Table2[Client Name],0)</definedName>
    <definedName name="ClientList" localSheetId="7">INDEX(Table2[Client Name],0)</definedName>
    <definedName name="ClientList">INDEX(Table2[Client Name],0)</definedName>
    <definedName name="ExternalData_1" localSheetId="8" hidden="1">Variable!$H$1:$O$214</definedName>
    <definedName name="ExternalData_2" localSheetId="8" hidden="1">Variable!$Q$1:$AD$212</definedName>
    <definedName name="ExternalData_3" localSheetId="8" hidden="1">Variable!$AF$1:$AQ$212</definedName>
    <definedName name="ExternalData_4" localSheetId="8" hidden="1">Variable!$AV$1:$AV$18</definedName>
    <definedName name="Forecast_New" localSheetId="13">'Time Plan (Lacy))'!$C$1</definedName>
    <definedName name="Forecast_New" localSheetId="9">'Time Plan (Multiple Release)'!$C$1</definedName>
    <definedName name="Forecast_New" localSheetId="10">'Time Plan (Partial Phani)'!$C$1</definedName>
    <definedName name="Forecast_New" localSheetId="7">'Time Plan HY'!$C$1</definedName>
    <definedName name="Forecast_New">'Time Plan (Single Release)'!$C$1</definedName>
    <definedName name="forecastdate">#REF!</definedName>
    <definedName name="forecastdate_OLD">#REF!</definedName>
    <definedName name="Panel">#REF!</definedName>
    <definedName name="Panel_New" localSheetId="13">'Time Plan (Lacy))'!$F$4</definedName>
    <definedName name="Panel_New" localSheetId="9">'Time Plan (Multiple Release)'!$F$4</definedName>
    <definedName name="Panel_New" localSheetId="10">'Time Plan (Partial Phani)'!$F$4</definedName>
    <definedName name="Panel_New" localSheetId="7">'Time Plan HY'!$F$4</definedName>
    <definedName name="Panel_New">'Time Plan (Single Release)'!$F$4</definedName>
    <definedName name="Panel_OLD">#REF!</definedName>
    <definedName name="PeopleList" localSheetId="13">INDEX(CMEMList[Names],0)</definedName>
    <definedName name="PeopleList" localSheetId="9">INDEX(CMEMList[Names],0)</definedName>
    <definedName name="PeopleList" localSheetId="10">INDEX(CMEMList[Names],0)</definedName>
    <definedName name="PeopleList" localSheetId="7">INDEX(CMEMList[Names],0)</definedName>
    <definedName name="PeopleList">INDEX(CMEMList[Names],0)</definedName>
    <definedName name="ResAugProject">#REF!</definedName>
    <definedName name="ResourceNames" localSheetId="13">CostTableLookup[Name]</definedName>
    <definedName name="ResourceNames" localSheetId="9">CostTableLookup[Name]</definedName>
    <definedName name="ResourceNames" localSheetId="10">CostTableLookup[Name]</definedName>
    <definedName name="ResourceNames" localSheetId="7">CostTableLookup[Name]</definedName>
    <definedName name="ResourceNames">CostTableLookup[Name]</definedName>
    <definedName name="test">"OFFSET(Plan!T4,0,MATCH(HLOOKUP(TODAY(),Plan!T1:BS1,1,TRUE),Plan!T1:BS1),1,COLUMNS(Plan!T4:BS4)-MATCH(HLOOKUP(TODAY(),Plan!T4:BS4,1,TRUE),Plan!T4:BS4))"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6" i="33" l="1" a="1"/>
  <c r="AN76" i="33" s="1"/>
  <c r="AM76" i="33" a="1"/>
  <c r="AM76" i="33" s="1"/>
  <c r="AT75" i="33" a="1"/>
  <c r="AT75" i="33" s="1"/>
  <c r="AS75" i="33" a="1"/>
  <c r="AS75" i="33" s="1"/>
  <c r="BG74" i="33" a="1"/>
  <c r="BG74" i="33" s="1"/>
  <c r="AY74" i="33" a="1"/>
  <c r="AY74" i="33" s="1"/>
  <c r="Y74" i="33" a="1"/>
  <c r="Y74" i="33" s="1"/>
  <c r="BL73" i="33" a="1"/>
  <c r="BL73" i="33" s="1"/>
  <c r="AJ73" i="33" a="1"/>
  <c r="AJ73" i="33" s="1"/>
  <c r="AI73" i="33" a="1"/>
  <c r="AI73" i="33" s="1"/>
  <c r="BD72" i="33" a="1"/>
  <c r="BD72" i="33" s="1"/>
  <c r="AV72" i="33" a="1"/>
  <c r="AV72" i="33" s="1"/>
  <c r="BQ71" i="33" a="1"/>
  <c r="BQ71" i="33" s="1"/>
  <c r="BJ71" i="33" a="1"/>
  <c r="BJ71" i="33" s="1"/>
  <c r="AI71" i="33" a="1"/>
  <c r="AI71" i="33" s="1"/>
  <c r="AH71" i="33" a="1"/>
  <c r="AH71" i="33" s="1"/>
  <c r="BC70" i="33" a="1"/>
  <c r="BC70" i="33" s="1"/>
  <c r="BB70" i="33" a="1"/>
  <c r="BB70" i="33" s="1"/>
  <c r="AA70" i="33" a="1"/>
  <c r="AA70" i="33" s="1"/>
  <c r="BO69" i="33" a="1"/>
  <c r="BO69" i="33" s="1"/>
  <c r="AN69" i="33" a="1"/>
  <c r="AN69" i="33" s="1"/>
  <c r="AG69" i="33" a="1"/>
  <c r="AG69" i="33" s="1"/>
  <c r="BB68" i="33" a="1"/>
  <c r="BB68" i="33" s="1"/>
  <c r="BA68" i="33" a="1"/>
  <c r="BA68" i="33" s="1"/>
  <c r="Z68" i="33" a="1"/>
  <c r="Z68" i="33" s="1"/>
  <c r="Y68" i="33" a="1"/>
  <c r="Y68" i="33" s="1"/>
  <c r="AT67" i="33" a="1"/>
  <c r="AT67" i="33" s="1"/>
  <c r="AN67" i="33" a="1"/>
  <c r="AN67" i="33" s="1"/>
  <c r="AL67" i="33" a="1"/>
  <c r="AL67" i="33" s="1"/>
  <c r="BG66" i="33" a="1"/>
  <c r="BG66" i="33" s="1"/>
  <c r="AZ66" i="33" a="1"/>
  <c r="AZ66" i="33" s="1"/>
  <c r="AF66" i="33" a="1"/>
  <c r="AF66" i="33" s="1"/>
  <c r="Z66" i="33" a="1"/>
  <c r="Z66" i="33" s="1"/>
  <c r="F66" i="33"/>
  <c r="D66" i="33"/>
  <c r="D66" i="33" a="1"/>
  <c r="K64" i="33"/>
  <c r="Q64" i="33" s="1"/>
  <c r="G64" i="33" a="1"/>
  <c r="G64" i="33" s="1"/>
  <c r="I64" i="33" s="1"/>
  <c r="K63" i="33"/>
  <c r="Q63" i="33" s="1"/>
  <c r="G63" i="33" a="1"/>
  <c r="G63" i="33" s="1"/>
  <c r="I63" i="33" s="1"/>
  <c r="K62" i="33"/>
  <c r="Q62" i="33" s="1"/>
  <c r="G62" i="33" a="1"/>
  <c r="G62" i="33" s="1"/>
  <c r="I62" i="33" s="1"/>
  <c r="K61" i="33"/>
  <c r="Q61" i="33" s="1"/>
  <c r="G61" i="33" a="1"/>
  <c r="G61" i="33" s="1"/>
  <c r="I61" i="33" s="1"/>
  <c r="Q60" i="33"/>
  <c r="K60" i="33"/>
  <c r="G60" i="33" a="1"/>
  <c r="G60" i="33" s="1"/>
  <c r="I60" i="33" s="1"/>
  <c r="Q59" i="33"/>
  <c r="K59" i="33"/>
  <c r="G59" i="33" a="1"/>
  <c r="G59" i="33" s="1"/>
  <c r="I59" i="33" s="1"/>
  <c r="Q58" i="33"/>
  <c r="K58" i="33"/>
  <c r="G58" i="33" a="1"/>
  <c r="G58" i="33" s="1"/>
  <c r="I58" i="33" s="1"/>
  <c r="O58" i="33" s="1"/>
  <c r="K57" i="33"/>
  <c r="Q57" i="33" s="1"/>
  <c r="G57" i="33" a="1"/>
  <c r="G57" i="33" s="1"/>
  <c r="I57" i="33" s="1"/>
  <c r="O57" i="33" s="1"/>
  <c r="K56" i="33"/>
  <c r="Q56" i="33" s="1"/>
  <c r="G56" i="33" a="1"/>
  <c r="G56" i="33" s="1"/>
  <c r="I56" i="33" s="1"/>
  <c r="J56" i="33" s="1"/>
  <c r="Q55" i="33"/>
  <c r="K55" i="33"/>
  <c r="G55" i="33" a="1"/>
  <c r="G55" i="33" s="1"/>
  <c r="I55" i="33" s="1"/>
  <c r="Q54" i="33"/>
  <c r="K54" i="33"/>
  <c r="G54" i="33" a="1"/>
  <c r="G54" i="33" s="1"/>
  <c r="I54" i="33" s="1"/>
  <c r="K53" i="33"/>
  <c r="Q53" i="33" s="1"/>
  <c r="G53" i="33" a="1"/>
  <c r="G53" i="33" s="1"/>
  <c r="I53" i="33" s="1"/>
  <c r="K52" i="33"/>
  <c r="Q52" i="33" s="1"/>
  <c r="G52" i="33" a="1"/>
  <c r="G52" i="33" s="1"/>
  <c r="I52" i="33" s="1"/>
  <c r="K51" i="33"/>
  <c r="Q51" i="33" s="1"/>
  <c r="G51" i="33" a="1"/>
  <c r="G51" i="33" s="1"/>
  <c r="I51" i="33" s="1"/>
  <c r="K50" i="33"/>
  <c r="Q50" i="33" s="1"/>
  <c r="G50" i="33" a="1"/>
  <c r="G50" i="33" s="1"/>
  <c r="I50" i="33" s="1"/>
  <c r="K49" i="33"/>
  <c r="Q49" i="33" s="1"/>
  <c r="G49" i="33" a="1"/>
  <c r="G49" i="33" s="1"/>
  <c r="I49" i="33" s="1"/>
  <c r="J49" i="33" s="1"/>
  <c r="Q48" i="33"/>
  <c r="K48" i="33"/>
  <c r="G48" i="33" a="1"/>
  <c r="G48" i="33" s="1"/>
  <c r="I48" i="33" s="1"/>
  <c r="J48" i="33" s="1"/>
  <c r="Q47" i="33"/>
  <c r="K47" i="33"/>
  <c r="G47" i="33" a="1"/>
  <c r="G47" i="33" s="1"/>
  <c r="I47" i="33" s="1"/>
  <c r="Q46" i="33"/>
  <c r="K46" i="33"/>
  <c r="G46" i="33" a="1"/>
  <c r="G46" i="33" s="1"/>
  <c r="I46" i="33" s="1"/>
  <c r="K45" i="33"/>
  <c r="Q45" i="33" s="1"/>
  <c r="Q44" i="33"/>
  <c r="K44" i="33"/>
  <c r="G44" i="33" a="1"/>
  <c r="G44" i="33" s="1"/>
  <c r="I44" i="33" s="1"/>
  <c r="K43" i="33"/>
  <c r="Q43" i="33" s="1"/>
  <c r="G43" i="33" a="1"/>
  <c r="G43" i="33" s="1"/>
  <c r="I43" i="33" s="1"/>
  <c r="K42" i="33"/>
  <c r="Q42" i="33" s="1"/>
  <c r="G42" i="33" a="1"/>
  <c r="G42" i="33" s="1"/>
  <c r="I42" i="33" s="1"/>
  <c r="K41" i="33"/>
  <c r="Q41" i="33" s="1"/>
  <c r="G41" i="33" a="1"/>
  <c r="G41" i="33" s="1"/>
  <c r="I41" i="33" s="1"/>
  <c r="K40" i="33"/>
  <c r="Q40" i="33" s="1"/>
  <c r="G40" i="33" a="1"/>
  <c r="G40" i="33" s="1"/>
  <c r="I40" i="33" s="1"/>
  <c r="K39" i="33"/>
  <c r="Q39" i="33" s="1"/>
  <c r="G39" i="33" a="1"/>
  <c r="G39" i="33" s="1"/>
  <c r="I39" i="33" s="1"/>
  <c r="O39" i="33" s="1"/>
  <c r="Q38" i="33"/>
  <c r="K38" i="33"/>
  <c r="G38" i="33" a="1"/>
  <c r="G38" i="33" s="1"/>
  <c r="I38" i="33" s="1"/>
  <c r="Q37" i="33"/>
  <c r="K37" i="33"/>
  <c r="G37" i="33" a="1"/>
  <c r="G37" i="33" s="1"/>
  <c r="I37" i="33" s="1"/>
  <c r="Q36" i="33"/>
  <c r="K36" i="33"/>
  <c r="Q35" i="33"/>
  <c r="K35" i="33"/>
  <c r="G35" i="33" a="1"/>
  <c r="G35" i="33" s="1"/>
  <c r="I35" i="33" s="1"/>
  <c r="Q34" i="33"/>
  <c r="K34" i="33"/>
  <c r="G34" i="33" a="1"/>
  <c r="G34" i="33" s="1"/>
  <c r="I34" i="33" s="1"/>
  <c r="Q33" i="33"/>
  <c r="K33" i="33"/>
  <c r="G33" i="33" a="1"/>
  <c r="G33" i="33" s="1"/>
  <c r="I33" i="33" s="1"/>
  <c r="J33" i="33" s="1"/>
  <c r="K32" i="33"/>
  <c r="Q32" i="33" s="1"/>
  <c r="G32" i="33" a="1"/>
  <c r="G32" i="33" s="1"/>
  <c r="I32" i="33" s="1"/>
  <c r="K31" i="33"/>
  <c r="Q31" i="33" s="1"/>
  <c r="G31" i="33" a="1"/>
  <c r="G31" i="33" s="1"/>
  <c r="I31" i="33" s="1"/>
  <c r="K30" i="33"/>
  <c r="Q30" i="33" s="1"/>
  <c r="G30" i="33" a="1"/>
  <c r="G30" i="33" s="1"/>
  <c r="I30" i="33" s="1"/>
  <c r="K29" i="33"/>
  <c r="Q29" i="33" s="1"/>
  <c r="G29" i="33" a="1"/>
  <c r="G29" i="33" s="1"/>
  <c r="I29" i="33" s="1"/>
  <c r="K28" i="33"/>
  <c r="Q28" i="33" s="1"/>
  <c r="G28" i="33" a="1"/>
  <c r="G28" i="33" s="1"/>
  <c r="I28" i="33" s="1"/>
  <c r="M28" i="33" s="1"/>
  <c r="K27" i="33"/>
  <c r="Q27" i="33" s="1"/>
  <c r="G27" i="33" a="1"/>
  <c r="G27" i="33" s="1"/>
  <c r="I27" i="33" s="1"/>
  <c r="Q26" i="33"/>
  <c r="K26" i="33"/>
  <c r="K25" i="33"/>
  <c r="Q25" i="33" s="1"/>
  <c r="G25" i="33" a="1"/>
  <c r="G25" i="33" s="1"/>
  <c r="I25" i="33" s="1"/>
  <c r="K24" i="33"/>
  <c r="Q24" i="33" s="1"/>
  <c r="G24" i="33" a="1"/>
  <c r="G24" i="33" s="1"/>
  <c r="I24" i="33" s="1"/>
  <c r="Q23" i="33"/>
  <c r="K23" i="33"/>
  <c r="G23" i="33" a="1"/>
  <c r="G23" i="33" s="1"/>
  <c r="I23" i="33" s="1"/>
  <c r="K22" i="33"/>
  <c r="Q22" i="33" s="1"/>
  <c r="G22" i="33" a="1"/>
  <c r="G22" i="33" s="1"/>
  <c r="I22" i="33" s="1"/>
  <c r="K21" i="33"/>
  <c r="Q21" i="33" s="1"/>
  <c r="G21" i="33" a="1"/>
  <c r="G21" i="33" s="1"/>
  <c r="I21" i="33" s="1"/>
  <c r="Q20" i="33"/>
  <c r="K20" i="33"/>
  <c r="G20" i="33" a="1"/>
  <c r="G20" i="33" s="1"/>
  <c r="I20" i="33" s="1"/>
  <c r="M20" i="33" s="1"/>
  <c r="Q19" i="33"/>
  <c r="K19" i="33"/>
  <c r="G19" i="33" a="1"/>
  <c r="G19" i="33" s="1"/>
  <c r="I19" i="33" s="1"/>
  <c r="O19" i="33" s="1"/>
  <c r="Q18" i="33"/>
  <c r="K18" i="33"/>
  <c r="G18" i="33" a="1"/>
  <c r="G18" i="33" s="1"/>
  <c r="I18" i="33" s="1"/>
  <c r="O18" i="33" s="1"/>
  <c r="Q17" i="33"/>
  <c r="K17" i="33"/>
  <c r="G17" i="33" a="1"/>
  <c r="G17" i="33" s="1"/>
  <c r="I17" i="33" s="1"/>
  <c r="O17" i="33" s="1"/>
  <c r="K16" i="33"/>
  <c r="Q16" i="33" s="1"/>
  <c r="G16" i="33" a="1"/>
  <c r="G16" i="33" s="1"/>
  <c r="I16" i="33" s="1"/>
  <c r="Q15" i="33"/>
  <c r="K15" i="33"/>
  <c r="Q14" i="33"/>
  <c r="K14" i="33"/>
  <c r="G14" i="33" a="1"/>
  <c r="G14" i="33" s="1"/>
  <c r="I14" i="33" s="1"/>
  <c r="J14" i="33" s="1"/>
  <c r="Q13" i="33"/>
  <c r="K13" i="33"/>
  <c r="G13" i="33" a="1"/>
  <c r="G13" i="33" s="1"/>
  <c r="I13" i="33" s="1"/>
  <c r="J13" i="33" s="1"/>
  <c r="Q12" i="33"/>
  <c r="K12" i="33"/>
  <c r="G12" i="33" a="1"/>
  <c r="G12" i="33" s="1"/>
  <c r="I12" i="33" s="1"/>
  <c r="K11" i="33"/>
  <c r="Q11" i="33" s="1"/>
  <c r="Q5" i="33" s="1"/>
  <c r="G11" i="33" a="1"/>
  <c r="G11" i="33" s="1"/>
  <c r="I11" i="33" s="1"/>
  <c r="Q10" i="33"/>
  <c r="K10" i="33"/>
  <c r="G10" i="33" a="1"/>
  <c r="G10" i="33" s="1"/>
  <c r="I10" i="33" s="1"/>
  <c r="K9" i="33"/>
  <c r="Q9" i="33" s="1"/>
  <c r="G9" i="33" a="1"/>
  <c r="G9" i="33" s="1"/>
  <c r="I9" i="33" s="1"/>
  <c r="K8" i="33"/>
  <c r="Q8" i="33" s="1"/>
  <c r="G8" i="33" a="1"/>
  <c r="G8" i="33" s="1"/>
  <c r="I8" i="33" s="1"/>
  <c r="K7" i="33"/>
  <c r="Q7" i="33" s="1"/>
  <c r="G7" i="33" a="1"/>
  <c r="G7" i="33" s="1"/>
  <c r="I7" i="33" s="1"/>
  <c r="O7" i="33" s="1"/>
  <c r="K6" i="33"/>
  <c r="Q6" i="33" s="1"/>
  <c r="G6" i="33" a="1"/>
  <c r="G6" i="33" s="1"/>
  <c r="I6" i="33" s="1"/>
  <c r="N5" i="33"/>
  <c r="L5" i="33"/>
  <c r="Y4" i="33"/>
  <c r="AA3" i="33"/>
  <c r="Z3" i="33"/>
  <c r="N3" i="33"/>
  <c r="AA2" i="33"/>
  <c r="Z2" i="33"/>
  <c r="Y2" i="33"/>
  <c r="D17" i="32"/>
  <c r="K45" i="24"/>
  <c r="Q45" i="24" s="1"/>
  <c r="BS84" i="31" a="1"/>
  <c r="BS84" i="31" s="1"/>
  <c r="BR84" i="31" a="1"/>
  <c r="BR84" i="31" s="1"/>
  <c r="BQ84" i="31" a="1"/>
  <c r="BQ84" i="31" s="1"/>
  <c r="BP84" i="31" a="1"/>
  <c r="BP84" i="31" s="1"/>
  <c r="BO84" i="31" a="1"/>
  <c r="BO84" i="31" s="1"/>
  <c r="BN84" i="31" a="1"/>
  <c r="BN84" i="31" s="1"/>
  <c r="BM84" i="31"/>
  <c r="BM84" i="31" a="1"/>
  <c r="BL84" i="31" a="1"/>
  <c r="BL84" i="31" s="1"/>
  <c r="BK84" i="31" a="1"/>
  <c r="BK84" i="31" s="1"/>
  <c r="BJ84" i="31" a="1"/>
  <c r="BJ84" i="31" s="1"/>
  <c r="BI84" i="31" a="1"/>
  <c r="BI84" i="31" s="1"/>
  <c r="BH84" i="31" a="1"/>
  <c r="BH84" i="31" s="1"/>
  <c r="BG84" i="31" a="1"/>
  <c r="BG84" i="31" s="1"/>
  <c r="BF84" i="31"/>
  <c r="BF84" i="31" a="1"/>
  <c r="BE84" i="31" a="1"/>
  <c r="BE84" i="31" s="1"/>
  <c r="BD84" i="31" a="1"/>
  <c r="BD84" i="31" s="1"/>
  <c r="BC84" i="31" a="1"/>
  <c r="BC84" i="31" s="1"/>
  <c r="BB84" i="31" a="1"/>
  <c r="BB84" i="31" s="1"/>
  <c r="BA84" i="31" a="1"/>
  <c r="BA84" i="31" s="1"/>
  <c r="AZ84" i="31" a="1"/>
  <c r="AZ84" i="31" s="1"/>
  <c r="AY84" i="31" a="1"/>
  <c r="AY84" i="31" s="1"/>
  <c r="AX84" i="31" a="1"/>
  <c r="AX84" i="31" s="1"/>
  <c r="AW84" i="31" a="1"/>
  <c r="AW84" i="31" s="1"/>
  <c r="AV84" i="31" a="1"/>
  <c r="AV84" i="31" s="1"/>
  <c r="AU84" i="31" a="1"/>
  <c r="AU84" i="31" s="1"/>
  <c r="AT84" i="31" a="1"/>
  <c r="AT84" i="31" s="1"/>
  <c r="AS84" i="31" a="1"/>
  <c r="AS84" i="31" s="1"/>
  <c r="AR84" i="31" a="1"/>
  <c r="AR84" i="31" s="1"/>
  <c r="AQ84" i="31" a="1"/>
  <c r="AQ84" i="31" s="1"/>
  <c r="AP84" i="31" a="1"/>
  <c r="AP84" i="31" s="1"/>
  <c r="AO84" i="31" a="1"/>
  <c r="AO84" i="31" s="1"/>
  <c r="AN84" i="31" a="1"/>
  <c r="AN84" i="31" s="1"/>
  <c r="AM84" i="31" a="1"/>
  <c r="AM84" i="31" s="1"/>
  <c r="AL84" i="31" a="1"/>
  <c r="AL84" i="31" s="1"/>
  <c r="AK84" i="31"/>
  <c r="AK84" i="31" a="1"/>
  <c r="AJ84" i="31" a="1"/>
  <c r="AJ84" i="31" s="1"/>
  <c r="AI84" i="31" a="1"/>
  <c r="AI84" i="31" s="1"/>
  <c r="AH84" i="31" a="1"/>
  <c r="AH84" i="31" s="1"/>
  <c r="AG84" i="31" a="1"/>
  <c r="AG84" i="31" s="1"/>
  <c r="AF84" i="31" a="1"/>
  <c r="AF84" i="31" s="1"/>
  <c r="AE84" i="31" a="1"/>
  <c r="AE84" i="31" s="1"/>
  <c r="AD84" i="31"/>
  <c r="AD84" i="31" a="1"/>
  <c r="AC84" i="31" a="1"/>
  <c r="AC84" i="31" s="1"/>
  <c r="AB84" i="31" a="1"/>
  <c r="AB84" i="31" s="1"/>
  <c r="AA84" i="31" a="1"/>
  <c r="AA84" i="31" s="1"/>
  <c r="Z84" i="31" a="1"/>
  <c r="Z84" i="31" s="1"/>
  <c r="Y84" i="31" a="1"/>
  <c r="Y84" i="31" s="1"/>
  <c r="BS83" i="31" a="1"/>
  <c r="BS83" i="31" s="1"/>
  <c r="BR83" i="31"/>
  <c r="BR83" i="31" a="1"/>
  <c r="BQ83" i="31" a="1"/>
  <c r="BQ83" i="31" s="1"/>
  <c r="BP83" i="31" a="1"/>
  <c r="BP83" i="31" s="1"/>
  <c r="BO83" i="31" a="1"/>
  <c r="BO83" i="31" s="1"/>
  <c r="BN83" i="31" a="1"/>
  <c r="BN83" i="31" s="1"/>
  <c r="BM83" i="31" a="1"/>
  <c r="BM83" i="31" s="1"/>
  <c r="BL83" i="31" a="1"/>
  <c r="BL83" i="31" s="1"/>
  <c r="BK83" i="31"/>
  <c r="BK83" i="31" a="1"/>
  <c r="BJ83" i="31" a="1"/>
  <c r="BJ83" i="31" s="1"/>
  <c r="BI83" i="31" a="1"/>
  <c r="BI83" i="31" s="1"/>
  <c r="BH83" i="31" a="1"/>
  <c r="BH83" i="31" s="1"/>
  <c r="BG83" i="31" a="1"/>
  <c r="BG83" i="31" s="1"/>
  <c r="BF83" i="31" a="1"/>
  <c r="BF83" i="31" s="1"/>
  <c r="BE83" i="31" a="1"/>
  <c r="BE83" i="31" s="1"/>
  <c r="BD83" i="31"/>
  <c r="BD83" i="31" a="1"/>
  <c r="BC83" i="31" a="1"/>
  <c r="BC83" i="31" s="1"/>
  <c r="BB83" i="31" a="1"/>
  <c r="BB83" i="31" s="1"/>
  <c r="BA83" i="31" a="1"/>
  <c r="BA83" i="31" s="1"/>
  <c r="AZ83" i="31" a="1"/>
  <c r="AZ83" i="31" s="1"/>
  <c r="AY83" i="31" a="1"/>
  <c r="AY83" i="31" s="1"/>
  <c r="AX83" i="31" a="1"/>
  <c r="AX83" i="31" s="1"/>
  <c r="AW83" i="31" a="1"/>
  <c r="AW83" i="31" s="1"/>
  <c r="AV83" i="31" a="1"/>
  <c r="AV83" i="31" s="1"/>
  <c r="AU83" i="31" a="1"/>
  <c r="AU83" i="31" s="1"/>
  <c r="AT83" i="31" a="1"/>
  <c r="AT83" i="31" s="1"/>
  <c r="AS83" i="31" a="1"/>
  <c r="AS83" i="31" s="1"/>
  <c r="AR83" i="31" a="1"/>
  <c r="AR83" i="31" s="1"/>
  <c r="AQ83" i="31" a="1"/>
  <c r="AQ83" i="31" s="1"/>
  <c r="AP83" i="31" a="1"/>
  <c r="AP83" i="31" s="1"/>
  <c r="AO83" i="31" a="1"/>
  <c r="AO83" i="31" s="1"/>
  <c r="AN83" i="31" a="1"/>
  <c r="AN83" i="31" s="1"/>
  <c r="AM83" i="31" a="1"/>
  <c r="AM83" i="31" s="1"/>
  <c r="AL83" i="31" a="1"/>
  <c r="AL83" i="31" s="1"/>
  <c r="AK83" i="31" a="1"/>
  <c r="AK83" i="31" s="1"/>
  <c r="AJ83" i="31" a="1"/>
  <c r="AJ83" i="31" s="1"/>
  <c r="AI83" i="31"/>
  <c r="AI83" i="31" a="1"/>
  <c r="AH83" i="31" a="1"/>
  <c r="AH83" i="31" s="1"/>
  <c r="AG83" i="31" a="1"/>
  <c r="AG83" i="31" s="1"/>
  <c r="AF83" i="31" a="1"/>
  <c r="AF83" i="31" s="1"/>
  <c r="AE83" i="31" a="1"/>
  <c r="AE83" i="31" s="1"/>
  <c r="AD83" i="31" a="1"/>
  <c r="AD83" i="31" s="1"/>
  <c r="AC83" i="31" a="1"/>
  <c r="AC83" i="31" s="1"/>
  <c r="AB83" i="31"/>
  <c r="AB83" i="31" a="1"/>
  <c r="AA83" i="31" a="1"/>
  <c r="AA83" i="31" s="1"/>
  <c r="Z83" i="31" a="1"/>
  <c r="Z83" i="31" s="1"/>
  <c r="Y83" i="31" a="1"/>
  <c r="Y83" i="31" s="1"/>
  <c r="BS82" i="31" a="1"/>
  <c r="BS82" i="31" s="1"/>
  <c r="BR82" i="31" a="1"/>
  <c r="BR82" i="31" s="1"/>
  <c r="BQ82" i="31" a="1"/>
  <c r="BQ82" i="31" s="1"/>
  <c r="BP82" i="31"/>
  <c r="BP82" i="31" a="1"/>
  <c r="BO82" i="31" a="1"/>
  <c r="BO82" i="31" s="1"/>
  <c r="BN82" i="31" a="1"/>
  <c r="BN82" i="31" s="1"/>
  <c r="BM82" i="31" a="1"/>
  <c r="BM82" i="31" s="1"/>
  <c r="BL82" i="31" a="1"/>
  <c r="BL82" i="31" s="1"/>
  <c r="BK82" i="31" a="1"/>
  <c r="BK82" i="31" s="1"/>
  <c r="BJ82" i="31" a="1"/>
  <c r="BJ82" i="31" s="1"/>
  <c r="BI82" i="31"/>
  <c r="BI82" i="31" a="1"/>
  <c r="BH82" i="31" a="1"/>
  <c r="BH82" i="31" s="1"/>
  <c r="BG82" i="31" a="1"/>
  <c r="BG82" i="31" s="1"/>
  <c r="BF82" i="31" a="1"/>
  <c r="BF82" i="31" s="1"/>
  <c r="BE82" i="31" a="1"/>
  <c r="BE82" i="31" s="1"/>
  <c r="BD82" i="31" a="1"/>
  <c r="BD82" i="31" s="1"/>
  <c r="BC82" i="31" a="1"/>
  <c r="BC82" i="31" s="1"/>
  <c r="BB82" i="31"/>
  <c r="BB82" i="31" a="1"/>
  <c r="BA82" i="31" a="1"/>
  <c r="BA82" i="31" s="1"/>
  <c r="AZ82" i="31" a="1"/>
  <c r="AZ82" i="31" s="1"/>
  <c r="AY82" i="31" a="1"/>
  <c r="AY82" i="31" s="1"/>
  <c r="AX82" i="31" a="1"/>
  <c r="AX82" i="31" s="1"/>
  <c r="AW82" i="31" a="1"/>
  <c r="AW82" i="31" s="1"/>
  <c r="AV82" i="31" a="1"/>
  <c r="AV82" i="31" s="1"/>
  <c r="AU82" i="31" a="1"/>
  <c r="AU82" i="31" s="1"/>
  <c r="AT82" i="31" a="1"/>
  <c r="AT82" i="31" s="1"/>
  <c r="AS82" i="31" a="1"/>
  <c r="AS82" i="31" s="1"/>
  <c r="AR82" i="31" a="1"/>
  <c r="AR82" i="31" s="1"/>
  <c r="AQ82" i="31" a="1"/>
  <c r="AQ82" i="31" s="1"/>
  <c r="AP82" i="31" a="1"/>
  <c r="AP82" i="31" s="1"/>
  <c r="AO82" i="31" a="1"/>
  <c r="AO82" i="31" s="1"/>
  <c r="AN82" i="31" a="1"/>
  <c r="AN82" i="31" s="1"/>
  <c r="AM82" i="31" a="1"/>
  <c r="AM82" i="31" s="1"/>
  <c r="AL82" i="31" a="1"/>
  <c r="AL82" i="31" s="1"/>
  <c r="AK82" i="31" a="1"/>
  <c r="AK82" i="31" s="1"/>
  <c r="AJ82" i="31" a="1"/>
  <c r="AJ82" i="31" s="1"/>
  <c r="AI82" i="31" a="1"/>
  <c r="AI82" i="31" s="1"/>
  <c r="AH82" i="31" a="1"/>
  <c r="AH82" i="31" s="1"/>
  <c r="AG82" i="31"/>
  <c r="AG82" i="31" a="1"/>
  <c r="AF82" i="31" a="1"/>
  <c r="AF82" i="31" s="1"/>
  <c r="AE82" i="31" a="1"/>
  <c r="AE82" i="31" s="1"/>
  <c r="AD82" i="31" a="1"/>
  <c r="AD82" i="31" s="1"/>
  <c r="AC82" i="31" a="1"/>
  <c r="AC82" i="31" s="1"/>
  <c r="AB82" i="31" a="1"/>
  <c r="AB82" i="31" s="1"/>
  <c r="AA82" i="31" a="1"/>
  <c r="AA82" i="31" s="1"/>
  <c r="Z82" i="31"/>
  <c r="Z82" i="31" a="1"/>
  <c r="Y82" i="31" a="1"/>
  <c r="Y82" i="31" s="1"/>
  <c r="BS81" i="31" a="1"/>
  <c r="BS81" i="31" s="1"/>
  <c r="BR81" i="31" a="1"/>
  <c r="BR81" i="31" s="1"/>
  <c r="BQ81" i="31" a="1"/>
  <c r="BQ81" i="31" s="1"/>
  <c r="BP81" i="31" a="1"/>
  <c r="BP81" i="31" s="1"/>
  <c r="BO81" i="31" a="1"/>
  <c r="BO81" i="31" s="1"/>
  <c r="BN81" i="31"/>
  <c r="BN81" i="31" a="1"/>
  <c r="BM81" i="31" a="1"/>
  <c r="BM81" i="31" s="1"/>
  <c r="BL81" i="31" a="1"/>
  <c r="BL81" i="31" s="1"/>
  <c r="BK81" i="31" a="1"/>
  <c r="BK81" i="31" s="1"/>
  <c r="BJ81" i="31" a="1"/>
  <c r="BJ81" i="31" s="1"/>
  <c r="BI81" i="31" a="1"/>
  <c r="BI81" i="31" s="1"/>
  <c r="BH81" i="31" a="1"/>
  <c r="BH81" i="31" s="1"/>
  <c r="BG81" i="31"/>
  <c r="BG81" i="31" a="1"/>
  <c r="BF81" i="31" a="1"/>
  <c r="BF81" i="31" s="1"/>
  <c r="BE81" i="31" a="1"/>
  <c r="BE81" i="31" s="1"/>
  <c r="BD81" i="31" a="1"/>
  <c r="BD81" i="31" s="1"/>
  <c r="BC81" i="31" a="1"/>
  <c r="BC81" i="31" s="1"/>
  <c r="BB81" i="31" a="1"/>
  <c r="BB81" i="31" s="1"/>
  <c r="BA81" i="31" a="1"/>
  <c r="BA81" i="31" s="1"/>
  <c r="AZ81" i="31"/>
  <c r="AZ81" i="31" a="1"/>
  <c r="AY81" i="31" a="1"/>
  <c r="AY81" i="31" s="1"/>
  <c r="AX81" i="31" a="1"/>
  <c r="AX81" i="31" s="1"/>
  <c r="AW81" i="31" a="1"/>
  <c r="AW81" i="31" s="1"/>
  <c r="AV81" i="31" a="1"/>
  <c r="AV81" i="31" s="1"/>
  <c r="AU81" i="31" a="1"/>
  <c r="AU81" i="31" s="1"/>
  <c r="AT81" i="31" a="1"/>
  <c r="AT81" i="31" s="1"/>
  <c r="AS81" i="31" a="1"/>
  <c r="AS81" i="31" s="1"/>
  <c r="AR81" i="31" a="1"/>
  <c r="AR81" i="31" s="1"/>
  <c r="AQ81" i="31" a="1"/>
  <c r="AQ81" i="31" s="1"/>
  <c r="AP81" i="31" a="1"/>
  <c r="AP81" i="31" s="1"/>
  <c r="AO81" i="31" a="1"/>
  <c r="AO81" i="31" s="1"/>
  <c r="AN81" i="31" a="1"/>
  <c r="AN81" i="31" s="1"/>
  <c r="AM81" i="31" a="1"/>
  <c r="AM81" i="31" s="1"/>
  <c r="AL81" i="31"/>
  <c r="AL81" i="31" a="1"/>
  <c r="AK81" i="31" a="1"/>
  <c r="AK81" i="31" s="1"/>
  <c r="AJ81" i="31" a="1"/>
  <c r="AJ81" i="31" s="1"/>
  <c r="AI81" i="31" a="1"/>
  <c r="AI81" i="31" s="1"/>
  <c r="AH81" i="31" a="1"/>
  <c r="AH81" i="31" s="1"/>
  <c r="AG81" i="31" a="1"/>
  <c r="AG81" i="31" s="1"/>
  <c r="AF81" i="31" a="1"/>
  <c r="AF81" i="31" s="1"/>
  <c r="AE81" i="31"/>
  <c r="AE81" i="31" a="1"/>
  <c r="AD81" i="31" a="1"/>
  <c r="AD81" i="31" s="1"/>
  <c r="AC81" i="31" a="1"/>
  <c r="AC81" i="31" s="1"/>
  <c r="AB81" i="31" a="1"/>
  <c r="AB81" i="31" s="1"/>
  <c r="AA81" i="31" a="1"/>
  <c r="AA81" i="31" s="1"/>
  <c r="Z81" i="31" a="1"/>
  <c r="Z81" i="31" s="1"/>
  <c r="Y81" i="31" a="1"/>
  <c r="Y81" i="31" s="1"/>
  <c r="BS80" i="31"/>
  <c r="BS80" i="31" a="1"/>
  <c r="BR80" i="31" a="1"/>
  <c r="BR80" i="31" s="1"/>
  <c r="BQ80" i="31" a="1"/>
  <c r="BQ80" i="31" s="1"/>
  <c r="BP80" i="31" a="1"/>
  <c r="BP80" i="31" s="1"/>
  <c r="BO80" i="31" a="1"/>
  <c r="BO80" i="31" s="1"/>
  <c r="BN80" i="31" a="1"/>
  <c r="BN80" i="31" s="1"/>
  <c r="BM80" i="31" a="1"/>
  <c r="BM80" i="31" s="1"/>
  <c r="BL80" i="31"/>
  <c r="BL80" i="31" a="1"/>
  <c r="BK80" i="31" a="1"/>
  <c r="BK80" i="31" s="1"/>
  <c r="BJ80" i="31" a="1"/>
  <c r="BJ80" i="31" s="1"/>
  <c r="BI80" i="31" a="1"/>
  <c r="BI80" i="31" s="1"/>
  <c r="BH80" i="31" a="1"/>
  <c r="BH80" i="31" s="1"/>
  <c r="BG80" i="31" a="1"/>
  <c r="BG80" i="31" s="1"/>
  <c r="BF80" i="31" a="1"/>
  <c r="BF80" i="31" s="1"/>
  <c r="BE80" i="31"/>
  <c r="BE80" i="31" a="1"/>
  <c r="BD80" i="31" a="1"/>
  <c r="BD80" i="31" s="1"/>
  <c r="BC80" i="31" a="1"/>
  <c r="BC80" i="31" s="1"/>
  <c r="BB80" i="31" a="1"/>
  <c r="BB80" i="31" s="1"/>
  <c r="BA80" i="31" a="1"/>
  <c r="BA80" i="31" s="1"/>
  <c r="AZ80" i="31" a="1"/>
  <c r="AZ80" i="31" s="1"/>
  <c r="AY80" i="31" a="1"/>
  <c r="AY80" i="31" s="1"/>
  <c r="AX80" i="31" a="1"/>
  <c r="AX80" i="31" s="1"/>
  <c r="AW80" i="31" a="1"/>
  <c r="AW80" i="31" s="1"/>
  <c r="AV80" i="31" a="1"/>
  <c r="AV80" i="31" s="1"/>
  <c r="AU80" i="31" a="1"/>
  <c r="AU80" i="31" s="1"/>
  <c r="AT80" i="31" a="1"/>
  <c r="AT80" i="31" s="1"/>
  <c r="AS80" i="31" a="1"/>
  <c r="AS80" i="31" s="1"/>
  <c r="AR80" i="31" a="1"/>
  <c r="AR80" i="31" s="1"/>
  <c r="AQ80" i="31" a="1"/>
  <c r="AQ80" i="31" s="1"/>
  <c r="AP80" i="31" a="1"/>
  <c r="AP80" i="31" s="1"/>
  <c r="AO80" i="31" a="1"/>
  <c r="AO80" i="31" s="1"/>
  <c r="AN80" i="31" a="1"/>
  <c r="AN80" i="31" s="1"/>
  <c r="AM80" i="31" a="1"/>
  <c r="AM80" i="31" s="1"/>
  <c r="AL80" i="31" a="1"/>
  <c r="AL80" i="31" s="1"/>
  <c r="AK80" i="31" a="1"/>
  <c r="AK80" i="31" s="1"/>
  <c r="AJ80" i="31"/>
  <c r="AJ80" i="31" a="1"/>
  <c r="AI80" i="31" a="1"/>
  <c r="AI80" i="31" s="1"/>
  <c r="AH80" i="31" a="1"/>
  <c r="AH80" i="31" s="1"/>
  <c r="AG80" i="31" a="1"/>
  <c r="AG80" i="31" s="1"/>
  <c r="AF80" i="31" a="1"/>
  <c r="AF80" i="31" s="1"/>
  <c r="AE80" i="31" a="1"/>
  <c r="AE80" i="31" s="1"/>
  <c r="AD80" i="31" a="1"/>
  <c r="AD80" i="31" s="1"/>
  <c r="AC80" i="31"/>
  <c r="AC80" i="31" a="1"/>
  <c r="AB80" i="31" a="1"/>
  <c r="AB80" i="31" s="1"/>
  <c r="AA80" i="31" a="1"/>
  <c r="AA80" i="31" s="1"/>
  <c r="Z80" i="31" a="1"/>
  <c r="Z80" i="31" s="1"/>
  <c r="Y80" i="31" a="1"/>
  <c r="Y80" i="31" s="1"/>
  <c r="BS79" i="31" a="1"/>
  <c r="BS79" i="31" s="1"/>
  <c r="BR79" i="31" a="1"/>
  <c r="BR79" i="31" s="1"/>
  <c r="BQ79" i="31"/>
  <c r="BQ79" i="31" a="1"/>
  <c r="BP79" i="31" a="1"/>
  <c r="BP79" i="31" s="1"/>
  <c r="BO79" i="31" a="1"/>
  <c r="BO79" i="31" s="1"/>
  <c r="BN79" i="31" a="1"/>
  <c r="BN79" i="31" s="1"/>
  <c r="BM79" i="31" a="1"/>
  <c r="BM79" i="31" s="1"/>
  <c r="BL79" i="31" a="1"/>
  <c r="BL79" i="31" s="1"/>
  <c r="BK79" i="31" a="1"/>
  <c r="BK79" i="31" s="1"/>
  <c r="BJ79" i="31"/>
  <c r="BJ79" i="31" a="1"/>
  <c r="BI79" i="31" a="1"/>
  <c r="BI79" i="31" s="1"/>
  <c r="BH79" i="31" a="1"/>
  <c r="BH79" i="31" s="1"/>
  <c r="BG79" i="31" a="1"/>
  <c r="BG79" i="31" s="1"/>
  <c r="BF79" i="31" a="1"/>
  <c r="BF79" i="31" s="1"/>
  <c r="BE79" i="31" a="1"/>
  <c r="BE79" i="31" s="1"/>
  <c r="BD79" i="31" a="1"/>
  <c r="BD79" i="31" s="1"/>
  <c r="BC79" i="31"/>
  <c r="BC79" i="31" a="1"/>
  <c r="BB79" i="31" a="1"/>
  <c r="BB79" i="31" s="1"/>
  <c r="BA79" i="31" a="1"/>
  <c r="BA79" i="31" s="1"/>
  <c r="AZ79" i="31" a="1"/>
  <c r="AZ79" i="31" s="1"/>
  <c r="AY79" i="31" a="1"/>
  <c r="AY79" i="31" s="1"/>
  <c r="AX79" i="31" a="1"/>
  <c r="AX79" i="31" s="1"/>
  <c r="AW79" i="31" a="1"/>
  <c r="AW79" i="31" s="1"/>
  <c r="AV79" i="31" a="1"/>
  <c r="AV79" i="31" s="1"/>
  <c r="AU79" i="31" a="1"/>
  <c r="AU79" i="31" s="1"/>
  <c r="AT79" i="31" a="1"/>
  <c r="AT79" i="31" s="1"/>
  <c r="AS79" i="31" a="1"/>
  <c r="AS79" i="31" s="1"/>
  <c r="AR79" i="31" a="1"/>
  <c r="AR79" i="31" s="1"/>
  <c r="AQ79" i="31" a="1"/>
  <c r="AQ79" i="31" s="1"/>
  <c r="AP79" i="31" a="1"/>
  <c r="AP79" i="31" s="1"/>
  <c r="AO79" i="31" a="1"/>
  <c r="AO79" i="31" s="1"/>
  <c r="AN79" i="31" a="1"/>
  <c r="AN79" i="31" s="1"/>
  <c r="AM79" i="31" a="1"/>
  <c r="AM79" i="31" s="1"/>
  <c r="AL79" i="31" a="1"/>
  <c r="AL79" i="31" s="1"/>
  <c r="AK79" i="31" a="1"/>
  <c r="AK79" i="31" s="1"/>
  <c r="AJ79" i="31" a="1"/>
  <c r="AJ79" i="31" s="1"/>
  <c r="AI79" i="31" a="1"/>
  <c r="AI79" i="31" s="1"/>
  <c r="AH79" i="31"/>
  <c r="AH79" i="31" a="1"/>
  <c r="AG79" i="31" a="1"/>
  <c r="AG79" i="31" s="1"/>
  <c r="AF79" i="31" a="1"/>
  <c r="AF79" i="31" s="1"/>
  <c r="AE79" i="31" a="1"/>
  <c r="AE79" i="31" s="1"/>
  <c r="AD79" i="31" a="1"/>
  <c r="AD79" i="31" s="1"/>
  <c r="AC79" i="31" a="1"/>
  <c r="AC79" i="31" s="1"/>
  <c r="AB79" i="31" a="1"/>
  <c r="AB79" i="31" s="1"/>
  <c r="AA79" i="31"/>
  <c r="AA79" i="31" a="1"/>
  <c r="Z79" i="31" a="1"/>
  <c r="Z79" i="31" s="1"/>
  <c r="Y79" i="31" a="1"/>
  <c r="Y79" i="31" s="1"/>
  <c r="BS78" i="31" a="1"/>
  <c r="BS78" i="31" s="1"/>
  <c r="BR78" i="31" a="1"/>
  <c r="BR78" i="31" s="1"/>
  <c r="BQ78" i="31" a="1"/>
  <c r="BQ78" i="31" s="1"/>
  <c r="BP78" i="31" a="1"/>
  <c r="BP78" i="31" s="1"/>
  <c r="BO78" i="31"/>
  <c r="BO78" i="31" a="1"/>
  <c r="BN78" i="31" a="1"/>
  <c r="BN78" i="31" s="1"/>
  <c r="BM78" i="31" a="1"/>
  <c r="BM78" i="31" s="1"/>
  <c r="BL78" i="31" a="1"/>
  <c r="BL78" i="31" s="1"/>
  <c r="BK78" i="31" a="1"/>
  <c r="BK78" i="31" s="1"/>
  <c r="BJ78" i="31" a="1"/>
  <c r="BJ78" i="31" s="1"/>
  <c r="BI78" i="31" a="1"/>
  <c r="BI78" i="31" s="1"/>
  <c r="BH78" i="31"/>
  <c r="BH78" i="31" a="1"/>
  <c r="BG78" i="31" a="1"/>
  <c r="BG78" i="31" s="1"/>
  <c r="BF78" i="31" a="1"/>
  <c r="BF78" i="31" s="1"/>
  <c r="BE78" i="31" a="1"/>
  <c r="BE78" i="31" s="1"/>
  <c r="BD78" i="31" a="1"/>
  <c r="BD78" i="31" s="1"/>
  <c r="BC78" i="31" a="1"/>
  <c r="BC78" i="31" s="1"/>
  <c r="BB78" i="31" a="1"/>
  <c r="BB78" i="31" s="1"/>
  <c r="BA78" i="31"/>
  <c r="BA78" i="31" a="1"/>
  <c r="AZ78" i="31" a="1"/>
  <c r="AZ78" i="31" s="1"/>
  <c r="AY78" i="31" a="1"/>
  <c r="AY78" i="31" s="1"/>
  <c r="AX78" i="31" a="1"/>
  <c r="AX78" i="31" s="1"/>
  <c r="AW78" i="31" a="1"/>
  <c r="AW78" i="31" s="1"/>
  <c r="AV78" i="31" a="1"/>
  <c r="AV78" i="31" s="1"/>
  <c r="AU78" i="31" a="1"/>
  <c r="AU78" i="31" s="1"/>
  <c r="AT78" i="31" a="1"/>
  <c r="AT78" i="31" s="1"/>
  <c r="AS78" i="31" a="1"/>
  <c r="AS78" i="31" s="1"/>
  <c r="AR78" i="31" a="1"/>
  <c r="AR78" i="31" s="1"/>
  <c r="AQ78" i="31" a="1"/>
  <c r="AQ78" i="31" s="1"/>
  <c r="AP78" i="31" a="1"/>
  <c r="AP78" i="31" s="1"/>
  <c r="AO78" i="31" a="1"/>
  <c r="AO78" i="31" s="1"/>
  <c r="AN78" i="31" a="1"/>
  <c r="AN78" i="31" s="1"/>
  <c r="AM78" i="31"/>
  <c r="AM78" i="31" a="1"/>
  <c r="AL78" i="31" a="1"/>
  <c r="AL78" i="31" s="1"/>
  <c r="AK78" i="31" a="1"/>
  <c r="AK78" i="31" s="1"/>
  <c r="AJ78" i="31" a="1"/>
  <c r="AJ78" i="31" s="1"/>
  <c r="AI78" i="31" a="1"/>
  <c r="AI78" i="31" s="1"/>
  <c r="AH78" i="31" a="1"/>
  <c r="AH78" i="31" s="1"/>
  <c r="AG78" i="31" a="1"/>
  <c r="AG78" i="31" s="1"/>
  <c r="AF78" i="31"/>
  <c r="AF78" i="31" a="1"/>
  <c r="AE78" i="31" a="1"/>
  <c r="AE78" i="31" s="1"/>
  <c r="AD78" i="31" a="1"/>
  <c r="AD78" i="31" s="1"/>
  <c r="AC78" i="31" a="1"/>
  <c r="AC78" i="31" s="1"/>
  <c r="AB78" i="31" a="1"/>
  <c r="AB78" i="31" s="1"/>
  <c r="AA78" i="31" a="1"/>
  <c r="AA78" i="31" s="1"/>
  <c r="Z78" i="31" a="1"/>
  <c r="Z78" i="31" s="1"/>
  <c r="Y78" i="31"/>
  <c r="Y78" i="31" a="1"/>
  <c r="BS77" i="31" a="1"/>
  <c r="BS77" i="31" s="1"/>
  <c r="BR77" i="31" a="1"/>
  <c r="BR77" i="31" s="1"/>
  <c r="BQ77" i="31" a="1"/>
  <c r="BQ77" i="31" s="1"/>
  <c r="BP77" i="31" a="1"/>
  <c r="BP77" i="31" s="1"/>
  <c r="BO77" i="31" a="1"/>
  <c r="BO77" i="31" s="1"/>
  <c r="BN77" i="31" a="1"/>
  <c r="BN77" i="31" s="1"/>
  <c r="BM77" i="31"/>
  <c r="BM77" i="31" a="1"/>
  <c r="BL77" i="31" a="1"/>
  <c r="BL77" i="31" s="1"/>
  <c r="BK77" i="31" a="1"/>
  <c r="BK77" i="31" s="1"/>
  <c r="BJ77" i="31" a="1"/>
  <c r="BJ77" i="31" s="1"/>
  <c r="BI77" i="31" a="1"/>
  <c r="BI77" i="31" s="1"/>
  <c r="BH77" i="31" a="1"/>
  <c r="BH77" i="31" s="1"/>
  <c r="BG77" i="31" a="1"/>
  <c r="BG77" i="31" s="1"/>
  <c r="BF77" i="31"/>
  <c r="BF77" i="31" a="1"/>
  <c r="BE77" i="31" a="1"/>
  <c r="BE77" i="31" s="1"/>
  <c r="BD77" i="31" a="1"/>
  <c r="BD77" i="31" s="1"/>
  <c r="BC77" i="31" a="1"/>
  <c r="BC77" i="31" s="1"/>
  <c r="BB77" i="31" a="1"/>
  <c r="BB77" i="31" s="1"/>
  <c r="BA77" i="31" a="1"/>
  <c r="BA77" i="31" s="1"/>
  <c r="AZ77" i="31" a="1"/>
  <c r="AZ77" i="31" s="1"/>
  <c r="AY77" i="31" a="1"/>
  <c r="AY77" i="31" s="1"/>
  <c r="AX77" i="31" a="1"/>
  <c r="AX77" i="31" s="1"/>
  <c r="AW77" i="31" a="1"/>
  <c r="AW77" i="31" s="1"/>
  <c r="AV77" i="31" a="1"/>
  <c r="AV77" i="31" s="1"/>
  <c r="AU77" i="31" a="1"/>
  <c r="AU77" i="31" s="1"/>
  <c r="AT77" i="31" a="1"/>
  <c r="AT77" i="31" s="1"/>
  <c r="AS77" i="31" a="1"/>
  <c r="AS77" i="31" s="1"/>
  <c r="AR77" i="31" a="1"/>
  <c r="AR77" i="31" s="1"/>
  <c r="AQ77" i="31" a="1"/>
  <c r="AQ77" i="31" s="1"/>
  <c r="AP77" i="31" a="1"/>
  <c r="AP77" i="31" s="1"/>
  <c r="AO77" i="31" a="1"/>
  <c r="AO77" i="31" s="1"/>
  <c r="AN77" i="31" a="1"/>
  <c r="AN77" i="31" s="1"/>
  <c r="AM77" i="31" a="1"/>
  <c r="AM77" i="31" s="1"/>
  <c r="AL77" i="31" a="1"/>
  <c r="AL77" i="31" s="1"/>
  <c r="AK77" i="31"/>
  <c r="AK77" i="31" a="1"/>
  <c r="AJ77" i="31" a="1"/>
  <c r="AJ77" i="31" s="1"/>
  <c r="AI77" i="31" a="1"/>
  <c r="AI77" i="31" s="1"/>
  <c r="AH77" i="31" a="1"/>
  <c r="AH77" i="31" s="1"/>
  <c r="AG77" i="31" a="1"/>
  <c r="AG77" i="31" s="1"/>
  <c r="AF77" i="31" a="1"/>
  <c r="AF77" i="31" s="1"/>
  <c r="AE77" i="31" a="1"/>
  <c r="AE77" i="31" s="1"/>
  <c r="AD77" i="31"/>
  <c r="AD77" i="31" a="1"/>
  <c r="AC77" i="31" a="1"/>
  <c r="AC77" i="31" s="1"/>
  <c r="AB77" i="31" a="1"/>
  <c r="AB77" i="31" s="1"/>
  <c r="AA77" i="31" a="1"/>
  <c r="AA77" i="31" s="1"/>
  <c r="Z77" i="31" a="1"/>
  <c r="Z77" i="31" s="1"/>
  <c r="Y77" i="31" a="1"/>
  <c r="Y77" i="31" s="1"/>
  <c r="BS76" i="31" a="1"/>
  <c r="BS76" i="31" s="1"/>
  <c r="BR76" i="31"/>
  <c r="BR76" i="31" a="1"/>
  <c r="BQ76" i="31" a="1"/>
  <c r="BQ76" i="31" s="1"/>
  <c r="BP76" i="31" a="1"/>
  <c r="BP76" i="31" s="1"/>
  <c r="BO76" i="31" a="1"/>
  <c r="BO76" i="31" s="1"/>
  <c r="BN76" i="31" a="1"/>
  <c r="BN76" i="31" s="1"/>
  <c r="BM76" i="31" a="1"/>
  <c r="BM76" i="31" s="1"/>
  <c r="BL76" i="31" a="1"/>
  <c r="BL76" i="31" s="1"/>
  <c r="BK76" i="31"/>
  <c r="BK76" i="31" a="1"/>
  <c r="BJ76" i="31" a="1"/>
  <c r="BJ76" i="31" s="1"/>
  <c r="BI76" i="31" a="1"/>
  <c r="BI76" i="31" s="1"/>
  <c r="BH76" i="31" a="1"/>
  <c r="BH76" i="31" s="1"/>
  <c r="BG76" i="31" a="1"/>
  <c r="BG76" i="31" s="1"/>
  <c r="BF76" i="31" a="1"/>
  <c r="BF76" i="31" s="1"/>
  <c r="BE76" i="31" a="1"/>
  <c r="BE76" i="31" s="1"/>
  <c r="BD76" i="31"/>
  <c r="BD76" i="31" a="1"/>
  <c r="BC76" i="31" a="1"/>
  <c r="BC76" i="31" s="1"/>
  <c r="BB76" i="31" a="1"/>
  <c r="BB76" i="31" s="1"/>
  <c r="BA76" i="31" a="1"/>
  <c r="BA76" i="31" s="1"/>
  <c r="AZ76" i="31" a="1"/>
  <c r="AZ76" i="31" s="1"/>
  <c r="AY76" i="31" a="1"/>
  <c r="AY76" i="31" s="1"/>
  <c r="AX76" i="31" a="1"/>
  <c r="AX76" i="31" s="1"/>
  <c r="AW76" i="31" a="1"/>
  <c r="AW76" i="31" s="1"/>
  <c r="AV76" i="31" a="1"/>
  <c r="AV76" i="31" s="1"/>
  <c r="AU76" i="31" a="1"/>
  <c r="AU76" i="31" s="1"/>
  <c r="AT76" i="31" a="1"/>
  <c r="AT76" i="31" s="1"/>
  <c r="AS76" i="31" a="1"/>
  <c r="AS76" i="31" s="1"/>
  <c r="AR76" i="31" a="1"/>
  <c r="AR76" i="31" s="1"/>
  <c r="AQ76" i="31" a="1"/>
  <c r="AQ76" i="31" s="1"/>
  <c r="AP76" i="31" a="1"/>
  <c r="AP76" i="31" s="1"/>
  <c r="AO76" i="31" a="1"/>
  <c r="AO76" i="31" s="1"/>
  <c r="AN76" i="31" a="1"/>
  <c r="AN76" i="31" s="1"/>
  <c r="AM76" i="31" a="1"/>
  <c r="AM76" i="31" s="1"/>
  <c r="AL76" i="31" a="1"/>
  <c r="AL76" i="31" s="1"/>
  <c r="AK76" i="31" a="1"/>
  <c r="AK76" i="31" s="1"/>
  <c r="AJ76" i="31" a="1"/>
  <c r="AJ76" i="31" s="1"/>
  <c r="AI76" i="31"/>
  <c r="AI76" i="31" a="1"/>
  <c r="AH76" i="31" a="1"/>
  <c r="AH76" i="31" s="1"/>
  <c r="AG76" i="31" a="1"/>
  <c r="AG76" i="31" s="1"/>
  <c r="AF76" i="31" a="1"/>
  <c r="AF76" i="31" s="1"/>
  <c r="AE76" i="31" a="1"/>
  <c r="AE76" i="31" s="1"/>
  <c r="AD76" i="31" a="1"/>
  <c r="AD76" i="31" s="1"/>
  <c r="AC76" i="31" a="1"/>
  <c r="AC76" i="31" s="1"/>
  <c r="AB76" i="31"/>
  <c r="AB76" i="31" a="1"/>
  <c r="AA76" i="31" a="1"/>
  <c r="AA76" i="31" s="1"/>
  <c r="Z76" i="31" a="1"/>
  <c r="Z76" i="31" s="1"/>
  <c r="Y76" i="31" a="1"/>
  <c r="Y76" i="31" s="1"/>
  <c r="BS75" i="31" a="1"/>
  <c r="BS75" i="31" s="1"/>
  <c r="BR75" i="31" a="1"/>
  <c r="BR75" i="31" s="1"/>
  <c r="BQ75" i="31" a="1"/>
  <c r="BQ75" i="31" s="1"/>
  <c r="BP75" i="31"/>
  <c r="BP75" i="31" a="1"/>
  <c r="BO75" i="31" a="1"/>
  <c r="BO75" i="31" s="1"/>
  <c r="BN75" i="31" a="1"/>
  <c r="BN75" i="31" s="1"/>
  <c r="BM75" i="31" a="1"/>
  <c r="BM75" i="31" s="1"/>
  <c r="BL75" i="31" a="1"/>
  <c r="BL75" i="31" s="1"/>
  <c r="BK75" i="31" a="1"/>
  <c r="BK75" i="31" s="1"/>
  <c r="BJ75" i="31" a="1"/>
  <c r="BJ75" i="31" s="1"/>
  <c r="BI75" i="31"/>
  <c r="BI75" i="31" a="1"/>
  <c r="BH75" i="31" a="1"/>
  <c r="BH75" i="31" s="1"/>
  <c r="BG75" i="31" a="1"/>
  <c r="BG75" i="31" s="1"/>
  <c r="BF75" i="31" a="1"/>
  <c r="BF75" i="31" s="1"/>
  <c r="BE75" i="31" a="1"/>
  <c r="BE75" i="31" s="1"/>
  <c r="BD75" i="31" a="1"/>
  <c r="BD75" i="31" s="1"/>
  <c r="BC75" i="31" a="1"/>
  <c r="BC75" i="31" s="1"/>
  <c r="BB75" i="31"/>
  <c r="BB75" i="31" a="1"/>
  <c r="BA75" i="31" a="1"/>
  <c r="BA75" i="31" s="1"/>
  <c r="AZ75" i="31" a="1"/>
  <c r="AZ75" i="31" s="1"/>
  <c r="AY75" i="31" a="1"/>
  <c r="AY75" i="31" s="1"/>
  <c r="AX75" i="31" a="1"/>
  <c r="AX75" i="31" s="1"/>
  <c r="AW75" i="31" a="1"/>
  <c r="AW75" i="31" s="1"/>
  <c r="AV75" i="31" a="1"/>
  <c r="AV75" i="31" s="1"/>
  <c r="AU75" i="31" a="1"/>
  <c r="AU75" i="31" s="1"/>
  <c r="AT75" i="31" a="1"/>
  <c r="AT75" i="31" s="1"/>
  <c r="AS75" i="31" a="1"/>
  <c r="AS75" i="31" s="1"/>
  <c r="AR75" i="31" a="1"/>
  <c r="AR75" i="31" s="1"/>
  <c r="AQ75" i="31" a="1"/>
  <c r="AQ75" i="31" s="1"/>
  <c r="AP75" i="31" a="1"/>
  <c r="AP75" i="31" s="1"/>
  <c r="AO75" i="31" a="1"/>
  <c r="AO75" i="31" s="1"/>
  <c r="AN75" i="31" a="1"/>
  <c r="AN75" i="31" s="1"/>
  <c r="AM75" i="31" a="1"/>
  <c r="AM75" i="31" s="1"/>
  <c r="AL75" i="31" a="1"/>
  <c r="AL75" i="31" s="1"/>
  <c r="AK75" i="31" a="1"/>
  <c r="AK75" i="31" s="1"/>
  <c r="AJ75" i="31" a="1"/>
  <c r="AJ75" i="31" s="1"/>
  <c r="AI75" i="31" a="1"/>
  <c r="AI75" i="31" s="1"/>
  <c r="AH75" i="31" a="1"/>
  <c r="AH75" i="31" s="1"/>
  <c r="AG75" i="31" a="1"/>
  <c r="AG75" i="31" s="1"/>
  <c r="AF75" i="31" a="1"/>
  <c r="AF75" i="31" s="1"/>
  <c r="AE75" i="31" a="1"/>
  <c r="AE75" i="31" s="1"/>
  <c r="AD75" i="31" a="1"/>
  <c r="AD75" i="31" s="1"/>
  <c r="AC75" i="31" a="1"/>
  <c r="AC75" i="31" s="1"/>
  <c r="AB75" i="31" a="1"/>
  <c r="AB75" i="31" s="1"/>
  <c r="AA75" i="31" a="1"/>
  <c r="AA75" i="31" s="1"/>
  <c r="Z75" i="31" a="1"/>
  <c r="Z75" i="31" s="1"/>
  <c r="Y75" i="31" a="1"/>
  <c r="Y75" i="31" s="1"/>
  <c r="BS74" i="31" a="1"/>
  <c r="BS74" i="31" s="1"/>
  <c r="BR74" i="31" a="1"/>
  <c r="BR74" i="31" s="1"/>
  <c r="BQ74" i="31" a="1"/>
  <c r="BQ74" i="31" s="1"/>
  <c r="BP74" i="31" a="1"/>
  <c r="BP74" i="31" s="1"/>
  <c r="BO74" i="31" a="1"/>
  <c r="BO74" i="31" s="1"/>
  <c r="BN74" i="31" a="1"/>
  <c r="BN74" i="31" s="1"/>
  <c r="BM74" i="31" a="1"/>
  <c r="BM74" i="31" s="1"/>
  <c r="BL74" i="31" a="1"/>
  <c r="BL74" i="31" s="1"/>
  <c r="BK74" i="31" a="1"/>
  <c r="BK74" i="31" s="1"/>
  <c r="BJ74" i="31" a="1"/>
  <c r="BJ74" i="31" s="1"/>
  <c r="BI74" i="31" a="1"/>
  <c r="BI74" i="31" s="1"/>
  <c r="BH74" i="31" a="1"/>
  <c r="BH74" i="31" s="1"/>
  <c r="BG74" i="31" a="1"/>
  <c r="BG74" i="31" s="1"/>
  <c r="BF74" i="31" a="1"/>
  <c r="BF74" i="31" s="1"/>
  <c r="BE74" i="31" a="1"/>
  <c r="BE74" i="31" s="1"/>
  <c r="BD74" i="31" a="1"/>
  <c r="BD74" i="31" s="1"/>
  <c r="BC74" i="31" a="1"/>
  <c r="BC74" i="31" s="1"/>
  <c r="BB74" i="31" a="1"/>
  <c r="BB74" i="31" s="1"/>
  <c r="BA74" i="31" a="1"/>
  <c r="BA74" i="31" s="1"/>
  <c r="AZ74" i="31" a="1"/>
  <c r="AZ74" i="31" s="1"/>
  <c r="AY74" i="31" a="1"/>
  <c r="AY74" i="31" s="1"/>
  <c r="AX74" i="31" a="1"/>
  <c r="AX74" i="31" s="1"/>
  <c r="AW74" i="31" a="1"/>
  <c r="AW74" i="31" s="1"/>
  <c r="AV74" i="31" a="1"/>
  <c r="AV74" i="31" s="1"/>
  <c r="AU74" i="31" a="1"/>
  <c r="AU74" i="31" s="1"/>
  <c r="AT74" i="31" a="1"/>
  <c r="AT74" i="31" s="1"/>
  <c r="AS74" i="31" a="1"/>
  <c r="AS74" i="31" s="1"/>
  <c r="AR74" i="31" a="1"/>
  <c r="AR74" i="31" s="1"/>
  <c r="AQ74" i="31" a="1"/>
  <c r="AQ74" i="31" s="1"/>
  <c r="AP74" i="31" a="1"/>
  <c r="AP74" i="31" s="1"/>
  <c r="AO74" i="31" a="1"/>
  <c r="AO74" i="31" s="1"/>
  <c r="AN74" i="31" a="1"/>
  <c r="AN74" i="31" s="1"/>
  <c r="AM74" i="31" a="1"/>
  <c r="AM74" i="31" s="1"/>
  <c r="AL74" i="31" a="1"/>
  <c r="AL74" i="31" s="1"/>
  <c r="AK74" i="31" a="1"/>
  <c r="AK74" i="31" s="1"/>
  <c r="AJ74" i="31" a="1"/>
  <c r="AJ74" i="31" s="1"/>
  <c r="AI74" i="31" a="1"/>
  <c r="AI74" i="31" s="1"/>
  <c r="AH74" i="31" a="1"/>
  <c r="AH74" i="31" s="1"/>
  <c r="AG74" i="31" a="1"/>
  <c r="AG74" i="31" s="1"/>
  <c r="AF74" i="31" a="1"/>
  <c r="AF74" i="31" s="1"/>
  <c r="AE74" i="31" a="1"/>
  <c r="AE74" i="31" s="1"/>
  <c r="AD74" i="31" a="1"/>
  <c r="AD74" i="31" s="1"/>
  <c r="AC74" i="31" a="1"/>
  <c r="AC74" i="31" s="1"/>
  <c r="AB74" i="31" a="1"/>
  <c r="AB74" i="31" s="1"/>
  <c r="AA74" i="31" a="1"/>
  <c r="AA74" i="31" s="1"/>
  <c r="Z74" i="31" a="1"/>
  <c r="Z74" i="31" s="1"/>
  <c r="Y74" i="31" a="1"/>
  <c r="Y74" i="31" s="1"/>
  <c r="L5" i="31"/>
  <c r="N5" i="31"/>
  <c r="Q5" i="31"/>
  <c r="K72" i="31"/>
  <c r="Q72" i="31" s="1"/>
  <c r="G72" i="31" a="1"/>
  <c r="G72" i="31" s="1"/>
  <c r="I72" i="31" s="1"/>
  <c r="Q71" i="31"/>
  <c r="K71" i="31"/>
  <c r="G71" i="31" a="1"/>
  <c r="G71" i="31" s="1"/>
  <c r="I71" i="31" s="1"/>
  <c r="K70" i="31"/>
  <c r="Q70" i="31" s="1"/>
  <c r="G70" i="31" a="1"/>
  <c r="G70" i="31" s="1"/>
  <c r="I70" i="31" s="1"/>
  <c r="K69" i="31"/>
  <c r="Q69" i="31" s="1"/>
  <c r="G69" i="31" a="1"/>
  <c r="G69" i="31" s="1"/>
  <c r="I69" i="31" s="1"/>
  <c r="Q68" i="31"/>
  <c r="K68" i="31"/>
  <c r="G68" i="31" a="1"/>
  <c r="G68" i="31" s="1"/>
  <c r="I68" i="31" s="1"/>
  <c r="Q67" i="31"/>
  <c r="K67" i="31"/>
  <c r="G67" i="31" a="1"/>
  <c r="G67" i="31" s="1"/>
  <c r="I67" i="31" s="1"/>
  <c r="K66" i="31"/>
  <c r="Q66" i="31" s="1"/>
  <c r="G66" i="31" a="1"/>
  <c r="G66" i="31" s="1"/>
  <c r="I66" i="31" s="1"/>
  <c r="Q65" i="31"/>
  <c r="K65" i="31"/>
  <c r="G65" i="31" a="1"/>
  <c r="G65" i="31" s="1"/>
  <c r="I65" i="31" s="1"/>
  <c r="K64" i="31"/>
  <c r="Q64" i="31" s="1"/>
  <c r="G64" i="31" a="1"/>
  <c r="G64" i="31" s="1"/>
  <c r="I64" i="31" s="1"/>
  <c r="D74" i="31" a="1"/>
  <c r="K63" i="31"/>
  <c r="Q63" i="31" s="1"/>
  <c r="G63" i="31" a="1"/>
  <c r="G63" i="31" s="1"/>
  <c r="I63" i="31" s="1"/>
  <c r="M63" i="31" s="1"/>
  <c r="Q62" i="31"/>
  <c r="K62" i="31"/>
  <c r="G62" i="31" a="1"/>
  <c r="G62" i="31" s="1"/>
  <c r="I62" i="31" s="1"/>
  <c r="O62" i="31" s="1"/>
  <c r="K61" i="31"/>
  <c r="Q61" i="31" s="1"/>
  <c r="G61" i="31" a="1"/>
  <c r="G61" i="31" s="1"/>
  <c r="I61" i="31" s="1"/>
  <c r="K60" i="31"/>
  <c r="Q60" i="31" s="1"/>
  <c r="G60" i="31" a="1"/>
  <c r="G60" i="31" s="1"/>
  <c r="I60" i="31" s="1"/>
  <c r="O60" i="31" s="1"/>
  <c r="K59" i="31"/>
  <c r="Q59" i="31" s="1"/>
  <c r="G59" i="31" a="1"/>
  <c r="G59" i="31" s="1"/>
  <c r="I59" i="31" s="1"/>
  <c r="Q58" i="31"/>
  <c r="K58" i="31"/>
  <c r="G58" i="31" a="1"/>
  <c r="G58" i="31" s="1"/>
  <c r="I58" i="31" s="1"/>
  <c r="K57" i="31"/>
  <c r="Q57" i="31" s="1"/>
  <c r="G57" i="31" a="1"/>
  <c r="G57" i="31" s="1"/>
  <c r="I57" i="31" s="1"/>
  <c r="K56" i="31"/>
  <c r="Q56" i="31" s="1"/>
  <c r="G56" i="31" a="1"/>
  <c r="G56" i="31" s="1"/>
  <c r="I56" i="31" s="1"/>
  <c r="K55" i="31"/>
  <c r="Q55" i="31" s="1"/>
  <c r="G55" i="31" a="1"/>
  <c r="G55" i="31" s="1"/>
  <c r="I55" i="31" s="1"/>
  <c r="Q54" i="31"/>
  <c r="K54" i="31"/>
  <c r="G54" i="31" a="1"/>
  <c r="G54" i="31" s="1"/>
  <c r="I54" i="31" s="1"/>
  <c r="K53" i="31"/>
  <c r="Q53" i="31" s="1"/>
  <c r="G53" i="31" a="1"/>
  <c r="G53" i="31" s="1"/>
  <c r="I53" i="31" s="1"/>
  <c r="K52" i="31"/>
  <c r="Q52" i="31" s="1"/>
  <c r="G52" i="31" a="1"/>
  <c r="G52" i="31" s="1"/>
  <c r="I52" i="31" s="1"/>
  <c r="K51" i="31"/>
  <c r="Q51" i="31" s="1"/>
  <c r="G51" i="31" a="1"/>
  <c r="G51" i="31" s="1"/>
  <c r="I51" i="31" s="1"/>
  <c r="M51" i="31" s="1"/>
  <c r="K50" i="31"/>
  <c r="Q50" i="31" s="1"/>
  <c r="G50" i="31" a="1"/>
  <c r="G50" i="31" s="1"/>
  <c r="I50" i="31" s="1"/>
  <c r="K49" i="31"/>
  <c r="Q49" i="31" s="1"/>
  <c r="G49" i="31" a="1"/>
  <c r="G49" i="31" s="1"/>
  <c r="I49" i="31" s="1"/>
  <c r="K48" i="31"/>
  <c r="Q48" i="31" s="1"/>
  <c r="G48" i="31" a="1"/>
  <c r="G48" i="31" s="1"/>
  <c r="I48" i="31" s="1"/>
  <c r="K47" i="31"/>
  <c r="Q47" i="31" s="1"/>
  <c r="G47" i="31" a="1"/>
  <c r="G47" i="31" s="1"/>
  <c r="I47" i="31" s="1"/>
  <c r="K46" i="31"/>
  <c r="Q46" i="31" s="1"/>
  <c r="G46" i="31" a="1"/>
  <c r="G46" i="31" s="1"/>
  <c r="I46" i="31" s="1"/>
  <c r="M46" i="31" s="1"/>
  <c r="K45" i="31"/>
  <c r="Q45" i="31" s="1"/>
  <c r="G45" i="31" a="1"/>
  <c r="G45" i="31" s="1"/>
  <c r="I45" i="31" s="1"/>
  <c r="J45" i="31" s="1"/>
  <c r="K44" i="31"/>
  <c r="Q44" i="31" s="1"/>
  <c r="G44" i="31" a="1"/>
  <c r="G44" i="31" s="1"/>
  <c r="I44" i="31" s="1"/>
  <c r="K43" i="31"/>
  <c r="Q43" i="31" s="1"/>
  <c r="G43" i="31" a="1"/>
  <c r="G43" i="31" s="1"/>
  <c r="I43" i="31" s="1"/>
  <c r="K42" i="31"/>
  <c r="Q42" i="31" s="1"/>
  <c r="G42" i="31" a="1"/>
  <c r="G42" i="31" s="1"/>
  <c r="I42" i="31" s="1"/>
  <c r="K41" i="31"/>
  <c r="Q41" i="31" s="1"/>
  <c r="G41" i="31" a="1"/>
  <c r="G41" i="31" s="1"/>
  <c r="I41" i="31" s="1"/>
  <c r="K40" i="31"/>
  <c r="Q40" i="31" s="1"/>
  <c r="G40" i="31" a="1"/>
  <c r="G40" i="31" s="1"/>
  <c r="I40" i="31" s="1"/>
  <c r="K39" i="31"/>
  <c r="Q39" i="31" s="1"/>
  <c r="G39" i="31" a="1"/>
  <c r="G39" i="31" s="1"/>
  <c r="I39" i="31" s="1"/>
  <c r="M39" i="31" s="1"/>
  <c r="K38" i="31"/>
  <c r="Q38" i="31" s="1"/>
  <c r="G38" i="31" a="1"/>
  <c r="G38" i="31" s="1"/>
  <c r="I38" i="31" s="1"/>
  <c r="Q37" i="31"/>
  <c r="K37" i="31"/>
  <c r="G37" i="31" a="1"/>
  <c r="G37" i="31" s="1"/>
  <c r="I37" i="31" s="1"/>
  <c r="K36" i="31"/>
  <c r="Q36" i="31" s="1"/>
  <c r="Q35" i="31"/>
  <c r="K35" i="31"/>
  <c r="G35" i="31" a="1"/>
  <c r="G35" i="31" s="1"/>
  <c r="I35" i="31" s="1"/>
  <c r="K34" i="31"/>
  <c r="Q34" i="31" s="1"/>
  <c r="G34" i="31" a="1"/>
  <c r="G34" i="31" s="1"/>
  <c r="I34" i="31" s="1"/>
  <c r="K33" i="31"/>
  <c r="Q33" i="31" s="1"/>
  <c r="G33" i="31" a="1"/>
  <c r="G33" i="31" s="1"/>
  <c r="I33" i="31" s="1"/>
  <c r="K32" i="31"/>
  <c r="Q32" i="31" s="1"/>
  <c r="G32" i="31" a="1"/>
  <c r="G32" i="31" s="1"/>
  <c r="I32" i="31" s="1"/>
  <c r="Q31" i="31"/>
  <c r="K31" i="31"/>
  <c r="G31" i="31" a="1"/>
  <c r="G31" i="31" s="1"/>
  <c r="I31" i="31" s="1"/>
  <c r="K30" i="31"/>
  <c r="Q30" i="31" s="1"/>
  <c r="G30" i="31" a="1"/>
  <c r="G30" i="31" s="1"/>
  <c r="I30" i="31" s="1"/>
  <c r="K29" i="31"/>
  <c r="Q29" i="31" s="1"/>
  <c r="G29" i="31" a="1"/>
  <c r="G29" i="31" s="1"/>
  <c r="I29" i="31" s="1"/>
  <c r="K28" i="31"/>
  <c r="Q28" i="31" s="1"/>
  <c r="G28" i="31" a="1"/>
  <c r="G28" i="31" s="1"/>
  <c r="I28" i="31" s="1"/>
  <c r="K27" i="31"/>
  <c r="Q27" i="31" s="1"/>
  <c r="G27" i="31" a="1"/>
  <c r="G27" i="31" s="1"/>
  <c r="I27" i="31" s="1"/>
  <c r="K26" i="31"/>
  <c r="Q26" i="31" s="1"/>
  <c r="K25" i="31"/>
  <c r="Q25" i="31" s="1"/>
  <c r="G25" i="31" a="1"/>
  <c r="G25" i="31" s="1"/>
  <c r="I25" i="31" s="1"/>
  <c r="K24" i="31"/>
  <c r="Q24" i="31" s="1"/>
  <c r="G24" i="31" a="1"/>
  <c r="G24" i="31" s="1"/>
  <c r="I24" i="31" s="1"/>
  <c r="K23" i="31"/>
  <c r="Q23" i="31" s="1"/>
  <c r="G23" i="31" a="1"/>
  <c r="G23" i="31" s="1"/>
  <c r="I23" i="31" s="1"/>
  <c r="K22" i="31"/>
  <c r="Q22" i="31" s="1"/>
  <c r="G22" i="31" a="1"/>
  <c r="G22" i="31" s="1"/>
  <c r="I22" i="31" s="1"/>
  <c r="J22" i="31" s="1"/>
  <c r="K21" i="31"/>
  <c r="Q21" i="31" s="1"/>
  <c r="G21" i="31" a="1"/>
  <c r="G21" i="31" s="1"/>
  <c r="I21" i="31" s="1"/>
  <c r="K20" i="31"/>
  <c r="Q20" i="31" s="1"/>
  <c r="G20" i="31" a="1"/>
  <c r="G20" i="31" s="1"/>
  <c r="I20" i="31" s="1"/>
  <c r="M20" i="31" s="1"/>
  <c r="K19" i="31"/>
  <c r="Q19" i="31" s="1"/>
  <c r="G19" i="31" a="1"/>
  <c r="G19" i="31" s="1"/>
  <c r="I19" i="31" s="1"/>
  <c r="Q18" i="31"/>
  <c r="K18" i="31"/>
  <c r="G18" i="31" a="1"/>
  <c r="G18" i="31" s="1"/>
  <c r="I18" i="31" s="1"/>
  <c r="O18" i="31" s="1"/>
  <c r="K17" i="31"/>
  <c r="Q17" i="31" s="1"/>
  <c r="G17" i="31" a="1"/>
  <c r="G17" i="31" s="1"/>
  <c r="I17" i="31" s="1"/>
  <c r="K16" i="31"/>
  <c r="Q16" i="31" s="1"/>
  <c r="G16" i="31" a="1"/>
  <c r="G16" i="31" s="1"/>
  <c r="I16" i="31" s="1"/>
  <c r="K15" i="31"/>
  <c r="Q15" i="31" s="1"/>
  <c r="K14" i="31"/>
  <c r="Q14" i="31" s="1"/>
  <c r="G14" i="31" a="1"/>
  <c r="G14" i="31" s="1"/>
  <c r="I14" i="31" s="1"/>
  <c r="K13" i="31"/>
  <c r="Q13" i="31" s="1"/>
  <c r="G13" i="31" a="1"/>
  <c r="G13" i="31" s="1"/>
  <c r="I13" i="31" s="1"/>
  <c r="K12" i="31"/>
  <c r="Q12" i="31" s="1"/>
  <c r="G12" i="31" a="1"/>
  <c r="G12" i="31" s="1"/>
  <c r="I12" i="31" s="1"/>
  <c r="K11" i="31"/>
  <c r="Q11" i="31" s="1"/>
  <c r="G11" i="31" a="1"/>
  <c r="G11" i="31" s="1"/>
  <c r="I11" i="31" s="1"/>
  <c r="K10" i="31"/>
  <c r="Q10" i="31" s="1"/>
  <c r="G10" i="31" a="1"/>
  <c r="G10" i="31" s="1"/>
  <c r="I10" i="31" s="1"/>
  <c r="J10" i="31" s="1"/>
  <c r="K9" i="31"/>
  <c r="Q9" i="31" s="1"/>
  <c r="G9" i="31" a="1"/>
  <c r="G9" i="31" s="1"/>
  <c r="I9" i="31" s="1"/>
  <c r="J9" i="31" s="1"/>
  <c r="K8" i="31"/>
  <c r="Q8" i="31" s="1"/>
  <c r="G8" i="31" a="1"/>
  <c r="G8" i="31" s="1"/>
  <c r="I8" i="31" s="1"/>
  <c r="K7" i="31"/>
  <c r="Q7" i="31" s="1"/>
  <c r="G7" i="31" a="1"/>
  <c r="G7" i="31" s="1"/>
  <c r="I7" i="31" s="1"/>
  <c r="Q6" i="31"/>
  <c r="K6" i="31"/>
  <c r="G6" i="31" a="1"/>
  <c r="G6" i="31" s="1"/>
  <c r="I6" i="31" s="1"/>
  <c r="Y4" i="31"/>
  <c r="AA3" i="31"/>
  <c r="Z3" i="31"/>
  <c r="N3" i="31"/>
  <c r="Y2" i="31"/>
  <c r="K18" i="24"/>
  <c r="Q18" i="24" s="1"/>
  <c r="G18" i="24" a="1"/>
  <c r="G18" i="24" s="1"/>
  <c r="I18" i="24" s="1"/>
  <c r="O31" i="33" l="1"/>
  <c r="J31" i="33"/>
  <c r="O21" i="33"/>
  <c r="M21" i="33"/>
  <c r="J21" i="33"/>
  <c r="O43" i="33"/>
  <c r="M43" i="33"/>
  <c r="J43" i="33"/>
  <c r="M50" i="33"/>
  <c r="O50" i="33"/>
  <c r="J50" i="33"/>
  <c r="M19" i="33"/>
  <c r="P19" i="33" s="1"/>
  <c r="O14" i="33"/>
  <c r="J57" i="33"/>
  <c r="M48" i="33"/>
  <c r="O48" i="33"/>
  <c r="M57" i="33"/>
  <c r="P57" i="33" s="1"/>
  <c r="O8" i="33"/>
  <c r="J8" i="33"/>
  <c r="M8" i="33"/>
  <c r="S13" i="33"/>
  <c r="M12" i="33"/>
  <c r="J12" i="33"/>
  <c r="O12" i="33"/>
  <c r="S8" i="33"/>
  <c r="M24" i="33"/>
  <c r="O24" i="33"/>
  <c r="J24" i="33"/>
  <c r="M9" i="33"/>
  <c r="J9" i="33"/>
  <c r="M6" i="33"/>
  <c r="O6" i="33"/>
  <c r="J6" i="33"/>
  <c r="O9" i="33"/>
  <c r="O13" i="33"/>
  <c r="M13" i="33"/>
  <c r="J25" i="33"/>
  <c r="M25" i="33"/>
  <c r="O25" i="33"/>
  <c r="M11" i="33"/>
  <c r="J11" i="33"/>
  <c r="O11" i="33"/>
  <c r="O23" i="33"/>
  <c r="M23" i="33"/>
  <c r="J23" i="33"/>
  <c r="AB3" i="33"/>
  <c r="O10" i="33"/>
  <c r="J10" i="33"/>
  <c r="M51" i="33"/>
  <c r="J51" i="33"/>
  <c r="O51" i="33"/>
  <c r="AA4" i="33"/>
  <c r="M10" i="33"/>
  <c r="J35" i="33"/>
  <c r="O35" i="33"/>
  <c r="M35" i="33"/>
  <c r="O52" i="33"/>
  <c r="M52" i="33"/>
  <c r="J52" i="33"/>
  <c r="J27" i="33"/>
  <c r="O27" i="33"/>
  <c r="M27" i="33"/>
  <c r="S62" i="33"/>
  <c r="S52" i="33"/>
  <c r="S41" i="33"/>
  <c r="S63" i="33"/>
  <c r="S51" i="33"/>
  <c r="S64" i="33"/>
  <c r="S50" i="33"/>
  <c r="S39" i="33"/>
  <c r="S56" i="33"/>
  <c r="S57" i="33"/>
  <c r="S48" i="33"/>
  <c r="S58" i="33"/>
  <c r="S44" i="33"/>
  <c r="S42" i="33"/>
  <c r="S40" i="33"/>
  <c r="S34" i="33"/>
  <c r="S6" i="33"/>
  <c r="S61" i="33"/>
  <c r="S35" i="33"/>
  <c r="S33" i="33"/>
  <c r="S49" i="33"/>
  <c r="S32" i="33"/>
  <c r="S31" i="33"/>
  <c r="S47" i="33"/>
  <c r="S29" i="33"/>
  <c r="S28" i="33"/>
  <c r="S27" i="33"/>
  <c r="S26" i="33"/>
  <c r="S24" i="33"/>
  <c r="S55" i="33"/>
  <c r="S36" i="33"/>
  <c r="S23" i="33"/>
  <c r="S60" i="33"/>
  <c r="S53" i="33"/>
  <c r="S45" i="33"/>
  <c r="S22" i="33"/>
  <c r="S21" i="33"/>
  <c r="S19" i="33"/>
  <c r="S46" i="33"/>
  <c r="S54" i="33"/>
  <c r="S15" i="33"/>
  <c r="S43" i="33"/>
  <c r="S38" i="33"/>
  <c r="S14" i="33"/>
  <c r="S9" i="33"/>
  <c r="S59" i="33"/>
  <c r="Z4" i="33"/>
  <c r="S37" i="33"/>
  <c r="S12" i="33"/>
  <c r="S10" i="33"/>
  <c r="S30" i="33"/>
  <c r="S25" i="33"/>
  <c r="S17" i="33"/>
  <c r="J7" i="33"/>
  <c r="M7" i="33"/>
  <c r="S11" i="33"/>
  <c r="S16" i="33"/>
  <c r="S18" i="33"/>
  <c r="J37" i="33"/>
  <c r="O37" i="33"/>
  <c r="M37" i="33"/>
  <c r="S7" i="33"/>
  <c r="O22" i="33"/>
  <c r="J22" i="33"/>
  <c r="O29" i="33"/>
  <c r="J29" i="33"/>
  <c r="M22" i="33"/>
  <c r="J38" i="33"/>
  <c r="O38" i="33"/>
  <c r="M38" i="33"/>
  <c r="J20" i="33"/>
  <c r="O20" i="33"/>
  <c r="M29" i="33"/>
  <c r="M30" i="33"/>
  <c r="O30" i="33"/>
  <c r="J30" i="33"/>
  <c r="S20" i="33"/>
  <c r="O40" i="33"/>
  <c r="M40" i="33"/>
  <c r="J40" i="33"/>
  <c r="O41" i="33"/>
  <c r="M41" i="33"/>
  <c r="J41" i="33"/>
  <c r="M16" i="33"/>
  <c r="O16" i="33"/>
  <c r="J16" i="33"/>
  <c r="O28" i="33"/>
  <c r="P28" i="33" s="1"/>
  <c r="J28" i="33"/>
  <c r="J18" i="33"/>
  <c r="M18" i="33"/>
  <c r="O46" i="33"/>
  <c r="M46" i="33"/>
  <c r="J46" i="33"/>
  <c r="M14" i="33"/>
  <c r="O42" i="33"/>
  <c r="M42" i="33"/>
  <c r="J42" i="33"/>
  <c r="M31" i="33"/>
  <c r="O63" i="33"/>
  <c r="M63" i="33"/>
  <c r="J63" i="33"/>
  <c r="O32" i="33"/>
  <c r="M32" i="33"/>
  <c r="J32" i="33"/>
  <c r="J55" i="33"/>
  <c r="M55" i="33"/>
  <c r="O55" i="33"/>
  <c r="M64" i="33"/>
  <c r="O64" i="33"/>
  <c r="J64" i="33"/>
  <c r="J19" i="33"/>
  <c r="O33" i="33"/>
  <c r="M33" i="33"/>
  <c r="J60" i="33"/>
  <c r="O60" i="33"/>
  <c r="M60" i="33"/>
  <c r="I66" i="33"/>
  <c r="BN66" i="33" a="1"/>
  <c r="BN66" i="33" s="1"/>
  <c r="AW66" i="33" a="1"/>
  <c r="AW66" i="33" s="1"/>
  <c r="AN66" i="33" a="1"/>
  <c r="AN66" i="33" s="1"/>
  <c r="BE66" i="33" a="1"/>
  <c r="BE66" i="33" s="1"/>
  <c r="AM66" i="33" a="1"/>
  <c r="AM66" i="33" s="1"/>
  <c r="AD66" i="33" a="1"/>
  <c r="AD66" i="33" s="1"/>
  <c r="BM66" i="33" a="1"/>
  <c r="BM66" i="33" s="1"/>
  <c r="AV66" i="33" a="1"/>
  <c r="AV66" i="33" s="1"/>
  <c r="AL66" i="33" a="1"/>
  <c r="AL66" i="33" s="1"/>
  <c r="BD66" i="33" a="1"/>
  <c r="BD66" i="33" s="1"/>
  <c r="AU66" i="33" a="1"/>
  <c r="AU66" i="33" s="1"/>
  <c r="AC66" i="33" a="1"/>
  <c r="AC66" i="33" s="1"/>
  <c r="BL66" i="33" a="1"/>
  <c r="BL66" i="33" s="1"/>
  <c r="AT66" i="33" a="1"/>
  <c r="AT66" i="33" s="1"/>
  <c r="AK66" i="33" a="1"/>
  <c r="AK66" i="33" s="1"/>
  <c r="BC66" i="33" a="1"/>
  <c r="BC66" i="33" s="1"/>
  <c r="AS66" i="33" a="1"/>
  <c r="AS66" i="33" s="1"/>
  <c r="AB66" i="33" a="1"/>
  <c r="AB66" i="33" s="1"/>
  <c r="BK66" i="33" a="1"/>
  <c r="BK66" i="33" s="1"/>
  <c r="BB66" i="33" a="1"/>
  <c r="BB66" i="33" s="1"/>
  <c r="AJ66" i="33" a="1"/>
  <c r="AJ66" i="33" s="1"/>
  <c r="BS66" i="33" a="1"/>
  <c r="BS66" i="33" s="1"/>
  <c r="BA66" i="33" a="1"/>
  <c r="BA66" i="33" s="1"/>
  <c r="AR66" i="33" a="1"/>
  <c r="AR66" i="33" s="1"/>
  <c r="AA66" i="33" a="1"/>
  <c r="AA66" i="33" s="1"/>
  <c r="BR66" i="33" a="1"/>
  <c r="BR66" i="33" s="1"/>
  <c r="BI66" i="33" a="1"/>
  <c r="BI66" i="33" s="1"/>
  <c r="AQ66" i="33" a="1"/>
  <c r="AQ66" i="33" s="1"/>
  <c r="Y66" i="33" a="1"/>
  <c r="Y66" i="33" s="1"/>
  <c r="BO66" i="33" a="1"/>
  <c r="BO66" i="33" s="1"/>
  <c r="BF66" i="33" a="1"/>
  <c r="BF66" i="33" s="1"/>
  <c r="AO66" i="33" a="1"/>
  <c r="AO66" i="33" s="1"/>
  <c r="AE66" i="33" a="1"/>
  <c r="AE66" i="33" s="1"/>
  <c r="AX66" i="33" a="1"/>
  <c r="AX66" i="33" s="1"/>
  <c r="AP66" i="33" a="1"/>
  <c r="AP66" i="33" s="1"/>
  <c r="BQ66" i="33" a="1"/>
  <c r="BQ66" i="33" s="1"/>
  <c r="AI66" i="33" a="1"/>
  <c r="AI66" i="33" s="1"/>
  <c r="BP66" i="33" a="1"/>
  <c r="BP66" i="33" s="1"/>
  <c r="AH66" i="33" a="1"/>
  <c r="AH66" i="33" s="1"/>
  <c r="BJ66" i="33" a="1"/>
  <c r="BJ66" i="33" s="1"/>
  <c r="AG66" i="33" a="1"/>
  <c r="AG66" i="33" s="1"/>
  <c r="AY66" i="33" a="1"/>
  <c r="AY66" i="33" s="1"/>
  <c r="M34" i="33"/>
  <c r="O34" i="33"/>
  <c r="J34" i="33"/>
  <c r="J47" i="33"/>
  <c r="M47" i="33"/>
  <c r="O47" i="33"/>
  <c r="O53" i="33"/>
  <c r="M53" i="33"/>
  <c r="J53" i="33"/>
  <c r="O62" i="33"/>
  <c r="M62" i="33"/>
  <c r="J62" i="33"/>
  <c r="M17" i="33"/>
  <c r="J17" i="33"/>
  <c r="BH66" i="33" a="1"/>
  <c r="BH66" i="33" s="1"/>
  <c r="I71" i="33"/>
  <c r="BS76" i="33" a="1"/>
  <c r="BS76" i="33" s="1"/>
  <c r="BL76" i="33" a="1"/>
  <c r="BL76" i="33" s="1"/>
  <c r="BE76" i="33" a="1"/>
  <c r="BE76" i="33" s="1"/>
  <c r="AX76" i="33" a="1"/>
  <c r="AX76" i="33" s="1"/>
  <c r="AQ76" i="33" a="1"/>
  <c r="AQ76" i="33" s="1"/>
  <c r="AJ76" i="33" a="1"/>
  <c r="AJ76" i="33" s="1"/>
  <c r="AC76" i="33" a="1"/>
  <c r="AC76" i="33" s="1"/>
  <c r="BR75" i="33" a="1"/>
  <c r="BR75" i="33" s="1"/>
  <c r="BK75" i="33" a="1"/>
  <c r="BK75" i="33" s="1"/>
  <c r="BD75" i="33" a="1"/>
  <c r="BD75" i="33" s="1"/>
  <c r="AW75" i="33" a="1"/>
  <c r="AW75" i="33" s="1"/>
  <c r="AP75" i="33" a="1"/>
  <c r="AP75" i="33" s="1"/>
  <c r="AI75" i="33" a="1"/>
  <c r="AI75" i="33" s="1"/>
  <c r="AB75" i="33" a="1"/>
  <c r="AB75" i="33" s="1"/>
  <c r="BQ74" i="33" a="1"/>
  <c r="BQ74" i="33" s="1"/>
  <c r="BJ74" i="33" a="1"/>
  <c r="BJ74" i="33" s="1"/>
  <c r="BC74" i="33" a="1"/>
  <c r="BC74" i="33" s="1"/>
  <c r="AV74" i="33" a="1"/>
  <c r="AV74" i="33" s="1"/>
  <c r="AO74" i="33" a="1"/>
  <c r="AO74" i="33" s="1"/>
  <c r="AH74" i="33" a="1"/>
  <c r="AH74" i="33" s="1"/>
  <c r="AA74" i="33" a="1"/>
  <c r="AA74" i="33" s="1"/>
  <c r="BP73" i="33" a="1"/>
  <c r="BP73" i="33" s="1"/>
  <c r="BI73" i="33" a="1"/>
  <c r="BI73" i="33" s="1"/>
  <c r="BB73" i="33" a="1"/>
  <c r="BB73" i="33" s="1"/>
  <c r="AU73" i="33" a="1"/>
  <c r="AU73" i="33" s="1"/>
  <c r="I72" i="33"/>
  <c r="BR76" i="33" a="1"/>
  <c r="BR76" i="33" s="1"/>
  <c r="BK76" i="33" a="1"/>
  <c r="BK76" i="33" s="1"/>
  <c r="BD76" i="33" a="1"/>
  <c r="BD76" i="33" s="1"/>
  <c r="AW76" i="33" a="1"/>
  <c r="AW76" i="33" s="1"/>
  <c r="AP76" i="33" a="1"/>
  <c r="AP76" i="33" s="1"/>
  <c r="AI76" i="33" a="1"/>
  <c r="AI76" i="33" s="1"/>
  <c r="AB76" i="33" a="1"/>
  <c r="AB76" i="33" s="1"/>
  <c r="BQ75" i="33" a="1"/>
  <c r="BQ75" i="33" s="1"/>
  <c r="BJ75" i="33" a="1"/>
  <c r="BJ75" i="33" s="1"/>
  <c r="BC75" i="33" a="1"/>
  <c r="BC75" i="33" s="1"/>
  <c r="AV75" i="33" a="1"/>
  <c r="AV75" i="33" s="1"/>
  <c r="AO75" i="33" a="1"/>
  <c r="AO75" i="33" s="1"/>
  <c r="AH75" i="33" a="1"/>
  <c r="AH75" i="33" s="1"/>
  <c r="AA75" i="33" a="1"/>
  <c r="AA75" i="33" s="1"/>
  <c r="BP74" i="33" a="1"/>
  <c r="BP74" i="33" s="1"/>
  <c r="BI74" i="33" a="1"/>
  <c r="BI74" i="33" s="1"/>
  <c r="BB74" i="33" a="1"/>
  <c r="BB74" i="33" s="1"/>
  <c r="AU74" i="33" a="1"/>
  <c r="AU74" i="33" s="1"/>
  <c r="AN74" i="33" a="1"/>
  <c r="AN74" i="33" s="1"/>
  <c r="AG74" i="33" a="1"/>
  <c r="AG74" i="33" s="1"/>
  <c r="Z74" i="33" a="1"/>
  <c r="Z74" i="33" s="1"/>
  <c r="BO73" i="33" a="1"/>
  <c r="BO73" i="33" s="1"/>
  <c r="BQ76" i="33" a="1"/>
  <c r="BQ76" i="33" s="1"/>
  <c r="AL76" i="33" a="1"/>
  <c r="AL76" i="33" s="1"/>
  <c r="Z76" i="33" a="1"/>
  <c r="Z76" i="33" s="1"/>
  <c r="AQ75" i="33" a="1"/>
  <c r="AQ75" i="33" s="1"/>
  <c r="AE75" i="33" a="1"/>
  <c r="AE75" i="33" s="1"/>
  <c r="BO74" i="33" a="1"/>
  <c r="BO74" i="33" s="1"/>
  <c r="AJ74" i="33" a="1"/>
  <c r="AJ74" i="33" s="1"/>
  <c r="F74" i="33"/>
  <c r="AH73" i="33" a="1"/>
  <c r="AH73" i="33" s="1"/>
  <c r="F73" i="33"/>
  <c r="BC72" i="33" a="1"/>
  <c r="BC72" i="33" s="1"/>
  <c r="AT72" i="33" a="1"/>
  <c r="AT72" i="33" s="1"/>
  <c r="AB72" i="33" a="1"/>
  <c r="AB72" i="33" s="1"/>
  <c r="BF71" i="33" a="1"/>
  <c r="BF71" i="33" s="1"/>
  <c r="AW71" i="33" a="1"/>
  <c r="AW71" i="33" s="1"/>
  <c r="AF71" i="33" a="1"/>
  <c r="AF71" i="33" s="1"/>
  <c r="BR70" i="33" a="1"/>
  <c r="BR70" i="33" s="1"/>
  <c r="BA70" i="33" a="1"/>
  <c r="BA70" i="33" s="1"/>
  <c r="AR70" i="33" a="1"/>
  <c r="AR70" i="33" s="1"/>
  <c r="Z70" i="33" a="1"/>
  <c r="Z70" i="33" s="1"/>
  <c r="BD69" i="33" a="1"/>
  <c r="BD69" i="33" s="1"/>
  <c r="AU69" i="33" a="1"/>
  <c r="AU69" i="33" s="1"/>
  <c r="AD69" i="33" a="1"/>
  <c r="AD69" i="33" s="1"/>
  <c r="BP68" i="33" a="1"/>
  <c r="BP68" i="33" s="1"/>
  <c r="AY68" i="33" a="1"/>
  <c r="AY68" i="33" s="1"/>
  <c r="AP68" i="33" a="1"/>
  <c r="AP68" i="33" s="1"/>
  <c r="F68" i="33"/>
  <c r="BB67" i="33" a="1"/>
  <c r="BB67" i="33" s="1"/>
  <c r="AS67" i="33" a="1"/>
  <c r="AS67" i="33" s="1"/>
  <c r="AB67" i="33" a="1"/>
  <c r="AB67" i="33" s="1"/>
  <c r="BG76" i="33" a="1"/>
  <c r="BG76" i="33" s="1"/>
  <c r="AU76" i="33" a="1"/>
  <c r="AU76" i="33" s="1"/>
  <c r="BL75" i="33" a="1"/>
  <c r="BL75" i="33" s="1"/>
  <c r="AZ75" i="33" a="1"/>
  <c r="AZ75" i="33" s="1"/>
  <c r="AN75" i="33" a="1"/>
  <c r="AN75" i="33" s="1"/>
  <c r="BE74" i="33" a="1"/>
  <c r="BE74" i="33" s="1"/>
  <c r="AS74" i="33" a="1"/>
  <c r="AS74" i="33" s="1"/>
  <c r="BJ73" i="33" a="1"/>
  <c r="BJ73" i="33" s="1"/>
  <c r="AY73" i="33" a="1"/>
  <c r="AY73" i="33" s="1"/>
  <c r="AP73" i="33" a="1"/>
  <c r="AP73" i="33" s="1"/>
  <c r="AG73" i="33" a="1"/>
  <c r="AG73" i="33" s="1"/>
  <c r="BK72" i="33" a="1"/>
  <c r="BK72" i="33" s="1"/>
  <c r="AS72" i="33" a="1"/>
  <c r="AS72" i="33" s="1"/>
  <c r="AJ72" i="33" a="1"/>
  <c r="AJ72" i="33" s="1"/>
  <c r="BO71" i="33" a="1"/>
  <c r="BO71" i="33" s="1"/>
  <c r="BE71" i="33" a="1"/>
  <c r="BE71" i="33" s="1"/>
  <c r="AN71" i="33" a="1"/>
  <c r="AN71" i="33" s="1"/>
  <c r="AE71" i="33" a="1"/>
  <c r="AE71" i="33" s="1"/>
  <c r="BI70" i="33" a="1"/>
  <c r="BI70" i="33" s="1"/>
  <c r="AQ70" i="33" a="1"/>
  <c r="AQ70" i="33" s="1"/>
  <c r="AH70" i="33" a="1"/>
  <c r="AH70" i="33" s="1"/>
  <c r="BM69" i="33" a="1"/>
  <c r="BM69" i="33" s="1"/>
  <c r="BC69" i="33" a="1"/>
  <c r="BC69" i="33" s="1"/>
  <c r="AL69" i="33" a="1"/>
  <c r="AL69" i="33" s="1"/>
  <c r="AC69" i="33" a="1"/>
  <c r="AC69" i="33" s="1"/>
  <c r="BG68" i="33" a="1"/>
  <c r="BG68" i="33" s="1"/>
  <c r="AO68" i="33" a="1"/>
  <c r="AO68" i="33" s="1"/>
  <c r="AF68" i="33" a="1"/>
  <c r="AF68" i="33" s="1"/>
  <c r="BK67" i="33" a="1"/>
  <c r="BK67" i="33" s="1"/>
  <c r="BA67" i="33" a="1"/>
  <c r="BA67" i="33" s="1"/>
  <c r="AJ67" i="33" a="1"/>
  <c r="AJ67" i="33" s="1"/>
  <c r="AA67" i="33" a="1"/>
  <c r="AA67" i="33" s="1"/>
  <c r="BP76" i="33" a="1"/>
  <c r="BP76" i="33" s="1"/>
  <c r="AK76" i="33" a="1"/>
  <c r="AK76" i="33" s="1"/>
  <c r="Y76" i="33" a="1"/>
  <c r="Y76" i="33" s="1"/>
  <c r="BI75" i="33" a="1"/>
  <c r="BI75" i="33" s="1"/>
  <c r="AD75" i="33" a="1"/>
  <c r="AD75" i="33" s="1"/>
  <c r="BN74" i="33" a="1"/>
  <c r="BN74" i="33" s="1"/>
  <c r="AI74" i="33" a="1"/>
  <c r="AI74" i="33" s="1"/>
  <c r="BS73" i="33" a="1"/>
  <c r="BS73" i="33" s="1"/>
  <c r="BH73" i="33" a="1"/>
  <c r="BH73" i="33" s="1"/>
  <c r="AF73" i="33" a="1"/>
  <c r="AF73" i="33" s="1"/>
  <c r="BS72" i="33" a="1"/>
  <c r="BS72" i="33" s="1"/>
  <c r="BB72" i="33" a="1"/>
  <c r="BB72" i="33" s="1"/>
  <c r="AR72" i="33" a="1"/>
  <c r="AR72" i="33" s="1"/>
  <c r="AA72" i="33" a="1"/>
  <c r="AA72" i="33" s="1"/>
  <c r="BN71" i="33" a="1"/>
  <c r="BN71" i="33" s="1"/>
  <c r="AV71" i="33" a="1"/>
  <c r="AV71" i="33" s="1"/>
  <c r="AD71" i="33" a="1"/>
  <c r="AD71" i="33" s="1"/>
  <c r="BQ70" i="33" a="1"/>
  <c r="BQ70" i="33" s="1"/>
  <c r="AZ70" i="33" a="1"/>
  <c r="AZ70" i="33" s="1"/>
  <c r="AP70" i="33" a="1"/>
  <c r="AP70" i="33" s="1"/>
  <c r="Y70" i="33" a="1"/>
  <c r="Y70" i="33" s="1"/>
  <c r="BL69" i="33" a="1"/>
  <c r="BL69" i="33" s="1"/>
  <c r="AT69" i="33" a="1"/>
  <c r="AT69" i="33" s="1"/>
  <c r="AB69" i="33" a="1"/>
  <c r="AB69" i="33" s="1"/>
  <c r="BO68" i="33" a="1"/>
  <c r="BO68" i="33" s="1"/>
  <c r="AX68" i="33" a="1"/>
  <c r="AX68" i="33" s="1"/>
  <c r="AN68" i="33" a="1"/>
  <c r="AN68" i="33" s="1"/>
  <c r="BS67" i="33" a="1"/>
  <c r="BS67" i="33" s="1"/>
  <c r="BJ67" i="33" a="1"/>
  <c r="BJ67" i="33" s="1"/>
  <c r="AR67" i="33" a="1"/>
  <c r="AR67" i="33" s="1"/>
  <c r="Z67" i="33" a="1"/>
  <c r="Z67" i="33" s="1"/>
  <c r="BF76" i="33" a="1"/>
  <c r="BF76" i="33" s="1"/>
  <c r="AT76" i="33" a="1"/>
  <c r="AT76" i="33" s="1"/>
  <c r="AH76" i="33" a="1"/>
  <c r="AH76" i="33" s="1"/>
  <c r="I76" i="33"/>
  <c r="AY75" i="33" a="1"/>
  <c r="AY75" i="33" s="1"/>
  <c r="AM75" i="33" a="1"/>
  <c r="AM75" i="33" s="1"/>
  <c r="BD74" i="33" a="1"/>
  <c r="BD74" i="33" s="1"/>
  <c r="AR74" i="33" a="1"/>
  <c r="AR74" i="33" s="1"/>
  <c r="AF74" i="33" a="1"/>
  <c r="AF74" i="33" s="1"/>
  <c r="BG73" i="33" a="1"/>
  <c r="BG73" i="33" s="1"/>
  <c r="AX73" i="33" a="1"/>
  <c r="AX73" i="33" s="1"/>
  <c r="AO73" i="33" a="1"/>
  <c r="AO73" i="33" s="1"/>
  <c r="AE73" i="33" a="1"/>
  <c r="AE73" i="33" s="1"/>
  <c r="BJ72" i="33" a="1"/>
  <c r="BJ72" i="33" s="1"/>
  <c r="BA72" i="33" a="1"/>
  <c r="BA72" i="33" s="1"/>
  <c r="AI72" i="33" a="1"/>
  <c r="AI72" i="33" s="1"/>
  <c r="BM71" i="33" a="1"/>
  <c r="BM71" i="33" s="1"/>
  <c r="BD71" i="33" a="1"/>
  <c r="BD71" i="33" s="1"/>
  <c r="AM71" i="33" a="1"/>
  <c r="AM71" i="33" s="1"/>
  <c r="AC71" i="33" a="1"/>
  <c r="AC71" i="33" s="1"/>
  <c r="BH70" i="33" a="1"/>
  <c r="BH70" i="33" s="1"/>
  <c r="AY70" i="33" a="1"/>
  <c r="AY70" i="33" s="1"/>
  <c r="AG70" i="33" a="1"/>
  <c r="AG70" i="33" s="1"/>
  <c r="I70" i="33"/>
  <c r="BK69" i="33" a="1"/>
  <c r="BK69" i="33" s="1"/>
  <c r="BB69" i="33" a="1"/>
  <c r="BB69" i="33" s="1"/>
  <c r="AK69" i="33" a="1"/>
  <c r="AK69" i="33" s="1"/>
  <c r="AA69" i="33" a="1"/>
  <c r="AA69" i="33" s="1"/>
  <c r="BF68" i="33" a="1"/>
  <c r="BF68" i="33" s="1"/>
  <c r="AW68" i="33" a="1"/>
  <c r="AW68" i="33" s="1"/>
  <c r="AE68" i="33" a="1"/>
  <c r="AE68" i="33" s="1"/>
  <c r="BI67" i="33" a="1"/>
  <c r="BI67" i="33" s="1"/>
  <c r="AZ67" i="33" a="1"/>
  <c r="AZ67" i="33" s="1"/>
  <c r="AI67" i="33" a="1"/>
  <c r="AI67" i="33" s="1"/>
  <c r="Y67" i="33" a="1"/>
  <c r="Y67" i="33" s="1"/>
  <c r="BO76" i="33" a="1"/>
  <c r="BO76" i="33" s="1"/>
  <c r="BC76" i="33" a="1"/>
  <c r="BC76" i="33" s="1"/>
  <c r="F76" i="33"/>
  <c r="BH75" i="33" a="1"/>
  <c r="BH75" i="33" s="1"/>
  <c r="AC75" i="33" a="1"/>
  <c r="AC75" i="33" s="1"/>
  <c r="BM74" i="33" a="1"/>
  <c r="BM74" i="33" s="1"/>
  <c r="BA74" i="33" a="1"/>
  <c r="BA74" i="33" s="1"/>
  <c r="BR73" i="33" a="1"/>
  <c r="BR73" i="33" s="1"/>
  <c r="AN73" i="33" a="1"/>
  <c r="AN73" i="33" s="1"/>
  <c r="BR72" i="33" a="1"/>
  <c r="BR72" i="33" s="1"/>
  <c r="AZ72" i="33" a="1"/>
  <c r="AZ72" i="33" s="1"/>
  <c r="AQ72" i="33" a="1"/>
  <c r="AQ72" i="33" s="1"/>
  <c r="Z72" i="33" a="1"/>
  <c r="Z72" i="33" s="1"/>
  <c r="BL71" i="33" a="1"/>
  <c r="BL71" i="33" s="1"/>
  <c r="AU71" i="33" a="1"/>
  <c r="AU71" i="33" s="1"/>
  <c r="AL71" i="33" a="1"/>
  <c r="AL71" i="33" s="1"/>
  <c r="BP70" i="33" a="1"/>
  <c r="BP70" i="33" s="1"/>
  <c r="AX70" i="33" a="1"/>
  <c r="AX70" i="33" s="1"/>
  <c r="AO70" i="33" a="1"/>
  <c r="AO70" i="33" s="1"/>
  <c r="F70" i="33"/>
  <c r="BJ69" i="33" a="1"/>
  <c r="BJ69" i="33" s="1"/>
  <c r="AS69" i="33" a="1"/>
  <c r="AS69" i="33" s="1"/>
  <c r="AJ69" i="33" a="1"/>
  <c r="AJ69" i="33" s="1"/>
  <c r="BN68" i="33" a="1"/>
  <c r="BN68" i="33" s="1"/>
  <c r="AV68" i="33" a="1"/>
  <c r="AV68" i="33" s="1"/>
  <c r="AM68" i="33" a="1"/>
  <c r="AM68" i="33" s="1"/>
  <c r="BR67" i="33" a="1"/>
  <c r="BR67" i="33" s="1"/>
  <c r="BH67" i="33" a="1"/>
  <c r="BH67" i="33" s="1"/>
  <c r="AQ67" i="33" a="1"/>
  <c r="AQ67" i="33" s="1"/>
  <c r="AH67" i="33" a="1"/>
  <c r="AH67" i="33" s="1"/>
  <c r="I67" i="33"/>
  <c r="AS76" i="33" a="1"/>
  <c r="AS76" i="33" s="1"/>
  <c r="AG76" i="33" a="1"/>
  <c r="AG76" i="33" s="1"/>
  <c r="AX75" i="33" a="1"/>
  <c r="AX75" i="33" s="1"/>
  <c r="AL75" i="33" a="1"/>
  <c r="AL75" i="33" s="1"/>
  <c r="Z75" i="33" a="1"/>
  <c r="Z75" i="33" s="1"/>
  <c r="AQ74" i="33" a="1"/>
  <c r="AQ74" i="33" s="1"/>
  <c r="AE74" i="33" a="1"/>
  <c r="AE74" i="33" s="1"/>
  <c r="BF73" i="33" a="1"/>
  <c r="BF73" i="33" s="1"/>
  <c r="AW73" i="33" a="1"/>
  <c r="AW73" i="33" s="1"/>
  <c r="AM73" i="33" a="1"/>
  <c r="AM73" i="33" s="1"/>
  <c r="AD73" i="33" a="1"/>
  <c r="AD73" i="33" s="1"/>
  <c r="BI72" i="33" a="1"/>
  <c r="BI72" i="33" s="1"/>
  <c r="AY72" i="33" a="1"/>
  <c r="AY72" i="33" s="1"/>
  <c r="AH72" i="33" a="1"/>
  <c r="AH72" i="33" s="1"/>
  <c r="Y72" i="33" a="1"/>
  <c r="Y72" i="33" s="1"/>
  <c r="BC71" i="33" a="1"/>
  <c r="BC71" i="33" s="1"/>
  <c r="AK71" i="33" a="1"/>
  <c r="AK71" i="33" s="1"/>
  <c r="AB71" i="33" a="1"/>
  <c r="AB71" i="33" s="1"/>
  <c r="BG70" i="33" a="1"/>
  <c r="BG70" i="33" s="1"/>
  <c r="AW70" i="33" a="1"/>
  <c r="AW70" i="33" s="1"/>
  <c r="AF70" i="33" a="1"/>
  <c r="AF70" i="33" s="1"/>
  <c r="BS69" i="33" a="1"/>
  <c r="BS69" i="33" s="1"/>
  <c r="BA69" i="33" a="1"/>
  <c r="BA69" i="33" s="1"/>
  <c r="AI69" i="33" a="1"/>
  <c r="AI69" i="33" s="1"/>
  <c r="Z69" i="33" a="1"/>
  <c r="Z69" i="33" s="1"/>
  <c r="BE68" i="33" a="1"/>
  <c r="BE68" i="33" s="1"/>
  <c r="AU68" i="33" a="1"/>
  <c r="AU68" i="33" s="1"/>
  <c r="AD68" i="33" a="1"/>
  <c r="AD68" i="33" s="1"/>
  <c r="BQ67" i="33" a="1"/>
  <c r="BQ67" i="33" s="1"/>
  <c r="AY67" i="33" a="1"/>
  <c r="AY67" i="33" s="1"/>
  <c r="AG67" i="33" a="1"/>
  <c r="AG67" i="33" s="1"/>
  <c r="F67" i="33"/>
  <c r="BN76" i="33" a="1"/>
  <c r="BN76" i="33" s="1"/>
  <c r="BB76" i="33" a="1"/>
  <c r="BB76" i="33" s="1"/>
  <c r="BS75" i="33" a="1"/>
  <c r="BS75" i="33" s="1"/>
  <c r="BG75" i="33" a="1"/>
  <c r="BG75" i="33" s="1"/>
  <c r="AU75" i="33" a="1"/>
  <c r="AU75" i="33" s="1"/>
  <c r="BL74" i="33" a="1"/>
  <c r="BL74" i="33" s="1"/>
  <c r="AZ74" i="33" a="1"/>
  <c r="AZ74" i="33" s="1"/>
  <c r="BQ73" i="33" a="1"/>
  <c r="BQ73" i="33" s="1"/>
  <c r="AL73" i="33" a="1"/>
  <c r="AL73" i="33" s="1"/>
  <c r="BQ72" i="33" a="1"/>
  <c r="BQ72" i="33" s="1"/>
  <c r="BH72" i="33" a="1"/>
  <c r="BH72" i="33" s="1"/>
  <c r="AP72" i="33" a="1"/>
  <c r="AP72" i="33" s="1"/>
  <c r="F72" i="33"/>
  <c r="BK71" i="33" a="1"/>
  <c r="BK71" i="33" s="1"/>
  <c r="AT71" i="33" a="1"/>
  <c r="AT71" i="33" s="1"/>
  <c r="AJ71" i="33" a="1"/>
  <c r="AJ71" i="33" s="1"/>
  <c r="BO70" i="33" a="1"/>
  <c r="BO70" i="33" s="1"/>
  <c r="BF70" i="33" a="1"/>
  <c r="BF70" i="33" s="1"/>
  <c r="AN70" i="33" a="1"/>
  <c r="AN70" i="33" s="1"/>
  <c r="BR69" i="33" a="1"/>
  <c r="BR69" i="33" s="1"/>
  <c r="BI69" i="33" a="1"/>
  <c r="BI69" i="33" s="1"/>
  <c r="AR69" i="33" a="1"/>
  <c r="AR69" i="33" s="1"/>
  <c r="AH69" i="33" a="1"/>
  <c r="AH69" i="33" s="1"/>
  <c r="BM68" i="33" a="1"/>
  <c r="BM68" i="33" s="1"/>
  <c r="BD68" i="33" a="1"/>
  <c r="BD68" i="33" s="1"/>
  <c r="AL68" i="33" a="1"/>
  <c r="AL68" i="33" s="1"/>
  <c r="BP67" i="33" a="1"/>
  <c r="BP67" i="33" s="1"/>
  <c r="BG67" i="33" a="1"/>
  <c r="BG67" i="33" s="1"/>
  <c r="AP67" i="33" a="1"/>
  <c r="AP67" i="33" s="1"/>
  <c r="AF67" i="33" a="1"/>
  <c r="AF67" i="33" s="1"/>
  <c r="AR76" i="33" a="1"/>
  <c r="AR76" i="33" s="1"/>
  <c r="AF76" i="33" a="1"/>
  <c r="AF76" i="33" s="1"/>
  <c r="BP75" i="33" a="1"/>
  <c r="BP75" i="33" s="1"/>
  <c r="AK75" i="33" a="1"/>
  <c r="AK75" i="33" s="1"/>
  <c r="Y75" i="33" a="1"/>
  <c r="Y75" i="33" s="1"/>
  <c r="AP74" i="33" a="1"/>
  <c r="AP74" i="33" s="1"/>
  <c r="AD74" i="33" a="1"/>
  <c r="AD74" i="33" s="1"/>
  <c r="BN73" i="33" a="1"/>
  <c r="BN73" i="33" s="1"/>
  <c r="BE73" i="33" a="1"/>
  <c r="BE73" i="33" s="1"/>
  <c r="AV73" i="33" a="1"/>
  <c r="AV73" i="33" s="1"/>
  <c r="AC73" i="33" a="1"/>
  <c r="AC73" i="33" s="1"/>
  <c r="BG72" i="33" a="1"/>
  <c r="BG72" i="33" s="1"/>
  <c r="AX72" i="33" a="1"/>
  <c r="AX72" i="33" s="1"/>
  <c r="AG72" i="33" a="1"/>
  <c r="AG72" i="33" s="1"/>
  <c r="BS71" i="33" a="1"/>
  <c r="BS71" i="33" s="1"/>
  <c r="BB71" i="33" a="1"/>
  <c r="BB71" i="33" s="1"/>
  <c r="AS71" i="33" a="1"/>
  <c r="AS71" i="33" s="1"/>
  <c r="AA71" i="33" a="1"/>
  <c r="AA71" i="33" s="1"/>
  <c r="BE70" i="33" a="1"/>
  <c r="BE70" i="33" s="1"/>
  <c r="AV70" i="33" a="1"/>
  <c r="AV70" i="33" s="1"/>
  <c r="AE70" i="33" a="1"/>
  <c r="AE70" i="33" s="1"/>
  <c r="BQ69" i="33" a="1"/>
  <c r="BQ69" i="33" s="1"/>
  <c r="AZ69" i="33" a="1"/>
  <c r="AZ69" i="33" s="1"/>
  <c r="AQ69" i="33" a="1"/>
  <c r="AQ69" i="33" s="1"/>
  <c r="Y69" i="33" a="1"/>
  <c r="Y69" i="33" s="1"/>
  <c r="BC68" i="33" a="1"/>
  <c r="BC68" i="33" s="1"/>
  <c r="AT68" i="33" a="1"/>
  <c r="AT68" i="33" s="1"/>
  <c r="AC68" i="33" a="1"/>
  <c r="AC68" i="33" s="1"/>
  <c r="BO67" i="33" a="1"/>
  <c r="BO67" i="33" s="1"/>
  <c r="AX67" i="33" a="1"/>
  <c r="AX67" i="33" s="1"/>
  <c r="AO67" i="33" a="1"/>
  <c r="AO67" i="33" s="1"/>
  <c r="BJ76" i="33" a="1"/>
  <c r="BJ76" i="33" s="1"/>
  <c r="AE76" i="33" a="1"/>
  <c r="AE76" i="33" s="1"/>
  <c r="BO75" i="33" a="1"/>
  <c r="BO75" i="33" s="1"/>
  <c r="AJ75" i="33" a="1"/>
  <c r="AJ75" i="33" s="1"/>
  <c r="F75" i="33"/>
  <c r="BH74" i="33" a="1"/>
  <c r="BH74" i="33" s="1"/>
  <c r="AC74" i="33" a="1"/>
  <c r="AC74" i="33" s="1"/>
  <c r="BM73" i="33" a="1"/>
  <c r="BM73" i="33" s="1"/>
  <c r="BD73" i="33" a="1"/>
  <c r="BD73" i="33" s="1"/>
  <c r="AS73" i="33" a="1"/>
  <c r="AS73" i="33" s="1"/>
  <c r="AB73" i="33" a="1"/>
  <c r="AB73" i="33" s="1"/>
  <c r="BO72" i="33" a="1"/>
  <c r="BO72" i="33" s="1"/>
  <c r="AW72" i="33" a="1"/>
  <c r="AW72" i="33" s="1"/>
  <c r="AE72" i="33" a="1"/>
  <c r="AE72" i="33" s="1"/>
  <c r="BR71" i="33" a="1"/>
  <c r="BR71" i="33" s="1"/>
  <c r="BA71" i="33" a="1"/>
  <c r="BA71" i="33" s="1"/>
  <c r="AQ71" i="33" a="1"/>
  <c r="AQ71" i="33" s="1"/>
  <c r="Z71" i="33" a="1"/>
  <c r="Z71" i="33" s="1"/>
  <c r="BM70" i="33" a="1"/>
  <c r="BM70" i="33" s="1"/>
  <c r="AU70" i="33" a="1"/>
  <c r="AU70" i="33" s="1"/>
  <c r="AC70" i="33" a="1"/>
  <c r="AC70" i="33" s="1"/>
  <c r="BP69" i="33" a="1"/>
  <c r="BP69" i="33" s="1"/>
  <c r="AY69" i="33" a="1"/>
  <c r="AY69" i="33" s="1"/>
  <c r="AO69" i="33" a="1"/>
  <c r="AO69" i="33" s="1"/>
  <c r="F69" i="33"/>
  <c r="BK68" i="33" a="1"/>
  <c r="BK68" i="33" s="1"/>
  <c r="AS68" i="33" a="1"/>
  <c r="AS68" i="33" s="1"/>
  <c r="AA68" i="33" a="1"/>
  <c r="AA68" i="33" s="1"/>
  <c r="BN67" i="33" a="1"/>
  <c r="BN67" i="33" s="1"/>
  <c r="AW67" i="33" a="1"/>
  <c r="AW67" i="33" s="1"/>
  <c r="AM67" i="33" a="1"/>
  <c r="AM67" i="33" s="1"/>
  <c r="BH76" i="33" a="1"/>
  <c r="BH76" i="33" s="1"/>
  <c r="AV76" i="33" a="1"/>
  <c r="AV76" i="33" s="1"/>
  <c r="BM75" i="33" a="1"/>
  <c r="BM75" i="33" s="1"/>
  <c r="BA75" i="33" a="1"/>
  <c r="BA75" i="33" s="1"/>
  <c r="BR74" i="33" a="1"/>
  <c r="BR74" i="33" s="1"/>
  <c r="BF74" i="33" a="1"/>
  <c r="BF74" i="33" s="1"/>
  <c r="AT74" i="33" a="1"/>
  <c r="AT74" i="33" s="1"/>
  <c r="I74" i="33"/>
  <c r="BK73" i="33" a="1"/>
  <c r="BK73" i="33" s="1"/>
  <c r="AZ73" i="33" a="1"/>
  <c r="AZ73" i="33" s="1"/>
  <c r="AQ73" i="33" a="1"/>
  <c r="AQ73" i="33" s="1"/>
  <c r="Y73" i="33" a="1"/>
  <c r="Y73" i="33" s="1"/>
  <c r="BL72" i="33" a="1"/>
  <c r="BL72" i="33" s="1"/>
  <c r="AU72" i="33" a="1"/>
  <c r="AU72" i="33" s="1"/>
  <c r="AK72" i="33" a="1"/>
  <c r="AK72" i="33" s="1"/>
  <c r="BP71" i="33" a="1"/>
  <c r="BP71" i="33" s="1"/>
  <c r="BG71" i="33" a="1"/>
  <c r="BG71" i="33" s="1"/>
  <c r="AO71" i="33" a="1"/>
  <c r="AO71" i="33" s="1"/>
  <c r="BS70" i="33" a="1"/>
  <c r="BS70" i="33" s="1"/>
  <c r="BJ70" i="33" a="1"/>
  <c r="BJ70" i="33" s="1"/>
  <c r="AS70" i="33" a="1"/>
  <c r="AS70" i="33" s="1"/>
  <c r="AI70" i="33" a="1"/>
  <c r="AI70" i="33" s="1"/>
  <c r="BN69" i="33" a="1"/>
  <c r="BN69" i="33" s="1"/>
  <c r="BE69" i="33" a="1"/>
  <c r="BE69" i="33" s="1"/>
  <c r="AM69" i="33" a="1"/>
  <c r="AM69" i="33" s="1"/>
  <c r="BQ68" i="33" a="1"/>
  <c r="BQ68" i="33" s="1"/>
  <c r="BH68" i="33" a="1"/>
  <c r="BH68" i="33" s="1"/>
  <c r="AQ68" i="33" a="1"/>
  <c r="AQ68" i="33" s="1"/>
  <c r="AG68" i="33" a="1"/>
  <c r="AG68" i="33" s="1"/>
  <c r="I68" i="33"/>
  <c r="BL67" i="33" a="1"/>
  <c r="BL67" i="33" s="1"/>
  <c r="BC67" i="33" a="1"/>
  <c r="BC67" i="33" s="1"/>
  <c r="AK67" i="33" a="1"/>
  <c r="AK67" i="33" s="1"/>
  <c r="AZ68" i="33" a="1"/>
  <c r="AZ68" i="33" s="1"/>
  <c r="AF69" i="33" a="1"/>
  <c r="AF69" i="33" s="1"/>
  <c r="AG71" i="33" a="1"/>
  <c r="AG71" i="33" s="1"/>
  <c r="BI71" i="33" a="1"/>
  <c r="BI71" i="33" s="1"/>
  <c r="AX74" i="33" a="1"/>
  <c r="AX74" i="33" s="1"/>
  <c r="AR75" i="33" a="1"/>
  <c r="AR75" i="33" s="1"/>
  <c r="M58" i="33"/>
  <c r="J58" i="33"/>
  <c r="AU67" i="33" a="1"/>
  <c r="AU67" i="33" s="1"/>
  <c r="AB68" i="33" a="1"/>
  <c r="AB68" i="33" s="1"/>
  <c r="BI68" i="33" a="1"/>
  <c r="BI68" i="33" s="1"/>
  <c r="AP69" i="33" a="1"/>
  <c r="AP69" i="33" s="1"/>
  <c r="BD70" i="33" a="1"/>
  <c r="BD70" i="33" s="1"/>
  <c r="AP71" i="33" a="1"/>
  <c r="AP71" i="33" s="1"/>
  <c r="AK73" i="33" a="1"/>
  <c r="AK73" i="33" s="1"/>
  <c r="AB74" i="33" a="1"/>
  <c r="AB74" i="33" s="1"/>
  <c r="BK74" i="33" a="1"/>
  <c r="BK74" i="33" s="1"/>
  <c r="BB75" i="33" a="1"/>
  <c r="BB75" i="33" s="1"/>
  <c r="AO76" i="33" a="1"/>
  <c r="AO76" i="33" s="1"/>
  <c r="AV67" i="33" a="1"/>
  <c r="AV67" i="33" s="1"/>
  <c r="AH68" i="33" a="1"/>
  <c r="AH68" i="33" s="1"/>
  <c r="BJ68" i="33" a="1"/>
  <c r="BJ68" i="33" s="1"/>
  <c r="AV69" i="33" a="1"/>
  <c r="AV69" i="33" s="1"/>
  <c r="AB70" i="33" a="1"/>
  <c r="AB70" i="33" s="1"/>
  <c r="AC72" i="33" a="1"/>
  <c r="AC72" i="33" s="1"/>
  <c r="BE72" i="33" a="1"/>
  <c r="BE72" i="33" s="1"/>
  <c r="BE75" i="33" a="1"/>
  <c r="BE75" i="33" s="1"/>
  <c r="AY76" i="33" a="1"/>
  <c r="AY76" i="33" s="1"/>
  <c r="AI68" i="33" a="1"/>
  <c r="AI68" i="33" s="1"/>
  <c r="BL68" i="33" a="1"/>
  <c r="BL68" i="33" s="1"/>
  <c r="AW69" i="33" a="1"/>
  <c r="AW69" i="33" s="1"/>
  <c r="AD70" i="33" a="1"/>
  <c r="AD70" i="33" s="1"/>
  <c r="BK70" i="33" a="1"/>
  <c r="BK70" i="33" s="1"/>
  <c r="AR71" i="33" a="1"/>
  <c r="AR71" i="33" s="1"/>
  <c r="BF72" i="33" a="1"/>
  <c r="BF72" i="33" s="1"/>
  <c r="AR73" i="33" a="1"/>
  <c r="AR73" i="33" s="1"/>
  <c r="BS74" i="33" a="1"/>
  <c r="BS74" i="33" s="1"/>
  <c r="BF75" i="33" a="1"/>
  <c r="BF75" i="33" s="1"/>
  <c r="J39" i="33"/>
  <c r="M49" i="33"/>
  <c r="BD67" i="33" a="1"/>
  <c r="BD67" i="33" s="1"/>
  <c r="AJ68" i="33" a="1"/>
  <c r="AJ68" i="33" s="1"/>
  <c r="BR68" i="33" a="1"/>
  <c r="BR68" i="33" s="1"/>
  <c r="AX69" i="33" a="1"/>
  <c r="AX69" i="33" s="1"/>
  <c r="AJ70" i="33" a="1"/>
  <c r="AJ70" i="33" s="1"/>
  <c r="BL70" i="33" a="1"/>
  <c r="BL70" i="33" s="1"/>
  <c r="AX71" i="33" a="1"/>
  <c r="AX71" i="33" s="1"/>
  <c r="AD72" i="33" a="1"/>
  <c r="AD72" i="33" s="1"/>
  <c r="AK74" i="33" a="1"/>
  <c r="AK74" i="33" s="1"/>
  <c r="AZ76" i="33" a="1"/>
  <c r="AZ76" i="33" s="1"/>
  <c r="M44" i="33"/>
  <c r="O44" i="33"/>
  <c r="O49" i="33"/>
  <c r="AK68" i="33" a="1"/>
  <c r="AK68" i="33" s="1"/>
  <c r="BS68" i="33" a="1"/>
  <c r="BS68" i="33" s="1"/>
  <c r="AK70" i="33" a="1"/>
  <c r="AK70" i="33" s="1"/>
  <c r="BN70" i="33" a="1"/>
  <c r="BN70" i="33" s="1"/>
  <c r="AY71" i="33" a="1"/>
  <c r="AY71" i="33" s="1"/>
  <c r="AF72" i="33" a="1"/>
  <c r="AF72" i="33" s="1"/>
  <c r="BM72" i="33" a="1"/>
  <c r="BM72" i="33" s="1"/>
  <c r="AT73" i="33" a="1"/>
  <c r="AT73" i="33" s="1"/>
  <c r="I75" i="33"/>
  <c r="BN75" i="33" a="1"/>
  <c r="BN75" i="33" s="1"/>
  <c r="BA76" i="33" a="1"/>
  <c r="BA76" i="33" s="1"/>
  <c r="M39" i="33"/>
  <c r="J44" i="33"/>
  <c r="O61" i="33"/>
  <c r="M61" i="33"/>
  <c r="J61" i="33"/>
  <c r="AC67" i="33" a="1"/>
  <c r="AC67" i="33" s="1"/>
  <c r="BE67" i="33" a="1"/>
  <c r="BE67" i="33" s="1"/>
  <c r="BF69" i="33" a="1"/>
  <c r="BF69" i="33" s="1"/>
  <c r="AL70" i="33" a="1"/>
  <c r="AL70" i="33" s="1"/>
  <c r="F71" i="33"/>
  <c r="AZ71" i="33" a="1"/>
  <c r="AZ71" i="33" s="1"/>
  <c r="AL72" i="33" a="1"/>
  <c r="AL72" i="33" s="1"/>
  <c r="BN72" i="33" a="1"/>
  <c r="BN72" i="33" s="1"/>
  <c r="BA73" i="33" a="1"/>
  <c r="BA73" i="33" s="1"/>
  <c r="AL74" i="33" a="1"/>
  <c r="AL74" i="33" s="1"/>
  <c r="AF75" i="33" a="1"/>
  <c r="AF75" i="33" s="1"/>
  <c r="O54" i="33"/>
  <c r="M54" i="33"/>
  <c r="J54" i="33"/>
  <c r="M56" i="33"/>
  <c r="M59" i="33"/>
  <c r="J59" i="33"/>
  <c r="O59" i="33"/>
  <c r="BF67" i="33" a="1"/>
  <c r="BF67" i="33" s="1"/>
  <c r="AR68" i="33" a="1"/>
  <c r="AR68" i="33" s="1"/>
  <c r="I69" i="33"/>
  <c r="AM70" i="33" a="1"/>
  <c r="AM70" i="33" s="1"/>
  <c r="Y71" i="33" a="1"/>
  <c r="Y71" i="33" s="1"/>
  <c r="AM72" i="33" a="1"/>
  <c r="AM72" i="33" s="1"/>
  <c r="BP72" i="33" a="1"/>
  <c r="BP72" i="33" s="1"/>
  <c r="BC73" i="33" a="1"/>
  <c r="BC73" i="33" s="1"/>
  <c r="AM74" i="33" a="1"/>
  <c r="AM74" i="33" s="1"/>
  <c r="BI76" i="33" a="1"/>
  <c r="BI76" i="33" s="1"/>
  <c r="O56" i="33"/>
  <c r="AD67" i="33" a="1"/>
  <c r="AD67" i="33" s="1"/>
  <c r="AE69" i="33" a="1"/>
  <c r="AE69" i="33" s="1"/>
  <c r="BG69" i="33" a="1"/>
  <c r="BG69" i="33" s="1"/>
  <c r="BH71" i="33" a="1"/>
  <c r="BH71" i="33" s="1"/>
  <c r="AN72" i="33" a="1"/>
  <c r="AN72" i="33" s="1"/>
  <c r="Z73" i="33" a="1"/>
  <c r="Z73" i="33" s="1"/>
  <c r="AW74" i="33" a="1"/>
  <c r="AW74" i="33" s="1"/>
  <c r="AG75" i="33" a="1"/>
  <c r="AG75" i="33" s="1"/>
  <c r="AA76" i="33" a="1"/>
  <c r="AA76" i="33" s="1"/>
  <c r="AE67" i="33" a="1"/>
  <c r="AE67" i="33" s="1"/>
  <c r="BM67" i="33" a="1"/>
  <c r="BM67" i="33" s="1"/>
  <c r="BH69" i="33" a="1"/>
  <c r="BH69" i="33" s="1"/>
  <c r="AT70" i="33" a="1"/>
  <c r="AT70" i="33" s="1"/>
  <c r="AO72" i="33" a="1"/>
  <c r="AO72" i="33" s="1"/>
  <c r="AA73" i="33" a="1"/>
  <c r="AA73" i="33" s="1"/>
  <c r="AD76" i="33" a="1"/>
  <c r="AD76" i="33" s="1"/>
  <c r="BM76" i="33" a="1"/>
  <c r="BM76" i="33" s="1"/>
  <c r="O66" i="31"/>
  <c r="M66" i="31"/>
  <c r="O64" i="31"/>
  <c r="M64" i="31"/>
  <c r="J64" i="31"/>
  <c r="M69" i="31"/>
  <c r="J69" i="31"/>
  <c r="O69" i="31"/>
  <c r="J70" i="31"/>
  <c r="O70" i="31"/>
  <c r="M70" i="31"/>
  <c r="M68" i="31"/>
  <c r="J68" i="31"/>
  <c r="O68" i="31"/>
  <c r="O65" i="31"/>
  <c r="J65" i="31"/>
  <c r="M65" i="31"/>
  <c r="O71" i="31"/>
  <c r="M71" i="31"/>
  <c r="J71" i="31"/>
  <c r="O67" i="31"/>
  <c r="M67" i="31"/>
  <c r="J67" i="31"/>
  <c r="O72" i="31"/>
  <c r="M72" i="31"/>
  <c r="J72" i="31"/>
  <c r="F81" i="31"/>
  <c r="J66" i="31"/>
  <c r="I75" i="31"/>
  <c r="F78" i="31"/>
  <c r="F84" i="31"/>
  <c r="S71" i="31"/>
  <c r="S64" i="31"/>
  <c r="S72" i="31"/>
  <c r="F83" i="31"/>
  <c r="M43" i="31"/>
  <c r="O43" i="31"/>
  <c r="O46" i="31"/>
  <c r="P46" i="31" s="1"/>
  <c r="I83" i="31"/>
  <c r="M24" i="31"/>
  <c r="J35" i="31"/>
  <c r="M35" i="31"/>
  <c r="O35" i="31"/>
  <c r="M30" i="31"/>
  <c r="J30" i="31"/>
  <c r="O34" i="31"/>
  <c r="J34" i="31"/>
  <c r="M34" i="31"/>
  <c r="J56" i="31"/>
  <c r="O56" i="31"/>
  <c r="M56" i="31"/>
  <c r="O31" i="31"/>
  <c r="M31" i="31"/>
  <c r="O27" i="31"/>
  <c r="M27" i="31"/>
  <c r="J38" i="31"/>
  <c r="O38" i="31"/>
  <c r="J54" i="31"/>
  <c r="O54" i="31"/>
  <c r="M54" i="31"/>
  <c r="O44" i="31"/>
  <c r="M44" i="31"/>
  <c r="J39" i="31"/>
  <c r="J43" i="31"/>
  <c r="J46" i="31"/>
  <c r="O39" i="31"/>
  <c r="P39" i="31" s="1"/>
  <c r="M62" i="31"/>
  <c r="P62" i="31" s="1"/>
  <c r="M17" i="31"/>
  <c r="O17" i="31"/>
  <c r="J17" i="31"/>
  <c r="O32" i="31"/>
  <c r="M32" i="31"/>
  <c r="J32" i="31"/>
  <c r="O50" i="31"/>
  <c r="M50" i="31"/>
  <c r="J50" i="31"/>
  <c r="M14" i="31"/>
  <c r="O14" i="31"/>
  <c r="J14" i="31"/>
  <c r="M23" i="31"/>
  <c r="O23" i="31"/>
  <c r="J23" i="31"/>
  <c r="O53" i="31"/>
  <c r="M53" i="31"/>
  <c r="J53" i="31"/>
  <c r="O42" i="31"/>
  <c r="J42" i="31"/>
  <c r="M42" i="31"/>
  <c r="J29" i="31"/>
  <c r="M29" i="31"/>
  <c r="O29" i="31"/>
  <c r="S47" i="31"/>
  <c r="M7" i="31"/>
  <c r="M12" i="31"/>
  <c r="O12" i="31"/>
  <c r="I80" i="31"/>
  <c r="O21" i="31"/>
  <c r="I82" i="31"/>
  <c r="J21" i="31"/>
  <c r="M21" i="31"/>
  <c r="O37" i="31"/>
  <c r="M37" i="31"/>
  <c r="J37" i="31"/>
  <c r="S62" i="31"/>
  <c r="S50" i="31"/>
  <c r="S35" i="31"/>
  <c r="S15" i="31"/>
  <c r="S39" i="31"/>
  <c r="S55" i="31"/>
  <c r="S52" i="31"/>
  <c r="S31" i="31"/>
  <c r="Z4" i="31"/>
  <c r="Z2" i="31"/>
  <c r="S49" i="31"/>
  <c r="S43" i="31"/>
  <c r="S29" i="31"/>
  <c r="O22" i="31"/>
  <c r="M22" i="31"/>
  <c r="O40" i="31"/>
  <c r="M40" i="31"/>
  <c r="J40" i="31"/>
  <c r="J28" i="31"/>
  <c r="M28" i="31"/>
  <c r="O28" i="31"/>
  <c r="O52" i="31"/>
  <c r="J52" i="31"/>
  <c r="M52" i="31"/>
  <c r="J7" i="31"/>
  <c r="O55" i="31"/>
  <c r="M55" i="31"/>
  <c r="J55" i="31"/>
  <c r="M58" i="31"/>
  <c r="O58" i="31"/>
  <c r="J58" i="31"/>
  <c r="O7" i="31"/>
  <c r="J12" i="31"/>
  <c r="AA4" i="31"/>
  <c r="AA2" i="31"/>
  <c r="M6" i="31"/>
  <c r="O6" i="31"/>
  <c r="J6" i="31"/>
  <c r="O16" i="31"/>
  <c r="J16" i="31"/>
  <c r="M16" i="31"/>
  <c r="AB3" i="31"/>
  <c r="S65" i="31" s="1"/>
  <c r="J19" i="31"/>
  <c r="O19" i="31"/>
  <c r="M19" i="31"/>
  <c r="O48" i="31"/>
  <c r="M48" i="31"/>
  <c r="M10" i="31"/>
  <c r="O10" i="31"/>
  <c r="J25" i="31"/>
  <c r="I84" i="31"/>
  <c r="M25" i="31"/>
  <c r="O25" i="31"/>
  <c r="J48" i="31"/>
  <c r="O8" i="31"/>
  <c r="M8" i="31"/>
  <c r="M11" i="31"/>
  <c r="J11" i="31"/>
  <c r="J60" i="31"/>
  <c r="J8" i="31"/>
  <c r="O41" i="31"/>
  <c r="J41" i="31"/>
  <c r="O51" i="31"/>
  <c r="M60" i="31"/>
  <c r="J20" i="31"/>
  <c r="M41" i="31"/>
  <c r="O47" i="31"/>
  <c r="J47" i="31"/>
  <c r="M47" i="31"/>
  <c r="M18" i="31"/>
  <c r="J18" i="31"/>
  <c r="O24" i="31"/>
  <c r="J24" i="31"/>
  <c r="I76" i="31"/>
  <c r="M33" i="31"/>
  <c r="J33" i="31"/>
  <c r="J51" i="31"/>
  <c r="O13" i="31"/>
  <c r="M13" i="31"/>
  <c r="J13" i="31"/>
  <c r="O11" i="31"/>
  <c r="O33" i="31"/>
  <c r="O20" i="31"/>
  <c r="P20" i="31" s="1"/>
  <c r="M45" i="31"/>
  <c r="O45" i="31"/>
  <c r="M61" i="31"/>
  <c r="O61" i="31"/>
  <c r="J61" i="31"/>
  <c r="J59" i="31"/>
  <c r="M59" i="31"/>
  <c r="M9" i="31"/>
  <c r="I77" i="31"/>
  <c r="J57" i="31"/>
  <c r="O57" i="31"/>
  <c r="M57" i="31"/>
  <c r="O59" i="31"/>
  <c r="J27" i="31"/>
  <c r="O9" i="31"/>
  <c r="O30" i="31"/>
  <c r="M38" i="31"/>
  <c r="O49" i="31"/>
  <c r="M49" i="31"/>
  <c r="J49" i="31"/>
  <c r="J31" i="31"/>
  <c r="J44" i="31"/>
  <c r="J62" i="31"/>
  <c r="I79" i="31"/>
  <c r="F79" i="31"/>
  <c r="I78" i="31"/>
  <c r="F80" i="31"/>
  <c r="F77" i="31"/>
  <c r="F76" i="31"/>
  <c r="F75" i="31"/>
  <c r="D74" i="31"/>
  <c r="F82" i="31"/>
  <c r="O63" i="31"/>
  <c r="P63" i="31" s="1"/>
  <c r="J63" i="31"/>
  <c r="O18" i="24"/>
  <c r="J18" i="24"/>
  <c r="M18" i="24"/>
  <c r="K22" i="24"/>
  <c r="K23" i="24"/>
  <c r="K24" i="24"/>
  <c r="K26" i="24"/>
  <c r="K25" i="24"/>
  <c r="K27" i="24"/>
  <c r="K28" i="24"/>
  <c r="K29" i="24"/>
  <c r="K30" i="24"/>
  <c r="K31" i="24"/>
  <c r="K32" i="24"/>
  <c r="K33" i="24"/>
  <c r="K34" i="24"/>
  <c r="K36" i="24"/>
  <c r="K35" i="24"/>
  <c r="K37" i="24"/>
  <c r="K38" i="24"/>
  <c r="K39" i="24"/>
  <c r="K40" i="24"/>
  <c r="K41" i="24"/>
  <c r="K42" i="24"/>
  <c r="K43" i="24"/>
  <c r="K44" i="24"/>
  <c r="K46" i="24"/>
  <c r="K47" i="24"/>
  <c r="K48" i="24"/>
  <c r="K49" i="24"/>
  <c r="K50" i="24"/>
  <c r="K51" i="24"/>
  <c r="K52" i="24"/>
  <c r="K53" i="24"/>
  <c r="K54" i="24"/>
  <c r="K55" i="24"/>
  <c r="K56" i="24"/>
  <c r="K57" i="24"/>
  <c r="K58" i="24"/>
  <c r="K59" i="24"/>
  <c r="K60" i="24"/>
  <c r="K61" i="24"/>
  <c r="K62" i="24"/>
  <c r="K63" i="24"/>
  <c r="K64" i="24"/>
  <c r="K12" i="24"/>
  <c r="P50" i="33" l="1"/>
  <c r="P43" i="33"/>
  <c r="P21" i="33"/>
  <c r="P48" i="33"/>
  <c r="P18" i="33"/>
  <c r="T10" i="33"/>
  <c r="V10" i="33"/>
  <c r="U10" i="33"/>
  <c r="U22" i="33"/>
  <c r="T22" i="33"/>
  <c r="V22" i="33"/>
  <c r="U32" i="33"/>
  <c r="T32" i="33"/>
  <c r="V32" i="33"/>
  <c r="U39" i="33"/>
  <c r="T39" i="33"/>
  <c r="V39" i="33"/>
  <c r="P52" i="33"/>
  <c r="P6" i="33"/>
  <c r="P23" i="33"/>
  <c r="P53" i="33"/>
  <c r="P33" i="33"/>
  <c r="P30" i="33"/>
  <c r="U7" i="33"/>
  <c r="W7" i="33" s="1"/>
  <c r="X7" i="33" s="1"/>
  <c r="V7" i="33"/>
  <c r="T7" i="33"/>
  <c r="U37" i="33"/>
  <c r="V37" i="33"/>
  <c r="T37" i="33"/>
  <c r="V53" i="33"/>
  <c r="U53" i="33"/>
  <c r="W53" i="33" s="1"/>
  <c r="X53" i="33" s="1"/>
  <c r="T53" i="33"/>
  <c r="T33" i="33"/>
  <c r="U33" i="33"/>
  <c r="W33" i="33" s="1"/>
  <c r="X33" i="33" s="1"/>
  <c r="V33" i="33"/>
  <c r="V64" i="33"/>
  <c r="U64" i="33"/>
  <c r="W64" i="33" s="1"/>
  <c r="X64" i="33" s="1"/>
  <c r="T64" i="33"/>
  <c r="P35" i="33"/>
  <c r="P9" i="33"/>
  <c r="W9" i="33"/>
  <c r="X9" i="33" s="1"/>
  <c r="P31" i="33"/>
  <c r="P29" i="33"/>
  <c r="P37" i="33"/>
  <c r="V60" i="33"/>
  <c r="U60" i="33"/>
  <c r="W60" i="33" s="1"/>
  <c r="X60" i="33" s="1"/>
  <c r="T60" i="33"/>
  <c r="U35" i="33"/>
  <c r="W35" i="33" s="1"/>
  <c r="X35" i="33" s="1"/>
  <c r="T35" i="33"/>
  <c r="V35" i="33"/>
  <c r="U51" i="33"/>
  <c r="W51" i="33" s="1"/>
  <c r="X51" i="33" s="1"/>
  <c r="T51" i="33"/>
  <c r="V51" i="33"/>
  <c r="T63" i="33"/>
  <c r="V63" i="33"/>
  <c r="U63" i="33"/>
  <c r="W63" i="33" s="1"/>
  <c r="X63" i="33" s="1"/>
  <c r="P47" i="33"/>
  <c r="P42" i="33"/>
  <c r="V9" i="33"/>
  <c r="T9" i="33"/>
  <c r="U9" i="33"/>
  <c r="V36" i="33"/>
  <c r="T36" i="33"/>
  <c r="S5" i="33"/>
  <c r="T6" i="33"/>
  <c r="V6" i="33"/>
  <c r="U6" i="33"/>
  <c r="T41" i="33"/>
  <c r="U41" i="33"/>
  <c r="V41" i="33"/>
  <c r="P10" i="33"/>
  <c r="P11" i="33"/>
  <c r="P24" i="33"/>
  <c r="P16" i="33"/>
  <c r="P38" i="33"/>
  <c r="V18" i="33"/>
  <c r="T18" i="33"/>
  <c r="U18" i="33"/>
  <c r="V14" i="33"/>
  <c r="T14" i="33"/>
  <c r="U14" i="33"/>
  <c r="W14" i="33" s="1"/>
  <c r="V55" i="33"/>
  <c r="U55" i="33"/>
  <c r="T55" i="33"/>
  <c r="T34" i="33"/>
  <c r="V34" i="33"/>
  <c r="U34" i="33"/>
  <c r="T52" i="33"/>
  <c r="V52" i="33"/>
  <c r="U52" i="33"/>
  <c r="T8" i="33"/>
  <c r="V8" i="33"/>
  <c r="U8" i="33"/>
  <c r="U12" i="33"/>
  <c r="W12" i="33" s="1"/>
  <c r="X12" i="33" s="1"/>
  <c r="T12" i="33"/>
  <c r="V12" i="33"/>
  <c r="P64" i="33"/>
  <c r="U16" i="33"/>
  <c r="W16" i="33" s="1"/>
  <c r="T16" i="33"/>
  <c r="V16" i="33"/>
  <c r="T38" i="33"/>
  <c r="V38" i="33"/>
  <c r="U38" i="33"/>
  <c r="W38" i="33" s="1"/>
  <c r="V24" i="33"/>
  <c r="U24" i="33"/>
  <c r="T24" i="33"/>
  <c r="V40" i="33"/>
  <c r="U40" i="33"/>
  <c r="W40" i="33" s="1"/>
  <c r="X40" i="33" s="1"/>
  <c r="T40" i="33"/>
  <c r="V62" i="33"/>
  <c r="T62" i="33"/>
  <c r="U62" i="33"/>
  <c r="P25" i="33"/>
  <c r="V49" i="33"/>
  <c r="U49" i="33"/>
  <c r="W49" i="33" s="1"/>
  <c r="X49" i="33" s="1"/>
  <c r="T49" i="33"/>
  <c r="P56" i="33"/>
  <c r="V23" i="33"/>
  <c r="T23" i="33"/>
  <c r="U23" i="33"/>
  <c r="W23" i="33" s="1"/>
  <c r="X23" i="33" s="1"/>
  <c r="P41" i="33"/>
  <c r="U11" i="33"/>
  <c r="V11" i="33"/>
  <c r="T11" i="33"/>
  <c r="U43" i="33"/>
  <c r="V43" i="33"/>
  <c r="T43" i="33"/>
  <c r="V26" i="33"/>
  <c r="T26" i="33"/>
  <c r="V42" i="33"/>
  <c r="U42" i="33"/>
  <c r="W42" i="33" s="1"/>
  <c r="X42" i="33" s="1"/>
  <c r="T42" i="33"/>
  <c r="P27" i="33"/>
  <c r="P59" i="33"/>
  <c r="V61" i="33"/>
  <c r="T61" i="33"/>
  <c r="U61" i="33"/>
  <c r="P58" i="33"/>
  <c r="P17" i="33"/>
  <c r="P34" i="33"/>
  <c r="P55" i="33"/>
  <c r="P14" i="33"/>
  <c r="P22" i="33"/>
  <c r="P7" i="33"/>
  <c r="V15" i="33"/>
  <c r="T15" i="33"/>
  <c r="V27" i="33"/>
  <c r="U27" i="33"/>
  <c r="W27" i="33" s="1"/>
  <c r="T27" i="33"/>
  <c r="U44" i="33"/>
  <c r="W44" i="33" s="1"/>
  <c r="X44" i="33" s="1"/>
  <c r="V44" i="33"/>
  <c r="T44" i="33"/>
  <c r="P51" i="33"/>
  <c r="P13" i="33"/>
  <c r="P12" i="33"/>
  <c r="P63" i="33"/>
  <c r="P54" i="33"/>
  <c r="P49" i="33"/>
  <c r="V54" i="33"/>
  <c r="T54" i="33"/>
  <c r="U54" i="33"/>
  <c r="V28" i="33"/>
  <c r="U28" i="33"/>
  <c r="T28" i="33"/>
  <c r="V58" i="33"/>
  <c r="U58" i="33"/>
  <c r="W58" i="33" s="1"/>
  <c r="X58" i="33" s="1"/>
  <c r="T58" i="33"/>
  <c r="V13" i="33"/>
  <c r="T13" i="33"/>
  <c r="U13" i="33"/>
  <c r="T45" i="33"/>
  <c r="V45" i="33"/>
  <c r="P62" i="33"/>
  <c r="P60" i="33"/>
  <c r="P46" i="33"/>
  <c r="P40" i="33"/>
  <c r="V17" i="33"/>
  <c r="T17" i="33"/>
  <c r="U17" i="33"/>
  <c r="V46" i="33"/>
  <c r="T46" i="33"/>
  <c r="U46" i="33"/>
  <c r="W46" i="33" s="1"/>
  <c r="X46" i="33" s="1"/>
  <c r="V29" i="33"/>
  <c r="U29" i="33"/>
  <c r="W29" i="33" s="1"/>
  <c r="X29" i="33" s="1"/>
  <c r="T29" i="33"/>
  <c r="V48" i="33"/>
  <c r="U48" i="33"/>
  <c r="T48" i="33"/>
  <c r="P20" i="33"/>
  <c r="P8" i="33"/>
  <c r="V50" i="33"/>
  <c r="U50" i="33"/>
  <c r="T50" i="33"/>
  <c r="P61" i="33"/>
  <c r="P32" i="33"/>
  <c r="V25" i="33"/>
  <c r="U25" i="33"/>
  <c r="T25" i="33"/>
  <c r="V19" i="33"/>
  <c r="U19" i="33"/>
  <c r="T19" i="33"/>
  <c r="V47" i="33"/>
  <c r="T47" i="33"/>
  <c r="U47" i="33"/>
  <c r="V57" i="33"/>
  <c r="U57" i="33"/>
  <c r="T57" i="33"/>
  <c r="V59" i="33"/>
  <c r="T59" i="33"/>
  <c r="U59" i="33"/>
  <c r="P39" i="33"/>
  <c r="P44" i="33"/>
  <c r="V20" i="33"/>
  <c r="U20" i="33"/>
  <c r="T20" i="33"/>
  <c r="V30" i="33"/>
  <c r="U30" i="33"/>
  <c r="T30" i="33"/>
  <c r="T21" i="33"/>
  <c r="V21" i="33"/>
  <c r="U21" i="33"/>
  <c r="T31" i="33"/>
  <c r="V31" i="33"/>
  <c r="U31" i="33"/>
  <c r="W31" i="33" s="1"/>
  <c r="X31" i="33" s="1"/>
  <c r="V56" i="33"/>
  <c r="U56" i="33"/>
  <c r="T56" i="33"/>
  <c r="AB4" i="33"/>
  <c r="AC3" i="33"/>
  <c r="AB2" i="33"/>
  <c r="P54" i="31"/>
  <c r="P43" i="31"/>
  <c r="P44" i="31"/>
  <c r="P34" i="31"/>
  <c r="P66" i="31"/>
  <c r="U65" i="31"/>
  <c r="W65" i="31" s="1"/>
  <c r="T65" i="31"/>
  <c r="V65" i="31"/>
  <c r="S68" i="31"/>
  <c r="P70" i="31"/>
  <c r="P67" i="31"/>
  <c r="P30" i="31"/>
  <c r="P24" i="31"/>
  <c r="S32" i="31"/>
  <c r="T32" i="31" s="1"/>
  <c r="S70" i="31"/>
  <c r="S66" i="31"/>
  <c r="S61" i="31"/>
  <c r="U61" i="31" s="1"/>
  <c r="W61" i="31" s="1"/>
  <c r="X61" i="31" s="1"/>
  <c r="P56" i="31"/>
  <c r="S69" i="31"/>
  <c r="P71" i="31"/>
  <c r="P69" i="31"/>
  <c r="V72" i="31"/>
  <c r="U72" i="31"/>
  <c r="T72" i="31"/>
  <c r="P72" i="31"/>
  <c r="P68" i="31"/>
  <c r="P65" i="31"/>
  <c r="P64" i="31"/>
  <c r="V64" i="31"/>
  <c r="T64" i="31"/>
  <c r="U64" i="31"/>
  <c r="W64" i="31" s="1"/>
  <c r="V71" i="31"/>
  <c r="U71" i="31"/>
  <c r="T71" i="31"/>
  <c r="S67" i="31"/>
  <c r="P27" i="31"/>
  <c r="P35" i="31"/>
  <c r="P31" i="31"/>
  <c r="P12" i="31"/>
  <c r="U31" i="31"/>
  <c r="V31" i="31"/>
  <c r="T31" i="31"/>
  <c r="U52" i="31"/>
  <c r="W52" i="31" s="1"/>
  <c r="X52" i="31" s="1"/>
  <c r="T52" i="31"/>
  <c r="V52" i="31"/>
  <c r="P23" i="31"/>
  <c r="U39" i="31"/>
  <c r="V39" i="31"/>
  <c r="T39" i="31"/>
  <c r="P28" i="31"/>
  <c r="T15" i="31"/>
  <c r="V15" i="31"/>
  <c r="P61" i="31"/>
  <c r="P33" i="31"/>
  <c r="P25" i="31"/>
  <c r="U49" i="31"/>
  <c r="W49" i="31" s="1"/>
  <c r="X49" i="31" s="1"/>
  <c r="V49" i="31"/>
  <c r="T49" i="31"/>
  <c r="T55" i="31"/>
  <c r="V55" i="31"/>
  <c r="U55" i="31"/>
  <c r="W55" i="31" s="1"/>
  <c r="T62" i="31"/>
  <c r="V62" i="31"/>
  <c r="U62" i="31"/>
  <c r="P45" i="31"/>
  <c r="P16" i="31"/>
  <c r="P58" i="31"/>
  <c r="P40" i="31"/>
  <c r="S10" i="31"/>
  <c r="S60" i="31"/>
  <c r="P14" i="31"/>
  <c r="S23" i="31"/>
  <c r="S6" i="31"/>
  <c r="S13" i="31"/>
  <c r="P57" i="31"/>
  <c r="P55" i="31"/>
  <c r="S37" i="31"/>
  <c r="S19" i="31"/>
  <c r="P50" i="31"/>
  <c r="P10" i="31"/>
  <c r="S8" i="31"/>
  <c r="P22" i="31"/>
  <c r="S40" i="31"/>
  <c r="P18" i="31"/>
  <c r="S28" i="31"/>
  <c r="S57" i="31"/>
  <c r="P47" i="31"/>
  <c r="S18" i="31"/>
  <c r="S34" i="31"/>
  <c r="S46" i="31"/>
  <c r="S58" i="31"/>
  <c r="P32" i="31"/>
  <c r="F74" i="31"/>
  <c r="I74" i="31"/>
  <c r="P49" i="31"/>
  <c r="P11" i="31"/>
  <c r="P6" i="31"/>
  <c r="S21" i="31"/>
  <c r="S14" i="31"/>
  <c r="S36" i="31"/>
  <c r="S11" i="31"/>
  <c r="P9" i="31"/>
  <c r="P8" i="31"/>
  <c r="P48" i="31"/>
  <c r="P52" i="31"/>
  <c r="S17" i="31"/>
  <c r="S45" i="31"/>
  <c r="S33" i="31"/>
  <c r="S22" i="31"/>
  <c r="P53" i="31"/>
  <c r="V29" i="31"/>
  <c r="U29" i="31"/>
  <c r="W29" i="31" s="1"/>
  <c r="X29" i="31" s="1"/>
  <c r="T29" i="31"/>
  <c r="V43" i="31"/>
  <c r="T43" i="31"/>
  <c r="U43" i="31"/>
  <c r="P7" i="31"/>
  <c r="T35" i="31"/>
  <c r="U35" i="31"/>
  <c r="V35" i="31"/>
  <c r="S44" i="31"/>
  <c r="S59" i="31"/>
  <c r="S51" i="31"/>
  <c r="S25" i="31"/>
  <c r="P29" i="31"/>
  <c r="S24" i="31"/>
  <c r="P37" i="31"/>
  <c r="S63" i="31"/>
  <c r="P38" i="31"/>
  <c r="P59" i="31"/>
  <c r="P13" i="31"/>
  <c r="P41" i="31"/>
  <c r="S53" i="31"/>
  <c r="S48" i="31"/>
  <c r="S41" i="31"/>
  <c r="P60" i="31"/>
  <c r="P19" i="31"/>
  <c r="V50" i="31"/>
  <c r="U50" i="31"/>
  <c r="T50" i="31"/>
  <c r="U47" i="31"/>
  <c r="W47" i="31" s="1"/>
  <c r="V47" i="31"/>
  <c r="T47" i="31"/>
  <c r="AC3" i="31"/>
  <c r="AB2" i="31"/>
  <c r="AB4" i="31"/>
  <c r="S7" i="31"/>
  <c r="S26" i="31"/>
  <c r="S20" i="31"/>
  <c r="S38" i="31"/>
  <c r="S30" i="31"/>
  <c r="S12" i="31"/>
  <c r="S27" i="31"/>
  <c r="P42" i="31"/>
  <c r="S56" i="31"/>
  <c r="P21" i="31"/>
  <c r="P51" i="31"/>
  <c r="S9" i="31"/>
  <c r="S16" i="31"/>
  <c r="S54" i="31"/>
  <c r="S42" i="31"/>
  <c r="P17" i="31"/>
  <c r="P18" i="24"/>
  <c r="D64" i="30" a="1"/>
  <c r="BH72" i="30" s="1" a="1"/>
  <c r="BH72" i="30" s="1"/>
  <c r="S62" i="30"/>
  <c r="T62" i="30" s="1"/>
  <c r="K62" i="30"/>
  <c r="Q62" i="30" s="1"/>
  <c r="G62" i="30" a="1"/>
  <c r="G62" i="30" s="1"/>
  <c r="I62" i="30" s="1"/>
  <c r="S61" i="30"/>
  <c r="V61" i="30" s="1"/>
  <c r="K61" i="30"/>
  <c r="Q61" i="30" s="1"/>
  <c r="G61" i="30" a="1"/>
  <c r="G61" i="30" s="1"/>
  <c r="I61" i="30" s="1"/>
  <c r="M61" i="30" s="1"/>
  <c r="S60" i="30"/>
  <c r="V60" i="30" s="1"/>
  <c r="Q60" i="30"/>
  <c r="G60" i="30" a="1"/>
  <c r="G60" i="30" s="1"/>
  <c r="I60" i="30" s="1"/>
  <c r="S59" i="30"/>
  <c r="K59" i="30"/>
  <c r="Q59" i="30" s="1"/>
  <c r="G59" i="30" a="1"/>
  <c r="G59" i="30" s="1"/>
  <c r="I59" i="30" s="1"/>
  <c r="S58" i="30"/>
  <c r="T58" i="30" s="1"/>
  <c r="K58" i="30"/>
  <c r="G58" i="30" a="1"/>
  <c r="G58" i="30" s="1"/>
  <c r="I58" i="30" s="1"/>
  <c r="S57" i="30"/>
  <c r="V57" i="30" s="1"/>
  <c r="Q57" i="30"/>
  <c r="K57" i="30"/>
  <c r="G57" i="30" a="1"/>
  <c r="G57" i="30" s="1"/>
  <c r="I57" i="30" s="1"/>
  <c r="S56" i="30"/>
  <c r="K56" i="30"/>
  <c r="Q56" i="30" s="1"/>
  <c r="G56" i="30" a="1"/>
  <c r="G56" i="30" s="1"/>
  <c r="I56" i="30" s="1"/>
  <c r="S55" i="30"/>
  <c r="K55" i="30"/>
  <c r="Q55" i="30" s="1"/>
  <c r="G55" i="30" a="1"/>
  <c r="G55" i="30" s="1"/>
  <c r="I55" i="30" s="1"/>
  <c r="O55" i="30" s="1"/>
  <c r="S54" i="30"/>
  <c r="T54" i="30" s="1"/>
  <c r="K54" i="30"/>
  <c r="G54" i="30" a="1"/>
  <c r="G54" i="30" s="1"/>
  <c r="I54" i="30" s="1"/>
  <c r="S53" i="30"/>
  <c r="V53" i="30" s="1"/>
  <c r="K53" i="30"/>
  <c r="Q53" i="30" s="1"/>
  <c r="G53" i="30" a="1"/>
  <c r="G53" i="30" s="1"/>
  <c r="I53" i="30" s="1"/>
  <c r="S52" i="30"/>
  <c r="K52" i="30"/>
  <c r="Q52" i="30" s="1"/>
  <c r="G52" i="30" a="1"/>
  <c r="G52" i="30" s="1"/>
  <c r="I52" i="30" s="1"/>
  <c r="S51" i="30"/>
  <c r="T51" i="30" s="1"/>
  <c r="Q51" i="30"/>
  <c r="G51" i="30" a="1"/>
  <c r="G51" i="30" s="1"/>
  <c r="I51" i="30" s="1"/>
  <c r="O51" i="30" s="1"/>
  <c r="S50" i="30"/>
  <c r="K50" i="30"/>
  <c r="Q50" i="30" s="1"/>
  <c r="G50" i="30" a="1"/>
  <c r="G50" i="30" s="1"/>
  <c r="I50" i="30" s="1"/>
  <c r="S49" i="30"/>
  <c r="T49" i="30" s="1"/>
  <c r="Q49" i="30"/>
  <c r="K49" i="30"/>
  <c r="G49" i="30" a="1"/>
  <c r="G49" i="30" s="1"/>
  <c r="I49" i="30" s="1"/>
  <c r="S48" i="30"/>
  <c r="Q48" i="30"/>
  <c r="K48" i="30"/>
  <c r="G48" i="30" a="1"/>
  <c r="G48" i="30" s="1"/>
  <c r="I48" i="30" s="1"/>
  <c r="J48" i="30" s="1"/>
  <c r="S47" i="30"/>
  <c r="Q47" i="30"/>
  <c r="K47" i="30"/>
  <c r="G47" i="30" a="1"/>
  <c r="G47" i="30" s="1"/>
  <c r="I47" i="30" s="1"/>
  <c r="S46" i="30"/>
  <c r="K46" i="30"/>
  <c r="Q46" i="30" s="1"/>
  <c r="G46" i="30" a="1"/>
  <c r="G46" i="30" s="1"/>
  <c r="I46" i="30" s="1"/>
  <c r="J46" i="30" s="1"/>
  <c r="S45" i="30"/>
  <c r="V45" i="30" s="1"/>
  <c r="Q45" i="30"/>
  <c r="K45" i="30"/>
  <c r="G45" i="30" a="1"/>
  <c r="G45" i="30" s="1"/>
  <c r="I45" i="30" s="1"/>
  <c r="S44" i="30"/>
  <c r="Q44" i="30"/>
  <c r="K44" i="30"/>
  <c r="G44" i="30" a="1"/>
  <c r="G44" i="30" s="1"/>
  <c r="I44" i="30" s="1"/>
  <c r="S43" i="30"/>
  <c r="Q43" i="30"/>
  <c r="K43" i="30"/>
  <c r="G43" i="30" a="1"/>
  <c r="G43" i="30" s="1"/>
  <c r="I43" i="30" s="1"/>
  <c r="S42" i="30"/>
  <c r="T42" i="30" s="1"/>
  <c r="Q42" i="30"/>
  <c r="G42" i="30" a="1"/>
  <c r="G42" i="30" s="1"/>
  <c r="I42" i="30" s="1"/>
  <c r="S41" i="30"/>
  <c r="K41" i="30"/>
  <c r="G41" i="30" a="1"/>
  <c r="G41" i="30" s="1"/>
  <c r="I41" i="30" s="1"/>
  <c r="M41" i="30" s="1"/>
  <c r="S40" i="30"/>
  <c r="Q40" i="30"/>
  <c r="K40" i="30"/>
  <c r="G40" i="30" a="1"/>
  <c r="G40" i="30" s="1"/>
  <c r="I40" i="30" s="1"/>
  <c r="S39" i="30"/>
  <c r="T39" i="30" s="1"/>
  <c r="Q39" i="30"/>
  <c r="K39" i="30"/>
  <c r="G39" i="30" a="1"/>
  <c r="G39" i="30" s="1"/>
  <c r="I39" i="30" s="1"/>
  <c r="S38" i="30"/>
  <c r="K38" i="30"/>
  <c r="Q38" i="30" s="1"/>
  <c r="G38" i="30" a="1"/>
  <c r="G38" i="30" s="1"/>
  <c r="I38" i="30" s="1"/>
  <c r="S37" i="30"/>
  <c r="T37" i="30" s="1"/>
  <c r="K37" i="30"/>
  <c r="Q37" i="30" s="1"/>
  <c r="G37" i="30" a="1"/>
  <c r="G37" i="30" s="1"/>
  <c r="I37" i="30" s="1"/>
  <c r="S36" i="30"/>
  <c r="T36" i="30" s="1"/>
  <c r="Q36" i="30"/>
  <c r="K36" i="30"/>
  <c r="G36" i="30" a="1"/>
  <c r="G36" i="30" s="1"/>
  <c r="I36" i="30" s="1"/>
  <c r="S35" i="30"/>
  <c r="T35" i="30" s="1"/>
  <c r="Q35" i="30"/>
  <c r="K35" i="30"/>
  <c r="G35" i="30" a="1"/>
  <c r="G35" i="30" s="1"/>
  <c r="I35" i="30" s="1"/>
  <c r="S34" i="30"/>
  <c r="V34" i="30" s="1"/>
  <c r="Q34" i="30"/>
  <c r="K34" i="30"/>
  <c r="S33" i="30"/>
  <c r="V33" i="30" s="1"/>
  <c r="K33" i="30"/>
  <c r="Q33" i="30" s="1"/>
  <c r="G33" i="30" a="1"/>
  <c r="G33" i="30" s="1"/>
  <c r="I33" i="30" s="1"/>
  <c r="S32" i="30"/>
  <c r="V32" i="30" s="1"/>
  <c r="Q32" i="30"/>
  <c r="G32" i="30" a="1"/>
  <c r="G32" i="30" s="1"/>
  <c r="I32" i="30" s="1"/>
  <c r="S31" i="30"/>
  <c r="T31" i="30" s="1"/>
  <c r="Q31" i="30"/>
  <c r="K31" i="30"/>
  <c r="G31" i="30" a="1"/>
  <c r="G31" i="30" s="1"/>
  <c r="I31" i="30" s="1"/>
  <c r="S30" i="30"/>
  <c r="T30" i="30" s="1"/>
  <c r="K30" i="30"/>
  <c r="G30" i="30" a="1"/>
  <c r="G30" i="30" s="1"/>
  <c r="I30" i="30" s="1"/>
  <c r="S29" i="30"/>
  <c r="T29" i="30" s="1"/>
  <c r="K29" i="30"/>
  <c r="G29" i="30" a="1"/>
  <c r="G29" i="30" s="1"/>
  <c r="I29" i="30" s="1"/>
  <c r="S28" i="30"/>
  <c r="T28" i="30" s="1"/>
  <c r="Q28" i="30"/>
  <c r="K28" i="30"/>
  <c r="G28" i="30" a="1"/>
  <c r="G28" i="30" s="1"/>
  <c r="I28" i="30" s="1"/>
  <c r="S27" i="30"/>
  <c r="K27" i="30"/>
  <c r="Q27" i="30" s="1"/>
  <c r="G27" i="30" a="1"/>
  <c r="G27" i="30" s="1"/>
  <c r="I27" i="30" s="1"/>
  <c r="S26" i="30"/>
  <c r="K26" i="30"/>
  <c r="G26" i="30" a="1"/>
  <c r="G26" i="30" s="1"/>
  <c r="I26" i="30" s="1"/>
  <c r="S25" i="30"/>
  <c r="K25" i="30"/>
  <c r="Q25" i="30" s="1"/>
  <c r="G25" i="30" a="1"/>
  <c r="G25" i="30" s="1"/>
  <c r="I25" i="30" s="1"/>
  <c r="J25" i="30" s="1"/>
  <c r="S24" i="30"/>
  <c r="Q24" i="30"/>
  <c r="K24" i="30"/>
  <c r="S23" i="30"/>
  <c r="T23" i="30" s="1"/>
  <c r="K23" i="30"/>
  <c r="G23" i="30" a="1"/>
  <c r="G23" i="30" s="1"/>
  <c r="I23" i="30" s="1"/>
  <c r="S22" i="30"/>
  <c r="V22" i="30" s="1"/>
  <c r="Q22" i="30"/>
  <c r="G22" i="30" a="1"/>
  <c r="G22" i="30" s="1"/>
  <c r="I22" i="30" s="1"/>
  <c r="S21" i="30"/>
  <c r="V21" i="30" s="1"/>
  <c r="Q21" i="30"/>
  <c r="K21" i="30"/>
  <c r="G21" i="30" a="1"/>
  <c r="G21" i="30" s="1"/>
  <c r="I21" i="30" s="1"/>
  <c r="S20" i="30"/>
  <c r="K20" i="30"/>
  <c r="Q20" i="30" s="1"/>
  <c r="G20" i="30" a="1"/>
  <c r="G20" i="30" s="1"/>
  <c r="I20" i="30" s="1"/>
  <c r="S19" i="30"/>
  <c r="T19" i="30" s="1"/>
  <c r="Q19" i="30"/>
  <c r="K19" i="30"/>
  <c r="G19" i="30" a="1"/>
  <c r="G19" i="30" s="1"/>
  <c r="I19" i="30" s="1"/>
  <c r="S18" i="30"/>
  <c r="K18" i="30"/>
  <c r="Q18" i="30" s="1"/>
  <c r="G18" i="30" a="1"/>
  <c r="G18" i="30" s="1"/>
  <c r="I18" i="30" s="1"/>
  <c r="S17" i="30"/>
  <c r="K17" i="30"/>
  <c r="Q17" i="30" s="1"/>
  <c r="G17" i="30" a="1"/>
  <c r="G17" i="30" s="1"/>
  <c r="I17" i="30" s="1"/>
  <c r="S16" i="30"/>
  <c r="V16" i="30" s="1"/>
  <c r="Q16" i="30"/>
  <c r="K16" i="30"/>
  <c r="G16" i="30" a="1"/>
  <c r="G16" i="30" s="1"/>
  <c r="I16" i="30" s="1"/>
  <c r="S15" i="30"/>
  <c r="Q15" i="30"/>
  <c r="K15" i="30"/>
  <c r="S14" i="30"/>
  <c r="T14" i="30" s="1"/>
  <c r="K14" i="30"/>
  <c r="G14" i="30" a="1"/>
  <c r="G14" i="30" s="1"/>
  <c r="I14" i="30" s="1"/>
  <c r="S13" i="30"/>
  <c r="T13" i="30" s="1"/>
  <c r="K13" i="30"/>
  <c r="Q13" i="30" s="1"/>
  <c r="G13" i="30" a="1"/>
  <c r="G13" i="30" s="1"/>
  <c r="I13" i="30" s="1"/>
  <c r="M13" i="30" s="1"/>
  <c r="S12" i="30"/>
  <c r="Q12" i="30"/>
  <c r="G12" i="30" a="1"/>
  <c r="G12" i="30" s="1"/>
  <c r="I12" i="30" s="1"/>
  <c r="S11" i="30"/>
  <c r="T11" i="30" s="1"/>
  <c r="Q11" i="30"/>
  <c r="K11" i="30"/>
  <c r="G11" i="30" a="1"/>
  <c r="G11" i="30" s="1"/>
  <c r="I11" i="30" s="1"/>
  <c r="S10" i="30"/>
  <c r="V10" i="30" s="1"/>
  <c r="Q10" i="30"/>
  <c r="K10" i="30"/>
  <c r="G10" i="30" a="1"/>
  <c r="G10" i="30" s="1"/>
  <c r="I10" i="30" s="1"/>
  <c r="S9" i="30"/>
  <c r="T9" i="30" s="1"/>
  <c r="Q9" i="30"/>
  <c r="K9" i="30"/>
  <c r="G9" i="30" a="1"/>
  <c r="G9" i="30" s="1"/>
  <c r="I9" i="30" s="1"/>
  <c r="S8" i="30"/>
  <c r="V8" i="30" s="1"/>
  <c r="Q8" i="30"/>
  <c r="K8" i="30"/>
  <c r="G8" i="30" a="1"/>
  <c r="G8" i="30" s="1"/>
  <c r="I8" i="30" s="1"/>
  <c r="S7" i="30"/>
  <c r="V7" i="30" s="1"/>
  <c r="Q7" i="30"/>
  <c r="K7" i="30"/>
  <c r="G7" i="30" a="1"/>
  <c r="G7" i="30" s="1"/>
  <c r="I7" i="30" s="1"/>
  <c r="S6" i="30"/>
  <c r="T6" i="30" s="1"/>
  <c r="Q6" i="30"/>
  <c r="K6" i="30"/>
  <c r="G6" i="30" a="1"/>
  <c r="G6" i="30" s="1"/>
  <c r="I6" i="30" s="1"/>
  <c r="N5" i="30"/>
  <c r="L5" i="30"/>
  <c r="Y4" i="30"/>
  <c r="Z3" i="30"/>
  <c r="Z2" i="30" s="1"/>
  <c r="N3" i="30"/>
  <c r="Y2" i="30"/>
  <c r="Q36" i="24"/>
  <c r="Q26" i="24"/>
  <c r="Q64" i="24"/>
  <c r="G64" i="24" a="1"/>
  <c r="G64" i="24" s="1"/>
  <c r="I64" i="24" s="1"/>
  <c r="G63" i="24" a="1"/>
  <c r="G63" i="24" s="1"/>
  <c r="I63" i="24" s="1"/>
  <c r="Q62" i="24"/>
  <c r="G62" i="24" a="1"/>
  <c r="G62" i="24" s="1"/>
  <c r="I62" i="24" s="1"/>
  <c r="Q61" i="24"/>
  <c r="G61" i="24" a="1"/>
  <c r="G61" i="24" s="1"/>
  <c r="I61" i="24" s="1"/>
  <c r="Q60" i="24"/>
  <c r="G60" i="24" a="1"/>
  <c r="G60" i="24" s="1"/>
  <c r="I60" i="24" s="1"/>
  <c r="Q59" i="24"/>
  <c r="G59" i="24" a="1"/>
  <c r="G59" i="24" s="1"/>
  <c r="I59" i="24" s="1"/>
  <c r="Q58" i="24"/>
  <c r="G58" i="24" a="1"/>
  <c r="G58" i="24" s="1"/>
  <c r="I58" i="24" s="1"/>
  <c r="Q57" i="24"/>
  <c r="G57" i="24" a="1"/>
  <c r="G57" i="24" s="1"/>
  <c r="I57" i="24" s="1"/>
  <c r="Q56" i="24"/>
  <c r="G56" i="24" a="1"/>
  <c r="G56" i="24" s="1"/>
  <c r="I56" i="24" s="1"/>
  <c r="Q55" i="24"/>
  <c r="G55" i="24" a="1"/>
  <c r="G55" i="24" s="1"/>
  <c r="I55" i="24" s="1"/>
  <c r="Q54" i="24"/>
  <c r="G54" i="24" a="1"/>
  <c r="G54" i="24" s="1"/>
  <c r="I54" i="24" s="1"/>
  <c r="Q53" i="24"/>
  <c r="G53" i="24" a="1"/>
  <c r="G53" i="24" s="1"/>
  <c r="I53" i="24" s="1"/>
  <c r="Q52" i="24"/>
  <c r="G52" i="24" a="1"/>
  <c r="G52" i="24" s="1"/>
  <c r="I52" i="24" s="1"/>
  <c r="Q51" i="24"/>
  <c r="G51" i="24" a="1"/>
  <c r="G51" i="24" s="1"/>
  <c r="I51" i="24" s="1"/>
  <c r="Q50" i="24"/>
  <c r="G50" i="24" a="1"/>
  <c r="G50" i="24" s="1"/>
  <c r="I50" i="24" s="1"/>
  <c r="Q49" i="24"/>
  <c r="G49" i="24" a="1"/>
  <c r="G49" i="24" s="1"/>
  <c r="I49" i="24" s="1"/>
  <c r="Q48" i="24"/>
  <c r="G48" i="24" a="1"/>
  <c r="G48" i="24" s="1"/>
  <c r="I48" i="24" s="1"/>
  <c r="Q47" i="24"/>
  <c r="G47" i="24" a="1"/>
  <c r="G47" i="24" s="1"/>
  <c r="I47" i="24" s="1"/>
  <c r="G46" i="24" a="1"/>
  <c r="G46" i="24" s="1"/>
  <c r="I46" i="24" s="1"/>
  <c r="G44" i="24" a="1"/>
  <c r="G44" i="24" s="1"/>
  <c r="I44" i="24" s="1"/>
  <c r="Q43" i="24"/>
  <c r="G43" i="24" a="1"/>
  <c r="G43" i="24" s="1"/>
  <c r="I43" i="24" s="1"/>
  <c r="Q42" i="24"/>
  <c r="G42" i="24" a="1"/>
  <c r="G42" i="24" s="1"/>
  <c r="I42" i="24" s="1"/>
  <c r="Q41" i="24"/>
  <c r="G41" i="24" a="1"/>
  <c r="G41" i="24" s="1"/>
  <c r="I41" i="24" s="1"/>
  <c r="Q40" i="24"/>
  <c r="G40" i="24" a="1"/>
  <c r="G40" i="24" s="1"/>
  <c r="I40" i="24" s="1"/>
  <c r="Q39" i="24"/>
  <c r="G39" i="24" a="1"/>
  <c r="G39" i="24" s="1"/>
  <c r="I39" i="24" s="1"/>
  <c r="Q38" i="24"/>
  <c r="G38" i="24" a="1"/>
  <c r="G38" i="24" s="1"/>
  <c r="I38" i="24" s="1"/>
  <c r="Q37" i="24"/>
  <c r="G37" i="24" a="1"/>
  <c r="G37" i="24" s="1"/>
  <c r="I37" i="24" s="1"/>
  <c r="Q35" i="24"/>
  <c r="G35" i="24" a="1"/>
  <c r="G35" i="24" s="1"/>
  <c r="I35" i="24" s="1"/>
  <c r="Q34" i="24"/>
  <c r="G34" i="24" a="1"/>
  <c r="G34" i="24" s="1"/>
  <c r="I34" i="24" s="1"/>
  <c r="Q33" i="24"/>
  <c r="G33" i="24" a="1"/>
  <c r="G33" i="24" s="1"/>
  <c r="I33" i="24" s="1"/>
  <c r="Q32" i="24"/>
  <c r="G32" i="24" a="1"/>
  <c r="G32" i="24" s="1"/>
  <c r="I32" i="24" s="1"/>
  <c r="Q31" i="24"/>
  <c r="G31" i="24" a="1"/>
  <c r="G31" i="24" s="1"/>
  <c r="I31" i="24" s="1"/>
  <c r="Q30" i="24"/>
  <c r="G30" i="24" a="1"/>
  <c r="G30" i="24" s="1"/>
  <c r="I30" i="24" s="1"/>
  <c r="Q29" i="24"/>
  <c r="G29" i="24" a="1"/>
  <c r="G29" i="24" s="1"/>
  <c r="I29" i="24" s="1"/>
  <c r="Q28" i="24"/>
  <c r="G28" i="24" a="1"/>
  <c r="G28" i="24" s="1"/>
  <c r="I28" i="24" s="1"/>
  <c r="Q27" i="24"/>
  <c r="G27" i="24" a="1"/>
  <c r="G27" i="24" s="1"/>
  <c r="I27" i="24" s="1"/>
  <c r="K11" i="24"/>
  <c r="Q11" i="24" s="1"/>
  <c r="G11" i="24" a="1"/>
  <c r="G11" i="24" s="1"/>
  <c r="I11" i="24" s="1"/>
  <c r="Q23" i="24"/>
  <c r="G23" i="24" a="1"/>
  <c r="G23" i="24" s="1"/>
  <c r="I23" i="24" s="1"/>
  <c r="K8" i="24"/>
  <c r="Q8" i="24" s="1"/>
  <c r="G8" i="24" a="1"/>
  <c r="G8" i="24" s="1"/>
  <c r="I8" i="24" s="1"/>
  <c r="K10" i="24"/>
  <c r="Q10" i="24" s="1"/>
  <c r="G10" i="24" a="1"/>
  <c r="G10" i="24" s="1"/>
  <c r="I10" i="24" s="1"/>
  <c r="N5" i="24"/>
  <c r="L5" i="24"/>
  <c r="M29" i="25" a="1"/>
  <c r="M29" i="25" s="1"/>
  <c r="R24" i="33" l="1"/>
  <c r="R25" i="33"/>
  <c r="R56" i="33"/>
  <c r="R39" i="33"/>
  <c r="R55" i="33"/>
  <c r="R30" i="33"/>
  <c r="R10" i="33"/>
  <c r="W56" i="33"/>
  <c r="R22" i="33"/>
  <c r="R34" i="33"/>
  <c r="R62" i="33"/>
  <c r="R54" i="33"/>
  <c r="R18" i="33"/>
  <c r="R47" i="33"/>
  <c r="W22" i="33"/>
  <c r="X22" i="33" s="1"/>
  <c r="R37" i="33"/>
  <c r="R9" i="33"/>
  <c r="W34" i="33"/>
  <c r="X34" i="33" s="1"/>
  <c r="R29" i="33"/>
  <c r="W39" i="33"/>
  <c r="X39" i="33" s="1"/>
  <c r="R59" i="33"/>
  <c r="R61" i="33"/>
  <c r="W37" i="33"/>
  <c r="R13" i="33"/>
  <c r="W54" i="33"/>
  <c r="X54" i="33" s="1"/>
  <c r="R17" i="33"/>
  <c r="R8" i="33"/>
  <c r="R57" i="33"/>
  <c r="W57" i="33"/>
  <c r="R42" i="33"/>
  <c r="W10" i="33"/>
  <c r="X10" i="33" s="1"/>
  <c r="R60" i="33"/>
  <c r="W30" i="33"/>
  <c r="X30" i="33" s="1"/>
  <c r="R20" i="33"/>
  <c r="R38" i="33"/>
  <c r="R52" i="33"/>
  <c r="I15" i="33"/>
  <c r="R6" i="33"/>
  <c r="R63" i="33"/>
  <c r="W8" i="33"/>
  <c r="X8" i="33" s="1"/>
  <c r="R58" i="33"/>
  <c r="R49" i="33"/>
  <c r="V5" i="33"/>
  <c r="E1" i="33" s="1"/>
  <c r="R53" i="33"/>
  <c r="AC4" i="33"/>
  <c r="AD3" i="33"/>
  <c r="AC2" i="33"/>
  <c r="W17" i="33"/>
  <c r="W47" i="33"/>
  <c r="R32" i="33"/>
  <c r="R19" i="33"/>
  <c r="W19" i="33"/>
  <c r="X19" i="33" s="1"/>
  <c r="T5" i="33"/>
  <c r="R41" i="33"/>
  <c r="W13" i="33"/>
  <c r="X13" i="33" s="1"/>
  <c r="R43" i="33"/>
  <c r="W43" i="33"/>
  <c r="X43" i="33" s="1"/>
  <c r="W25" i="33"/>
  <c r="X25" i="33" s="1"/>
  <c r="R31" i="33"/>
  <c r="R48" i="33"/>
  <c r="W48" i="33"/>
  <c r="R28" i="33"/>
  <c r="W6" i="33"/>
  <c r="R16" i="33"/>
  <c r="I26" i="33"/>
  <c r="R51" i="33"/>
  <c r="R50" i="33"/>
  <c r="W50" i="33"/>
  <c r="X50" i="33" s="1"/>
  <c r="R33" i="33"/>
  <c r="W59" i="33"/>
  <c r="X59" i="33" s="1"/>
  <c r="R11" i="33"/>
  <c r="W24" i="33"/>
  <c r="X24" i="33" s="1"/>
  <c r="W52" i="33"/>
  <c r="X52" i="33" s="1"/>
  <c r="R21" i="33"/>
  <c r="W21" i="33"/>
  <c r="X21" i="33" s="1"/>
  <c r="W32" i="33"/>
  <c r="X32" i="33" s="1"/>
  <c r="W62" i="33"/>
  <c r="X62" i="33" s="1"/>
  <c r="W18" i="33"/>
  <c r="X18" i="33" s="1"/>
  <c r="W41" i="33"/>
  <c r="X41" i="33" s="1"/>
  <c r="W11" i="33"/>
  <c r="X11" i="33" s="1"/>
  <c r="R35" i="33"/>
  <c r="R7" i="33"/>
  <c r="W20" i="33"/>
  <c r="X20" i="33" s="1"/>
  <c r="I36" i="33"/>
  <c r="R27" i="33"/>
  <c r="W61" i="33"/>
  <c r="X61" i="33" s="1"/>
  <c r="R46" i="33"/>
  <c r="R44" i="33"/>
  <c r="W55" i="33"/>
  <c r="X55" i="33" s="1"/>
  <c r="R23" i="33"/>
  <c r="R40" i="33"/>
  <c r="R14" i="33"/>
  <c r="R64" i="33"/>
  <c r="W28" i="33"/>
  <c r="S5" i="31"/>
  <c r="R72" i="31"/>
  <c r="W72" i="31"/>
  <c r="X72" i="31" s="1"/>
  <c r="R71" i="31"/>
  <c r="V61" i="31"/>
  <c r="R61" i="31" s="1"/>
  <c r="R64" i="31"/>
  <c r="U32" i="31"/>
  <c r="W32" i="31" s="1"/>
  <c r="X32" i="31" s="1"/>
  <c r="V67" i="31"/>
  <c r="U67" i="31"/>
  <c r="T67" i="31"/>
  <c r="T66" i="31"/>
  <c r="V66" i="31"/>
  <c r="U66" i="31"/>
  <c r="V70" i="31"/>
  <c r="U70" i="31"/>
  <c r="T70" i="31"/>
  <c r="T61" i="31"/>
  <c r="V68" i="31"/>
  <c r="U68" i="31"/>
  <c r="T68" i="31"/>
  <c r="W71" i="31"/>
  <c r="X71" i="31" s="1"/>
  <c r="V32" i="31"/>
  <c r="V69" i="31"/>
  <c r="U69" i="31"/>
  <c r="T69" i="31"/>
  <c r="R65" i="31"/>
  <c r="R50" i="31"/>
  <c r="R29" i="31"/>
  <c r="R55" i="31"/>
  <c r="U33" i="31"/>
  <c r="T33" i="31"/>
  <c r="V33" i="31"/>
  <c r="U16" i="31"/>
  <c r="V16" i="31"/>
  <c r="T16" i="31"/>
  <c r="U9" i="31"/>
  <c r="V9" i="31"/>
  <c r="T9" i="31"/>
  <c r="U7" i="31"/>
  <c r="T7" i="31"/>
  <c r="V7" i="31"/>
  <c r="T63" i="31"/>
  <c r="V63" i="31"/>
  <c r="U63" i="31"/>
  <c r="V46" i="31"/>
  <c r="T46" i="31"/>
  <c r="U46" i="31"/>
  <c r="U8" i="31"/>
  <c r="V8" i="31"/>
  <c r="T8" i="31"/>
  <c r="V23" i="31"/>
  <c r="T23" i="31"/>
  <c r="U23" i="31"/>
  <c r="R43" i="31"/>
  <c r="W43" i="31"/>
  <c r="X43" i="31" s="1"/>
  <c r="V34" i="31"/>
  <c r="U34" i="31"/>
  <c r="T34" i="31"/>
  <c r="U14" i="31"/>
  <c r="T14" i="31"/>
  <c r="V14" i="31"/>
  <c r="U30" i="31"/>
  <c r="T30" i="31"/>
  <c r="V30" i="31"/>
  <c r="U21" i="31"/>
  <c r="V21" i="31"/>
  <c r="T21" i="31"/>
  <c r="V42" i="31"/>
  <c r="U42" i="31"/>
  <c r="T42" i="31"/>
  <c r="U45" i="31"/>
  <c r="T45" i="31"/>
  <c r="V45" i="31"/>
  <c r="V40" i="31"/>
  <c r="U40" i="31"/>
  <c r="T40" i="31"/>
  <c r="V54" i="31"/>
  <c r="U54" i="31"/>
  <c r="T54" i="31"/>
  <c r="V20" i="31"/>
  <c r="U20" i="31"/>
  <c r="T20" i="31"/>
  <c r="U17" i="31"/>
  <c r="V17" i="31"/>
  <c r="T17" i="31"/>
  <c r="U13" i="31"/>
  <c r="T13" i="31"/>
  <c r="V13" i="31"/>
  <c r="V26" i="31"/>
  <c r="T26" i="31"/>
  <c r="V58" i="31"/>
  <c r="U58" i="31"/>
  <c r="T58" i="31"/>
  <c r="V6" i="31"/>
  <c r="U6" i="31"/>
  <c r="T6" i="31"/>
  <c r="R62" i="31"/>
  <c r="W62" i="31"/>
  <c r="X62" i="31" s="1"/>
  <c r="R52" i="31"/>
  <c r="T18" i="31"/>
  <c r="V18" i="31"/>
  <c r="U18" i="31"/>
  <c r="R31" i="31"/>
  <c r="W31" i="31"/>
  <c r="X31" i="31" s="1"/>
  <c r="AC4" i="31"/>
  <c r="AC2" i="31"/>
  <c r="AD3" i="31"/>
  <c r="U41" i="31"/>
  <c r="T41" i="31"/>
  <c r="V41" i="31"/>
  <c r="V24" i="31"/>
  <c r="U24" i="31"/>
  <c r="T24" i="31"/>
  <c r="T60" i="31"/>
  <c r="U60" i="31"/>
  <c r="V60" i="31"/>
  <c r="T12" i="31"/>
  <c r="V12" i="31"/>
  <c r="U12" i="31"/>
  <c r="W12" i="31" s="1"/>
  <c r="X12" i="31" s="1"/>
  <c r="V22" i="31"/>
  <c r="U22" i="31"/>
  <c r="T22" i="31"/>
  <c r="T48" i="31"/>
  <c r="V48" i="31"/>
  <c r="U48" i="31"/>
  <c r="U10" i="31"/>
  <c r="T10" i="31"/>
  <c r="V10" i="31"/>
  <c r="T56" i="31"/>
  <c r="V56" i="31"/>
  <c r="U56" i="31"/>
  <c r="U38" i="31"/>
  <c r="V38" i="31"/>
  <c r="T38" i="31"/>
  <c r="R35" i="31"/>
  <c r="W35" i="31"/>
  <c r="X35" i="31" s="1"/>
  <c r="W50" i="31"/>
  <c r="X50" i="31" s="1"/>
  <c r="R47" i="31"/>
  <c r="U25" i="31"/>
  <c r="T25" i="31"/>
  <c r="V25" i="31"/>
  <c r="V19" i="31"/>
  <c r="U19" i="31"/>
  <c r="T19" i="31"/>
  <c r="T51" i="31"/>
  <c r="V51" i="31"/>
  <c r="U51" i="31"/>
  <c r="T11" i="31"/>
  <c r="V11" i="31"/>
  <c r="U11" i="31"/>
  <c r="T57" i="31"/>
  <c r="V57" i="31"/>
  <c r="U57" i="31"/>
  <c r="U37" i="31"/>
  <c r="V37" i="31"/>
  <c r="T37" i="31"/>
  <c r="R49" i="31"/>
  <c r="U44" i="31"/>
  <c r="V44" i="31"/>
  <c r="T44" i="31"/>
  <c r="U53" i="31"/>
  <c r="T53" i="31"/>
  <c r="V53" i="31"/>
  <c r="V27" i="31"/>
  <c r="U27" i="31"/>
  <c r="T27" i="31"/>
  <c r="U59" i="31"/>
  <c r="T59" i="31"/>
  <c r="V59" i="31"/>
  <c r="V36" i="31"/>
  <c r="T36" i="31"/>
  <c r="V28" i="31"/>
  <c r="U28" i="31"/>
  <c r="T28" i="31"/>
  <c r="R39" i="31"/>
  <c r="W39" i="31"/>
  <c r="X39" i="31" s="1"/>
  <c r="V26" i="30"/>
  <c r="AO66" i="30" a="1"/>
  <c r="AO66" i="30" s="1"/>
  <c r="AH68" i="30" a="1"/>
  <c r="AH68" i="30" s="1"/>
  <c r="AO68" i="30" a="1"/>
  <c r="AO68" i="30" s="1"/>
  <c r="V55" i="30"/>
  <c r="AC70" i="30" a="1"/>
  <c r="AC70" i="30" s="1"/>
  <c r="AD70" i="30" a="1"/>
  <c r="AD70" i="30" s="1"/>
  <c r="AC72" i="30" a="1"/>
  <c r="AC72" i="30" s="1"/>
  <c r="V28" i="30"/>
  <c r="AD72" i="30" a="1"/>
  <c r="AD72" i="30" s="1"/>
  <c r="AK70" i="30" a="1"/>
  <c r="AK70" i="30" s="1"/>
  <c r="AO70" i="30" a="1"/>
  <c r="AO70" i="30" s="1"/>
  <c r="AG65" i="30" a="1"/>
  <c r="AG65" i="30" s="1"/>
  <c r="AD67" i="30" a="1"/>
  <c r="AD67" i="30" s="1"/>
  <c r="BE68" i="30" a="1"/>
  <c r="BE68" i="30" s="1"/>
  <c r="AY70" i="30" a="1"/>
  <c r="AY70" i="30" s="1"/>
  <c r="BA72" i="30" a="1"/>
  <c r="BA72" i="30" s="1"/>
  <c r="AI65" i="30" a="1"/>
  <c r="AI65" i="30" s="1"/>
  <c r="AE67" i="30" a="1"/>
  <c r="AE67" i="30" s="1"/>
  <c r="BK68" i="30" a="1"/>
  <c r="BK68" i="30" s="1"/>
  <c r="BI72" i="30" a="1"/>
  <c r="BI72" i="30" s="1"/>
  <c r="AJ65" i="30" a="1"/>
  <c r="AJ65" i="30" s="1"/>
  <c r="AH67" i="30" a="1"/>
  <c r="AH67" i="30" s="1"/>
  <c r="BL68" i="30" a="1"/>
  <c r="BL68" i="30" s="1"/>
  <c r="AL71" i="30" a="1"/>
  <c r="AL71" i="30" s="1"/>
  <c r="BR72" i="30" a="1"/>
  <c r="BR72" i="30" s="1"/>
  <c r="AI67" i="30" a="1"/>
  <c r="AI67" i="30" s="1"/>
  <c r="AM71" i="30" a="1"/>
  <c r="AM71" i="30" s="1"/>
  <c r="AW65" i="30" a="1"/>
  <c r="AW65" i="30" s="1"/>
  <c r="AO71" i="30" a="1"/>
  <c r="AO71" i="30" s="1"/>
  <c r="BD65" i="30" a="1"/>
  <c r="BD65" i="30" s="1"/>
  <c r="AT67" i="30" a="1"/>
  <c r="AT67" i="30" s="1"/>
  <c r="AN69" i="30" a="1"/>
  <c r="AN69" i="30" s="1"/>
  <c r="AP71" i="30" a="1"/>
  <c r="AP71" i="30" s="1"/>
  <c r="AJ73" i="30" a="1"/>
  <c r="AJ73" i="30" s="1"/>
  <c r="BE65" i="30" a="1"/>
  <c r="BE65" i="30" s="1"/>
  <c r="AZ67" i="30" a="1"/>
  <c r="AZ67" i="30" s="1"/>
  <c r="AR69" i="30" a="1"/>
  <c r="AR69" i="30" s="1"/>
  <c r="AV71" i="30" a="1"/>
  <c r="AV71" i="30" s="1"/>
  <c r="AK73" i="30" a="1"/>
  <c r="AK73" i="30" s="1"/>
  <c r="AT66" i="30" a="1"/>
  <c r="AT66" i="30" s="1"/>
  <c r="AP68" i="30" a="1"/>
  <c r="AP68" i="30" s="1"/>
  <c r="AK72" i="30" a="1"/>
  <c r="AK72" i="30" s="1"/>
  <c r="D64" i="30"/>
  <c r="AU64" i="30" s="1" a="1"/>
  <c r="AU64" i="30" s="1"/>
  <c r="AU66" i="30" a="1"/>
  <c r="AU66" i="30" s="1"/>
  <c r="AQ68" i="30" a="1"/>
  <c r="AQ68" i="30" s="1"/>
  <c r="AY72" i="30" a="1"/>
  <c r="AY72" i="30" s="1"/>
  <c r="V46" i="30"/>
  <c r="Y65" i="30" a="1"/>
  <c r="Y65" i="30" s="1"/>
  <c r="BP66" i="30" a="1"/>
  <c r="BP66" i="30" s="1"/>
  <c r="BB68" i="30" a="1"/>
  <c r="BB68" i="30" s="1"/>
  <c r="AX70" i="30" a="1"/>
  <c r="AX70" i="30" s="1"/>
  <c r="AZ72" i="30" a="1"/>
  <c r="AZ72" i="30" s="1"/>
  <c r="AA71" i="30" a="1"/>
  <c r="AA71" i="30" s="1"/>
  <c r="AQ65" i="30" a="1"/>
  <c r="AQ65" i="30" s="1"/>
  <c r="BR68" i="30" a="1"/>
  <c r="BR68" i="30" s="1"/>
  <c r="AA73" i="30" a="1"/>
  <c r="AA73" i="30" s="1"/>
  <c r="AS67" i="30" a="1"/>
  <c r="AS67" i="30" s="1"/>
  <c r="AF69" i="30" a="1"/>
  <c r="AF69" i="30" s="1"/>
  <c r="AD73" i="30" a="1"/>
  <c r="AD73" i="30" s="1"/>
  <c r="BF65" i="30" a="1"/>
  <c r="BF65" i="30" s="1"/>
  <c r="AA68" i="30" a="1"/>
  <c r="AA68" i="30" s="1"/>
  <c r="AY69" i="30" a="1"/>
  <c r="AY69" i="30" s="1"/>
  <c r="BC71" i="30" a="1"/>
  <c r="BC71" i="30" s="1"/>
  <c r="AP73" i="30" a="1"/>
  <c r="AP73" i="30" s="1"/>
  <c r="BS65" i="30" a="1"/>
  <c r="BS65" i="30" s="1"/>
  <c r="AG68" i="30" a="1"/>
  <c r="AG68" i="30" s="1"/>
  <c r="BO69" i="30" a="1"/>
  <c r="BO69" i="30" s="1"/>
  <c r="Y72" i="30" a="1"/>
  <c r="Y72" i="30" s="1"/>
  <c r="AY73" i="30" a="1"/>
  <c r="AY73" i="30" s="1"/>
  <c r="AS66" i="30" a="1"/>
  <c r="AS66" i="30" s="1"/>
  <c r="AN68" i="30" a="1"/>
  <c r="AN68" i="30" s="1"/>
  <c r="BP69" i="30" a="1"/>
  <c r="BP69" i="30" s="1"/>
  <c r="BJ71" i="30" a="1"/>
  <c r="BJ71" i="30" s="1"/>
  <c r="AL73" i="30" a="1"/>
  <c r="AL73" i="30" s="1"/>
  <c r="V11" i="30"/>
  <c r="J41" i="30"/>
  <c r="O41" i="30"/>
  <c r="P41" i="30" s="1"/>
  <c r="AE66" i="30" a="1"/>
  <c r="AE66" i="30" s="1"/>
  <c r="BA67" i="30" a="1"/>
  <c r="BA67" i="30" s="1"/>
  <c r="AC69" i="30" a="1"/>
  <c r="AC69" i="30" s="1"/>
  <c r="AZ70" i="30" a="1"/>
  <c r="AZ70" i="30" s="1"/>
  <c r="AN72" i="30" a="1"/>
  <c r="AN72" i="30" s="1"/>
  <c r="AZ73" i="30" a="1"/>
  <c r="AZ73" i="30" s="1"/>
  <c r="U11" i="30"/>
  <c r="U41" i="30"/>
  <c r="AF66" i="30" a="1"/>
  <c r="AF66" i="30" s="1"/>
  <c r="F68" i="30"/>
  <c r="AD69" i="30" a="1"/>
  <c r="AD69" i="30" s="1"/>
  <c r="Y71" i="30" a="1"/>
  <c r="Y71" i="30" s="1"/>
  <c r="AU72" i="30" a="1"/>
  <c r="AU72" i="30" s="1"/>
  <c r="BA73" i="30" a="1"/>
  <c r="BA73" i="30" s="1"/>
  <c r="M40" i="30"/>
  <c r="O40" i="30"/>
  <c r="J52" i="30"/>
  <c r="O52" i="30"/>
  <c r="M52" i="30"/>
  <c r="J21" i="30"/>
  <c r="M21" i="30"/>
  <c r="O21" i="30"/>
  <c r="O30" i="30"/>
  <c r="M30" i="30"/>
  <c r="J30" i="30"/>
  <c r="J49" i="30"/>
  <c r="M49" i="30"/>
  <c r="O49" i="30"/>
  <c r="U39" i="30"/>
  <c r="J39" i="30"/>
  <c r="M39" i="30"/>
  <c r="O27" i="30"/>
  <c r="J27" i="30"/>
  <c r="M27" i="30"/>
  <c r="J23" i="30"/>
  <c r="M23" i="30"/>
  <c r="O23" i="30"/>
  <c r="U18" i="30"/>
  <c r="T34" i="30"/>
  <c r="T41" i="30"/>
  <c r="T61" i="30"/>
  <c r="U61" i="30"/>
  <c r="U30" i="30"/>
  <c r="V42" i="30"/>
  <c r="T45" i="30"/>
  <c r="O48" i="30"/>
  <c r="T33" i="30"/>
  <c r="U62" i="30"/>
  <c r="BH66" i="30" a="1"/>
  <c r="BH66" i="30" s="1"/>
  <c r="BN67" i="30" a="1"/>
  <c r="BN67" i="30" s="1"/>
  <c r="BC68" i="30" a="1"/>
  <c r="BC68" i="30" s="1"/>
  <c r="BA69" i="30" a="1"/>
  <c r="BA69" i="30" s="1"/>
  <c r="BD70" i="30" a="1"/>
  <c r="BD70" i="30" s="1"/>
  <c r="BK71" i="30" a="1"/>
  <c r="BK71" i="30" s="1"/>
  <c r="BJ72" i="30" a="1"/>
  <c r="BJ72" i="30" s="1"/>
  <c r="BG73" i="30" a="1"/>
  <c r="BG73" i="30" s="1"/>
  <c r="S5" i="30"/>
  <c r="V6" i="30"/>
  <c r="T32" i="30"/>
  <c r="V37" i="30"/>
  <c r="O13" i="30"/>
  <c r="V19" i="30"/>
  <c r="U13" i="30"/>
  <c r="T16" i="30"/>
  <c r="V35" i="30"/>
  <c r="V31" i="30"/>
  <c r="U33" i="30"/>
  <c r="V62" i="30"/>
  <c r="BG65" i="30" a="1"/>
  <c r="BG65" i="30" s="1"/>
  <c r="BL66" i="30" a="1"/>
  <c r="BL66" i="30" s="1"/>
  <c r="BO67" i="30" a="1"/>
  <c r="BO67" i="30" s="1"/>
  <c r="BD68" i="30" a="1"/>
  <c r="BD68" i="30" s="1"/>
  <c r="BJ69" i="30" a="1"/>
  <c r="BJ69" i="30" s="1"/>
  <c r="BM70" i="30" a="1"/>
  <c r="BM70" i="30" s="1"/>
  <c r="BK72" i="30" a="1"/>
  <c r="BK72" i="30" s="1"/>
  <c r="BH73" i="30" a="1"/>
  <c r="BH73" i="30" s="1"/>
  <c r="V36" i="30"/>
  <c r="M48" i="30"/>
  <c r="T22" i="30"/>
  <c r="V13" i="30"/>
  <c r="U25" i="30"/>
  <c r="V41" i="30"/>
  <c r="BR65" i="30" a="1"/>
  <c r="BR65" i="30" s="1"/>
  <c r="BO66" i="30" a="1"/>
  <c r="BO66" i="30" s="1"/>
  <c r="BP67" i="30" a="1"/>
  <c r="BP67" i="30" s="1"/>
  <c r="BK69" i="30" a="1"/>
  <c r="BK69" i="30" s="1"/>
  <c r="BN70" i="30" a="1"/>
  <c r="BN70" i="30" s="1"/>
  <c r="BL71" i="30" a="1"/>
  <c r="BL71" i="30" s="1"/>
  <c r="BN72" i="30" a="1"/>
  <c r="BN72" i="30" s="1"/>
  <c r="BI73" i="30" a="1"/>
  <c r="BI73" i="30" s="1"/>
  <c r="O7" i="30"/>
  <c r="M7" i="30"/>
  <c r="J7" i="30"/>
  <c r="I65" i="30"/>
  <c r="M56" i="30"/>
  <c r="J56" i="30"/>
  <c r="O56" i="30"/>
  <c r="J14" i="30"/>
  <c r="M14" i="30"/>
  <c r="O14" i="30"/>
  <c r="U14" i="30"/>
  <c r="U27" i="30"/>
  <c r="V27" i="30"/>
  <c r="O44" i="30"/>
  <c r="M44" i="30"/>
  <c r="J44" i="30"/>
  <c r="M54" i="30"/>
  <c r="O54" i="30"/>
  <c r="J54" i="30"/>
  <c r="T25" i="30"/>
  <c r="J47" i="30"/>
  <c r="M47" i="30"/>
  <c r="O47" i="30"/>
  <c r="O9" i="30"/>
  <c r="M9" i="30"/>
  <c r="J9" i="30"/>
  <c r="V25" i="30"/>
  <c r="M38" i="30"/>
  <c r="O38" i="30"/>
  <c r="J38" i="30"/>
  <c r="O12" i="30"/>
  <c r="M12" i="30"/>
  <c r="J12" i="30"/>
  <c r="U29" i="30"/>
  <c r="O29" i="30"/>
  <c r="J29" i="30"/>
  <c r="M29" i="30"/>
  <c r="O28" i="30"/>
  <c r="M28" i="30"/>
  <c r="J28" i="30"/>
  <c r="U44" i="30"/>
  <c r="T44" i="30"/>
  <c r="V44" i="30"/>
  <c r="O17" i="30"/>
  <c r="J17" i="30"/>
  <c r="M17" i="30"/>
  <c r="T27" i="30"/>
  <c r="O19" i="30"/>
  <c r="M19" i="30"/>
  <c r="J19" i="30"/>
  <c r="U19" i="30"/>
  <c r="J36" i="30"/>
  <c r="U36" i="30"/>
  <c r="O36" i="30"/>
  <c r="M36" i="30"/>
  <c r="O16" i="30"/>
  <c r="M16" i="30"/>
  <c r="J16" i="30"/>
  <c r="J10" i="30"/>
  <c r="O10" i="30"/>
  <c r="M10" i="30"/>
  <c r="Q30" i="30"/>
  <c r="V30" i="30"/>
  <c r="J45" i="30"/>
  <c r="M45" i="30"/>
  <c r="O45" i="30"/>
  <c r="U45" i="30"/>
  <c r="O20" i="30"/>
  <c r="M20" i="30"/>
  <c r="I72" i="30"/>
  <c r="J20" i="30"/>
  <c r="V18" i="30"/>
  <c r="O39" i="30"/>
  <c r="M53" i="30"/>
  <c r="J53" i="30"/>
  <c r="O53" i="30"/>
  <c r="BK64" i="30" a="1"/>
  <c r="BK64" i="30" s="1"/>
  <c r="AB64" i="30" a="1"/>
  <c r="AB64" i="30" s="1"/>
  <c r="Q14" i="30"/>
  <c r="Q5" i="30" s="1"/>
  <c r="V14" i="30"/>
  <c r="M32" i="30"/>
  <c r="U32" i="30"/>
  <c r="J32" i="30"/>
  <c r="M8" i="30"/>
  <c r="O8" i="30"/>
  <c r="J8" i="30"/>
  <c r="I66" i="30"/>
  <c r="O32" i="30"/>
  <c r="V47" i="30"/>
  <c r="U47" i="30"/>
  <c r="T47" i="30"/>
  <c r="J6" i="30"/>
  <c r="O6" i="30"/>
  <c r="M6" i="30"/>
  <c r="U6" i="30"/>
  <c r="T10" i="30"/>
  <c r="J22" i="30"/>
  <c r="U22" i="30"/>
  <c r="O22" i="30"/>
  <c r="M22" i="30"/>
  <c r="U40" i="30"/>
  <c r="T40" i="30"/>
  <c r="V40" i="30"/>
  <c r="U21" i="30"/>
  <c r="T21" i="30"/>
  <c r="O26" i="30"/>
  <c r="M26" i="30"/>
  <c r="J26" i="30"/>
  <c r="U10" i="30"/>
  <c r="T8" i="30"/>
  <c r="T18" i="30"/>
  <c r="O43" i="30"/>
  <c r="M43" i="30"/>
  <c r="J43" i="30"/>
  <c r="J58" i="30"/>
  <c r="O58" i="30"/>
  <c r="M58" i="30"/>
  <c r="U8" i="30"/>
  <c r="J11" i="30"/>
  <c r="O11" i="30"/>
  <c r="M11" i="30"/>
  <c r="V29" i="30"/>
  <c r="Q29" i="30"/>
  <c r="M35" i="30"/>
  <c r="J35" i="30"/>
  <c r="U35" i="30"/>
  <c r="O35" i="30"/>
  <c r="Z4" i="30"/>
  <c r="O31" i="30"/>
  <c r="M31" i="30"/>
  <c r="J31" i="30"/>
  <c r="U12" i="30"/>
  <c r="T12" i="30"/>
  <c r="V12" i="30"/>
  <c r="V49" i="30"/>
  <c r="U49" i="30"/>
  <c r="U59" i="30"/>
  <c r="O59" i="30"/>
  <c r="M59" i="30"/>
  <c r="J59" i="30"/>
  <c r="AA3" i="30"/>
  <c r="U20" i="30"/>
  <c r="T20" i="30"/>
  <c r="V20" i="30"/>
  <c r="J33" i="30"/>
  <c r="O33" i="30"/>
  <c r="M33" i="30"/>
  <c r="U9" i="30"/>
  <c r="T24" i="30"/>
  <c r="V9" i="30"/>
  <c r="V17" i="30"/>
  <c r="U17" i="30"/>
  <c r="V24" i="30"/>
  <c r="Q26" i="30"/>
  <c r="O50" i="30"/>
  <c r="M50" i="30"/>
  <c r="J50" i="30"/>
  <c r="V15" i="30"/>
  <c r="T17" i="30"/>
  <c r="U31" i="30"/>
  <c r="O42" i="30"/>
  <c r="J42" i="30"/>
  <c r="U42" i="30"/>
  <c r="U48" i="30"/>
  <c r="V48" i="30"/>
  <c r="T15" i="30"/>
  <c r="V23" i="30"/>
  <c r="Q23" i="30"/>
  <c r="M42" i="30"/>
  <c r="T48" i="30"/>
  <c r="T7" i="30"/>
  <c r="O25" i="30"/>
  <c r="M25" i="30"/>
  <c r="J57" i="30"/>
  <c r="U57" i="30"/>
  <c r="M57" i="30"/>
  <c r="U7" i="30"/>
  <c r="J40" i="30"/>
  <c r="O57" i="30"/>
  <c r="O18" i="30"/>
  <c r="M18" i="30"/>
  <c r="J18" i="30"/>
  <c r="V43" i="30"/>
  <c r="U43" i="30"/>
  <c r="U50" i="30"/>
  <c r="O60" i="30"/>
  <c r="M60" i="30"/>
  <c r="J60" i="30"/>
  <c r="O62" i="30"/>
  <c r="M62" i="30"/>
  <c r="J62" i="30"/>
  <c r="J13" i="30"/>
  <c r="U37" i="30"/>
  <c r="O37" i="30"/>
  <c r="M37" i="30"/>
  <c r="J37" i="30"/>
  <c r="T43" i="30"/>
  <c r="M51" i="30"/>
  <c r="J51" i="30"/>
  <c r="U26" i="30"/>
  <c r="T26" i="30"/>
  <c r="U54" i="30"/>
  <c r="U16" i="30"/>
  <c r="T38" i="30"/>
  <c r="V38" i="30"/>
  <c r="M46" i="30"/>
  <c r="M55" i="30"/>
  <c r="P55" i="30" s="1"/>
  <c r="U55" i="30"/>
  <c r="U38" i="30"/>
  <c r="Q41" i="30"/>
  <c r="O46" i="30"/>
  <c r="J55" i="30"/>
  <c r="U23" i="30"/>
  <c r="Q54" i="30"/>
  <c r="V54" i="30"/>
  <c r="U46" i="30"/>
  <c r="V52" i="30"/>
  <c r="O61" i="30"/>
  <c r="J61" i="30"/>
  <c r="AR65" i="30" a="1"/>
  <c r="AR65" i="30" s="1"/>
  <c r="BQ66" i="30" a="1"/>
  <c r="BQ66" i="30" s="1"/>
  <c r="AP67" i="30" a="1"/>
  <c r="AP67" i="30" s="1"/>
  <c r="BF67" i="30" a="1"/>
  <c r="BF67" i="30" s="1"/>
  <c r="AB68" i="30" a="1"/>
  <c r="AB68" i="30" s="1"/>
  <c r="AP70" i="30" a="1"/>
  <c r="AP70" i="30" s="1"/>
  <c r="AW71" i="30" a="1"/>
  <c r="AW71" i="30" s="1"/>
  <c r="AL72" i="30" a="1"/>
  <c r="AL72" i="30" s="1"/>
  <c r="AT73" i="30" a="1"/>
  <c r="AT73" i="30" s="1"/>
  <c r="BL73" i="30" a="1"/>
  <c r="BL73" i="30" s="1"/>
  <c r="T46" i="30"/>
  <c r="Z65" i="30" a="1"/>
  <c r="Z65" i="30" s="1"/>
  <c r="AU65" i="30" a="1"/>
  <c r="AU65" i="30" s="1"/>
  <c r="AG66" i="30" a="1"/>
  <c r="AG66" i="30" s="1"/>
  <c r="BB66" i="30" a="1"/>
  <c r="BB66" i="30" s="1"/>
  <c r="AU68" i="30" a="1"/>
  <c r="AU68" i="30" s="1"/>
  <c r="BB69" i="30" a="1"/>
  <c r="BB69" i="30" s="1"/>
  <c r="AA70" i="30" a="1"/>
  <c r="AA70" i="30" s="1"/>
  <c r="AE71" i="30" a="1"/>
  <c r="AE71" i="30" s="1"/>
  <c r="BM71" i="30" a="1"/>
  <c r="BM71" i="30" s="1"/>
  <c r="AB73" i="30" a="1"/>
  <c r="AB73" i="30" s="1"/>
  <c r="AW73" i="30" a="1"/>
  <c r="AW73" i="30" s="1"/>
  <c r="BM73" i="30" a="1"/>
  <c r="BM73" i="30" s="1"/>
  <c r="U28" i="30"/>
  <c r="AF65" i="30" a="1"/>
  <c r="AF65" i="30" s="1"/>
  <c r="BN65" i="30" a="1"/>
  <c r="BN65" i="30" s="1"/>
  <c r="BG67" i="30" a="1"/>
  <c r="BG67" i="30" s="1"/>
  <c r="AF68" i="30" a="1"/>
  <c r="AF68" i="30" s="1"/>
  <c r="AX68" i="30" a="1"/>
  <c r="AX68" i="30" s="1"/>
  <c r="BN68" i="30" a="1"/>
  <c r="BN68" i="30" s="1"/>
  <c r="AM69" i="30" a="1"/>
  <c r="AM69" i="30" s="1"/>
  <c r="AQ70" i="30" a="1"/>
  <c r="AQ70" i="30" s="1"/>
  <c r="BL70" i="30" a="1"/>
  <c r="BL70" i="30" s="1"/>
  <c r="AX71" i="30" a="1"/>
  <c r="AX71" i="30" s="1"/>
  <c r="BS71" i="30" a="1"/>
  <c r="BS71" i="30" s="1"/>
  <c r="AM72" i="30" a="1"/>
  <c r="AM72" i="30" s="1"/>
  <c r="V56" i="30"/>
  <c r="Q58" i="30"/>
  <c r="V58" i="30"/>
  <c r="BP71" i="30" a="1"/>
  <c r="BP71" i="30" s="1"/>
  <c r="BI71" i="30" a="1"/>
  <c r="BI71" i="30" s="1"/>
  <c r="BB71" i="30" a="1"/>
  <c r="BB71" i="30" s="1"/>
  <c r="AU71" i="30" a="1"/>
  <c r="AU71" i="30" s="1"/>
  <c r="AN71" i="30" a="1"/>
  <c r="AN71" i="30" s="1"/>
  <c r="AG71" i="30" a="1"/>
  <c r="AG71" i="30" s="1"/>
  <c r="Z71" i="30" a="1"/>
  <c r="Z71" i="30" s="1"/>
  <c r="BO70" i="30" a="1"/>
  <c r="BO70" i="30" s="1"/>
  <c r="BH70" i="30" a="1"/>
  <c r="BH70" i="30" s="1"/>
  <c r="BA70" i="30" a="1"/>
  <c r="BA70" i="30" s="1"/>
  <c r="AT70" i="30" a="1"/>
  <c r="AT70" i="30" s="1"/>
  <c r="AM70" i="30" a="1"/>
  <c r="AM70" i="30" s="1"/>
  <c r="AF70" i="30" a="1"/>
  <c r="AF70" i="30" s="1"/>
  <c r="Y70" i="30" a="1"/>
  <c r="Y70" i="30" s="1"/>
  <c r="BN69" i="30" a="1"/>
  <c r="BN69" i="30" s="1"/>
  <c r="BG69" i="30" a="1"/>
  <c r="BG69" i="30" s="1"/>
  <c r="AZ69" i="30" a="1"/>
  <c r="AZ69" i="30" s="1"/>
  <c r="AS69" i="30" a="1"/>
  <c r="AS69" i="30" s="1"/>
  <c r="AL69" i="30" a="1"/>
  <c r="AL69" i="30" s="1"/>
  <c r="AE69" i="30" a="1"/>
  <c r="AE69" i="30" s="1"/>
  <c r="F69" i="30"/>
  <c r="BM68" i="30" a="1"/>
  <c r="BM68" i="30" s="1"/>
  <c r="BF68" i="30" a="1"/>
  <c r="BF68" i="30" s="1"/>
  <c r="AY68" i="30" a="1"/>
  <c r="AY68" i="30" s="1"/>
  <c r="AR68" i="30" a="1"/>
  <c r="AR68" i="30" s="1"/>
  <c r="AK68" i="30" a="1"/>
  <c r="AK68" i="30" s="1"/>
  <c r="AD68" i="30" a="1"/>
  <c r="AD68" i="30" s="1"/>
  <c r="BS67" i="30" a="1"/>
  <c r="BS67" i="30" s="1"/>
  <c r="BL67" i="30" a="1"/>
  <c r="BL67" i="30" s="1"/>
  <c r="BE67" i="30" a="1"/>
  <c r="BE67" i="30" s="1"/>
  <c r="AX67" i="30" a="1"/>
  <c r="AX67" i="30" s="1"/>
  <c r="AQ67" i="30" a="1"/>
  <c r="AQ67" i="30" s="1"/>
  <c r="AJ67" i="30" a="1"/>
  <c r="AJ67" i="30" s="1"/>
  <c r="AC67" i="30" a="1"/>
  <c r="AC67" i="30" s="1"/>
  <c r="BR66" i="30" a="1"/>
  <c r="BR66" i="30" s="1"/>
  <c r="BK66" i="30" a="1"/>
  <c r="BK66" i="30" s="1"/>
  <c r="BD66" i="30" a="1"/>
  <c r="BD66" i="30" s="1"/>
  <c r="AW66" i="30" a="1"/>
  <c r="AW66" i="30" s="1"/>
  <c r="AP66" i="30" a="1"/>
  <c r="AP66" i="30" s="1"/>
  <c r="AI66" i="30" a="1"/>
  <c r="AI66" i="30" s="1"/>
  <c r="AB66" i="30" a="1"/>
  <c r="AB66" i="30" s="1"/>
  <c r="BQ65" i="30" a="1"/>
  <c r="BQ65" i="30" s="1"/>
  <c r="BJ65" i="30" a="1"/>
  <c r="BJ65" i="30" s="1"/>
  <c r="BC65" i="30" a="1"/>
  <c r="BC65" i="30" s="1"/>
  <c r="AV65" i="30" a="1"/>
  <c r="AV65" i="30" s="1"/>
  <c r="AO65" i="30" a="1"/>
  <c r="AO65" i="30" s="1"/>
  <c r="AH65" i="30" a="1"/>
  <c r="AH65" i="30" s="1"/>
  <c r="AA65" i="30" a="1"/>
  <c r="AA65" i="30" s="1"/>
  <c r="BS73" i="30" a="1"/>
  <c r="BS73" i="30" s="1"/>
  <c r="BD73" i="30" a="1"/>
  <c r="BD73" i="30" s="1"/>
  <c r="AO73" i="30" a="1"/>
  <c r="AO73" i="30" s="1"/>
  <c r="Z73" i="30" a="1"/>
  <c r="Z73" i="30" s="1"/>
  <c r="BF72" i="30" a="1"/>
  <c r="BF72" i="30" s="1"/>
  <c r="AQ72" i="30" a="1"/>
  <c r="AQ72" i="30" s="1"/>
  <c r="AB72" i="30" a="1"/>
  <c r="AB72" i="30" s="1"/>
  <c r="BH71" i="30" a="1"/>
  <c r="BH71" i="30" s="1"/>
  <c r="AS71" i="30" a="1"/>
  <c r="AS71" i="30" s="1"/>
  <c r="AD71" i="30" a="1"/>
  <c r="AD71" i="30" s="1"/>
  <c r="BK70" i="30" a="1"/>
  <c r="BK70" i="30" s="1"/>
  <c r="AV70" i="30" a="1"/>
  <c r="AV70" i="30" s="1"/>
  <c r="AG70" i="30" a="1"/>
  <c r="AG70" i="30" s="1"/>
  <c r="BF69" i="30" a="1"/>
  <c r="BF69" i="30" s="1"/>
  <c r="AQ69" i="30" a="1"/>
  <c r="AQ69" i="30" s="1"/>
  <c r="AB69" i="30" a="1"/>
  <c r="AB69" i="30" s="1"/>
  <c r="BI68" i="30" a="1"/>
  <c r="BI68" i="30" s="1"/>
  <c r="AT68" i="30" a="1"/>
  <c r="AT68" i="30" s="1"/>
  <c r="AE68" i="30" a="1"/>
  <c r="AE68" i="30" s="1"/>
  <c r="BD67" i="30" a="1"/>
  <c r="BD67" i="30" s="1"/>
  <c r="AO67" i="30" a="1"/>
  <c r="AO67" i="30" s="1"/>
  <c r="Z67" i="30" a="1"/>
  <c r="Z67" i="30" s="1"/>
  <c r="BG66" i="30" a="1"/>
  <c r="BG66" i="30" s="1"/>
  <c r="AR66" i="30" a="1"/>
  <c r="AR66" i="30" s="1"/>
  <c r="AC66" i="30" a="1"/>
  <c r="AC66" i="30" s="1"/>
  <c r="BB65" i="30" a="1"/>
  <c r="BB65" i="30" s="1"/>
  <c r="AM65" i="30" a="1"/>
  <c r="AM65" i="30" s="1"/>
  <c r="F65" i="30"/>
  <c r="BK73" i="30" a="1"/>
  <c r="BK73" i="30" s="1"/>
  <c r="AV73" i="30" a="1"/>
  <c r="AV73" i="30" s="1"/>
  <c r="AG73" i="30" a="1"/>
  <c r="AG73" i="30" s="1"/>
  <c r="BM72" i="30" a="1"/>
  <c r="BM72" i="30" s="1"/>
  <c r="AX72" i="30" a="1"/>
  <c r="AX72" i="30" s="1"/>
  <c r="AI72" i="30" a="1"/>
  <c r="AI72" i="30" s="1"/>
  <c r="AA72" i="30" a="1"/>
  <c r="AA72" i="30" s="1"/>
  <c r="BO71" i="30" a="1"/>
  <c r="BO71" i="30" s="1"/>
  <c r="AZ71" i="30" a="1"/>
  <c r="AZ71" i="30" s="1"/>
  <c r="AK71" i="30" a="1"/>
  <c r="AK71" i="30" s="1"/>
  <c r="BR70" i="30" a="1"/>
  <c r="BR70" i="30" s="1"/>
  <c r="BC70" i="30" a="1"/>
  <c r="BC70" i="30" s="1"/>
  <c r="AN70" i="30" a="1"/>
  <c r="AN70" i="30" s="1"/>
  <c r="I70" i="30"/>
  <c r="BM69" i="30" a="1"/>
  <c r="BM69" i="30" s="1"/>
  <c r="AX69" i="30" a="1"/>
  <c r="AX69" i="30" s="1"/>
  <c r="AI69" i="30" a="1"/>
  <c r="AI69" i="30" s="1"/>
  <c r="BP68" i="30" a="1"/>
  <c r="BP68" i="30" s="1"/>
  <c r="BA68" i="30" a="1"/>
  <c r="BA68" i="30" s="1"/>
  <c r="AL68" i="30" a="1"/>
  <c r="AL68" i="30" s="1"/>
  <c r="BK67" i="30" a="1"/>
  <c r="BK67" i="30" s="1"/>
  <c r="AV67" i="30" a="1"/>
  <c r="AV67" i="30" s="1"/>
  <c r="AG67" i="30" a="1"/>
  <c r="AG67" i="30" s="1"/>
  <c r="BN66" i="30" a="1"/>
  <c r="BN66" i="30" s="1"/>
  <c r="AY66" i="30" a="1"/>
  <c r="AY66" i="30" s="1"/>
  <c r="AJ66" i="30" a="1"/>
  <c r="AJ66" i="30" s="1"/>
  <c r="BI65" i="30" a="1"/>
  <c r="BI65" i="30" s="1"/>
  <c r="AT65" i="30" a="1"/>
  <c r="AT65" i="30" s="1"/>
  <c r="AE65" i="30" a="1"/>
  <c r="AE65" i="30" s="1"/>
  <c r="BR73" i="30" a="1"/>
  <c r="BR73" i="30" s="1"/>
  <c r="BC73" i="30" a="1"/>
  <c r="BC73" i="30" s="1"/>
  <c r="AN73" i="30" a="1"/>
  <c r="AN73" i="30" s="1"/>
  <c r="Y73" i="30" a="1"/>
  <c r="Y73" i="30" s="1"/>
  <c r="BE72" i="30" a="1"/>
  <c r="BE72" i="30" s="1"/>
  <c r="AP72" i="30" a="1"/>
  <c r="AP72" i="30" s="1"/>
  <c r="AH72" i="30" a="1"/>
  <c r="AH72" i="30" s="1"/>
  <c r="BG71" i="30" a="1"/>
  <c r="BG71" i="30" s="1"/>
  <c r="AR71" i="30" a="1"/>
  <c r="AR71" i="30" s="1"/>
  <c r="AC71" i="30" a="1"/>
  <c r="AC71" i="30" s="1"/>
  <c r="BJ70" i="30" a="1"/>
  <c r="BJ70" i="30" s="1"/>
  <c r="AU70" i="30" a="1"/>
  <c r="AU70" i="30" s="1"/>
  <c r="F70" i="30"/>
  <c r="BE69" i="30" a="1"/>
  <c r="BE69" i="30" s="1"/>
  <c r="AP69" i="30" a="1"/>
  <c r="AP69" i="30" s="1"/>
  <c r="AA69" i="30" a="1"/>
  <c r="AA69" i="30" s="1"/>
  <c r="BH68" i="30" a="1"/>
  <c r="BH68" i="30" s="1"/>
  <c r="AS68" i="30" a="1"/>
  <c r="AS68" i="30" s="1"/>
  <c r="BR67" i="30" a="1"/>
  <c r="BR67" i="30" s="1"/>
  <c r="BC67" i="30" a="1"/>
  <c r="BC67" i="30" s="1"/>
  <c r="AN67" i="30" a="1"/>
  <c r="AN67" i="30" s="1"/>
  <c r="Y67" i="30" a="1"/>
  <c r="Y67" i="30" s="1"/>
  <c r="BF66" i="30" a="1"/>
  <c r="BF66" i="30" s="1"/>
  <c r="AQ66" i="30" a="1"/>
  <c r="AQ66" i="30" s="1"/>
  <c r="BP65" i="30" a="1"/>
  <c r="BP65" i="30" s="1"/>
  <c r="BA65" i="30" a="1"/>
  <c r="BA65" i="30" s="1"/>
  <c r="AL65" i="30" a="1"/>
  <c r="AL65" i="30" s="1"/>
  <c r="BJ73" i="30" a="1"/>
  <c r="BJ73" i="30" s="1"/>
  <c r="AU73" i="30" a="1"/>
  <c r="AU73" i="30" s="1"/>
  <c r="AF73" i="30" a="1"/>
  <c r="AF73" i="30" s="1"/>
  <c r="BL72" i="30" a="1"/>
  <c r="BL72" i="30" s="1"/>
  <c r="AW72" i="30" a="1"/>
  <c r="AW72" i="30" s="1"/>
  <c r="AO72" i="30" a="1"/>
  <c r="AO72" i="30" s="1"/>
  <c r="Z72" i="30" a="1"/>
  <c r="Z72" i="30" s="1"/>
  <c r="BN71" i="30" a="1"/>
  <c r="BN71" i="30" s="1"/>
  <c r="AY71" i="30" a="1"/>
  <c r="AY71" i="30" s="1"/>
  <c r="AJ71" i="30" a="1"/>
  <c r="AJ71" i="30" s="1"/>
  <c r="BQ70" i="30" a="1"/>
  <c r="BQ70" i="30" s="1"/>
  <c r="BB70" i="30" a="1"/>
  <c r="BB70" i="30" s="1"/>
  <c r="AE70" i="30" a="1"/>
  <c r="AE70" i="30" s="1"/>
  <c r="BL69" i="30" a="1"/>
  <c r="BL69" i="30" s="1"/>
  <c r="AW69" i="30" a="1"/>
  <c r="AW69" i="30" s="1"/>
  <c r="AH69" i="30" a="1"/>
  <c r="AH69" i="30" s="1"/>
  <c r="BO68" i="30" a="1"/>
  <c r="BO68" i="30" s="1"/>
  <c r="AZ68" i="30" a="1"/>
  <c r="AZ68" i="30" s="1"/>
  <c r="AC68" i="30" a="1"/>
  <c r="AC68" i="30" s="1"/>
  <c r="BJ67" i="30" a="1"/>
  <c r="BJ67" i="30" s="1"/>
  <c r="AU67" i="30" a="1"/>
  <c r="AU67" i="30" s="1"/>
  <c r="AF67" i="30" a="1"/>
  <c r="AF67" i="30" s="1"/>
  <c r="I67" i="30"/>
  <c r="BM66" i="30" a="1"/>
  <c r="BM66" i="30" s="1"/>
  <c r="AX66" i="30" a="1"/>
  <c r="AX66" i="30" s="1"/>
  <c r="AA66" i="30" a="1"/>
  <c r="AA66" i="30" s="1"/>
  <c r="BH65" i="30" a="1"/>
  <c r="BH65" i="30" s="1"/>
  <c r="AS65" i="30" a="1"/>
  <c r="AS65" i="30" s="1"/>
  <c r="AD65" i="30" a="1"/>
  <c r="AD65" i="30" s="1"/>
  <c r="BQ73" i="30" a="1"/>
  <c r="BQ73" i="30" s="1"/>
  <c r="BB73" i="30" a="1"/>
  <c r="BB73" i="30" s="1"/>
  <c r="AM73" i="30" a="1"/>
  <c r="AM73" i="30" s="1"/>
  <c r="BS72" i="30" a="1"/>
  <c r="BS72" i="30" s="1"/>
  <c r="BD72" i="30" a="1"/>
  <c r="BD72" i="30" s="1"/>
  <c r="AV72" i="30" a="1"/>
  <c r="AV72" i="30" s="1"/>
  <c r="AG72" i="30" a="1"/>
  <c r="AG72" i="30" s="1"/>
  <c r="BF71" i="30" a="1"/>
  <c r="BF71" i="30" s="1"/>
  <c r="AQ71" i="30" a="1"/>
  <c r="AQ71" i="30" s="1"/>
  <c r="AB71" i="30" a="1"/>
  <c r="AB71" i="30" s="1"/>
  <c r="BI70" i="30" a="1"/>
  <c r="BI70" i="30" s="1"/>
  <c r="AL70" i="30" a="1"/>
  <c r="AL70" i="30" s="1"/>
  <c r="BS69" i="30" a="1"/>
  <c r="BS69" i="30" s="1"/>
  <c r="BD69" i="30" a="1"/>
  <c r="BD69" i="30" s="1"/>
  <c r="AO69" i="30" a="1"/>
  <c r="AO69" i="30" s="1"/>
  <c r="Z69" i="30" a="1"/>
  <c r="Z69" i="30" s="1"/>
  <c r="BG68" i="30" a="1"/>
  <c r="BG68" i="30" s="1"/>
  <c r="AJ68" i="30" a="1"/>
  <c r="AJ68" i="30" s="1"/>
  <c r="BQ67" i="30" a="1"/>
  <c r="BQ67" i="30" s="1"/>
  <c r="BB67" i="30" a="1"/>
  <c r="BB67" i="30" s="1"/>
  <c r="AM67" i="30" a="1"/>
  <c r="AM67" i="30" s="1"/>
  <c r="F67" i="30"/>
  <c r="BE66" i="30" a="1"/>
  <c r="BE66" i="30" s="1"/>
  <c r="AH66" i="30" a="1"/>
  <c r="AH66" i="30" s="1"/>
  <c r="BO65" i="30" a="1"/>
  <c r="BO65" i="30" s="1"/>
  <c r="AZ65" i="30" a="1"/>
  <c r="AZ65" i="30" s="1"/>
  <c r="AK65" i="30" a="1"/>
  <c r="AK65" i="30" s="1"/>
  <c r="AI73" i="30" a="1"/>
  <c r="AI73" i="30" s="1"/>
  <c r="BQ72" i="30" a="1"/>
  <c r="BQ72" i="30" s="1"/>
  <c r="BG72" i="30" a="1"/>
  <c r="BG72" i="30" s="1"/>
  <c r="AT72" i="30" a="1"/>
  <c r="AT72" i="30" s="1"/>
  <c r="AJ72" i="30" a="1"/>
  <c r="AJ72" i="30" s="1"/>
  <c r="F71" i="30"/>
  <c r="BG70" i="30" a="1"/>
  <c r="BG70" i="30" s="1"/>
  <c r="AW70" i="30" a="1"/>
  <c r="AW70" i="30" s="1"/>
  <c r="AJ70" i="30" a="1"/>
  <c r="AJ70" i="30" s="1"/>
  <c r="Z70" i="30" a="1"/>
  <c r="Z70" i="30" s="1"/>
  <c r="BI69" i="30" a="1"/>
  <c r="BI69" i="30" s="1"/>
  <c r="AV69" i="30" a="1"/>
  <c r="AV69" i="30" s="1"/>
  <c r="Y69" i="30" a="1"/>
  <c r="Y69" i="30" s="1"/>
  <c r="AB67" i="30" a="1"/>
  <c r="AB67" i="30" s="1"/>
  <c r="BA66" i="30" a="1"/>
  <c r="BA66" i="30" s="1"/>
  <c r="AN66" i="30" a="1"/>
  <c r="AN66" i="30" s="1"/>
  <c r="AD66" i="30" a="1"/>
  <c r="AD66" i="30" s="1"/>
  <c r="BM65" i="30" a="1"/>
  <c r="BM65" i="30" s="1"/>
  <c r="AP65" i="30" a="1"/>
  <c r="AP65" i="30" s="1"/>
  <c r="AC65" i="30" a="1"/>
  <c r="AC65" i="30" s="1"/>
  <c r="BP73" i="30" a="1"/>
  <c r="BP73" i="30" s="1"/>
  <c r="BF73" i="30" a="1"/>
  <c r="BF73" i="30" s="1"/>
  <c r="AS73" i="30" a="1"/>
  <c r="AS73" i="30" s="1"/>
  <c r="BR71" i="30" a="1"/>
  <c r="BR71" i="30" s="1"/>
  <c r="BE71" i="30" a="1"/>
  <c r="BE71" i="30" s="1"/>
  <c r="AH71" i="30" a="1"/>
  <c r="AH71" i="30" s="1"/>
  <c r="AK69" i="30" a="1"/>
  <c r="AK69" i="30" s="1"/>
  <c r="I69" i="30"/>
  <c r="BJ68" i="30" a="1"/>
  <c r="BJ68" i="30" s="1"/>
  <c r="AW68" i="30" a="1"/>
  <c r="AW68" i="30" s="1"/>
  <c r="AM68" i="30" a="1"/>
  <c r="AM68" i="30" s="1"/>
  <c r="Z68" i="30" a="1"/>
  <c r="Z68" i="30" s="1"/>
  <c r="BI67" i="30" a="1"/>
  <c r="BI67" i="30" s="1"/>
  <c r="AY67" i="30" a="1"/>
  <c r="AY67" i="30" s="1"/>
  <c r="AL67" i="30" a="1"/>
  <c r="AL67" i="30" s="1"/>
  <c r="BE73" i="30" a="1"/>
  <c r="BE73" i="30" s="1"/>
  <c r="AH73" i="30" a="1"/>
  <c r="AH73" i="30" s="1"/>
  <c r="BP72" i="30" a="1"/>
  <c r="BP72" i="30" s="1"/>
  <c r="BC72" i="30" a="1"/>
  <c r="BC72" i="30" s="1"/>
  <c r="AS72" i="30" a="1"/>
  <c r="AS72" i="30" s="1"/>
  <c r="AF72" i="30" a="1"/>
  <c r="AF72" i="30" s="1"/>
  <c r="AT71" i="30" a="1"/>
  <c r="AT71" i="30" s="1"/>
  <c r="BS70" i="30" a="1"/>
  <c r="BS70" i="30" s="1"/>
  <c r="BF70" i="30" a="1"/>
  <c r="BF70" i="30" s="1"/>
  <c r="AS70" i="30" a="1"/>
  <c r="AS70" i="30" s="1"/>
  <c r="AI70" i="30" a="1"/>
  <c r="AI70" i="30" s="1"/>
  <c r="BR69" i="30" a="1"/>
  <c r="BR69" i="30" s="1"/>
  <c r="BH69" i="30" a="1"/>
  <c r="BH69" i="30" s="1"/>
  <c r="AU69" i="30" a="1"/>
  <c r="AU69" i="30" s="1"/>
  <c r="AA67" i="30" a="1"/>
  <c r="AA67" i="30" s="1"/>
  <c r="BJ66" i="30" a="1"/>
  <c r="BJ66" i="30" s="1"/>
  <c r="AZ66" i="30" a="1"/>
  <c r="AZ66" i="30" s="1"/>
  <c r="AM66" i="30" a="1"/>
  <c r="AM66" i="30" s="1"/>
  <c r="Z66" i="30" a="1"/>
  <c r="Z66" i="30" s="1"/>
  <c r="BL65" i="30" a="1"/>
  <c r="BL65" i="30" s="1"/>
  <c r="AY65" i="30" a="1"/>
  <c r="AY65" i="30" s="1"/>
  <c r="AB65" i="30" a="1"/>
  <c r="AB65" i="30" s="1"/>
  <c r="BO73" i="30" a="1"/>
  <c r="BO73" i="30" s="1"/>
  <c r="AR73" i="30" a="1"/>
  <c r="AR73" i="30" s="1"/>
  <c r="AE73" i="30" a="1"/>
  <c r="AE73" i="30" s="1"/>
  <c r="BQ71" i="30" a="1"/>
  <c r="BQ71" i="30" s="1"/>
  <c r="BD71" i="30" a="1"/>
  <c r="BD71" i="30" s="1"/>
  <c r="BP70" i="30" a="1"/>
  <c r="BP70" i="30" s="1"/>
  <c r="AJ69" i="30" a="1"/>
  <c r="AJ69" i="30" s="1"/>
  <c r="BS68" i="30" a="1"/>
  <c r="BS68" i="30" s="1"/>
  <c r="AV68" i="30" a="1"/>
  <c r="AV68" i="30" s="1"/>
  <c r="AI68" i="30" a="1"/>
  <c r="AI68" i="30" s="1"/>
  <c r="Y68" i="30" a="1"/>
  <c r="Y68" i="30" s="1"/>
  <c r="BH67" i="30" a="1"/>
  <c r="BH67" i="30" s="1"/>
  <c r="AK67" i="30" a="1"/>
  <c r="AK67" i="30" s="1"/>
  <c r="AN65" i="30" a="1"/>
  <c r="AN65" i="30" s="1"/>
  <c r="AQ73" i="30" a="1"/>
  <c r="AQ73" i="30" s="1"/>
  <c r="BO72" i="30" a="1"/>
  <c r="BO72" i="30" s="1"/>
  <c r="BB72" i="30" a="1"/>
  <c r="BB72" i="30" s="1"/>
  <c r="AR72" i="30" a="1"/>
  <c r="AR72" i="30" s="1"/>
  <c r="AE72" i="30" a="1"/>
  <c r="AE72" i="30" s="1"/>
  <c r="AF71" i="30" a="1"/>
  <c r="AF71" i="30" s="1"/>
  <c r="BE70" i="30" a="1"/>
  <c r="BE70" i="30" s="1"/>
  <c r="AR70" i="30" a="1"/>
  <c r="AR70" i="30" s="1"/>
  <c r="AH70" i="30" a="1"/>
  <c r="AH70" i="30" s="1"/>
  <c r="BQ69" i="30" a="1"/>
  <c r="BQ69" i="30" s="1"/>
  <c r="AT69" i="30" a="1"/>
  <c r="AT69" i="30" s="1"/>
  <c r="AG69" i="30" a="1"/>
  <c r="AG69" i="30" s="1"/>
  <c r="I68" i="30"/>
  <c r="AW67" i="30" a="1"/>
  <c r="AW67" i="30" s="1"/>
  <c r="BI66" i="30" a="1"/>
  <c r="BI66" i="30" s="1"/>
  <c r="AV66" i="30" a="1"/>
  <c r="AV66" i="30" s="1"/>
  <c r="AL66" i="30" a="1"/>
  <c r="AL66" i="30" s="1"/>
  <c r="Y66" i="30" a="1"/>
  <c r="Y66" i="30" s="1"/>
  <c r="BK65" i="30" a="1"/>
  <c r="BK65" i="30" s="1"/>
  <c r="AX65" i="30" a="1"/>
  <c r="AX65" i="30" s="1"/>
  <c r="AK66" i="30" a="1"/>
  <c r="AK66" i="30" s="1"/>
  <c r="BC66" i="30" a="1"/>
  <c r="BC66" i="30" s="1"/>
  <c r="BS66" i="30" a="1"/>
  <c r="BS66" i="30" s="1"/>
  <c r="AR67" i="30" a="1"/>
  <c r="AR67" i="30" s="1"/>
  <c r="BM67" i="30" a="1"/>
  <c r="BM67" i="30" s="1"/>
  <c r="BQ68" i="30" a="1"/>
  <c r="BQ68" i="30" s="1"/>
  <c r="BC69" i="30" a="1"/>
  <c r="BC69" i="30" s="1"/>
  <c r="AB70" i="30" a="1"/>
  <c r="AB70" i="30" s="1"/>
  <c r="AI71" i="30" a="1"/>
  <c r="AI71" i="30" s="1"/>
  <c r="BA71" i="30" a="1"/>
  <c r="BA71" i="30" s="1"/>
  <c r="AC73" i="30" a="1"/>
  <c r="AC73" i="30" s="1"/>
  <c r="AX73" i="30" a="1"/>
  <c r="AX73" i="30" s="1"/>
  <c r="BN73" i="30" a="1"/>
  <c r="BN73" i="30" s="1"/>
  <c r="U58" i="30"/>
  <c r="V39" i="30"/>
  <c r="T50" i="30"/>
  <c r="U51" i="30"/>
  <c r="T52" i="30"/>
  <c r="T56" i="30"/>
  <c r="V50" i="30"/>
  <c r="V51" i="30"/>
  <c r="U52" i="30"/>
  <c r="T53" i="30"/>
  <c r="T55" i="30"/>
  <c r="U56" i="30"/>
  <c r="T57" i="30"/>
  <c r="U53" i="30"/>
  <c r="V59" i="30"/>
  <c r="U60" i="30"/>
  <c r="T59" i="30"/>
  <c r="T60" i="30"/>
  <c r="O59" i="24"/>
  <c r="M59" i="24"/>
  <c r="J59" i="24"/>
  <c r="J63" i="24"/>
  <c r="O63" i="24"/>
  <c r="M63" i="24"/>
  <c r="M64" i="24"/>
  <c r="J64" i="24"/>
  <c r="O64" i="24"/>
  <c r="M58" i="24"/>
  <c r="O58" i="24"/>
  <c r="J58" i="24"/>
  <c r="O61" i="24"/>
  <c r="M61" i="24"/>
  <c r="J61" i="24"/>
  <c r="M56" i="24"/>
  <c r="O56" i="24"/>
  <c r="J56" i="24"/>
  <c r="M62" i="24"/>
  <c r="J62" i="24"/>
  <c r="O62" i="24"/>
  <c r="M57" i="24"/>
  <c r="O57" i="24"/>
  <c r="J57" i="24"/>
  <c r="O60" i="24"/>
  <c r="M60" i="24"/>
  <c r="J60" i="24"/>
  <c r="Q63" i="24"/>
  <c r="M53" i="24"/>
  <c r="J53" i="24"/>
  <c r="O53" i="24"/>
  <c r="J54" i="24"/>
  <c r="O54" i="24"/>
  <c r="M54" i="24"/>
  <c r="O48" i="24"/>
  <c r="M48" i="24"/>
  <c r="J48" i="24"/>
  <c r="J49" i="24"/>
  <c r="O49" i="24"/>
  <c r="M49" i="24"/>
  <c r="O50" i="24"/>
  <c r="M50" i="24"/>
  <c r="J50" i="24"/>
  <c r="J47" i="24"/>
  <c r="O47" i="24"/>
  <c r="M47" i="24"/>
  <c r="O51" i="24"/>
  <c r="M51" i="24"/>
  <c r="J51" i="24"/>
  <c r="M55" i="24"/>
  <c r="J55" i="24"/>
  <c r="O55" i="24"/>
  <c r="O52" i="24"/>
  <c r="M52" i="24"/>
  <c r="J52" i="24"/>
  <c r="O39" i="24"/>
  <c r="M39" i="24"/>
  <c r="J39" i="24"/>
  <c r="O42" i="24"/>
  <c r="J42" i="24"/>
  <c r="M42" i="24"/>
  <c r="O37" i="24"/>
  <c r="M37" i="24"/>
  <c r="J37" i="24"/>
  <c r="O40" i="24"/>
  <c r="M40" i="24"/>
  <c r="J40" i="24"/>
  <c r="J44" i="24"/>
  <c r="O44" i="24"/>
  <c r="M44" i="24"/>
  <c r="O38" i="24"/>
  <c r="M38" i="24"/>
  <c r="J38" i="24"/>
  <c r="M46" i="24"/>
  <c r="J46" i="24"/>
  <c r="O46" i="24"/>
  <c r="O41" i="24"/>
  <c r="M41" i="24"/>
  <c r="J41" i="24"/>
  <c r="M43" i="24"/>
  <c r="O43" i="24"/>
  <c r="J43" i="24"/>
  <c r="Q44" i="24"/>
  <c r="Q46" i="24"/>
  <c r="J31" i="24"/>
  <c r="O31" i="24"/>
  <c r="M31" i="24"/>
  <c r="O32" i="24"/>
  <c r="M32" i="24"/>
  <c r="J32" i="24"/>
  <c r="J29" i="24"/>
  <c r="O29" i="24"/>
  <c r="M29" i="24"/>
  <c r="M33" i="24"/>
  <c r="J33" i="24"/>
  <c r="O33" i="24"/>
  <c r="M30" i="24"/>
  <c r="O30" i="24"/>
  <c r="J30" i="24"/>
  <c r="J34" i="24"/>
  <c r="O34" i="24"/>
  <c r="M34" i="24"/>
  <c r="M35" i="24"/>
  <c r="J35" i="24"/>
  <c r="O35" i="24"/>
  <c r="J28" i="24"/>
  <c r="O28" i="24"/>
  <c r="M28" i="24"/>
  <c r="J27" i="24"/>
  <c r="O27" i="24"/>
  <c r="M27" i="24"/>
  <c r="J11" i="24"/>
  <c r="O11" i="24"/>
  <c r="M11" i="24"/>
  <c r="J23" i="24"/>
  <c r="O23" i="24"/>
  <c r="M23" i="24"/>
  <c r="O8" i="24"/>
  <c r="J8" i="24"/>
  <c r="M8" i="24"/>
  <c r="O10" i="24"/>
  <c r="M10" i="24"/>
  <c r="J10" i="24"/>
  <c r="U4" i="25" a="1"/>
  <c r="U4" i="25" s="1"/>
  <c r="B4" i="25" a="1"/>
  <c r="B4" i="25" s="1"/>
  <c r="L4" i="25" a="1"/>
  <c r="L4" i="25" s="1"/>
  <c r="N30" i="25" a="1"/>
  <c r="N30" i="25" s="1"/>
  <c r="M30" i="25" a="1"/>
  <c r="M30" i="25" s="1"/>
  <c r="AI31" i="25"/>
  <c r="G17" i="24" a="1"/>
  <c r="G17" i="24" s="1"/>
  <c r="I17" i="24" s="1"/>
  <c r="G16" i="24" a="1"/>
  <c r="G16" i="24" s="1"/>
  <c r="I16" i="24" s="1"/>
  <c r="J16" i="24" s="1"/>
  <c r="K16" i="24"/>
  <c r="K17" i="24"/>
  <c r="Q17" i="24" s="1"/>
  <c r="G14" i="24" a="1"/>
  <c r="G14" i="24" s="1"/>
  <c r="I14" i="24" s="1"/>
  <c r="K14" i="24"/>
  <c r="Q14" i="24" s="1"/>
  <c r="G12" i="24" a="1"/>
  <c r="G12" i="24" s="1"/>
  <c r="I12" i="24" s="1"/>
  <c r="AE16" i="25"/>
  <c r="AF16" i="25" s="1"/>
  <c r="AE17" i="25"/>
  <c r="AF17" i="25" s="1"/>
  <c r="AE18" i="25"/>
  <c r="AF18" i="25" s="1"/>
  <c r="AE19" i="25"/>
  <c r="AF19" i="25" s="1"/>
  <c r="AE25" i="25"/>
  <c r="AF25" i="25" s="1"/>
  <c r="AE26" i="25"/>
  <c r="AF26" i="25" s="1"/>
  <c r="AE27" i="25"/>
  <c r="AF27" i="25" s="1"/>
  <c r="AE28" i="25"/>
  <c r="AF28" i="25" s="1"/>
  <c r="AE29" i="25"/>
  <c r="AF29" i="25" s="1"/>
  <c r="V29" i="25" a="1"/>
  <c r="V29" i="25" s="1"/>
  <c r="V28" i="25" a="1"/>
  <c r="V28" i="25" s="1"/>
  <c r="V27" i="25" a="1"/>
  <c r="V27" i="25" s="1"/>
  <c r="V26" i="25" a="1"/>
  <c r="V26" i="25" s="1"/>
  <c r="V25" i="25" a="1"/>
  <c r="V25" i="25" s="1"/>
  <c r="V19" i="25" a="1"/>
  <c r="V19" i="25" s="1"/>
  <c r="V18" i="25" a="1"/>
  <c r="V18" i="25" s="1"/>
  <c r="V17" i="25" a="1"/>
  <c r="V17" i="25" s="1"/>
  <c r="V16" i="25" a="1"/>
  <c r="V16" i="25" s="1"/>
  <c r="V15" i="25" a="1"/>
  <c r="V15" i="25" s="1"/>
  <c r="W53" i="25"/>
  <c r="O26" i="33" l="1"/>
  <c r="M26" i="33"/>
  <c r="U26" i="33"/>
  <c r="R26" i="33" s="1"/>
  <c r="X6" i="33"/>
  <c r="O15" i="33"/>
  <c r="M15" i="33"/>
  <c r="I73" i="33"/>
  <c r="U15" i="33"/>
  <c r="AD4" i="33"/>
  <c r="AE3" i="33"/>
  <c r="AD2" i="33"/>
  <c r="M36" i="33"/>
  <c r="O36" i="33"/>
  <c r="U36" i="33"/>
  <c r="T5" i="31"/>
  <c r="V5" i="31"/>
  <c r="E1" i="31" s="1"/>
  <c r="R32" i="31"/>
  <c r="R68" i="31"/>
  <c r="W68" i="31"/>
  <c r="X68" i="31" s="1"/>
  <c r="R70" i="31"/>
  <c r="W70" i="31"/>
  <c r="X70" i="31" s="1"/>
  <c r="R66" i="31"/>
  <c r="W66" i="31"/>
  <c r="X66" i="31" s="1"/>
  <c r="R67" i="31"/>
  <c r="W67" i="31"/>
  <c r="X67" i="31" s="1"/>
  <c r="R69" i="31"/>
  <c r="W69" i="31"/>
  <c r="X69" i="31" s="1"/>
  <c r="R11" i="31"/>
  <c r="W11" i="31"/>
  <c r="X11" i="31" s="1"/>
  <c r="R41" i="31"/>
  <c r="W41" i="31"/>
  <c r="X41" i="31" s="1"/>
  <c r="R17" i="31"/>
  <c r="W17" i="31"/>
  <c r="R42" i="31"/>
  <c r="W42" i="31"/>
  <c r="X42" i="31" s="1"/>
  <c r="R22" i="31"/>
  <c r="W22" i="31"/>
  <c r="X22" i="31" s="1"/>
  <c r="AE3" i="31"/>
  <c r="AD2" i="31"/>
  <c r="AD4" i="31"/>
  <c r="R51" i="31"/>
  <c r="W51" i="31"/>
  <c r="X51" i="31" s="1"/>
  <c r="R58" i="31"/>
  <c r="W58" i="31"/>
  <c r="X58" i="31" s="1"/>
  <c r="R38" i="31"/>
  <c r="W38" i="31"/>
  <c r="R21" i="31"/>
  <c r="W21" i="31"/>
  <c r="X21" i="31" s="1"/>
  <c r="R23" i="31"/>
  <c r="W23" i="31"/>
  <c r="X23" i="31" s="1"/>
  <c r="R44" i="31"/>
  <c r="W44" i="31"/>
  <c r="X44" i="31" s="1"/>
  <c r="R56" i="31"/>
  <c r="W56" i="31"/>
  <c r="R54" i="31"/>
  <c r="W54" i="31"/>
  <c r="X54" i="31" s="1"/>
  <c r="R9" i="31"/>
  <c r="W9" i="31"/>
  <c r="X9" i="31" s="1"/>
  <c r="R18" i="31"/>
  <c r="W18" i="31"/>
  <c r="X18" i="31" s="1"/>
  <c r="R6" i="31"/>
  <c r="I15" i="31"/>
  <c r="W6" i="31"/>
  <c r="R28" i="31"/>
  <c r="W28" i="31"/>
  <c r="R53" i="31"/>
  <c r="W53" i="31"/>
  <c r="X53" i="31" s="1"/>
  <c r="R20" i="31"/>
  <c r="W20" i="31"/>
  <c r="X20" i="31" s="1"/>
  <c r="R7" i="31"/>
  <c r="W7" i="31"/>
  <c r="X7" i="31" s="1"/>
  <c r="R19" i="31"/>
  <c r="W19" i="31"/>
  <c r="X19" i="31" s="1"/>
  <c r="R60" i="31"/>
  <c r="W60" i="31"/>
  <c r="X60" i="31" s="1"/>
  <c r="R30" i="31"/>
  <c r="W30" i="31"/>
  <c r="X30" i="31" s="1"/>
  <c r="R8" i="31"/>
  <c r="W8" i="31"/>
  <c r="X8" i="31" s="1"/>
  <c r="R40" i="31"/>
  <c r="W40" i="31"/>
  <c r="X40" i="31" s="1"/>
  <c r="R46" i="31"/>
  <c r="W46" i="31"/>
  <c r="I26" i="31"/>
  <c r="R16" i="31"/>
  <c r="W16" i="31"/>
  <c r="I36" i="31"/>
  <c r="R27" i="31"/>
  <c r="W27" i="31"/>
  <c r="R34" i="31"/>
  <c r="W34" i="31"/>
  <c r="X34" i="31" s="1"/>
  <c r="R45" i="31"/>
  <c r="W45" i="31"/>
  <c r="X45" i="31" s="1"/>
  <c r="R59" i="31"/>
  <c r="W59" i="31"/>
  <c r="X59" i="31" s="1"/>
  <c r="R37" i="31"/>
  <c r="W37" i="31"/>
  <c r="R10" i="31"/>
  <c r="W10" i="31"/>
  <c r="X10" i="31" s="1"/>
  <c r="R24" i="31"/>
  <c r="W24" i="31"/>
  <c r="X24" i="31" s="1"/>
  <c r="R13" i="31"/>
  <c r="W13" i="31"/>
  <c r="X13" i="31" s="1"/>
  <c r="R14" i="31"/>
  <c r="W14" i="31"/>
  <c r="R57" i="31"/>
  <c r="W57" i="31"/>
  <c r="X57" i="31" s="1"/>
  <c r="R25" i="31"/>
  <c r="W25" i="31"/>
  <c r="X25" i="31" s="1"/>
  <c r="R48" i="31"/>
  <c r="W48" i="31"/>
  <c r="X48" i="31" s="1"/>
  <c r="R63" i="31"/>
  <c r="W63" i="31"/>
  <c r="X63" i="31" s="1"/>
  <c r="R33" i="31"/>
  <c r="W33" i="31"/>
  <c r="X33" i="31" s="1"/>
  <c r="R55" i="30"/>
  <c r="R45" i="30"/>
  <c r="P27" i="30"/>
  <c r="P36" i="30"/>
  <c r="P52" i="30"/>
  <c r="R61" i="30"/>
  <c r="AJ64" i="30" a="1"/>
  <c r="AJ64" i="30" s="1"/>
  <c r="AI64" i="30" a="1"/>
  <c r="AI64" i="30" s="1"/>
  <c r="BL64" i="30" a="1"/>
  <c r="BL64" i="30" s="1"/>
  <c r="AC64" i="30" a="1"/>
  <c r="AC64" i="30" s="1"/>
  <c r="AA64" i="30" a="1"/>
  <c r="AA64" i="30" s="1"/>
  <c r="AM64" i="30" a="1"/>
  <c r="AM64" i="30" s="1"/>
  <c r="AP64" i="30" a="1"/>
  <c r="AP64" i="30" s="1"/>
  <c r="AZ64" i="30" a="1"/>
  <c r="AZ64" i="30" s="1"/>
  <c r="BB64" i="30" a="1"/>
  <c r="BB64" i="30" s="1"/>
  <c r="AO64" i="30" a="1"/>
  <c r="AO64" i="30" s="1"/>
  <c r="AW64" i="30" a="1"/>
  <c r="AW64" i="30" s="1"/>
  <c r="AK64" i="30" a="1"/>
  <c r="AK64" i="30" s="1"/>
  <c r="BI64" i="30" a="1"/>
  <c r="BI64" i="30" s="1"/>
  <c r="AQ64" i="30" a="1"/>
  <c r="AQ64" i="30" s="1"/>
  <c r="BA64" i="30" a="1"/>
  <c r="BA64" i="30" s="1"/>
  <c r="AH64" i="30" a="1"/>
  <c r="AH64" i="30" s="1"/>
  <c r="F64" i="30"/>
  <c r="BN64" i="30" a="1"/>
  <c r="BN64" i="30" s="1"/>
  <c r="BQ64" i="30" a="1"/>
  <c r="BQ64" i="30" s="1"/>
  <c r="BM64" i="30" a="1"/>
  <c r="BM64" i="30" s="1"/>
  <c r="AD64" i="30" a="1"/>
  <c r="AD64" i="30" s="1"/>
  <c r="BP64" i="30" a="1"/>
  <c r="BP64" i="30" s="1"/>
  <c r="BO64" i="30" a="1"/>
  <c r="BO64" i="30" s="1"/>
  <c r="I64" i="30"/>
  <c r="AE64" i="30" a="1"/>
  <c r="AE64" i="30" s="1"/>
  <c r="BD64" i="30" a="1"/>
  <c r="BD64" i="30" s="1"/>
  <c r="BH64" i="30" a="1"/>
  <c r="BH64" i="30" s="1"/>
  <c r="BS64" i="30" a="1"/>
  <c r="BS64" i="30" s="1"/>
  <c r="F66" i="30"/>
  <c r="AF64" i="30" a="1"/>
  <c r="AF64" i="30" s="1"/>
  <c r="BE64" i="30" a="1"/>
  <c r="BE64" i="30" s="1"/>
  <c r="AS64" i="30" a="1"/>
  <c r="AS64" i="30" s="1"/>
  <c r="BC64" i="30" a="1"/>
  <c r="BC64" i="30" s="1"/>
  <c r="R39" i="30"/>
  <c r="AY64" i="30" a="1"/>
  <c r="AY64" i="30" s="1"/>
  <c r="AG64" i="30" a="1"/>
  <c r="AG64" i="30" s="1"/>
  <c r="AT64" i="30" a="1"/>
  <c r="AT64" i="30" s="1"/>
  <c r="AR64" i="30" a="1"/>
  <c r="AR64" i="30" s="1"/>
  <c r="Y64" i="30" a="1"/>
  <c r="Y64" i="30" s="1"/>
  <c r="AN64" i="30" a="1"/>
  <c r="AN64" i="30" s="1"/>
  <c r="BF64" i="30" a="1"/>
  <c r="BF64" i="30" s="1"/>
  <c r="P21" i="30"/>
  <c r="R11" i="30"/>
  <c r="AL64" i="30" a="1"/>
  <c r="AL64" i="30" s="1"/>
  <c r="Z64" i="30" a="1"/>
  <c r="Z64" i="30" s="1"/>
  <c r="BG64" i="30" a="1"/>
  <c r="BG64" i="30" s="1"/>
  <c r="BR64" i="30" a="1"/>
  <c r="BR64" i="30" s="1"/>
  <c r="AX64" i="30" a="1"/>
  <c r="AX64" i="30" s="1"/>
  <c r="BJ64" i="30" a="1"/>
  <c r="BJ64" i="30" s="1"/>
  <c r="AV64" i="30" a="1"/>
  <c r="AV64" i="30" s="1"/>
  <c r="W39" i="30"/>
  <c r="X39" i="30" s="1"/>
  <c r="W13" i="30"/>
  <c r="X13" i="30" s="1"/>
  <c r="R18" i="30"/>
  <c r="W30" i="30"/>
  <c r="X30" i="30" s="1"/>
  <c r="R30" i="30"/>
  <c r="R62" i="30"/>
  <c r="W48" i="30"/>
  <c r="X48" i="30" s="1"/>
  <c r="W41" i="30"/>
  <c r="X41" i="30" s="1"/>
  <c r="P23" i="30"/>
  <c r="R13" i="30"/>
  <c r="P46" i="30"/>
  <c r="P13" i="30"/>
  <c r="P48" i="30"/>
  <c r="R28" i="30"/>
  <c r="R46" i="30"/>
  <c r="R42" i="30"/>
  <c r="R10" i="30"/>
  <c r="P39" i="30"/>
  <c r="P26" i="30"/>
  <c r="I34" i="30"/>
  <c r="U34" i="30" s="1"/>
  <c r="R33" i="30"/>
  <c r="P30" i="30"/>
  <c r="R19" i="30"/>
  <c r="P40" i="30"/>
  <c r="R7" i="30"/>
  <c r="R53" i="30"/>
  <c r="W49" i="30"/>
  <c r="X49" i="30" s="1"/>
  <c r="R41" i="30"/>
  <c r="P49" i="30"/>
  <c r="R25" i="30"/>
  <c r="R8" i="30"/>
  <c r="P17" i="30"/>
  <c r="W61" i="30"/>
  <c r="X61" i="30" s="1"/>
  <c r="R58" i="30"/>
  <c r="R54" i="30"/>
  <c r="R27" i="30"/>
  <c r="P37" i="30"/>
  <c r="R21" i="30"/>
  <c r="P16" i="30"/>
  <c r="W31" i="30"/>
  <c r="X31" i="30" s="1"/>
  <c r="P31" i="30"/>
  <c r="P62" i="30"/>
  <c r="W62" i="30"/>
  <c r="X62" i="30" s="1"/>
  <c r="W42" i="30"/>
  <c r="X42" i="30" s="1"/>
  <c r="P42" i="30"/>
  <c r="W50" i="30"/>
  <c r="X50" i="30" s="1"/>
  <c r="P50" i="30"/>
  <c r="R14" i="30"/>
  <c r="P20" i="30"/>
  <c r="W20" i="30"/>
  <c r="X20" i="30" s="1"/>
  <c r="P57" i="30"/>
  <c r="W57" i="30"/>
  <c r="X57" i="30" s="1"/>
  <c r="R52" i="30"/>
  <c r="R26" i="30"/>
  <c r="R57" i="30"/>
  <c r="R17" i="30"/>
  <c r="P59" i="30"/>
  <c r="W59" i="30"/>
  <c r="X59" i="30" s="1"/>
  <c r="R35" i="30"/>
  <c r="R23" i="30"/>
  <c r="R43" i="30"/>
  <c r="R59" i="30"/>
  <c r="W25" i="30"/>
  <c r="X25" i="30" s="1"/>
  <c r="P25" i="30"/>
  <c r="R9" i="30"/>
  <c r="R51" i="30"/>
  <c r="R60" i="30"/>
  <c r="R37" i="30"/>
  <c r="P6" i="30"/>
  <c r="W6" i="30"/>
  <c r="R29" i="30"/>
  <c r="R56" i="30"/>
  <c r="R20" i="30"/>
  <c r="AA2" i="30"/>
  <c r="AA4" i="30"/>
  <c r="AB3" i="30"/>
  <c r="R40" i="30"/>
  <c r="W40" i="30"/>
  <c r="X40" i="30" s="1"/>
  <c r="P14" i="30"/>
  <c r="P60" i="30"/>
  <c r="W60" i="30"/>
  <c r="X60" i="30" s="1"/>
  <c r="P43" i="30"/>
  <c r="W43" i="30"/>
  <c r="X43" i="30" s="1"/>
  <c r="R36" i="30"/>
  <c r="R44" i="30"/>
  <c r="R50" i="30"/>
  <c r="R48" i="30"/>
  <c r="P22" i="30"/>
  <c r="W22" i="30"/>
  <c r="X22" i="30" s="1"/>
  <c r="W38" i="30"/>
  <c r="X38" i="30" s="1"/>
  <c r="P38" i="30"/>
  <c r="P54" i="30"/>
  <c r="W52" i="30"/>
  <c r="X52" i="30" s="1"/>
  <c r="R49" i="30"/>
  <c r="R22" i="30"/>
  <c r="P8" i="30"/>
  <c r="W8" i="30"/>
  <c r="X8" i="30" s="1"/>
  <c r="W21" i="30"/>
  <c r="X21" i="30" s="1"/>
  <c r="W23" i="30"/>
  <c r="X23" i="30" s="1"/>
  <c r="P58" i="30"/>
  <c r="W58" i="30"/>
  <c r="X58" i="30" s="1"/>
  <c r="R47" i="30"/>
  <c r="P45" i="30"/>
  <c r="P44" i="30"/>
  <c r="W44" i="30"/>
  <c r="X44" i="30" s="1"/>
  <c r="R38" i="30"/>
  <c r="R31" i="30"/>
  <c r="P33" i="30"/>
  <c r="W33" i="30"/>
  <c r="X33" i="30" s="1"/>
  <c r="P11" i="30"/>
  <c r="W11" i="30"/>
  <c r="X11" i="30" s="1"/>
  <c r="R32" i="30"/>
  <c r="P10" i="30"/>
  <c r="W10" i="30"/>
  <c r="X10" i="30" s="1"/>
  <c r="W9" i="30"/>
  <c r="X9" i="30" s="1"/>
  <c r="P9" i="30"/>
  <c r="P7" i="30"/>
  <c r="W7" i="30"/>
  <c r="X7" i="30" s="1"/>
  <c r="P61" i="30"/>
  <c r="W47" i="30"/>
  <c r="X47" i="30" s="1"/>
  <c r="P47" i="30"/>
  <c r="R16" i="30"/>
  <c r="W12" i="30"/>
  <c r="X12" i="30" s="1"/>
  <c r="P12" i="30"/>
  <c r="W51" i="30"/>
  <c r="X51" i="30" s="1"/>
  <c r="P51" i="30"/>
  <c r="V5" i="30"/>
  <c r="P35" i="30"/>
  <c r="W35" i="30"/>
  <c r="X35" i="30" s="1"/>
  <c r="W28" i="30"/>
  <c r="X28" i="30" s="1"/>
  <c r="P28" i="30"/>
  <c r="W56" i="30"/>
  <c r="X56" i="30" s="1"/>
  <c r="P56" i="30"/>
  <c r="P53" i="30"/>
  <c r="W53" i="30"/>
  <c r="X53" i="30" s="1"/>
  <c r="W29" i="30"/>
  <c r="X29" i="30" s="1"/>
  <c r="P29" i="30"/>
  <c r="W18" i="30"/>
  <c r="X18" i="30" s="1"/>
  <c r="P18" i="30"/>
  <c r="T5" i="30"/>
  <c r="I15" i="30"/>
  <c r="R6" i="30"/>
  <c r="W32" i="30"/>
  <c r="X32" i="30" s="1"/>
  <c r="P32" i="30"/>
  <c r="P19" i="30"/>
  <c r="W19" i="30"/>
  <c r="X19" i="30" s="1"/>
  <c r="P48" i="24"/>
  <c r="P27" i="24"/>
  <c r="P64" i="24"/>
  <c r="P62" i="24"/>
  <c r="P63" i="24"/>
  <c r="P57" i="24"/>
  <c r="P58" i="24"/>
  <c r="P60" i="24"/>
  <c r="P56" i="24"/>
  <c r="P59" i="24"/>
  <c r="P61" i="24"/>
  <c r="P55" i="24"/>
  <c r="P51" i="24"/>
  <c r="P47" i="24"/>
  <c r="P49" i="24"/>
  <c r="P38" i="24"/>
  <c r="P54" i="24"/>
  <c r="P50" i="24"/>
  <c r="P52" i="24"/>
  <c r="P53" i="24"/>
  <c r="P37" i="24"/>
  <c r="P40" i="24"/>
  <c r="P46" i="24"/>
  <c r="P44" i="24"/>
  <c r="P43" i="24"/>
  <c r="P28" i="24"/>
  <c r="P39" i="24"/>
  <c r="P42" i="24"/>
  <c r="P41" i="24"/>
  <c r="P29" i="24"/>
  <c r="P35" i="24"/>
  <c r="P34" i="24"/>
  <c r="P32" i="24"/>
  <c r="P33" i="24"/>
  <c r="P30" i="24"/>
  <c r="P31" i="24"/>
  <c r="P11" i="24"/>
  <c r="P23" i="24"/>
  <c r="V14" i="25" a="1"/>
  <c r="V14" i="25" s="1"/>
  <c r="P8" i="24"/>
  <c r="P10" i="24"/>
  <c r="V13" i="25" a="1"/>
  <c r="V13" i="25" s="1"/>
  <c r="V12" i="25" a="1"/>
  <c r="V12" i="25" s="1"/>
  <c r="V6" i="25" a="1"/>
  <c r="V6" i="25" s="1"/>
  <c r="N28" i="25" a="1"/>
  <c r="N28" i="25" s="1"/>
  <c r="N29" i="25" a="1"/>
  <c r="N29" i="25" s="1"/>
  <c r="M28" i="25" a="1"/>
  <c r="M28" i="25" s="1"/>
  <c r="J17" i="24"/>
  <c r="M17" i="24"/>
  <c r="O17" i="24"/>
  <c r="Q16" i="24"/>
  <c r="O16" i="24"/>
  <c r="M16" i="24"/>
  <c r="O14" i="24"/>
  <c r="M14" i="24"/>
  <c r="J14" i="24"/>
  <c r="V7" i="25" a="1"/>
  <c r="V7" i="25" s="1"/>
  <c r="V8" i="25" a="1"/>
  <c r="V8" i="25" s="1"/>
  <c r="V9" i="25" a="1"/>
  <c r="V9" i="25" s="1"/>
  <c r="V10" i="25" a="1"/>
  <c r="V10" i="25" s="1"/>
  <c r="V11" i="25" a="1"/>
  <c r="V11" i="25" s="1"/>
  <c r="V5" i="25" a="1"/>
  <c r="V5" i="25" s="1"/>
  <c r="K15" i="24"/>
  <c r="Q15" i="24" s="1"/>
  <c r="D66" i="24" a="1"/>
  <c r="G10" i="27" a="1"/>
  <c r="G10" i="27" s="1"/>
  <c r="K10" i="27"/>
  <c r="Q10" i="27" s="1"/>
  <c r="S10" i="27"/>
  <c r="T10" i="27" s="1"/>
  <c r="G12" i="27" a="1"/>
  <c r="G12" i="27" s="1"/>
  <c r="K12" i="27"/>
  <c r="Q12" i="27" s="1"/>
  <c r="S12" i="27"/>
  <c r="T12" i="27" s="1"/>
  <c r="W15" i="33" l="1"/>
  <c r="P15" i="33"/>
  <c r="R15" i="33"/>
  <c r="U5" i="33"/>
  <c r="AF3" i="33"/>
  <c r="AE4" i="33"/>
  <c r="AE2" i="33"/>
  <c r="W26" i="33"/>
  <c r="P26" i="33"/>
  <c r="W36" i="33"/>
  <c r="P36" i="33"/>
  <c r="I45" i="33"/>
  <c r="R36" i="33"/>
  <c r="X6" i="31"/>
  <c r="M36" i="31"/>
  <c r="O36" i="31"/>
  <c r="U36" i="31"/>
  <c r="AE4" i="31"/>
  <c r="AE2" i="31"/>
  <c r="AF3" i="31"/>
  <c r="M26" i="31"/>
  <c r="O26" i="31"/>
  <c r="U26" i="31"/>
  <c r="I81" i="31"/>
  <c r="O15" i="31"/>
  <c r="M15" i="31"/>
  <c r="U15" i="31"/>
  <c r="I70" i="24"/>
  <c r="AG76" i="24" a="1"/>
  <c r="AG76" i="24" s="1"/>
  <c r="AQ76" i="24" a="1"/>
  <c r="AQ76" i="24" s="1"/>
  <c r="AZ76" i="24" a="1"/>
  <c r="AZ76" i="24" s="1"/>
  <c r="AH76" i="24" a="1"/>
  <c r="AH76" i="24" s="1"/>
  <c r="AA76" i="24" a="1"/>
  <c r="AA76" i="24" s="1"/>
  <c r="AB76" i="24" a="1"/>
  <c r="AB76" i="24" s="1"/>
  <c r="AM76" i="24" a="1"/>
  <c r="AM76" i="24" s="1"/>
  <c r="AE76" i="24" a="1"/>
  <c r="AE76" i="24" s="1"/>
  <c r="AI76" i="24" a="1"/>
  <c r="AI76" i="24" s="1"/>
  <c r="AR76" i="24" a="1"/>
  <c r="AR76" i="24" s="1"/>
  <c r="BA76" i="24" a="1"/>
  <c r="BA76" i="24" s="1"/>
  <c r="BK76" i="24" a="1"/>
  <c r="BK76" i="24" s="1"/>
  <c r="AU76" i="24" a="1"/>
  <c r="AU76" i="24" s="1"/>
  <c r="AL76" i="24" a="1"/>
  <c r="AL76" i="24" s="1"/>
  <c r="AV76" i="24" a="1"/>
  <c r="AV76" i="24" s="1"/>
  <c r="AD76" i="24" a="1"/>
  <c r="AD76" i="24" s="1"/>
  <c r="BG76" i="24" a="1"/>
  <c r="BG76" i="24" s="1"/>
  <c r="AF76" i="24" a="1"/>
  <c r="AF76" i="24" s="1"/>
  <c r="BR76" i="24" a="1"/>
  <c r="BR76" i="24" s="1"/>
  <c r="BB76" i="24" a="1"/>
  <c r="BB76" i="24" s="1"/>
  <c r="AS76" i="24" a="1"/>
  <c r="AS76" i="24" s="1"/>
  <c r="BL76" i="24" a="1"/>
  <c r="BL76" i="24" s="1"/>
  <c r="Z76" i="24" a="1"/>
  <c r="Z76" i="24" s="1"/>
  <c r="BM76" i="24" a="1"/>
  <c r="BM76" i="24" s="1"/>
  <c r="AC76" i="24" a="1"/>
  <c r="AC76" i="24" s="1"/>
  <c r="AN76" i="24" a="1"/>
  <c r="AN76" i="24" s="1"/>
  <c r="AX76" i="24" a="1"/>
  <c r="AX76" i="24" s="1"/>
  <c r="AY76" i="24" a="1"/>
  <c r="AY76" i="24" s="1"/>
  <c r="Y76" i="24" a="1"/>
  <c r="Y76" i="24" s="1"/>
  <c r="AJ76" i="24" a="1"/>
  <c r="AJ76" i="24" s="1"/>
  <c r="BC76" i="24" a="1"/>
  <c r="BC76" i="24" s="1"/>
  <c r="AP76" i="24" a="1"/>
  <c r="AP76" i="24" s="1"/>
  <c r="BS76" i="24" a="1"/>
  <c r="BS76" i="24" s="1"/>
  <c r="BI76" i="24" a="1"/>
  <c r="BI76" i="24" s="1"/>
  <c r="BJ76" i="24" a="1"/>
  <c r="BJ76" i="24" s="1"/>
  <c r="AT76" i="24" a="1"/>
  <c r="AT76" i="24" s="1"/>
  <c r="AK76" i="24" a="1"/>
  <c r="AK76" i="24" s="1"/>
  <c r="BD76" i="24" a="1"/>
  <c r="BD76" i="24" s="1"/>
  <c r="BN76" i="24" a="1"/>
  <c r="BN76" i="24" s="1"/>
  <c r="BE76" i="24" a="1"/>
  <c r="BE76" i="24" s="1"/>
  <c r="BO76" i="24" a="1"/>
  <c r="BO76" i="24" s="1"/>
  <c r="BF76" i="24" a="1"/>
  <c r="BF76" i="24" s="1"/>
  <c r="AW76" i="24" a="1"/>
  <c r="AW76" i="24" s="1"/>
  <c r="BP76" i="24" a="1"/>
  <c r="BP76" i="24" s="1"/>
  <c r="BQ76" i="24" a="1"/>
  <c r="BQ76" i="24" s="1"/>
  <c r="AO76" i="24" a="1"/>
  <c r="AO76" i="24" s="1"/>
  <c r="BH76" i="24" a="1"/>
  <c r="BH76" i="24" s="1"/>
  <c r="F68" i="24"/>
  <c r="F76" i="24"/>
  <c r="F69" i="24"/>
  <c r="F70" i="24"/>
  <c r="F75" i="24"/>
  <c r="F71" i="24"/>
  <c r="F72" i="24"/>
  <c r="F73" i="24"/>
  <c r="F74" i="24"/>
  <c r="M34" i="30"/>
  <c r="O34" i="30"/>
  <c r="R34" i="30" s="1"/>
  <c r="AB4" i="30"/>
  <c r="AC3" i="30"/>
  <c r="AB2" i="30"/>
  <c r="W5" i="30"/>
  <c r="X6" i="30"/>
  <c r="O15" i="30"/>
  <c r="M15" i="30"/>
  <c r="I71" i="30"/>
  <c r="U15" i="30"/>
  <c r="BS75" i="24" a="1"/>
  <c r="BS75" i="24" s="1"/>
  <c r="BF75" i="24" a="1"/>
  <c r="BF75" i="24" s="1"/>
  <c r="AR75" i="24" a="1"/>
  <c r="AR75" i="24" s="1"/>
  <c r="AD75" i="24" a="1"/>
  <c r="AD75" i="24" s="1"/>
  <c r="BC75" i="24" a="1"/>
  <c r="BC75" i="24" s="1"/>
  <c r="AO75" i="24" a="1"/>
  <c r="AO75" i="24" s="1"/>
  <c r="AA75" i="24" a="1"/>
  <c r="AA75" i="24" s="1"/>
  <c r="BM75" i="24" a="1"/>
  <c r="BM75" i="24" s="1"/>
  <c r="AY75" i="24" a="1"/>
  <c r="AY75" i="24" s="1"/>
  <c r="AK75" i="24" a="1"/>
  <c r="AK75" i="24" s="1"/>
  <c r="AX75" i="24" a="1"/>
  <c r="AX75" i="24" s="1"/>
  <c r="BH75" i="24" a="1"/>
  <c r="BH75" i="24" s="1"/>
  <c r="AT75" i="24" a="1"/>
  <c r="AT75" i="24" s="1"/>
  <c r="AF75" i="24" a="1"/>
  <c r="AF75" i="24" s="1"/>
  <c r="BG75" i="24" a="1"/>
  <c r="BG75" i="24" s="1"/>
  <c r="AS75" i="24" a="1"/>
  <c r="AS75" i="24" s="1"/>
  <c r="AE75" i="24" a="1"/>
  <c r="AE75" i="24" s="1"/>
  <c r="BE75" i="24" a="1"/>
  <c r="BE75" i="24" s="1"/>
  <c r="AQ75" i="24" a="1"/>
  <c r="AQ75" i="24" s="1"/>
  <c r="AC75" i="24" a="1"/>
  <c r="AC75" i="24" s="1"/>
  <c r="BR75" i="24" a="1"/>
  <c r="BR75" i="24" s="1"/>
  <c r="BD75" i="24" a="1"/>
  <c r="BD75" i="24" s="1"/>
  <c r="AP75" i="24" a="1"/>
  <c r="AP75" i="24" s="1"/>
  <c r="AB75" i="24" a="1"/>
  <c r="AB75" i="24" s="1"/>
  <c r="BQ75" i="24" a="1"/>
  <c r="BQ75" i="24" s="1"/>
  <c r="BP75" i="24" a="1"/>
  <c r="BP75" i="24" s="1"/>
  <c r="BB75" i="24" a="1"/>
  <c r="BB75" i="24" s="1"/>
  <c r="AN75" i="24" a="1"/>
  <c r="AN75" i="24" s="1"/>
  <c r="Z75" i="24" a="1"/>
  <c r="Z75" i="24" s="1"/>
  <c r="BO75" i="24" a="1"/>
  <c r="BO75" i="24" s="1"/>
  <c r="BA75" i="24" a="1"/>
  <c r="BA75" i="24" s="1"/>
  <c r="AM75" i="24" a="1"/>
  <c r="AM75" i="24" s="1"/>
  <c r="Y75" i="24" a="1"/>
  <c r="Y75" i="24" s="1"/>
  <c r="BN75" i="24" a="1"/>
  <c r="BN75" i="24" s="1"/>
  <c r="AZ75" i="24" a="1"/>
  <c r="AZ75" i="24" s="1"/>
  <c r="AL75" i="24" a="1"/>
  <c r="AL75" i="24" s="1"/>
  <c r="BL75" i="24" a="1"/>
  <c r="BL75" i="24" s="1"/>
  <c r="AJ75" i="24" a="1"/>
  <c r="AJ75" i="24" s="1"/>
  <c r="BK75" i="24" a="1"/>
  <c r="BK75" i="24" s="1"/>
  <c r="AW75" i="24" a="1"/>
  <c r="AW75" i="24" s="1"/>
  <c r="AI75" i="24" a="1"/>
  <c r="AI75" i="24" s="1"/>
  <c r="BJ75" i="24" a="1"/>
  <c r="BJ75" i="24" s="1"/>
  <c r="AV75" i="24" a="1"/>
  <c r="AV75" i="24" s="1"/>
  <c r="AH75" i="24" a="1"/>
  <c r="AH75" i="24" s="1"/>
  <c r="BI75" i="24" a="1"/>
  <c r="BI75" i="24" s="1"/>
  <c r="AU75" i="24" a="1"/>
  <c r="AU75" i="24" s="1"/>
  <c r="AG75" i="24" a="1"/>
  <c r="AG75" i="24" s="1"/>
  <c r="AK67" i="24" a="1"/>
  <c r="AK67" i="24" s="1"/>
  <c r="BS74" i="24" a="1"/>
  <c r="BS74" i="24" s="1"/>
  <c r="F67" i="24"/>
  <c r="P16" i="24"/>
  <c r="P17" i="24"/>
  <c r="P14" i="24"/>
  <c r="Y73" i="24" a="1"/>
  <c r="Y73" i="24" s="1"/>
  <c r="BR73" i="24" a="1"/>
  <c r="BR73" i="24" s="1"/>
  <c r="AE74" i="24" a="1"/>
  <c r="AE74" i="24" s="1"/>
  <c r="BA73" i="24" a="1"/>
  <c r="BA73" i="24" s="1"/>
  <c r="BJ73" i="24" a="1"/>
  <c r="BJ73" i="24" s="1"/>
  <c r="AM74" i="24" a="1"/>
  <c r="AM74" i="24" s="1"/>
  <c r="AJ73" i="24" a="1"/>
  <c r="AJ73" i="24" s="1"/>
  <c r="AU74" i="24" a="1"/>
  <c r="AU74" i="24" s="1"/>
  <c r="BB73" i="24" a="1"/>
  <c r="BB73" i="24" s="1"/>
  <c r="BC74" i="24" a="1"/>
  <c r="BC74" i="24" s="1"/>
  <c r="AS73" i="24" a="1"/>
  <c r="AS73" i="24" s="1"/>
  <c r="BD74" i="24" a="1"/>
  <c r="BD74" i="24" s="1"/>
  <c r="BL74" i="24" a="1"/>
  <c r="BL74" i="24" s="1"/>
  <c r="AT73" i="24" a="1"/>
  <c r="AT73" i="24" s="1"/>
  <c r="BS73" i="24" a="1"/>
  <c r="BS73" i="24" s="1"/>
  <c r="AV74" i="24" a="1"/>
  <c r="AV74" i="24" s="1"/>
  <c r="AA73" i="24" a="1"/>
  <c r="AA73" i="24" s="1"/>
  <c r="AL73" i="24" a="1"/>
  <c r="AL73" i="24" s="1"/>
  <c r="AU73" i="24" a="1"/>
  <c r="AU73" i="24" s="1"/>
  <c r="AW74" i="24" a="1"/>
  <c r="AW74" i="24" s="1"/>
  <c r="AW73" i="24" a="1"/>
  <c r="AW73" i="24" s="1"/>
  <c r="BM73" i="24" a="1"/>
  <c r="BM73" i="24" s="1"/>
  <c r="AH74" i="24" a="1"/>
  <c r="AH74" i="24" s="1"/>
  <c r="BG74" i="24" a="1"/>
  <c r="BG74" i="24" s="1"/>
  <c r="AX73" i="24" a="1"/>
  <c r="AX73" i="24" s="1"/>
  <c r="BF73" i="24" a="1"/>
  <c r="BF73" i="24" s="1"/>
  <c r="BN73" i="24" a="1"/>
  <c r="BN73" i="24" s="1"/>
  <c r="AA74" i="24" a="1"/>
  <c r="AA74" i="24" s="1"/>
  <c r="AJ74" i="24" a="1"/>
  <c r="AJ74" i="24" s="1"/>
  <c r="AR74" i="24" a="1"/>
  <c r="AR74" i="24" s="1"/>
  <c r="AZ74" i="24" a="1"/>
  <c r="AZ74" i="24" s="1"/>
  <c r="BH74" i="24" a="1"/>
  <c r="BH74" i="24" s="1"/>
  <c r="BP74" i="24" a="1"/>
  <c r="BP74" i="24" s="1"/>
  <c r="AF73" i="24" a="1"/>
  <c r="AF73" i="24" s="1"/>
  <c r="AP73" i="24" a="1"/>
  <c r="AP73" i="24" s="1"/>
  <c r="AB74" i="24" a="1"/>
  <c r="AB74" i="24" s="1"/>
  <c r="AE73" i="24" a="1"/>
  <c r="AE73" i="24" s="1"/>
  <c r="AG73" i="24" a="1"/>
  <c r="AG73" i="24" s="1"/>
  <c r="AQ73" i="24" a="1"/>
  <c r="AQ73" i="24" s="1"/>
  <c r="AY73" i="24" a="1"/>
  <c r="AY73" i="24" s="1"/>
  <c r="BG73" i="24" a="1"/>
  <c r="BG73" i="24" s="1"/>
  <c r="BO73" i="24" a="1"/>
  <c r="BO73" i="24" s="1"/>
  <c r="AC74" i="24" a="1"/>
  <c r="AC74" i="24" s="1"/>
  <c r="AK74" i="24" a="1"/>
  <c r="AK74" i="24" s="1"/>
  <c r="AS74" i="24" a="1"/>
  <c r="AS74" i="24" s="1"/>
  <c r="BA74" i="24" a="1"/>
  <c r="BA74" i="24" s="1"/>
  <c r="BI74" i="24" a="1"/>
  <c r="BI74" i="24" s="1"/>
  <c r="BQ74" i="24" a="1"/>
  <c r="BQ74" i="24" s="1"/>
  <c r="AK73" i="24" a="1"/>
  <c r="AK73" i="24" s="1"/>
  <c r="BK73" i="24" a="1"/>
  <c r="BK73" i="24" s="1"/>
  <c r="AN74" i="24" a="1"/>
  <c r="AN74" i="24" s="1"/>
  <c r="BE74" i="24" a="1"/>
  <c r="BE74" i="24" s="1"/>
  <c r="AV73" i="24" a="1"/>
  <c r="AV73" i="24" s="1"/>
  <c r="Y74" i="24" a="1"/>
  <c r="Y74" i="24" s="1"/>
  <c r="AO74" i="24" a="1"/>
  <c r="AO74" i="24" s="1"/>
  <c r="AX74" i="24" a="1"/>
  <c r="AX74" i="24" s="1"/>
  <c r="BN74" i="24" a="1"/>
  <c r="BN74" i="24" s="1"/>
  <c r="AD73" i="24" a="1"/>
  <c r="AD73" i="24" s="1"/>
  <c r="BE73" i="24" a="1"/>
  <c r="BE73" i="24" s="1"/>
  <c r="Z74" i="24" a="1"/>
  <c r="Z74" i="24" s="1"/>
  <c r="AQ74" i="24" a="1"/>
  <c r="AQ74" i="24" s="1"/>
  <c r="AY74" i="24" a="1"/>
  <c r="AY74" i="24" s="1"/>
  <c r="BO74" i="24" a="1"/>
  <c r="BO74" i="24" s="1"/>
  <c r="AI74" i="24" a="1"/>
  <c r="AI74" i="24" s="1"/>
  <c r="AH73" i="24" a="1"/>
  <c r="AH73" i="24" s="1"/>
  <c r="BP73" i="24" a="1"/>
  <c r="BP73" i="24" s="1"/>
  <c r="BR74" i="24" a="1"/>
  <c r="BR74" i="24" s="1"/>
  <c r="Z73" i="24" a="1"/>
  <c r="Z73" i="24" s="1"/>
  <c r="BC73" i="24" a="1"/>
  <c r="BC73" i="24" s="1"/>
  <c r="AF74" i="24" a="1"/>
  <c r="AF74" i="24" s="1"/>
  <c r="BM74" i="24" a="1"/>
  <c r="BM74" i="24" s="1"/>
  <c r="BD73" i="24" a="1"/>
  <c r="BD73" i="24" s="1"/>
  <c r="AC73" i="24" a="1"/>
  <c r="AC73" i="24" s="1"/>
  <c r="AM73" i="24" a="1"/>
  <c r="AM73" i="24" s="1"/>
  <c r="AP74" i="24" a="1"/>
  <c r="AP74" i="24" s="1"/>
  <c r="AN73" i="24" a="1"/>
  <c r="AN73" i="24" s="1"/>
  <c r="AR73" i="24" a="1"/>
  <c r="AR73" i="24" s="1"/>
  <c r="AZ73" i="24" a="1"/>
  <c r="AZ73" i="24" s="1"/>
  <c r="BH73" i="24" a="1"/>
  <c r="BH73" i="24" s="1"/>
  <c r="BQ73" i="24" a="1"/>
  <c r="BQ73" i="24" s="1"/>
  <c r="AD74" i="24" a="1"/>
  <c r="AD74" i="24" s="1"/>
  <c r="AL74" i="24" a="1"/>
  <c r="AL74" i="24" s="1"/>
  <c r="AT74" i="24" a="1"/>
  <c r="AT74" i="24" s="1"/>
  <c r="BB74" i="24" a="1"/>
  <c r="BB74" i="24" s="1"/>
  <c r="BJ74" i="24" a="1"/>
  <c r="BJ74" i="24" s="1"/>
  <c r="AB73" i="24" a="1"/>
  <c r="AB73" i="24" s="1"/>
  <c r="BL73" i="24" a="1"/>
  <c r="BL73" i="24" s="1"/>
  <c r="AG74" i="24" a="1"/>
  <c r="AG74" i="24" s="1"/>
  <c r="BF74" i="24" a="1"/>
  <c r="BF74" i="24" s="1"/>
  <c r="AO73" i="24" a="1"/>
  <c r="AO73" i="24" s="1"/>
  <c r="AI73" i="24" a="1"/>
  <c r="AI73" i="24" s="1"/>
  <c r="BI73" i="24" a="1"/>
  <c r="BI73" i="24" s="1"/>
  <c r="BK74" i="24" a="1"/>
  <c r="BK74" i="24" s="1"/>
  <c r="D66" i="24"/>
  <c r="AE72" i="24" a="1"/>
  <c r="AE72" i="24" s="1"/>
  <c r="AS72" i="24" a="1"/>
  <c r="AS72" i="24" s="1"/>
  <c r="BG72" i="24" a="1"/>
  <c r="BG72" i="24" s="1"/>
  <c r="AK72" i="24" a="1"/>
  <c r="AK72" i="24" s="1"/>
  <c r="BM72" i="24" a="1"/>
  <c r="BM72" i="24" s="1"/>
  <c r="AM72" i="24" a="1"/>
  <c r="AM72" i="24" s="1"/>
  <c r="BA72" i="24" a="1"/>
  <c r="BA72" i="24" s="1"/>
  <c r="BR72" i="24" a="1"/>
  <c r="BR72" i="24" s="1"/>
  <c r="AD72" i="24" a="1"/>
  <c r="AD72" i="24" s="1"/>
  <c r="BD72" i="24" a="1"/>
  <c r="BD72" i="24" s="1"/>
  <c r="AB72" i="24" a="1"/>
  <c r="AB72" i="24" s="1"/>
  <c r="BQ72" i="24" a="1"/>
  <c r="BQ72" i="24" s="1"/>
  <c r="BC72" i="24" a="1"/>
  <c r="BC72" i="24" s="1"/>
  <c r="AO72" i="24" a="1"/>
  <c r="AO72" i="24" s="1"/>
  <c r="AA72" i="24" a="1"/>
  <c r="AA72" i="24" s="1"/>
  <c r="BP72" i="24" a="1"/>
  <c r="BP72" i="24" s="1"/>
  <c r="BB72" i="24" a="1"/>
  <c r="BB72" i="24" s="1"/>
  <c r="AN72" i="24" a="1"/>
  <c r="AN72" i="24" s="1"/>
  <c r="Z72" i="24" a="1"/>
  <c r="Z72" i="24" s="1"/>
  <c r="BF72" i="24" a="1"/>
  <c r="BF72" i="24" s="1"/>
  <c r="AP72" i="24" a="1"/>
  <c r="AP72" i="24" s="1"/>
  <c r="BN72" i="24" a="1"/>
  <c r="BN72" i="24" s="1"/>
  <c r="AZ72" i="24" a="1"/>
  <c r="AZ72" i="24" s="1"/>
  <c r="AL72" i="24" a="1"/>
  <c r="AL72" i="24" s="1"/>
  <c r="AY72" i="24" a="1"/>
  <c r="AY72" i="24" s="1"/>
  <c r="BL72" i="24" a="1"/>
  <c r="BL72" i="24" s="1"/>
  <c r="AX72" i="24" a="1"/>
  <c r="AX72" i="24" s="1"/>
  <c r="AJ72" i="24" a="1"/>
  <c r="AJ72" i="24" s="1"/>
  <c r="BS72" i="24" a="1"/>
  <c r="BS72" i="24" s="1"/>
  <c r="AQ72" i="24" a="1"/>
  <c r="AQ72" i="24" s="1"/>
  <c r="BK72" i="24" a="1"/>
  <c r="BK72" i="24" s="1"/>
  <c r="AW72" i="24" a="1"/>
  <c r="AW72" i="24" s="1"/>
  <c r="AI72" i="24" a="1"/>
  <c r="AI72" i="24" s="1"/>
  <c r="BE72" i="24" a="1"/>
  <c r="BE72" i="24" s="1"/>
  <c r="AC72" i="24" a="1"/>
  <c r="AC72" i="24" s="1"/>
  <c r="BO72" i="24" a="1"/>
  <c r="BO72" i="24" s="1"/>
  <c r="Y72" i="24" a="1"/>
  <c r="Y72" i="24" s="1"/>
  <c r="AH72" i="24" a="1"/>
  <c r="AH72" i="24" s="1"/>
  <c r="AG72" i="24" a="1"/>
  <c r="AG72" i="24" s="1"/>
  <c r="AR72" i="24" a="1"/>
  <c r="AR72" i="24" s="1"/>
  <c r="BJ72" i="24" a="1"/>
  <c r="BJ72" i="24" s="1"/>
  <c r="AV72" i="24" a="1"/>
  <c r="AV72" i="24" s="1"/>
  <c r="BI72" i="24" a="1"/>
  <c r="BI72" i="24" s="1"/>
  <c r="AU72" i="24" a="1"/>
  <c r="AU72" i="24" s="1"/>
  <c r="BH72" i="24" a="1"/>
  <c r="BH72" i="24" s="1"/>
  <c r="AT72" i="24" a="1"/>
  <c r="AT72" i="24" s="1"/>
  <c r="AF72" i="24" a="1"/>
  <c r="AF72" i="24" s="1"/>
  <c r="BP71" i="24" a="1"/>
  <c r="BP71" i="24" s="1"/>
  <c r="AC71" i="24" a="1"/>
  <c r="AC71" i="24" s="1"/>
  <c r="AL70" i="24" a="1"/>
  <c r="AL70" i="24" s="1"/>
  <c r="BG69" i="24" a="1"/>
  <c r="BG69" i="24" s="1"/>
  <c r="AA69" i="24" a="1"/>
  <c r="AA69" i="24" s="1"/>
  <c r="AP68" i="24" a="1"/>
  <c r="AP68" i="24" s="1"/>
  <c r="BL67" i="24" a="1"/>
  <c r="BL67" i="24" s="1"/>
  <c r="AL67" i="24" a="1"/>
  <c r="AL67" i="24" s="1"/>
  <c r="BM66" i="24" a="1"/>
  <c r="BM66" i="24" s="1"/>
  <c r="BO71" i="24" a="1"/>
  <c r="BO71" i="24" s="1"/>
  <c r="BB71" i="24" a="1"/>
  <c r="BB71" i="24" s="1"/>
  <c r="AV71" i="24" a="1"/>
  <c r="AV71" i="24" s="1"/>
  <c r="AO71" i="24" a="1"/>
  <c r="AO71" i="24" s="1"/>
  <c r="AI71" i="24" a="1"/>
  <c r="AI71" i="24" s="1"/>
  <c r="BQ70" i="24" a="1"/>
  <c r="BQ70" i="24" s="1"/>
  <c r="BK70" i="24" a="1"/>
  <c r="BK70" i="24" s="1"/>
  <c r="BD70" i="24" a="1"/>
  <c r="BD70" i="24" s="1"/>
  <c r="AX70" i="24" a="1"/>
  <c r="AX70" i="24" s="1"/>
  <c r="AK70" i="24" a="1"/>
  <c r="AK70" i="24" s="1"/>
  <c r="AE70" i="24" a="1"/>
  <c r="AE70" i="24" s="1"/>
  <c r="BS69" i="24" a="1"/>
  <c r="BS69" i="24" s="1"/>
  <c r="BM69" i="24" a="1"/>
  <c r="BM69" i="24" s="1"/>
  <c r="AZ69" i="24" a="1"/>
  <c r="AZ69" i="24" s="1"/>
  <c r="AT69" i="24" a="1"/>
  <c r="AT69" i="24" s="1"/>
  <c r="AM69" i="24" a="1"/>
  <c r="AM69" i="24" s="1"/>
  <c r="AG69" i="24" a="1"/>
  <c r="AG69" i="24" s="1"/>
  <c r="BO68" i="24" a="1"/>
  <c r="BO68" i="24" s="1"/>
  <c r="BI68" i="24" a="1"/>
  <c r="BI68" i="24" s="1"/>
  <c r="BB68" i="24" a="1"/>
  <c r="BB68" i="24" s="1"/>
  <c r="AV68" i="24" a="1"/>
  <c r="AV68" i="24" s="1"/>
  <c r="AI68" i="24" a="1"/>
  <c r="AI68" i="24" s="1"/>
  <c r="AC68" i="24" a="1"/>
  <c r="AC68" i="24" s="1"/>
  <c r="BQ67" i="24" a="1"/>
  <c r="BQ67" i="24" s="1"/>
  <c r="BK67" i="24" a="1"/>
  <c r="BK67" i="24" s="1"/>
  <c r="AX67" i="24" a="1"/>
  <c r="AX67" i="24" s="1"/>
  <c r="AR67" i="24" a="1"/>
  <c r="AR67" i="24" s="1"/>
  <c r="AE67" i="24" a="1"/>
  <c r="AE67" i="24" s="1"/>
  <c r="BC71" i="24" a="1"/>
  <c r="BC71" i="24" s="1"/>
  <c r="BR70" i="24" a="1"/>
  <c r="BR70" i="24" s="1"/>
  <c r="AR70" i="24" a="1"/>
  <c r="AR70" i="24" s="1"/>
  <c r="BN69" i="24" a="1"/>
  <c r="BN69" i="24" s="1"/>
  <c r="BA69" i="24" a="1"/>
  <c r="BA69" i="24" s="1"/>
  <c r="BP68" i="24" a="1"/>
  <c r="BP68" i="24" s="1"/>
  <c r="AW68" i="24" a="1"/>
  <c r="AW68" i="24" s="1"/>
  <c r="BR67" i="24" a="1"/>
  <c r="BR67" i="24" s="1"/>
  <c r="BE67" i="24" a="1"/>
  <c r="BE67" i="24" s="1"/>
  <c r="AF67" i="24" a="1"/>
  <c r="AF67" i="24" s="1"/>
  <c r="BN71" i="24" a="1"/>
  <c r="BN71" i="24" s="1"/>
  <c r="AU71" i="24" a="1"/>
  <c r="AU71" i="24" s="1"/>
  <c r="BP70" i="24" a="1"/>
  <c r="BP70" i="24" s="1"/>
  <c r="AQ70" i="24" a="1"/>
  <c r="AQ70" i="24" s="1"/>
  <c r="AJ70" i="24" a="1"/>
  <c r="AJ70" i="24" s="1"/>
  <c r="BF69" i="24" a="1"/>
  <c r="BF69" i="24" s="1"/>
  <c r="AF69" i="24" a="1"/>
  <c r="AF69" i="24" s="1"/>
  <c r="BH68" i="24" a="1"/>
  <c r="BH68" i="24" s="1"/>
  <c r="AU68" i="24" a="1"/>
  <c r="AU68" i="24" s="1"/>
  <c r="AB68" i="24" a="1"/>
  <c r="AB68" i="24" s="1"/>
  <c r="AD67" i="24" a="1"/>
  <c r="AD67" i="24" s="1"/>
  <c r="BM71" i="24" a="1"/>
  <c r="BM71" i="24" s="1"/>
  <c r="BG71" i="24" a="1"/>
  <c r="BG71" i="24" s="1"/>
  <c r="AT71" i="24" a="1"/>
  <c r="AT71" i="24" s="1"/>
  <c r="AN71" i="24" a="1"/>
  <c r="AN71" i="24" s="1"/>
  <c r="AG71" i="24" a="1"/>
  <c r="AG71" i="24" s="1"/>
  <c r="AA71" i="24" a="1"/>
  <c r="AA71" i="24" s="1"/>
  <c r="BI70" i="24" a="1"/>
  <c r="BI70" i="24" s="1"/>
  <c r="BC70" i="24" a="1"/>
  <c r="BC70" i="24" s="1"/>
  <c r="AV70" i="24" a="1"/>
  <c r="AV70" i="24" s="1"/>
  <c r="AP70" i="24" a="1"/>
  <c r="AP70" i="24" s="1"/>
  <c r="AC70" i="24" a="1"/>
  <c r="AC70" i="24" s="1"/>
  <c r="BR69" i="24" a="1"/>
  <c r="BR69" i="24" s="1"/>
  <c r="BK69" i="24" a="1"/>
  <c r="BK69" i="24" s="1"/>
  <c r="BE69" i="24" a="1"/>
  <c r="BE69" i="24" s="1"/>
  <c r="AR69" i="24" a="1"/>
  <c r="AR69" i="24" s="1"/>
  <c r="AL69" i="24" a="1"/>
  <c r="AL69" i="24" s="1"/>
  <c r="AE69" i="24" a="1"/>
  <c r="AE69" i="24" s="1"/>
  <c r="Y69" i="24" a="1"/>
  <c r="Y69" i="24" s="1"/>
  <c r="BG68" i="24" a="1"/>
  <c r="BG68" i="24" s="1"/>
  <c r="BA68" i="24" a="1"/>
  <c r="BA68" i="24" s="1"/>
  <c r="AT68" i="24" a="1"/>
  <c r="AT68" i="24" s="1"/>
  <c r="AN68" i="24" a="1"/>
  <c r="AN68" i="24" s="1"/>
  <c r="AA68" i="24" a="1"/>
  <c r="AA68" i="24" s="1"/>
  <c r="BP67" i="24" a="1"/>
  <c r="BP67" i="24" s="1"/>
  <c r="BI67" i="24" a="1"/>
  <c r="BI67" i="24" s="1"/>
  <c r="BC67" i="24" a="1"/>
  <c r="BC67" i="24" s="1"/>
  <c r="AP67" i="24" a="1"/>
  <c r="AP67" i="24" s="1"/>
  <c r="AJ67" i="24" a="1"/>
  <c r="AJ67" i="24" s="1"/>
  <c r="AC67" i="24" a="1"/>
  <c r="AC67" i="24" s="1"/>
  <c r="BA71" i="24" a="1"/>
  <c r="BA71" i="24" s="1"/>
  <c r="AB71" i="24" a="1"/>
  <c r="AB71" i="24" s="1"/>
  <c r="AW70" i="24" a="1"/>
  <c r="AW70" i="24" s="1"/>
  <c r="BL69" i="24" a="1"/>
  <c r="BL69" i="24" s="1"/>
  <c r="AS69" i="24" a="1"/>
  <c r="AS69" i="24" s="1"/>
  <c r="BN68" i="24" a="1"/>
  <c r="BN68" i="24" s="1"/>
  <c r="AH68" i="24" a="1"/>
  <c r="AH68" i="24" s="1"/>
  <c r="BD67" i="24" a="1"/>
  <c r="BD67" i="24" s="1"/>
  <c r="AQ67" i="24" a="1"/>
  <c r="AQ67" i="24" s="1"/>
  <c r="BS71" i="24" a="1"/>
  <c r="BS71" i="24" s="1"/>
  <c r="BF71" i="24" a="1"/>
  <c r="BF71" i="24" s="1"/>
  <c r="AZ71" i="24" a="1"/>
  <c r="AZ71" i="24" s="1"/>
  <c r="AS71" i="24" a="1"/>
  <c r="AS71" i="24" s="1"/>
  <c r="AM71" i="24" a="1"/>
  <c r="AM71" i="24" s="1"/>
  <c r="Z71" i="24" a="1"/>
  <c r="Z71" i="24" s="1"/>
  <c r="BO70" i="24" a="1"/>
  <c r="BO70" i="24" s="1"/>
  <c r="BH70" i="24" a="1"/>
  <c r="BH70" i="24" s="1"/>
  <c r="BB70" i="24" a="1"/>
  <c r="BB70" i="24" s="1"/>
  <c r="AO70" i="24" a="1"/>
  <c r="AO70" i="24" s="1"/>
  <c r="AI70" i="24" a="1"/>
  <c r="AI70" i="24" s="1"/>
  <c r="AB70" i="24" a="1"/>
  <c r="AB70" i="24" s="1"/>
  <c r="BQ69" i="24" a="1"/>
  <c r="BQ69" i="24" s="1"/>
  <c r="BD69" i="24" a="1"/>
  <c r="BD69" i="24" s="1"/>
  <c r="AX69" i="24" a="1"/>
  <c r="AX69" i="24" s="1"/>
  <c r="AQ69" i="24" a="1"/>
  <c r="AQ69" i="24" s="1"/>
  <c r="AK69" i="24" a="1"/>
  <c r="AK69" i="24" s="1"/>
  <c r="BS68" i="24" a="1"/>
  <c r="BS68" i="24" s="1"/>
  <c r="BM68" i="24" a="1"/>
  <c r="BM68" i="24" s="1"/>
  <c r="BF68" i="24" a="1"/>
  <c r="BF68" i="24" s="1"/>
  <c r="AZ68" i="24" a="1"/>
  <c r="AZ68" i="24" s="1"/>
  <c r="AM68" i="24" a="1"/>
  <c r="AM68" i="24" s="1"/>
  <c r="AG68" i="24" a="1"/>
  <c r="AG68" i="24" s="1"/>
  <c r="Z68" i="24" a="1"/>
  <c r="Z68" i="24" s="1"/>
  <c r="BO67" i="24" a="1"/>
  <c r="BO67" i="24" s="1"/>
  <c r="BB67" i="24" a="1"/>
  <c r="BB67" i="24" s="1"/>
  <c r="AV67" i="24" a="1"/>
  <c r="AV67" i="24" s="1"/>
  <c r="AO67" i="24" a="1"/>
  <c r="AO67" i="24" s="1"/>
  <c r="AI67" i="24" a="1"/>
  <c r="AI67" i="24" s="1"/>
  <c r="AP71" i="24" a="1"/>
  <c r="AP71" i="24" s="1"/>
  <c r="BE70" i="24" a="1"/>
  <c r="BE70" i="24" s="1"/>
  <c r="Y70" i="24" a="1"/>
  <c r="Y70" i="24" s="1"/>
  <c r="AN69" i="24" a="1"/>
  <c r="AN69" i="24" s="1"/>
  <c r="BC68" i="24" a="1"/>
  <c r="BC68" i="24" s="1"/>
  <c r="AJ68" i="24" a="1"/>
  <c r="AJ68" i="24" s="1"/>
  <c r="AY67" i="24" a="1"/>
  <c r="AY67" i="24" s="1"/>
  <c r="Y67" i="24" a="1"/>
  <c r="Y67" i="24" s="1"/>
  <c r="BH71" i="24" a="1"/>
  <c r="BH71" i="24" s="1"/>
  <c r="AH71" i="24" a="1"/>
  <c r="AH71" i="24" s="1"/>
  <c r="BJ70" i="24" a="1"/>
  <c r="BJ70" i="24" s="1"/>
  <c r="AD70" i="24" a="1"/>
  <c r="AD70" i="24" s="1"/>
  <c r="AY69" i="24" a="1"/>
  <c r="AY69" i="24" s="1"/>
  <c r="Z69" i="24" a="1"/>
  <c r="Z69" i="24" s="1"/>
  <c r="AO68" i="24" a="1"/>
  <c r="AO68" i="24" s="1"/>
  <c r="BJ67" i="24" a="1"/>
  <c r="BJ67" i="24" s="1"/>
  <c r="AW67" i="24" a="1"/>
  <c r="AW67" i="24" s="1"/>
  <c r="BR71" i="24" a="1"/>
  <c r="BR71" i="24" s="1"/>
  <c r="BL71" i="24" a="1"/>
  <c r="BL71" i="24" s="1"/>
  <c r="BE71" i="24" a="1"/>
  <c r="BE71" i="24" s="1"/>
  <c r="AY71" i="24" a="1"/>
  <c r="AY71" i="24" s="1"/>
  <c r="AL71" i="24" a="1"/>
  <c r="AL71" i="24" s="1"/>
  <c r="AF71" i="24" a="1"/>
  <c r="AF71" i="24" s="1"/>
  <c r="Y71" i="24" a="1"/>
  <c r="Y71" i="24" s="1"/>
  <c r="BN70" i="24" a="1"/>
  <c r="BN70" i="24" s="1"/>
  <c r="BA70" i="24" a="1"/>
  <c r="BA70" i="24" s="1"/>
  <c r="AU70" i="24" a="1"/>
  <c r="AU70" i="24" s="1"/>
  <c r="AN70" i="24" a="1"/>
  <c r="AN70" i="24" s="1"/>
  <c r="AH70" i="24" a="1"/>
  <c r="AH70" i="24" s="1"/>
  <c r="BP69" i="24" a="1"/>
  <c r="BP69" i="24" s="1"/>
  <c r="BJ69" i="24" a="1"/>
  <c r="BJ69" i="24" s="1"/>
  <c r="BC69" i="24" a="1"/>
  <c r="BC69" i="24" s="1"/>
  <c r="AW69" i="24" a="1"/>
  <c r="AW69" i="24" s="1"/>
  <c r="AJ69" i="24" a="1"/>
  <c r="AJ69" i="24" s="1"/>
  <c r="AD69" i="24" a="1"/>
  <c r="AD69" i="24" s="1"/>
  <c r="BR68" i="24" a="1"/>
  <c r="BR68" i="24" s="1"/>
  <c r="BL68" i="24" a="1"/>
  <c r="BL68" i="24" s="1"/>
  <c r="AY68" i="24" a="1"/>
  <c r="AY68" i="24" s="1"/>
  <c r="AS68" i="24" a="1"/>
  <c r="AS68" i="24" s="1"/>
  <c r="AL68" i="24" a="1"/>
  <c r="AL68" i="24" s="1"/>
  <c r="AF68" i="24" a="1"/>
  <c r="AF68" i="24" s="1"/>
  <c r="BN67" i="24" a="1"/>
  <c r="BN67" i="24" s="1"/>
  <c r="BH67" i="24" a="1"/>
  <c r="BH67" i="24" s="1"/>
  <c r="BA67" i="24" a="1"/>
  <c r="BA67" i="24" s="1"/>
  <c r="AU67" i="24" a="1"/>
  <c r="AU67" i="24" s="1"/>
  <c r="AH67" i="24" a="1"/>
  <c r="AH67" i="24" s="1"/>
  <c r="AB67" i="24" a="1"/>
  <c r="AB67" i="24" s="1"/>
  <c r="AJ71" i="24" a="1"/>
  <c r="AJ71" i="24" s="1"/>
  <c r="AY70" i="24" a="1"/>
  <c r="AY70" i="24" s="1"/>
  <c r="AH69" i="24" a="1"/>
  <c r="AH69" i="24" s="1"/>
  <c r="BQ71" i="24" a="1"/>
  <c r="BQ71" i="24" s="1"/>
  <c r="BK71" i="24" a="1"/>
  <c r="BK71" i="24" s="1"/>
  <c r="AX71" i="24" a="1"/>
  <c r="AX71" i="24" s="1"/>
  <c r="AR71" i="24" a="1"/>
  <c r="AR71" i="24" s="1"/>
  <c r="AK71" i="24" a="1"/>
  <c r="AK71" i="24" s="1"/>
  <c r="AE71" i="24" a="1"/>
  <c r="AE71" i="24" s="1"/>
  <c r="BM70" i="24" a="1"/>
  <c r="BM70" i="24" s="1"/>
  <c r="BG70" i="24" a="1"/>
  <c r="BG70" i="24" s="1"/>
  <c r="AZ70" i="24" a="1"/>
  <c r="AZ70" i="24" s="1"/>
  <c r="AT70" i="24" a="1"/>
  <c r="AT70" i="24" s="1"/>
  <c r="AG70" i="24" a="1"/>
  <c r="AG70" i="24" s="1"/>
  <c r="AA70" i="24" a="1"/>
  <c r="AA70" i="24" s="1"/>
  <c r="BO69" i="24" a="1"/>
  <c r="BO69" i="24" s="1"/>
  <c r="BI69" i="24" a="1"/>
  <c r="BI69" i="24" s="1"/>
  <c r="AV69" i="24" a="1"/>
  <c r="AV69" i="24" s="1"/>
  <c r="AP69" i="24" a="1"/>
  <c r="AP69" i="24" s="1"/>
  <c r="AI69" i="24" a="1"/>
  <c r="AI69" i="24" s="1"/>
  <c r="AC69" i="24" a="1"/>
  <c r="AC69" i="24" s="1"/>
  <c r="BK68" i="24" a="1"/>
  <c r="BK68" i="24" s="1"/>
  <c r="BE68" i="24" a="1"/>
  <c r="BE68" i="24" s="1"/>
  <c r="AX68" i="24" a="1"/>
  <c r="AX68" i="24" s="1"/>
  <c r="AR68" i="24" a="1"/>
  <c r="AR68" i="24" s="1"/>
  <c r="AE68" i="24" a="1"/>
  <c r="AE68" i="24" s="1"/>
  <c r="Y68" i="24" a="1"/>
  <c r="Y68" i="24" s="1"/>
  <c r="BM67" i="24" a="1"/>
  <c r="BM67" i="24" s="1"/>
  <c r="BG67" i="24" a="1"/>
  <c r="BG67" i="24" s="1"/>
  <c r="AT67" i="24" a="1"/>
  <c r="AT67" i="24" s="1"/>
  <c r="AN67" i="24" a="1"/>
  <c r="AN67" i="24" s="1"/>
  <c r="AG67" i="24" a="1"/>
  <c r="AG67" i="24" s="1"/>
  <c r="AA67" i="24" a="1"/>
  <c r="AA67" i="24" s="1"/>
  <c r="BI71" i="24" a="1"/>
  <c r="BI71" i="24" s="1"/>
  <c r="BJ71" i="24" a="1"/>
  <c r="BJ71" i="24" s="1"/>
  <c r="BD71" i="24" a="1"/>
  <c r="BD71" i="24" s="1"/>
  <c r="AW71" i="24" a="1"/>
  <c r="AW71" i="24" s="1"/>
  <c r="AQ71" i="24" a="1"/>
  <c r="AQ71" i="24" s="1"/>
  <c r="AD71" i="24" a="1"/>
  <c r="AD71" i="24" s="1"/>
  <c r="BS70" i="24" a="1"/>
  <c r="BS70" i="24" s="1"/>
  <c r="BL70" i="24" a="1"/>
  <c r="BL70" i="24" s="1"/>
  <c r="BF70" i="24" a="1"/>
  <c r="BF70" i="24" s="1"/>
  <c r="AS70" i="24" a="1"/>
  <c r="AS70" i="24" s="1"/>
  <c r="AM70" i="24" a="1"/>
  <c r="AM70" i="24" s="1"/>
  <c r="AF70" i="24" a="1"/>
  <c r="AF70" i="24" s="1"/>
  <c r="Z70" i="24" a="1"/>
  <c r="Z70" i="24" s="1"/>
  <c r="BH69" i="24" a="1"/>
  <c r="BH69" i="24" s="1"/>
  <c r="BB69" i="24" a="1"/>
  <c r="BB69" i="24" s="1"/>
  <c r="AU69" i="24" a="1"/>
  <c r="AU69" i="24" s="1"/>
  <c r="AO69" i="24" a="1"/>
  <c r="AO69" i="24" s="1"/>
  <c r="AB69" i="24" a="1"/>
  <c r="AB69" i="24" s="1"/>
  <c r="BQ68" i="24" a="1"/>
  <c r="BQ68" i="24" s="1"/>
  <c r="BJ68" i="24" a="1"/>
  <c r="BJ68" i="24" s="1"/>
  <c r="BD68" i="24" a="1"/>
  <c r="BD68" i="24" s="1"/>
  <c r="AQ68" i="24" a="1"/>
  <c r="AQ68" i="24" s="1"/>
  <c r="AK68" i="24" a="1"/>
  <c r="AK68" i="24" s="1"/>
  <c r="AD68" i="24" a="1"/>
  <c r="AD68" i="24" s="1"/>
  <c r="BS67" i="24" a="1"/>
  <c r="BS67" i="24" s="1"/>
  <c r="BF67" i="24" a="1"/>
  <c r="BF67" i="24" s="1"/>
  <c r="AZ67" i="24" a="1"/>
  <c r="AZ67" i="24" s="1"/>
  <c r="AS67" i="24" a="1"/>
  <c r="AS67" i="24" s="1"/>
  <c r="AM67" i="24" a="1"/>
  <c r="AM67" i="24" s="1"/>
  <c r="Z67" i="24" a="1"/>
  <c r="Z67" i="24" s="1"/>
  <c r="I10" i="27"/>
  <c r="U10" i="27" s="1"/>
  <c r="J10" i="27"/>
  <c r="V10" i="27"/>
  <c r="V12" i="27"/>
  <c r="I12" i="27"/>
  <c r="J12" i="27"/>
  <c r="S221" i="27"/>
  <c r="K221" i="27"/>
  <c r="Q221" i="27" s="1"/>
  <c r="G221" i="27" a="1"/>
  <c r="G221" i="27" s="1"/>
  <c r="I221" i="27" s="1"/>
  <c r="O221" i="27" s="1"/>
  <c r="S220" i="27"/>
  <c r="K220" i="27"/>
  <c r="Q220" i="27" s="1"/>
  <c r="G220" i="27" a="1"/>
  <c r="G220" i="27" s="1"/>
  <c r="J220" i="27" s="1"/>
  <c r="S219" i="27"/>
  <c r="K219" i="27"/>
  <c r="Q219" i="27" s="1"/>
  <c r="G219" i="27" a="1"/>
  <c r="G219" i="27" s="1"/>
  <c r="S218" i="27"/>
  <c r="K218" i="27"/>
  <c r="Q218" i="27" s="1"/>
  <c r="G218" i="27" a="1"/>
  <c r="G218" i="27" s="1"/>
  <c r="J218" i="27" s="1"/>
  <c r="S217" i="27"/>
  <c r="K217" i="27"/>
  <c r="Q217" i="27" s="1"/>
  <c r="G217" i="27" a="1"/>
  <c r="G217" i="27" s="1"/>
  <c r="I217" i="27" s="1"/>
  <c r="S216" i="27"/>
  <c r="T216" i="27" s="1"/>
  <c r="K216" i="27"/>
  <c r="Q216" i="27" s="1"/>
  <c r="G216" i="27" a="1"/>
  <c r="G216" i="27" s="1"/>
  <c r="S215" i="27"/>
  <c r="K215" i="27"/>
  <c r="Q215" i="27" s="1"/>
  <c r="G215" i="27" a="1"/>
  <c r="G215" i="27" s="1"/>
  <c r="S214" i="27"/>
  <c r="T214" i="27" s="1"/>
  <c r="K214" i="27"/>
  <c r="Q214" i="27" s="1"/>
  <c r="G214" i="27" a="1"/>
  <c r="G214" i="27" s="1"/>
  <c r="I214" i="27" s="1"/>
  <c r="S213" i="27"/>
  <c r="K213" i="27"/>
  <c r="Q213" i="27" s="1"/>
  <c r="G213" i="27" a="1"/>
  <c r="G213" i="27" s="1"/>
  <c r="J213" i="27" s="1"/>
  <c r="S212" i="27"/>
  <c r="K212" i="27"/>
  <c r="Q212" i="27" s="1"/>
  <c r="G212" i="27" a="1"/>
  <c r="G212" i="27" s="1"/>
  <c r="S211" i="27"/>
  <c r="T211" i="27" s="1"/>
  <c r="K211" i="27"/>
  <c r="Q211" i="27" s="1"/>
  <c r="G211" i="27" a="1"/>
  <c r="G211" i="27" s="1"/>
  <c r="S210" i="27"/>
  <c r="K210" i="27"/>
  <c r="Q210" i="27" s="1"/>
  <c r="G210" i="27" a="1"/>
  <c r="G210" i="27" s="1"/>
  <c r="I210" i="27" s="1"/>
  <c r="S209" i="27"/>
  <c r="T209" i="27" s="1"/>
  <c r="K209" i="27"/>
  <c r="Q209" i="27" s="1"/>
  <c r="G209" i="27" a="1"/>
  <c r="G209" i="27" s="1"/>
  <c r="S208" i="27"/>
  <c r="K208" i="27"/>
  <c r="Q208" i="27" s="1"/>
  <c r="G208" i="27" a="1"/>
  <c r="G208" i="27" s="1"/>
  <c r="S207" i="27"/>
  <c r="K207" i="27"/>
  <c r="Q207" i="27" s="1"/>
  <c r="G207" i="27" a="1"/>
  <c r="G207" i="27" s="1"/>
  <c r="I207" i="27" s="1"/>
  <c r="O207" i="27" s="1"/>
  <c r="S206" i="27"/>
  <c r="K206" i="27"/>
  <c r="G206" i="27" a="1"/>
  <c r="G206" i="27" s="1"/>
  <c r="S205" i="27"/>
  <c r="T205" i="27" s="1"/>
  <c r="K205" i="27"/>
  <c r="Q205" i="27" s="1"/>
  <c r="G205" i="27" a="1"/>
  <c r="G205" i="27" s="1"/>
  <c r="S204" i="27"/>
  <c r="K204" i="27"/>
  <c r="Q204" i="27" s="1"/>
  <c r="G204" i="27" a="1"/>
  <c r="G204" i="27" s="1"/>
  <c r="I204" i="27" s="1"/>
  <c r="S203" i="27"/>
  <c r="K203" i="27"/>
  <c r="Q203" i="27" s="1"/>
  <c r="G203" i="27" a="1"/>
  <c r="G203" i="27" s="1"/>
  <c r="J203" i="27" s="1"/>
  <c r="S202" i="27"/>
  <c r="K202" i="27"/>
  <c r="Q202" i="27" s="1"/>
  <c r="G202" i="27" a="1"/>
  <c r="G202" i="27" s="1"/>
  <c r="J202" i="27" s="1"/>
  <c r="S201" i="27"/>
  <c r="K201" i="27"/>
  <c r="Q201" i="27" s="1"/>
  <c r="G201" i="27" a="1"/>
  <c r="G201" i="27" s="1"/>
  <c r="J201" i="27" s="1"/>
  <c r="S200" i="27"/>
  <c r="K200" i="27"/>
  <c r="Q200" i="27" s="1"/>
  <c r="G200" i="27" a="1"/>
  <c r="G200" i="27" s="1"/>
  <c r="S199" i="27"/>
  <c r="K199" i="27"/>
  <c r="Q199" i="27" s="1"/>
  <c r="G199" i="27" a="1"/>
  <c r="G199" i="27" s="1"/>
  <c r="J199" i="27" s="1"/>
  <c r="S198" i="27"/>
  <c r="T198" i="27" s="1"/>
  <c r="K198" i="27"/>
  <c r="Q198" i="27" s="1"/>
  <c r="G198" i="27" a="1"/>
  <c r="G198" i="27" s="1"/>
  <c r="S197" i="27"/>
  <c r="K197" i="27"/>
  <c r="Q197" i="27" s="1"/>
  <c r="G197" i="27" a="1"/>
  <c r="G197" i="27" s="1"/>
  <c r="S196" i="27"/>
  <c r="T196" i="27" s="1"/>
  <c r="K196" i="27"/>
  <c r="Q196" i="27" s="1"/>
  <c r="G196" i="27" a="1"/>
  <c r="G196" i="27" s="1"/>
  <c r="S195" i="27"/>
  <c r="K195" i="27"/>
  <c r="Q195" i="27" s="1"/>
  <c r="G195" i="27" a="1"/>
  <c r="G195" i="27" s="1"/>
  <c r="S194" i="27"/>
  <c r="K194" i="27"/>
  <c r="Q194" i="27" s="1"/>
  <c r="G194" i="27" a="1"/>
  <c r="G194" i="27" s="1"/>
  <c r="S193" i="27"/>
  <c r="K193" i="27"/>
  <c r="Q193" i="27" s="1"/>
  <c r="G193" i="27" a="1"/>
  <c r="G193" i="27" s="1"/>
  <c r="S192" i="27"/>
  <c r="K192" i="27"/>
  <c r="Q192" i="27" s="1"/>
  <c r="G192" i="27" a="1"/>
  <c r="G192" i="27" s="1"/>
  <c r="S191" i="27"/>
  <c r="K191" i="27"/>
  <c r="Q191" i="27" s="1"/>
  <c r="G191" i="27" a="1"/>
  <c r="G191" i="27" s="1"/>
  <c r="S190" i="27"/>
  <c r="K190" i="27"/>
  <c r="Q190" i="27" s="1"/>
  <c r="G190" i="27" a="1"/>
  <c r="G190" i="27" s="1"/>
  <c r="I190" i="27" s="1"/>
  <c r="M190" i="27" s="1"/>
  <c r="S189" i="27"/>
  <c r="K189" i="27"/>
  <c r="Q189" i="27" s="1"/>
  <c r="G189" i="27" a="1"/>
  <c r="G189" i="27" s="1"/>
  <c r="I189" i="27" s="1"/>
  <c r="S188" i="27"/>
  <c r="K188" i="27"/>
  <c r="Q188" i="27" s="1"/>
  <c r="G188" i="27" a="1"/>
  <c r="G188" i="27" s="1"/>
  <c r="S187" i="27"/>
  <c r="T187" i="27" s="1"/>
  <c r="K187" i="27"/>
  <c r="Q187" i="27" s="1"/>
  <c r="G187" i="27" a="1"/>
  <c r="G187" i="27" s="1"/>
  <c r="J187" i="27" s="1"/>
  <c r="S186" i="27"/>
  <c r="T186" i="27" s="1"/>
  <c r="K186" i="27"/>
  <c r="Q186" i="27" s="1"/>
  <c r="G186" i="27" a="1"/>
  <c r="G186" i="27" s="1"/>
  <c r="J186" i="27" s="1"/>
  <c r="S185" i="27"/>
  <c r="K185" i="27"/>
  <c r="Q185" i="27" s="1"/>
  <c r="G185" i="27" a="1"/>
  <c r="G185" i="27" s="1"/>
  <c r="J185" i="27" s="1"/>
  <c r="S184" i="27"/>
  <c r="K184" i="27"/>
  <c r="Q184" i="27" s="1"/>
  <c r="G184" i="27" a="1"/>
  <c r="G184" i="27" s="1"/>
  <c r="S183" i="27"/>
  <c r="K183" i="27"/>
  <c r="Q183" i="27" s="1"/>
  <c r="G183" i="27" a="1"/>
  <c r="G183" i="27" s="1"/>
  <c r="S182" i="27"/>
  <c r="K182" i="27"/>
  <c r="Q182" i="27" s="1"/>
  <c r="G182" i="27" a="1"/>
  <c r="G182" i="27" s="1"/>
  <c r="J182" i="27" s="1"/>
  <c r="S181" i="27"/>
  <c r="K181" i="27"/>
  <c r="Q181" i="27" s="1"/>
  <c r="G181" i="27" a="1"/>
  <c r="G181" i="27" s="1"/>
  <c r="S180" i="27"/>
  <c r="T180" i="27" s="1"/>
  <c r="K180" i="27"/>
  <c r="Q180" i="27" s="1"/>
  <c r="G180" i="27" a="1"/>
  <c r="G180" i="27" s="1"/>
  <c r="S179" i="27"/>
  <c r="T179" i="27" s="1"/>
  <c r="K179" i="27"/>
  <c r="Q179" i="27" s="1"/>
  <c r="G179" i="27" a="1"/>
  <c r="G179" i="27" s="1"/>
  <c r="I179" i="27" s="1"/>
  <c r="S178" i="27"/>
  <c r="K178" i="27"/>
  <c r="Q178" i="27" s="1"/>
  <c r="G178" i="27" a="1"/>
  <c r="G178" i="27" s="1"/>
  <c r="J178" i="27" s="1"/>
  <c r="S177" i="27"/>
  <c r="K177" i="27"/>
  <c r="Q177" i="27" s="1"/>
  <c r="G177" i="27" a="1"/>
  <c r="G177" i="27" s="1"/>
  <c r="S176" i="27"/>
  <c r="K176" i="27"/>
  <c r="Q176" i="27" s="1"/>
  <c r="G176" i="27" a="1"/>
  <c r="G176" i="27" s="1"/>
  <c r="I176" i="27" s="1"/>
  <c r="M176" i="27" s="1"/>
  <c r="S175" i="27"/>
  <c r="T175" i="27" s="1"/>
  <c r="K175" i="27"/>
  <c r="G175" i="27" a="1"/>
  <c r="G175" i="27" s="1"/>
  <c r="S174" i="27"/>
  <c r="T174" i="27" s="1"/>
  <c r="K174" i="27"/>
  <c r="Q174" i="27" s="1"/>
  <c r="G174" i="27" a="1"/>
  <c r="G174" i="27" s="1"/>
  <c r="S173" i="27"/>
  <c r="T173" i="27" s="1"/>
  <c r="K173" i="27"/>
  <c r="Q173" i="27" s="1"/>
  <c r="G173" i="27" a="1"/>
  <c r="G173" i="27" s="1"/>
  <c r="I173" i="27" s="1"/>
  <c r="O173" i="27" s="1"/>
  <c r="S172" i="27"/>
  <c r="K172" i="27"/>
  <c r="Q172" i="27" s="1"/>
  <c r="G172" i="27" a="1"/>
  <c r="G172" i="27" s="1"/>
  <c r="S171" i="27"/>
  <c r="K171" i="27"/>
  <c r="Q171" i="27" s="1"/>
  <c r="G171" i="27" a="1"/>
  <c r="G171" i="27" s="1"/>
  <c r="J171" i="27" s="1"/>
  <c r="S170" i="27"/>
  <c r="K170" i="27"/>
  <c r="Q170" i="27" s="1"/>
  <c r="G170" i="27" a="1"/>
  <c r="G170" i="27" s="1"/>
  <c r="S169" i="27"/>
  <c r="K169" i="27"/>
  <c r="Q169" i="27" s="1"/>
  <c r="G169" i="27" a="1"/>
  <c r="G169" i="27" s="1"/>
  <c r="J169" i="27" s="1"/>
  <c r="S168" i="27"/>
  <c r="T168" i="27" s="1"/>
  <c r="K168" i="27"/>
  <c r="Q168" i="27" s="1"/>
  <c r="G168" i="27" a="1"/>
  <c r="G168" i="27" s="1"/>
  <c r="S167" i="27"/>
  <c r="K167" i="27"/>
  <c r="Q167" i="27" s="1"/>
  <c r="G167" i="27" a="1"/>
  <c r="G167" i="27" s="1"/>
  <c r="J167" i="27" s="1"/>
  <c r="S166" i="27"/>
  <c r="T166" i="27" s="1"/>
  <c r="K166" i="27"/>
  <c r="Q166" i="27" s="1"/>
  <c r="G166" i="27" a="1"/>
  <c r="G166" i="27" s="1"/>
  <c r="S165" i="27"/>
  <c r="K165" i="27"/>
  <c r="Q165" i="27" s="1"/>
  <c r="G165" i="27" a="1"/>
  <c r="G165" i="27" s="1"/>
  <c r="S164" i="27"/>
  <c r="T164" i="27" s="1"/>
  <c r="K164" i="27"/>
  <c r="Q164" i="27" s="1"/>
  <c r="G164" i="27" a="1"/>
  <c r="G164" i="27" s="1"/>
  <c r="S163" i="27"/>
  <c r="T163" i="27" s="1"/>
  <c r="K163" i="27"/>
  <c r="Q163" i="27" s="1"/>
  <c r="G163" i="27" a="1"/>
  <c r="G163" i="27" s="1"/>
  <c r="S162" i="27"/>
  <c r="K162" i="27"/>
  <c r="Q162" i="27" s="1"/>
  <c r="G162" i="27" a="1"/>
  <c r="G162" i="27" s="1"/>
  <c r="S161" i="27"/>
  <c r="K161" i="27"/>
  <c r="Q161" i="27" s="1"/>
  <c r="G161" i="27" a="1"/>
  <c r="G161" i="27" s="1"/>
  <c r="I161" i="27" s="1"/>
  <c r="S160" i="27"/>
  <c r="K160" i="27"/>
  <c r="Q160" i="27" s="1"/>
  <c r="G160" i="27" a="1"/>
  <c r="G160" i="27" s="1"/>
  <c r="J160" i="27" s="1"/>
  <c r="S159" i="27"/>
  <c r="K159" i="27"/>
  <c r="Q159" i="27" s="1"/>
  <c r="G159" i="27" a="1"/>
  <c r="G159" i="27" s="1"/>
  <c r="S158" i="27"/>
  <c r="K158" i="27"/>
  <c r="Q158" i="27" s="1"/>
  <c r="G158" i="27" a="1"/>
  <c r="G158" i="27" s="1"/>
  <c r="S157" i="27"/>
  <c r="K157" i="27"/>
  <c r="Q157" i="27" s="1"/>
  <c r="G157" i="27" a="1"/>
  <c r="G157" i="27" s="1"/>
  <c r="I157" i="27" s="1"/>
  <c r="S156" i="27"/>
  <c r="K156" i="27"/>
  <c r="Q156" i="27" s="1"/>
  <c r="G156" i="27" a="1"/>
  <c r="G156" i="27" s="1"/>
  <c r="S155" i="27"/>
  <c r="K155" i="27"/>
  <c r="Q155" i="27" s="1"/>
  <c r="G155" i="27" a="1"/>
  <c r="G155" i="27" s="1"/>
  <c r="S154" i="27"/>
  <c r="K154" i="27"/>
  <c r="Q154" i="27" s="1"/>
  <c r="G154" i="27" a="1"/>
  <c r="G154" i="27" s="1"/>
  <c r="S153" i="27"/>
  <c r="K153" i="27"/>
  <c r="Q153" i="27" s="1"/>
  <c r="G153" i="27" a="1"/>
  <c r="G153" i="27" s="1"/>
  <c r="S152" i="27"/>
  <c r="T152" i="27" s="1"/>
  <c r="K152" i="27"/>
  <c r="Q152" i="27" s="1"/>
  <c r="G152" i="27" a="1"/>
  <c r="G152" i="27" s="1"/>
  <c r="J152" i="27" s="1"/>
  <c r="S151" i="27"/>
  <c r="T151" i="27" s="1"/>
  <c r="K151" i="27"/>
  <c r="Q151" i="27" s="1"/>
  <c r="G151" i="27" a="1"/>
  <c r="G151" i="27" s="1"/>
  <c r="I151" i="27" s="1"/>
  <c r="S150" i="27"/>
  <c r="K150" i="27"/>
  <c r="Q150" i="27" s="1"/>
  <c r="G150" i="27" a="1"/>
  <c r="G150" i="27" s="1"/>
  <c r="J150" i="27" s="1"/>
  <c r="S149" i="27"/>
  <c r="T149" i="27" s="1"/>
  <c r="K149" i="27"/>
  <c r="G149" i="27" a="1"/>
  <c r="G149" i="27" s="1"/>
  <c r="S148" i="27"/>
  <c r="T148" i="27" s="1"/>
  <c r="K148" i="27"/>
  <c r="Q148" i="27" s="1"/>
  <c r="G148" i="27" a="1"/>
  <c r="G148" i="27" s="1"/>
  <c r="J148" i="27" s="1"/>
  <c r="S147" i="27"/>
  <c r="T147" i="27" s="1"/>
  <c r="K147" i="27"/>
  <c r="Q147" i="27" s="1"/>
  <c r="G147" i="27" a="1"/>
  <c r="G147" i="27" s="1"/>
  <c r="I147" i="27" s="1"/>
  <c r="S146" i="27"/>
  <c r="K146" i="27"/>
  <c r="Q146" i="27" s="1"/>
  <c r="G146" i="27" a="1"/>
  <c r="G146" i="27" s="1"/>
  <c r="S145" i="27"/>
  <c r="K145" i="27"/>
  <c r="Q145" i="27" s="1"/>
  <c r="G145" i="27" a="1"/>
  <c r="G145" i="27" s="1"/>
  <c r="S144" i="27"/>
  <c r="K144" i="27"/>
  <c r="Q144" i="27" s="1"/>
  <c r="G144" i="27" a="1"/>
  <c r="G144" i="27" s="1"/>
  <c r="S143" i="27"/>
  <c r="T143" i="27" s="1"/>
  <c r="K143" i="27"/>
  <c r="Q143" i="27" s="1"/>
  <c r="G143" i="27" a="1"/>
  <c r="G143" i="27" s="1"/>
  <c r="J143" i="27" s="1"/>
  <c r="S142" i="27"/>
  <c r="K142" i="27"/>
  <c r="Q142" i="27" s="1"/>
  <c r="G142" i="27" a="1"/>
  <c r="G142" i="27" s="1"/>
  <c r="I142" i="27" s="1"/>
  <c r="S141" i="27"/>
  <c r="K141" i="27"/>
  <c r="Q141" i="27" s="1"/>
  <c r="G141" i="27" a="1"/>
  <c r="G141" i="27" s="1"/>
  <c r="S140" i="27"/>
  <c r="T140" i="27" s="1"/>
  <c r="K140" i="27"/>
  <c r="Q140" i="27" s="1"/>
  <c r="G140" i="27" a="1"/>
  <c r="G140" i="27" s="1"/>
  <c r="I140" i="27" s="1"/>
  <c r="S139" i="27"/>
  <c r="T139" i="27" s="1"/>
  <c r="K139" i="27"/>
  <c r="Q139" i="27" s="1"/>
  <c r="G139" i="27" a="1"/>
  <c r="G139" i="27" s="1"/>
  <c r="S138" i="27"/>
  <c r="K138" i="27"/>
  <c r="Q138" i="27" s="1"/>
  <c r="G138" i="27" a="1"/>
  <c r="G138" i="27" s="1"/>
  <c r="I138" i="27" s="1"/>
  <c r="S137" i="27"/>
  <c r="T137" i="27" s="1"/>
  <c r="K137" i="27"/>
  <c r="Q137" i="27" s="1"/>
  <c r="G137" i="27" a="1"/>
  <c r="G137" i="27" s="1"/>
  <c r="J137" i="27" s="1"/>
  <c r="S136" i="27"/>
  <c r="K136" i="27"/>
  <c r="Q136" i="27" s="1"/>
  <c r="G136" i="27" a="1"/>
  <c r="G136" i="27" s="1"/>
  <c r="S135" i="27"/>
  <c r="K135" i="27"/>
  <c r="Q135" i="27" s="1"/>
  <c r="G135" i="27" a="1"/>
  <c r="G135" i="27" s="1"/>
  <c r="S134" i="27"/>
  <c r="T134" i="27" s="1"/>
  <c r="K134" i="27"/>
  <c r="Q134" i="27" s="1"/>
  <c r="G134" i="27" a="1"/>
  <c r="G134" i="27" s="1"/>
  <c r="S133" i="27"/>
  <c r="T133" i="27" s="1"/>
  <c r="K133" i="27"/>
  <c r="Q133" i="27" s="1"/>
  <c r="G133" i="27" a="1"/>
  <c r="G133" i="27" s="1"/>
  <c r="S132" i="27"/>
  <c r="K132" i="27"/>
  <c r="Q132" i="27" s="1"/>
  <c r="G132" i="27" a="1"/>
  <c r="G132" i="27" s="1"/>
  <c r="S131" i="27"/>
  <c r="K131" i="27"/>
  <c r="Q131" i="27" s="1"/>
  <c r="G131" i="27" a="1"/>
  <c r="G131" i="27" s="1"/>
  <c r="I131" i="27" s="1"/>
  <c r="O131" i="27" s="1"/>
  <c r="S130" i="27"/>
  <c r="K130" i="27"/>
  <c r="Q130" i="27" s="1"/>
  <c r="G130" i="27" a="1"/>
  <c r="G130" i="27" s="1"/>
  <c r="J130" i="27" s="1"/>
  <c r="S129" i="27"/>
  <c r="K129" i="27"/>
  <c r="Q129" i="27" s="1"/>
  <c r="G129" i="27" a="1"/>
  <c r="G129" i="27" s="1"/>
  <c r="S128" i="27"/>
  <c r="T128" i="27" s="1"/>
  <c r="K128" i="27"/>
  <c r="Q128" i="27" s="1"/>
  <c r="G128" i="27" a="1"/>
  <c r="G128" i="27" s="1"/>
  <c r="S127" i="27"/>
  <c r="T127" i="27" s="1"/>
  <c r="K127" i="27"/>
  <c r="Q127" i="27" s="1"/>
  <c r="G127" i="27" a="1"/>
  <c r="G127" i="27" s="1"/>
  <c r="J127" i="27" s="1"/>
  <c r="S126" i="27"/>
  <c r="K126" i="27"/>
  <c r="Q126" i="27" s="1"/>
  <c r="G126" i="27" a="1"/>
  <c r="G126" i="27" s="1"/>
  <c r="S125" i="27"/>
  <c r="T125" i="27" s="1"/>
  <c r="K125" i="27"/>
  <c r="Q125" i="27" s="1"/>
  <c r="G125" i="27" a="1"/>
  <c r="G125" i="27" s="1"/>
  <c r="J125" i="27" s="1"/>
  <c r="S124" i="27"/>
  <c r="K124" i="27"/>
  <c r="Q124" i="27" s="1"/>
  <c r="G124" i="27" a="1"/>
  <c r="G124" i="27" s="1"/>
  <c r="I124" i="27" s="1"/>
  <c r="S123" i="27"/>
  <c r="K123" i="27"/>
  <c r="Q123" i="27" s="1"/>
  <c r="G123" i="27" a="1"/>
  <c r="G123" i="27" s="1"/>
  <c r="S122" i="27"/>
  <c r="T122" i="27" s="1"/>
  <c r="K122" i="27"/>
  <c r="Q122" i="27" s="1"/>
  <c r="G122" i="27" a="1"/>
  <c r="G122" i="27" s="1"/>
  <c r="J122" i="27" s="1"/>
  <c r="S121" i="27"/>
  <c r="T121" i="27" s="1"/>
  <c r="K121" i="27"/>
  <c r="Q121" i="27" s="1"/>
  <c r="G121" i="27" a="1"/>
  <c r="G121" i="27" s="1"/>
  <c r="S120" i="27"/>
  <c r="K120" i="27"/>
  <c r="Q120" i="27" s="1"/>
  <c r="G120" i="27" a="1"/>
  <c r="G120" i="27" s="1"/>
  <c r="J120" i="27" s="1"/>
  <c r="S119" i="27"/>
  <c r="T119" i="27" s="1"/>
  <c r="K119" i="27"/>
  <c r="G119" i="27" a="1"/>
  <c r="G119" i="27" s="1"/>
  <c r="S118" i="27"/>
  <c r="T118" i="27" s="1"/>
  <c r="K118" i="27"/>
  <c r="G118" i="27" a="1"/>
  <c r="G118" i="27" s="1"/>
  <c r="S117" i="27"/>
  <c r="T117" i="27" s="1"/>
  <c r="K117" i="27"/>
  <c r="G117" i="27" a="1"/>
  <c r="G117" i="27" s="1"/>
  <c r="S116" i="27"/>
  <c r="K116" i="27"/>
  <c r="Q116" i="27" s="1"/>
  <c r="G116" i="27" a="1"/>
  <c r="G116" i="27" s="1"/>
  <c r="S115" i="27"/>
  <c r="T115" i="27" s="1"/>
  <c r="K115" i="27"/>
  <c r="Q115" i="27" s="1"/>
  <c r="G115" i="27" a="1"/>
  <c r="G115" i="27" s="1"/>
  <c r="S114" i="27"/>
  <c r="K114" i="27"/>
  <c r="Q114" i="27" s="1"/>
  <c r="G114" i="27" a="1"/>
  <c r="G114" i="27" s="1"/>
  <c r="S113" i="27"/>
  <c r="K113" i="27"/>
  <c r="Q113" i="27" s="1"/>
  <c r="G113" i="27" a="1"/>
  <c r="G113" i="27" s="1"/>
  <c r="S112" i="27"/>
  <c r="T112" i="27" s="1"/>
  <c r="K112" i="27"/>
  <c r="G112" i="27" a="1"/>
  <c r="G112" i="27" s="1"/>
  <c r="S111" i="27"/>
  <c r="K111" i="27"/>
  <c r="G111" i="27" a="1"/>
  <c r="G111" i="27" s="1"/>
  <c r="S110" i="27"/>
  <c r="K110" i="27"/>
  <c r="Q110" i="27" s="1"/>
  <c r="G110" i="27" a="1"/>
  <c r="G110" i="27" s="1"/>
  <c r="J110" i="27" s="1"/>
  <c r="S109" i="27"/>
  <c r="T109" i="27" s="1"/>
  <c r="K109" i="27"/>
  <c r="Q109" i="27" s="1"/>
  <c r="G109" i="27" a="1"/>
  <c r="G109" i="27" s="1"/>
  <c r="S108" i="27"/>
  <c r="K108" i="27"/>
  <c r="Q108" i="27" s="1"/>
  <c r="G108" i="27" a="1"/>
  <c r="G108" i="27" s="1"/>
  <c r="S107" i="27"/>
  <c r="T107" i="27" s="1"/>
  <c r="K107" i="27"/>
  <c r="G107" i="27" a="1"/>
  <c r="G107" i="27" s="1"/>
  <c r="S106" i="27"/>
  <c r="T106" i="27" s="1"/>
  <c r="K106" i="27"/>
  <c r="G106" i="27" a="1"/>
  <c r="G106" i="27" s="1"/>
  <c r="S105" i="27"/>
  <c r="T105" i="27" s="1"/>
  <c r="K105" i="27"/>
  <c r="Q105" i="27" s="1"/>
  <c r="G105" i="27" a="1"/>
  <c r="G105" i="27" s="1"/>
  <c r="J105" i="27" s="1"/>
  <c r="S104" i="27"/>
  <c r="K104" i="27"/>
  <c r="Q104" i="27" s="1"/>
  <c r="G104" i="27" a="1"/>
  <c r="G104" i="27" s="1"/>
  <c r="S103" i="27"/>
  <c r="K103" i="27"/>
  <c r="Q103" i="27" s="1"/>
  <c r="G103" i="27" a="1"/>
  <c r="G103" i="27" s="1"/>
  <c r="S102" i="27"/>
  <c r="K102" i="27"/>
  <c r="Q102" i="27" s="1"/>
  <c r="G102" i="27" a="1"/>
  <c r="G102" i="27" s="1"/>
  <c r="S101" i="27"/>
  <c r="T101" i="27" s="1"/>
  <c r="K101" i="27"/>
  <c r="Q101" i="27" s="1"/>
  <c r="G101" i="27" a="1"/>
  <c r="G101" i="27" s="1"/>
  <c r="S100" i="27"/>
  <c r="K100" i="27"/>
  <c r="Q100" i="27" s="1"/>
  <c r="G100" i="27" a="1"/>
  <c r="G100" i="27" s="1"/>
  <c r="S99" i="27"/>
  <c r="K99" i="27"/>
  <c r="Q99" i="27" s="1"/>
  <c r="G99" i="27" a="1"/>
  <c r="G99" i="27" s="1"/>
  <c r="S98" i="27"/>
  <c r="T98" i="27" s="1"/>
  <c r="K98" i="27"/>
  <c r="G98" i="27" a="1"/>
  <c r="G98" i="27" s="1"/>
  <c r="S97" i="27"/>
  <c r="K97" i="27"/>
  <c r="Q97" i="27" s="1"/>
  <c r="G97" i="27" a="1"/>
  <c r="G97" i="27" s="1"/>
  <c r="S96" i="27"/>
  <c r="K96" i="27"/>
  <c r="Q96" i="27" s="1"/>
  <c r="G96" i="27" a="1"/>
  <c r="G96" i="27" s="1"/>
  <c r="S95" i="27"/>
  <c r="T95" i="27" s="1"/>
  <c r="K95" i="27"/>
  <c r="G95" i="27" a="1"/>
  <c r="G95" i="27" s="1"/>
  <c r="S94" i="27"/>
  <c r="K94" i="27"/>
  <c r="Q94" i="27" s="1"/>
  <c r="G94" i="27" a="1"/>
  <c r="G94" i="27" s="1"/>
  <c r="J94" i="27" s="1"/>
  <c r="S93" i="27"/>
  <c r="T93" i="27" s="1"/>
  <c r="K93" i="27"/>
  <c r="Q93" i="27" s="1"/>
  <c r="G93" i="27" a="1"/>
  <c r="G93" i="27" s="1"/>
  <c r="I93" i="27" s="1"/>
  <c r="S92" i="27"/>
  <c r="T92" i="27" s="1"/>
  <c r="K92" i="27"/>
  <c r="Q92" i="27" s="1"/>
  <c r="G92" i="27" a="1"/>
  <c r="G92" i="27" s="1"/>
  <c r="S91" i="27"/>
  <c r="K91" i="27"/>
  <c r="Q91" i="27" s="1"/>
  <c r="G91" i="27" a="1"/>
  <c r="G91" i="27" s="1"/>
  <c r="J91" i="27" s="1"/>
  <c r="S85" i="27"/>
  <c r="T85" i="27" s="1"/>
  <c r="K85" i="27"/>
  <c r="Q85" i="27" s="1"/>
  <c r="G85" i="27" a="1"/>
  <c r="G85" i="27" s="1"/>
  <c r="S78" i="27"/>
  <c r="T78" i="27" s="1"/>
  <c r="K78" i="27"/>
  <c r="Q78" i="27" s="1"/>
  <c r="G78" i="27" a="1"/>
  <c r="G78" i="27" s="1"/>
  <c r="S68" i="27"/>
  <c r="K68" i="27"/>
  <c r="Q68" i="27" s="1"/>
  <c r="G68" i="27" a="1"/>
  <c r="G68" i="27" s="1"/>
  <c r="S57" i="27"/>
  <c r="K57" i="27"/>
  <c r="Q57" i="27" s="1"/>
  <c r="G57" i="27" a="1"/>
  <c r="G57" i="27" s="1"/>
  <c r="J57" i="27" s="1"/>
  <c r="S55" i="27"/>
  <c r="T55" i="27" s="1"/>
  <c r="K55" i="27"/>
  <c r="Q55" i="27" s="1"/>
  <c r="G55" i="27" a="1"/>
  <c r="G55" i="27" s="1"/>
  <c r="I55" i="27" s="1"/>
  <c r="S54" i="27"/>
  <c r="T54" i="27" s="1"/>
  <c r="K54" i="27"/>
  <c r="Q54" i="27" s="1"/>
  <c r="G54" i="27" a="1"/>
  <c r="G54" i="27" s="1"/>
  <c r="S53" i="27"/>
  <c r="K53" i="27"/>
  <c r="Q53" i="27" s="1"/>
  <c r="G53" i="27" a="1"/>
  <c r="G53" i="27" s="1"/>
  <c r="J53" i="27" s="1"/>
  <c r="S52" i="27"/>
  <c r="K52" i="27"/>
  <c r="Q52" i="27" s="1"/>
  <c r="G52" i="27" a="1"/>
  <c r="G52" i="27" s="1"/>
  <c r="S48" i="27"/>
  <c r="T48" i="27" s="1"/>
  <c r="K48" i="27"/>
  <c r="Q48" i="27" s="1"/>
  <c r="G48" i="27" a="1"/>
  <c r="G48" i="27" s="1"/>
  <c r="S44" i="27"/>
  <c r="T44" i="27" s="1"/>
  <c r="K44" i="27"/>
  <c r="Q44" i="27" s="1"/>
  <c r="G44" i="27" a="1"/>
  <c r="G44" i="27" s="1"/>
  <c r="J44" i="27" s="1"/>
  <c r="S43" i="27"/>
  <c r="T43" i="27" s="1"/>
  <c r="K43" i="27"/>
  <c r="Q43" i="27" s="1"/>
  <c r="G43" i="27" a="1"/>
  <c r="G43" i="27" s="1"/>
  <c r="S39" i="27"/>
  <c r="T39" i="27" s="1"/>
  <c r="K39" i="27"/>
  <c r="Q39" i="27" s="1"/>
  <c r="G39" i="27" a="1"/>
  <c r="G39" i="27" s="1"/>
  <c r="I39" i="27" s="1"/>
  <c r="S37" i="27"/>
  <c r="K37" i="27"/>
  <c r="Q37" i="27" s="1"/>
  <c r="G37" i="27" a="1"/>
  <c r="G37" i="27" s="1"/>
  <c r="S36" i="27"/>
  <c r="K36" i="27"/>
  <c r="Q36" i="27" s="1"/>
  <c r="G36" i="27" a="1"/>
  <c r="G36" i="27" s="1"/>
  <c r="S35" i="27"/>
  <c r="K35" i="27"/>
  <c r="Q35" i="27" s="1"/>
  <c r="G35" i="27" a="1"/>
  <c r="G35" i="27" s="1"/>
  <c r="S17" i="27"/>
  <c r="T17" i="27" s="1"/>
  <c r="K17" i="27"/>
  <c r="Q17" i="27" s="1"/>
  <c r="G17" i="27" a="1"/>
  <c r="G17" i="27" s="1"/>
  <c r="S16" i="27"/>
  <c r="K16" i="27"/>
  <c r="Q16" i="27" s="1"/>
  <c r="G16" i="27" a="1"/>
  <c r="G16" i="27" s="1"/>
  <c r="S15" i="27"/>
  <c r="K15" i="27"/>
  <c r="Q15" i="27" s="1"/>
  <c r="G15" i="27" a="1"/>
  <c r="G15" i="27" s="1"/>
  <c r="I15" i="27" s="1"/>
  <c r="M15" i="27" s="1"/>
  <c r="S14" i="27"/>
  <c r="T14" i="27" s="1"/>
  <c r="K14" i="27"/>
  <c r="G14" i="27" a="1"/>
  <c r="G14" i="27" s="1"/>
  <c r="S13" i="27"/>
  <c r="K13" i="27"/>
  <c r="Q13" i="27" s="1"/>
  <c r="G13" i="27" a="1"/>
  <c r="G13" i="27" s="1"/>
  <c r="S9" i="27"/>
  <c r="T9" i="27" s="1"/>
  <c r="K9" i="27"/>
  <c r="Q9" i="27" s="1"/>
  <c r="G9" i="27" a="1"/>
  <c r="G9" i="27" s="1"/>
  <c r="J9" i="27" s="1"/>
  <c r="S8" i="27"/>
  <c r="T8" i="27" s="1"/>
  <c r="K8" i="27"/>
  <c r="G8" i="27" a="1"/>
  <c r="G8" i="27" s="1"/>
  <c r="S7" i="27"/>
  <c r="K7" i="27"/>
  <c r="Q7" i="27" s="1"/>
  <c r="G7" i="27" a="1"/>
  <c r="G7" i="27" s="1"/>
  <c r="S6" i="27"/>
  <c r="T6" i="27" s="1"/>
  <c r="K6" i="27"/>
  <c r="G6" i="27" a="1"/>
  <c r="G6" i="27" s="1"/>
  <c r="N5" i="27"/>
  <c r="L5" i="27"/>
  <c r="Z3" i="27"/>
  <c r="N3" i="27"/>
  <c r="Y2" i="27"/>
  <c r="Q25" i="24"/>
  <c r="G25" i="24" a="1"/>
  <c r="G25" i="24" s="1"/>
  <c r="K7" i="24"/>
  <c r="G7" i="24" a="1"/>
  <c r="G7" i="24" s="1"/>
  <c r="C13" i="7"/>
  <c r="C12" i="7"/>
  <c r="C15" i="7"/>
  <c r="D5" i="11"/>
  <c r="D7" i="11" s="1"/>
  <c r="D4" i="11"/>
  <c r="V1" i="25"/>
  <c r="O45" i="33" l="1"/>
  <c r="M45" i="33"/>
  <c r="AF4" i="33"/>
  <c r="AG3" i="33"/>
  <c r="AF2" i="33"/>
  <c r="M5" i="31"/>
  <c r="O5" i="31"/>
  <c r="U5" i="31"/>
  <c r="R36" i="31"/>
  <c r="P15" i="31"/>
  <c r="W15" i="31"/>
  <c r="R26" i="31"/>
  <c r="W26" i="31"/>
  <c r="P26" i="31"/>
  <c r="AF2" i="31"/>
  <c r="AG3" i="31"/>
  <c r="AF4" i="31"/>
  <c r="W36" i="31"/>
  <c r="P36" i="31"/>
  <c r="R15" i="31"/>
  <c r="P34" i="30"/>
  <c r="R15" i="30"/>
  <c r="I24" i="30"/>
  <c r="AD3" i="30"/>
  <c r="AC4" i="30"/>
  <c r="AC2" i="30"/>
  <c r="P15" i="30"/>
  <c r="AA66" i="24" a="1"/>
  <c r="AA66" i="24" s="1"/>
  <c r="F66" i="24"/>
  <c r="AX66" i="24" a="1"/>
  <c r="AX66" i="24" s="1"/>
  <c r="BN66" i="24" a="1"/>
  <c r="BN66" i="24" s="1"/>
  <c r="BE66" i="24" a="1"/>
  <c r="BE66" i="24" s="1"/>
  <c r="AO66" i="24" a="1"/>
  <c r="AO66" i="24" s="1"/>
  <c r="BR66" i="24" a="1"/>
  <c r="BR66" i="24" s="1"/>
  <c r="BP66" i="24" a="1"/>
  <c r="BP66" i="24" s="1"/>
  <c r="Y66" i="24" a="1"/>
  <c r="Y66" i="24" s="1"/>
  <c r="AQ66" i="24" a="1"/>
  <c r="AQ66" i="24" s="1"/>
  <c r="BS66" i="24" a="1"/>
  <c r="BS66" i="24" s="1"/>
  <c r="AJ66" i="24" a="1"/>
  <c r="AJ66" i="24" s="1"/>
  <c r="AP66" i="24" a="1"/>
  <c r="AP66" i="24" s="1"/>
  <c r="AG66" i="24" a="1"/>
  <c r="AG66" i="24" s="1"/>
  <c r="AZ66" i="24" a="1"/>
  <c r="AZ66" i="24" s="1"/>
  <c r="AN66" i="24" a="1"/>
  <c r="AN66" i="24" s="1"/>
  <c r="AT66" i="24" a="1"/>
  <c r="AT66" i="24" s="1"/>
  <c r="BA66" i="24" a="1"/>
  <c r="BA66" i="24" s="1"/>
  <c r="BG66" i="24" a="1"/>
  <c r="BG66" i="24" s="1"/>
  <c r="BO66" i="24" a="1"/>
  <c r="BO66" i="24" s="1"/>
  <c r="BB66" i="24" a="1"/>
  <c r="BB66" i="24" s="1"/>
  <c r="BF66" i="24" a="1"/>
  <c r="BF66" i="24" s="1"/>
  <c r="AC66" i="24" a="1"/>
  <c r="AC66" i="24" s="1"/>
  <c r="AW66" i="24" a="1"/>
  <c r="AW66" i="24" s="1"/>
  <c r="AB66" i="24" a="1"/>
  <c r="AB66" i="24" s="1"/>
  <c r="AI66" i="24" a="1"/>
  <c r="AI66" i="24" s="1"/>
  <c r="BL66" i="24" a="1"/>
  <c r="BL66" i="24" s="1"/>
  <c r="BC66" i="24" a="1"/>
  <c r="BC66" i="24" s="1"/>
  <c r="AD66" i="24" a="1"/>
  <c r="AD66" i="24" s="1"/>
  <c r="AH66" i="24" a="1"/>
  <c r="AH66" i="24" s="1"/>
  <c r="AV66" i="24" a="1"/>
  <c r="AV66" i="24" s="1"/>
  <c r="BJ66" i="24" a="1"/>
  <c r="BJ66" i="24" s="1"/>
  <c r="AK66" i="24" a="1"/>
  <c r="AK66" i="24" s="1"/>
  <c r="AU66" i="24" a="1"/>
  <c r="AU66" i="24" s="1"/>
  <c r="BI66" i="24" a="1"/>
  <c r="BI66" i="24" s="1"/>
  <c r="BD66" i="24" a="1"/>
  <c r="BD66" i="24" s="1"/>
  <c r="AE66" i="24" a="1"/>
  <c r="AE66" i="24" s="1"/>
  <c r="Z66" i="24" a="1"/>
  <c r="Z66" i="24" s="1"/>
  <c r="BH66" i="24" a="1"/>
  <c r="BH66" i="24" s="1"/>
  <c r="BQ66" i="24" a="1"/>
  <c r="BQ66" i="24" s="1"/>
  <c r="BK66" i="24" a="1"/>
  <c r="BK66" i="24" s="1"/>
  <c r="AR66" i="24" a="1"/>
  <c r="AR66" i="24" s="1"/>
  <c r="AF66" i="24" a="1"/>
  <c r="AF66" i="24" s="1"/>
  <c r="AM66" i="24" a="1"/>
  <c r="AM66" i="24" s="1"/>
  <c r="AL66" i="24" a="1"/>
  <c r="AL66" i="24" s="1"/>
  <c r="AS66" i="24" a="1"/>
  <c r="AS66" i="24" s="1"/>
  <c r="AY66" i="24" a="1"/>
  <c r="AY66" i="24" s="1"/>
  <c r="M10" i="27"/>
  <c r="O10" i="27"/>
  <c r="R10" i="27" s="1"/>
  <c r="M12" i="27"/>
  <c r="O12" i="27"/>
  <c r="U12" i="27"/>
  <c r="Z2" i="27"/>
  <c r="V183" i="27"/>
  <c r="V185" i="27"/>
  <c r="V217" i="27"/>
  <c r="U179" i="27"/>
  <c r="V14" i="27"/>
  <c r="V191" i="27"/>
  <c r="V142" i="27"/>
  <c r="V156" i="27"/>
  <c r="V202" i="27"/>
  <c r="V184" i="27"/>
  <c r="V212" i="27"/>
  <c r="M173" i="27"/>
  <c r="P173" i="27" s="1"/>
  <c r="V117" i="27"/>
  <c r="V91" i="27"/>
  <c r="U176" i="27"/>
  <c r="V136" i="27"/>
  <c r="V96" i="27"/>
  <c r="V145" i="27"/>
  <c r="V181" i="27"/>
  <c r="U147" i="27"/>
  <c r="V108" i="27"/>
  <c r="V144" i="27"/>
  <c r="V170" i="27"/>
  <c r="V210" i="27"/>
  <c r="J138" i="27"/>
  <c r="T210" i="27"/>
  <c r="V218" i="27"/>
  <c r="V200" i="27"/>
  <c r="V203" i="27"/>
  <c r="V205" i="27"/>
  <c r="V129" i="27"/>
  <c r="T129" i="27"/>
  <c r="AA3" i="27"/>
  <c r="V113" i="27"/>
  <c r="V9" i="27"/>
  <c r="U190" i="27"/>
  <c r="V220" i="27"/>
  <c r="Q117" i="27"/>
  <c r="T142" i="27"/>
  <c r="I148" i="27"/>
  <c r="M148" i="27" s="1"/>
  <c r="V101" i="27"/>
  <c r="V126" i="27"/>
  <c r="V94" i="27"/>
  <c r="V102" i="27"/>
  <c r="V54" i="27"/>
  <c r="T91" i="27"/>
  <c r="V171" i="27"/>
  <c r="V207" i="27"/>
  <c r="V211" i="27"/>
  <c r="V219" i="27"/>
  <c r="U124" i="27"/>
  <c r="V178" i="27"/>
  <c r="I125" i="27"/>
  <c r="M125" i="27" s="1"/>
  <c r="V150" i="27"/>
  <c r="V157" i="27"/>
  <c r="V35" i="27"/>
  <c r="V128" i="27"/>
  <c r="J151" i="27"/>
  <c r="O176" i="27"/>
  <c r="P176" i="27" s="1"/>
  <c r="I187" i="27"/>
  <c r="O187" i="27" s="1"/>
  <c r="T212" i="27"/>
  <c r="V53" i="27"/>
  <c r="V213" i="27"/>
  <c r="V36" i="27"/>
  <c r="V116" i="27"/>
  <c r="V13" i="27"/>
  <c r="V37" i="27"/>
  <c r="V120" i="27"/>
  <c r="J124" i="27"/>
  <c r="V138" i="27"/>
  <c r="V186" i="27"/>
  <c r="V164" i="27"/>
  <c r="V15" i="27"/>
  <c r="V110" i="27"/>
  <c r="V115" i="27"/>
  <c r="V165" i="27"/>
  <c r="V169" i="27"/>
  <c r="J173" i="27"/>
  <c r="J48" i="27"/>
  <c r="I48" i="27"/>
  <c r="O48" i="27" s="1"/>
  <c r="J14" i="27"/>
  <c r="I14" i="27"/>
  <c r="O14" i="27" s="1"/>
  <c r="J96" i="27"/>
  <c r="I96" i="27"/>
  <c r="M96" i="27" s="1"/>
  <c r="I57" i="27"/>
  <c r="O57" i="27" s="1"/>
  <c r="I160" i="27"/>
  <c r="M160" i="27" s="1"/>
  <c r="J189" i="27"/>
  <c r="I199" i="27"/>
  <c r="U199" i="27" s="1"/>
  <c r="V93" i="27"/>
  <c r="T110" i="27"/>
  <c r="T150" i="27"/>
  <c r="V134" i="27"/>
  <c r="I178" i="27"/>
  <c r="U178" i="27" s="1"/>
  <c r="V127" i="27"/>
  <c r="V180" i="27"/>
  <c r="J190" i="27"/>
  <c r="U131" i="27"/>
  <c r="T184" i="27"/>
  <c r="O190" i="27"/>
  <c r="V216" i="27"/>
  <c r="I110" i="27"/>
  <c r="T181" i="27"/>
  <c r="U210" i="27"/>
  <c r="T213" i="27"/>
  <c r="I53" i="27"/>
  <c r="O53" i="27" s="1"/>
  <c r="M207" i="27"/>
  <c r="P207" i="27" s="1"/>
  <c r="T94" i="27"/>
  <c r="J204" i="27"/>
  <c r="T37" i="27"/>
  <c r="V8" i="27"/>
  <c r="I137" i="27"/>
  <c r="M137" i="27" s="1"/>
  <c r="I150" i="27"/>
  <c r="O150" i="27" s="1"/>
  <c r="T185" i="27"/>
  <c r="I117" i="27"/>
  <c r="U117" i="27" s="1"/>
  <c r="J117" i="27"/>
  <c r="J111" i="27"/>
  <c r="I111" i="27"/>
  <c r="M111" i="27" s="1"/>
  <c r="J154" i="27"/>
  <c r="I154" i="27"/>
  <c r="U154" i="27" s="1"/>
  <c r="J175" i="27"/>
  <c r="I175" i="27"/>
  <c r="O175" i="27" s="1"/>
  <c r="I6" i="27"/>
  <c r="O6" i="27" s="1"/>
  <c r="J6" i="27"/>
  <c r="J43" i="27"/>
  <c r="I43" i="27"/>
  <c r="J103" i="27"/>
  <c r="I103" i="27"/>
  <c r="O103" i="27" s="1"/>
  <c r="J118" i="27"/>
  <c r="I118" i="27"/>
  <c r="M118" i="27" s="1"/>
  <c r="J52" i="27"/>
  <c r="I52" i="27"/>
  <c r="M52" i="27" s="1"/>
  <c r="I17" i="27"/>
  <c r="U17" i="27" s="1"/>
  <c r="J17" i="27"/>
  <c r="I99" i="27"/>
  <c r="M99" i="27" s="1"/>
  <c r="J99" i="27"/>
  <c r="J36" i="27"/>
  <c r="I36" i="27"/>
  <c r="J158" i="27"/>
  <c r="I158" i="27"/>
  <c r="J174" i="27"/>
  <c r="I174" i="27"/>
  <c r="O174" i="27" s="1"/>
  <c r="I13" i="27"/>
  <c r="O13" i="27" s="1"/>
  <c r="J13" i="27"/>
  <c r="J104" i="27"/>
  <c r="I104" i="27"/>
  <c r="U104" i="27" s="1"/>
  <c r="J149" i="27"/>
  <c r="I149" i="27"/>
  <c r="U149" i="27" s="1"/>
  <c r="J37" i="27"/>
  <c r="I37" i="27"/>
  <c r="O37" i="27" s="1"/>
  <c r="I78" i="27"/>
  <c r="O78" i="27" s="1"/>
  <c r="J78" i="27"/>
  <c r="O140" i="27"/>
  <c r="M140" i="27"/>
  <c r="J133" i="27"/>
  <c r="I133" i="27"/>
  <c r="M133" i="27" s="1"/>
  <c r="J153" i="27"/>
  <c r="I153" i="27"/>
  <c r="M153" i="27" s="1"/>
  <c r="V148" i="27"/>
  <c r="I94" i="27"/>
  <c r="U94" i="27" s="1"/>
  <c r="V121" i="27"/>
  <c r="V131" i="27"/>
  <c r="V137" i="27"/>
  <c r="V174" i="27"/>
  <c r="V196" i="27"/>
  <c r="T207" i="27"/>
  <c r="V105" i="27"/>
  <c r="T35" i="27"/>
  <c r="V52" i="27"/>
  <c r="V78" i="27"/>
  <c r="I127" i="27"/>
  <c r="M127" i="27" s="1"/>
  <c r="M147" i="27"/>
  <c r="T96" i="27"/>
  <c r="T108" i="27"/>
  <c r="T144" i="27"/>
  <c r="O147" i="27"/>
  <c r="T156" i="27"/>
  <c r="V187" i="27"/>
  <c r="J15" i="27"/>
  <c r="T102" i="27"/>
  <c r="I120" i="27"/>
  <c r="M120" i="27" s="1"/>
  <c r="J157" i="27"/>
  <c r="T170" i="27"/>
  <c r="I203" i="27"/>
  <c r="O203" i="27" s="1"/>
  <c r="I213" i="27"/>
  <c r="O213" i="27" s="1"/>
  <c r="O15" i="27"/>
  <c r="P15" i="27" s="1"/>
  <c r="T53" i="27"/>
  <c r="J93" i="27"/>
  <c r="T138" i="27"/>
  <c r="U140" i="27"/>
  <c r="I143" i="27"/>
  <c r="U143" i="27" s="1"/>
  <c r="U173" i="27"/>
  <c r="T191" i="27"/>
  <c r="T200" i="27"/>
  <c r="V140" i="27"/>
  <c r="T52" i="27"/>
  <c r="T131" i="27"/>
  <c r="T13" i="27"/>
  <c r="T15" i="27"/>
  <c r="J39" i="27"/>
  <c r="I91" i="27"/>
  <c r="U91" i="27" s="1"/>
  <c r="I105" i="27"/>
  <c r="M105" i="27" s="1"/>
  <c r="T113" i="27"/>
  <c r="T120" i="27"/>
  <c r="J131" i="27"/>
  <c r="T136" i="27"/>
  <c r="T157" i="27"/>
  <c r="T165" i="27"/>
  <c r="T203" i="27"/>
  <c r="V209" i="27"/>
  <c r="J221" i="27"/>
  <c r="V166" i="27"/>
  <c r="T169" i="27"/>
  <c r="U15" i="27"/>
  <c r="V39" i="27"/>
  <c r="V98" i="27"/>
  <c r="I169" i="27"/>
  <c r="U169" i="27" s="1"/>
  <c r="T171" i="27"/>
  <c r="T111" i="27"/>
  <c r="J142" i="27"/>
  <c r="J147" i="27"/>
  <c r="M131" i="27"/>
  <c r="P131" i="27" s="1"/>
  <c r="J207" i="27"/>
  <c r="J92" i="27"/>
  <c r="I92" i="27"/>
  <c r="U39" i="27"/>
  <c r="M39" i="27"/>
  <c r="O39" i="27"/>
  <c r="J119" i="27"/>
  <c r="I119" i="27"/>
  <c r="Q106" i="27"/>
  <c r="V106" i="27"/>
  <c r="I115" i="27"/>
  <c r="J115" i="27"/>
  <c r="J134" i="27"/>
  <c r="I134" i="27"/>
  <c r="U134" i="27" s="1"/>
  <c r="I9" i="27"/>
  <c r="J184" i="27"/>
  <c r="I184" i="27"/>
  <c r="J54" i="27"/>
  <c r="I54" i="27"/>
  <c r="I85" i="27"/>
  <c r="U85" i="27" s="1"/>
  <c r="J85" i="27"/>
  <c r="I122" i="27"/>
  <c r="I164" i="27"/>
  <c r="J164" i="27"/>
  <c r="J172" i="27"/>
  <c r="I172" i="27"/>
  <c r="M55" i="27"/>
  <c r="O55" i="27"/>
  <c r="V97" i="27"/>
  <c r="T97" i="27"/>
  <c r="J98" i="27"/>
  <c r="I98" i="27"/>
  <c r="V104" i="27"/>
  <c r="T104" i="27"/>
  <c r="T16" i="27"/>
  <c r="V16" i="27"/>
  <c r="I113" i="27"/>
  <c r="J113" i="27"/>
  <c r="V197" i="27"/>
  <c r="T197" i="27"/>
  <c r="T7" i="27"/>
  <c r="S5" i="27"/>
  <c r="V7" i="27"/>
  <c r="T36" i="27"/>
  <c r="J55" i="27"/>
  <c r="J145" i="27"/>
  <c r="I145" i="27"/>
  <c r="U145" i="27" s="1"/>
  <c r="V6" i="27"/>
  <c r="Q6" i="27"/>
  <c r="V119" i="27"/>
  <c r="Q119" i="27"/>
  <c r="J101" i="27"/>
  <c r="I101" i="27"/>
  <c r="O217" i="27"/>
  <c r="M217" i="27"/>
  <c r="I7" i="27"/>
  <c r="J7" i="27"/>
  <c r="O93" i="27"/>
  <c r="M93" i="27"/>
  <c r="U93" i="27"/>
  <c r="M157" i="27"/>
  <c r="U157" i="27"/>
  <c r="O157" i="27"/>
  <c r="V95" i="27"/>
  <c r="Q95" i="27"/>
  <c r="J217" i="27"/>
  <c r="J97" i="27"/>
  <c r="I97" i="27"/>
  <c r="U97" i="27" s="1"/>
  <c r="O124" i="27"/>
  <c r="M124" i="27"/>
  <c r="V99" i="27"/>
  <c r="T99" i="27"/>
  <c r="V154" i="27"/>
  <c r="T154" i="27"/>
  <c r="V161" i="27"/>
  <c r="U161" i="27"/>
  <c r="J177" i="27"/>
  <c r="I177" i="27"/>
  <c r="U177" i="27" s="1"/>
  <c r="I44" i="27"/>
  <c r="J116" i="27"/>
  <c r="I116" i="27"/>
  <c r="U116" i="27" s="1"/>
  <c r="T161" i="27"/>
  <c r="J100" i="27"/>
  <c r="I100" i="27"/>
  <c r="U100" i="27" s="1"/>
  <c r="Q8" i="27"/>
  <c r="V107" i="27"/>
  <c r="Q107" i="27"/>
  <c r="Q112" i="27"/>
  <c r="V112" i="27"/>
  <c r="I114" i="27"/>
  <c r="J114" i="27"/>
  <c r="T57" i="27"/>
  <c r="Q98" i="27"/>
  <c r="V100" i="27"/>
  <c r="T100" i="27"/>
  <c r="J135" i="27"/>
  <c r="I135" i="27"/>
  <c r="U135" i="27" s="1"/>
  <c r="Q14" i="27"/>
  <c r="V57" i="27"/>
  <c r="V132" i="27"/>
  <c r="T132" i="27"/>
  <c r="V103" i="27"/>
  <c r="T103" i="27"/>
  <c r="I107" i="27"/>
  <c r="J107" i="27"/>
  <c r="J112" i="27"/>
  <c r="I112" i="27"/>
  <c r="T192" i="27"/>
  <c r="V192" i="27"/>
  <c r="I35" i="27"/>
  <c r="J35" i="27"/>
  <c r="O151" i="27"/>
  <c r="M151" i="27"/>
  <c r="J16" i="27"/>
  <c r="I16" i="27"/>
  <c r="U16" i="27" s="1"/>
  <c r="I68" i="27"/>
  <c r="J68" i="27"/>
  <c r="V130" i="27"/>
  <c r="T130" i="27"/>
  <c r="V149" i="27"/>
  <c r="Q149" i="27"/>
  <c r="I106" i="27"/>
  <c r="J106" i="27"/>
  <c r="I165" i="27"/>
  <c r="J165" i="27"/>
  <c r="Q206" i="27"/>
  <c r="V206" i="27"/>
  <c r="V109" i="27"/>
  <c r="V118" i="27"/>
  <c r="Q118" i="27"/>
  <c r="V17" i="27"/>
  <c r="V48" i="27"/>
  <c r="V175" i="27"/>
  <c r="Q175" i="27"/>
  <c r="J121" i="27"/>
  <c r="I121" i="27"/>
  <c r="J123" i="27"/>
  <c r="I123" i="27"/>
  <c r="U123" i="27" s="1"/>
  <c r="J132" i="27"/>
  <c r="I132" i="27"/>
  <c r="U132" i="27" s="1"/>
  <c r="V111" i="27"/>
  <c r="Q111" i="27"/>
  <c r="T159" i="27"/>
  <c r="V159" i="27"/>
  <c r="J162" i="27"/>
  <c r="I162" i="27"/>
  <c r="U162" i="27" s="1"/>
  <c r="J181" i="27"/>
  <c r="I181" i="27"/>
  <c r="V44" i="27"/>
  <c r="V55" i="27"/>
  <c r="V143" i="27"/>
  <c r="J146" i="27"/>
  <c r="I146" i="27"/>
  <c r="U146" i="27" s="1"/>
  <c r="V199" i="27"/>
  <c r="T199" i="27"/>
  <c r="J215" i="27"/>
  <c r="I215" i="27"/>
  <c r="V43" i="27"/>
  <c r="U55" i="27"/>
  <c r="I136" i="27"/>
  <c r="J136" i="27"/>
  <c r="J163" i="27"/>
  <c r="I163" i="27"/>
  <c r="J8" i="27"/>
  <c r="I8" i="27"/>
  <c r="V92" i="27"/>
  <c r="V123" i="27"/>
  <c r="T123" i="27"/>
  <c r="J144" i="27"/>
  <c r="I144" i="27"/>
  <c r="I171" i="27"/>
  <c r="J192" i="27"/>
  <c r="I192" i="27"/>
  <c r="U192" i="27" s="1"/>
  <c r="J95" i="27"/>
  <c r="I95" i="27"/>
  <c r="U95" i="27" s="1"/>
  <c r="I108" i="27"/>
  <c r="J108" i="27"/>
  <c r="T116" i="27"/>
  <c r="J166" i="27"/>
  <c r="I166" i="27"/>
  <c r="J139" i="27"/>
  <c r="I139" i="27"/>
  <c r="U139" i="27" s="1"/>
  <c r="V146" i="27"/>
  <c r="T146" i="27"/>
  <c r="V153" i="27"/>
  <c r="T153" i="27"/>
  <c r="V158" i="27"/>
  <c r="V167" i="27"/>
  <c r="T167" i="27"/>
  <c r="J205" i="27"/>
  <c r="I205" i="27"/>
  <c r="J141" i="27"/>
  <c r="I141" i="27"/>
  <c r="I152" i="27"/>
  <c r="T155" i="27"/>
  <c r="T158" i="27"/>
  <c r="V160" i="27"/>
  <c r="T160" i="27"/>
  <c r="I186" i="27"/>
  <c r="J102" i="27"/>
  <c r="I102" i="27"/>
  <c r="U102" i="27" s="1"/>
  <c r="V155" i="27"/>
  <c r="J170" i="27"/>
  <c r="I170" i="27"/>
  <c r="U170" i="27" s="1"/>
  <c r="I218" i="27"/>
  <c r="O161" i="27"/>
  <c r="M161" i="27"/>
  <c r="J180" i="27"/>
  <c r="I180" i="27"/>
  <c r="V182" i="27"/>
  <c r="J109" i="27"/>
  <c r="I109" i="27"/>
  <c r="J129" i="27"/>
  <c r="I129" i="27"/>
  <c r="J159" i="27"/>
  <c r="I159" i="27"/>
  <c r="J161" i="27"/>
  <c r="I168" i="27"/>
  <c r="U168" i="27" s="1"/>
  <c r="J168" i="27"/>
  <c r="T182" i="27"/>
  <c r="V188" i="27"/>
  <c r="T188" i="27"/>
  <c r="I201" i="27"/>
  <c r="U201" i="27" s="1"/>
  <c r="V208" i="27"/>
  <c r="T208" i="27"/>
  <c r="I211" i="27"/>
  <c r="J211" i="27"/>
  <c r="V68" i="27"/>
  <c r="T68" i="27"/>
  <c r="V114" i="27"/>
  <c r="T114" i="27"/>
  <c r="V125" i="27"/>
  <c r="V163" i="27"/>
  <c r="I200" i="27"/>
  <c r="J200" i="27"/>
  <c r="I209" i="27"/>
  <c r="J209" i="27"/>
  <c r="I126" i="27"/>
  <c r="U126" i="27" s="1"/>
  <c r="J126" i="27"/>
  <c r="V139" i="27"/>
  <c r="I183" i="27"/>
  <c r="U183" i="27" s="1"/>
  <c r="J183" i="27"/>
  <c r="O189" i="27"/>
  <c r="M189" i="27"/>
  <c r="T195" i="27"/>
  <c r="V195" i="27"/>
  <c r="O214" i="27"/>
  <c r="U214" i="27"/>
  <c r="M214" i="27"/>
  <c r="V193" i="27"/>
  <c r="T193" i="27"/>
  <c r="J196" i="27"/>
  <c r="I196" i="27"/>
  <c r="U196" i="27" s="1"/>
  <c r="J198" i="27"/>
  <c r="I198" i="27"/>
  <c r="T204" i="27"/>
  <c r="V204" i="27"/>
  <c r="J214" i="27"/>
  <c r="V124" i="27"/>
  <c r="T124" i="27"/>
  <c r="O138" i="27"/>
  <c r="U138" i="27"/>
  <c r="M138" i="27"/>
  <c r="T202" i="27"/>
  <c r="U204" i="27"/>
  <c r="V172" i="27"/>
  <c r="T172" i="27"/>
  <c r="J194" i="27"/>
  <c r="I194" i="27"/>
  <c r="J219" i="27"/>
  <c r="I219" i="27"/>
  <c r="T126" i="27"/>
  <c r="J128" i="27"/>
  <c r="I128" i="27"/>
  <c r="O142" i="27"/>
  <c r="M142" i="27"/>
  <c r="V176" i="27"/>
  <c r="T176" i="27"/>
  <c r="V190" i="27"/>
  <c r="T190" i="27"/>
  <c r="V122" i="27"/>
  <c r="V135" i="27"/>
  <c r="T135" i="27"/>
  <c r="U142" i="27"/>
  <c r="V168" i="27"/>
  <c r="J193" i="27"/>
  <c r="I193" i="27"/>
  <c r="U193" i="27" s="1"/>
  <c r="I167" i="27"/>
  <c r="U167" i="27" s="1"/>
  <c r="V189" i="27"/>
  <c r="T189" i="27"/>
  <c r="O210" i="27"/>
  <c r="M210" i="27"/>
  <c r="J212" i="27"/>
  <c r="I212" i="27"/>
  <c r="U217" i="27"/>
  <c r="V141" i="27"/>
  <c r="T162" i="27"/>
  <c r="V177" i="27"/>
  <c r="O179" i="27"/>
  <c r="M179" i="27"/>
  <c r="T183" i="27"/>
  <c r="U189" i="27"/>
  <c r="J195" i="27"/>
  <c r="I195" i="27"/>
  <c r="V198" i="27"/>
  <c r="I202" i="27"/>
  <c r="U202" i="27" s="1"/>
  <c r="J210" i="27"/>
  <c r="M221" i="27"/>
  <c r="V85" i="27"/>
  <c r="J140" i="27"/>
  <c r="T141" i="27"/>
  <c r="T145" i="27"/>
  <c r="V162" i="27"/>
  <c r="J176" i="27"/>
  <c r="T177" i="27"/>
  <c r="J179" i="27"/>
  <c r="I182" i="27"/>
  <c r="I185" i="27"/>
  <c r="J188" i="27"/>
  <c r="I188" i="27"/>
  <c r="U188" i="27" s="1"/>
  <c r="J197" i="27"/>
  <c r="I197" i="27"/>
  <c r="M204" i="27"/>
  <c r="O204" i="27"/>
  <c r="J206" i="27"/>
  <c r="I206" i="27"/>
  <c r="I208" i="27"/>
  <c r="U208" i="27" s="1"/>
  <c r="J208" i="27"/>
  <c r="J216" i="27"/>
  <c r="I216" i="27"/>
  <c r="U216" i="27" s="1"/>
  <c r="T178" i="27"/>
  <c r="V151" i="27"/>
  <c r="V147" i="27"/>
  <c r="U151" i="27"/>
  <c r="V152" i="27"/>
  <c r="V173" i="27"/>
  <c r="U207" i="27"/>
  <c r="V133" i="27"/>
  <c r="J156" i="27"/>
  <c r="I156" i="27"/>
  <c r="V201" i="27"/>
  <c r="T201" i="27"/>
  <c r="J191" i="27"/>
  <c r="I191" i="27"/>
  <c r="T206" i="27"/>
  <c r="I220" i="27"/>
  <c r="I130" i="27"/>
  <c r="J155" i="27"/>
  <c r="I155" i="27"/>
  <c r="U155" i="27" s="1"/>
  <c r="V194" i="27"/>
  <c r="T194" i="27"/>
  <c r="V221" i="27"/>
  <c r="V179" i="27"/>
  <c r="T217" i="27"/>
  <c r="T218" i="27"/>
  <c r="T219" i="27"/>
  <c r="T220" i="27"/>
  <c r="T221" i="27"/>
  <c r="V214" i="27"/>
  <c r="V215" i="27"/>
  <c r="T215" i="27"/>
  <c r="U221" i="27"/>
  <c r="I25" i="24"/>
  <c r="I76" i="24" s="1"/>
  <c r="I7" i="24"/>
  <c r="I67" i="24" s="1"/>
  <c r="Q7" i="24"/>
  <c r="C21" i="7"/>
  <c r="Y2" i="24"/>
  <c r="K9" i="24"/>
  <c r="Q9" i="24" s="1"/>
  <c r="G9" i="24" a="1"/>
  <c r="G9" i="24" s="1"/>
  <c r="AG2" i="33" l="1"/>
  <c r="AG4" i="33"/>
  <c r="AH3" i="33"/>
  <c r="W45" i="33"/>
  <c r="W5" i="33" s="1"/>
  <c r="P45" i="33"/>
  <c r="P5" i="33" s="1"/>
  <c r="M5" i="33"/>
  <c r="R45" i="33"/>
  <c r="O5" i="33"/>
  <c r="R5" i="33" s="1"/>
  <c r="P5" i="31"/>
  <c r="W5" i="31"/>
  <c r="X5" i="31" s="1"/>
  <c r="AG4" i="31"/>
  <c r="AH3" i="31"/>
  <c r="AG2" i="31"/>
  <c r="F1" i="31"/>
  <c r="R5" i="31"/>
  <c r="V1" i="31"/>
  <c r="AD4" i="30"/>
  <c r="AE3" i="30"/>
  <c r="AD2" i="30"/>
  <c r="M24" i="30"/>
  <c r="O24" i="30"/>
  <c r="O5" i="30" s="1"/>
  <c r="U24" i="30"/>
  <c r="J25" i="24"/>
  <c r="J7" i="24"/>
  <c r="P10" i="27"/>
  <c r="W10" i="27"/>
  <c r="X10" i="27" s="1"/>
  <c r="R12" i="27"/>
  <c r="P12" i="27"/>
  <c r="W12" i="27"/>
  <c r="X12" i="27" s="1"/>
  <c r="P140" i="27"/>
  <c r="W173" i="27"/>
  <c r="X173" i="27" s="1"/>
  <c r="U127" i="27"/>
  <c r="W176" i="27"/>
  <c r="X176" i="27" s="1"/>
  <c r="M143" i="27"/>
  <c r="M53" i="27"/>
  <c r="P53" i="27" s="1"/>
  <c r="U153" i="27"/>
  <c r="M213" i="27"/>
  <c r="P213" i="27" s="1"/>
  <c r="O125" i="27"/>
  <c r="P125" i="27" s="1"/>
  <c r="O127" i="27"/>
  <c r="U111" i="27"/>
  <c r="P147" i="27"/>
  <c r="O143" i="27"/>
  <c r="O52" i="27"/>
  <c r="P52" i="27" s="1"/>
  <c r="U53" i="27"/>
  <c r="R53" i="27" s="1"/>
  <c r="U125" i="27"/>
  <c r="O111" i="27"/>
  <c r="R131" i="27"/>
  <c r="U48" i="27"/>
  <c r="R48" i="27" s="1"/>
  <c r="W190" i="27"/>
  <c r="X190" i="27" s="1"/>
  <c r="U203" i="27"/>
  <c r="R203" i="27" s="1"/>
  <c r="R207" i="27"/>
  <c r="M48" i="27"/>
  <c r="U57" i="27"/>
  <c r="R57" i="27" s="1"/>
  <c r="W131" i="27"/>
  <c r="X131" i="27" s="1"/>
  <c r="O169" i="27"/>
  <c r="R169" i="27" s="1"/>
  <c r="U14" i="27"/>
  <c r="R14" i="27" s="1"/>
  <c r="O148" i="27"/>
  <c r="P148" i="27" s="1"/>
  <c r="U160" i="27"/>
  <c r="AB3" i="27"/>
  <c r="AC3" i="27" s="1"/>
  <c r="R190" i="27"/>
  <c r="O160" i="27"/>
  <c r="AA2" i="27"/>
  <c r="O178" i="27"/>
  <c r="R178" i="27" s="1"/>
  <c r="R176" i="27"/>
  <c r="M187" i="27"/>
  <c r="P187" i="27" s="1"/>
  <c r="M178" i="27"/>
  <c r="M169" i="27"/>
  <c r="M149" i="27"/>
  <c r="U187" i="27"/>
  <c r="R187" i="27" s="1"/>
  <c r="U137" i="27"/>
  <c r="W15" i="27"/>
  <c r="X15" i="27" s="1"/>
  <c r="O149" i="27"/>
  <c r="R149" i="27" s="1"/>
  <c r="U148" i="27"/>
  <c r="O137" i="27"/>
  <c r="P137" i="27" s="1"/>
  <c r="U118" i="27"/>
  <c r="M14" i="27"/>
  <c r="P14" i="27" s="1"/>
  <c r="U110" i="27"/>
  <c r="O110" i="27"/>
  <c r="M110" i="27"/>
  <c r="R179" i="27"/>
  <c r="O118" i="27"/>
  <c r="U120" i="27"/>
  <c r="R221" i="27"/>
  <c r="U174" i="27"/>
  <c r="R174" i="27" s="1"/>
  <c r="U96" i="27"/>
  <c r="R15" i="27"/>
  <c r="P190" i="27"/>
  <c r="U150" i="27"/>
  <c r="R150" i="27" s="1"/>
  <c r="U13" i="27"/>
  <c r="R13" i="27" s="1"/>
  <c r="M150" i="27"/>
  <c r="P150" i="27" s="1"/>
  <c r="O133" i="27"/>
  <c r="U133" i="27"/>
  <c r="O17" i="27"/>
  <c r="R17" i="27" s="1"/>
  <c r="M13" i="27"/>
  <c r="P13" i="27" s="1"/>
  <c r="U52" i="27"/>
  <c r="R210" i="27"/>
  <c r="W140" i="27"/>
  <c r="X140" i="27" s="1"/>
  <c r="O120" i="27"/>
  <c r="P120" i="27" s="1"/>
  <c r="R173" i="27"/>
  <c r="M174" i="27"/>
  <c r="O96" i="27"/>
  <c r="W147" i="27"/>
  <c r="X147" i="27" s="1"/>
  <c r="M17" i="27"/>
  <c r="M199" i="27"/>
  <c r="R124" i="27"/>
  <c r="O199" i="27"/>
  <c r="R199" i="27" s="1"/>
  <c r="M57" i="27"/>
  <c r="P57" i="27" s="1"/>
  <c r="O36" i="27"/>
  <c r="M36" i="27"/>
  <c r="U36" i="27"/>
  <c r="O43" i="27"/>
  <c r="M43" i="27"/>
  <c r="T5" i="27"/>
  <c r="U105" i="27"/>
  <c r="M94" i="27"/>
  <c r="M6" i="27"/>
  <c r="O154" i="27"/>
  <c r="R154" i="27" s="1"/>
  <c r="M154" i="27"/>
  <c r="O158" i="27"/>
  <c r="M158" i="27"/>
  <c r="M91" i="27"/>
  <c r="U103" i="27"/>
  <c r="R103" i="27" s="1"/>
  <c r="U99" i="27"/>
  <c r="U175" i="27"/>
  <c r="R175" i="27" s="1"/>
  <c r="O104" i="27"/>
  <c r="R104" i="27" s="1"/>
  <c r="M104" i="27"/>
  <c r="M203" i="27"/>
  <c r="P203" i="27" s="1"/>
  <c r="R147" i="27"/>
  <c r="U6" i="27"/>
  <c r="R6" i="27" s="1"/>
  <c r="U78" i="27"/>
  <c r="R78" i="27" s="1"/>
  <c r="R217" i="27"/>
  <c r="M175" i="27"/>
  <c r="P175" i="27" s="1"/>
  <c r="U43" i="27"/>
  <c r="M103" i="27"/>
  <c r="U37" i="27"/>
  <c r="R37" i="27" s="1"/>
  <c r="O153" i="27"/>
  <c r="P153" i="27" s="1"/>
  <c r="M37" i="27"/>
  <c r="P37" i="27" s="1"/>
  <c r="O105" i="27"/>
  <c r="O99" i="27"/>
  <c r="P99" i="27" s="1"/>
  <c r="O91" i="27"/>
  <c r="R91" i="27" s="1"/>
  <c r="U213" i="27"/>
  <c r="R213" i="27" s="1"/>
  <c r="O94" i="27"/>
  <c r="R94" i="27" s="1"/>
  <c r="M78" i="27"/>
  <c r="U158" i="27"/>
  <c r="R157" i="27"/>
  <c r="R140" i="27"/>
  <c r="M117" i="27"/>
  <c r="O117" i="27"/>
  <c r="P124" i="27"/>
  <c r="W124" i="27"/>
  <c r="X124" i="27" s="1"/>
  <c r="U119" i="27"/>
  <c r="O119" i="27"/>
  <c r="M119" i="27"/>
  <c r="M156" i="27"/>
  <c r="U156" i="27"/>
  <c r="O156" i="27"/>
  <c r="R189" i="27"/>
  <c r="M183" i="27"/>
  <c r="O183" i="27"/>
  <c r="R183" i="27" s="1"/>
  <c r="M218" i="27"/>
  <c r="O218" i="27"/>
  <c r="O116" i="27"/>
  <c r="R116" i="27" s="1"/>
  <c r="M116" i="27"/>
  <c r="R161" i="27"/>
  <c r="M101" i="27"/>
  <c r="O101" i="27"/>
  <c r="U101" i="27"/>
  <c r="W55" i="27"/>
  <c r="X55" i="27" s="1"/>
  <c r="P55" i="27"/>
  <c r="M182" i="27"/>
  <c r="O182" i="27"/>
  <c r="P161" i="27"/>
  <c r="W161" i="27"/>
  <c r="X161" i="27" s="1"/>
  <c r="P217" i="27"/>
  <c r="W217" i="27"/>
  <c r="X217" i="27" s="1"/>
  <c r="O130" i="27"/>
  <c r="M130" i="27"/>
  <c r="O208" i="27"/>
  <c r="R208" i="27" s="1"/>
  <c r="M208" i="27"/>
  <c r="P210" i="27"/>
  <c r="W210" i="27"/>
  <c r="X210" i="27" s="1"/>
  <c r="R142" i="27"/>
  <c r="M196" i="27"/>
  <c r="O196" i="27"/>
  <c r="R196" i="27" s="1"/>
  <c r="O201" i="27"/>
  <c r="R201" i="27" s="1"/>
  <c r="M201" i="27"/>
  <c r="O109" i="27"/>
  <c r="M109" i="27"/>
  <c r="W207" i="27"/>
  <c r="X207" i="27" s="1"/>
  <c r="U130" i="27"/>
  <c r="R93" i="27"/>
  <c r="O172" i="27"/>
  <c r="M172" i="27"/>
  <c r="U172" i="27"/>
  <c r="O54" i="27"/>
  <c r="U54" i="27"/>
  <c r="M54" i="27"/>
  <c r="O185" i="27"/>
  <c r="M185" i="27"/>
  <c r="U185" i="27"/>
  <c r="M186" i="27"/>
  <c r="O186" i="27"/>
  <c r="U186" i="27"/>
  <c r="M7" i="27"/>
  <c r="O7" i="27"/>
  <c r="M155" i="27"/>
  <c r="O155" i="27"/>
  <c r="R155" i="27" s="1"/>
  <c r="M212" i="27"/>
  <c r="O212" i="27"/>
  <c r="U212" i="27"/>
  <c r="M198" i="27"/>
  <c r="O198" i="27"/>
  <c r="M171" i="27"/>
  <c r="O171" i="27"/>
  <c r="O220" i="27"/>
  <c r="M220" i="27"/>
  <c r="W138" i="27"/>
  <c r="X138" i="27" s="1"/>
  <c r="P138" i="27"/>
  <c r="M170" i="27"/>
  <c r="O170" i="27"/>
  <c r="R170" i="27" s="1"/>
  <c r="M163" i="27"/>
  <c r="O163" i="27"/>
  <c r="U163" i="27"/>
  <c r="O184" i="27"/>
  <c r="U184" i="27"/>
  <c r="M184" i="27"/>
  <c r="O194" i="27"/>
  <c r="U194" i="27"/>
  <c r="M194" i="27"/>
  <c r="R138" i="27"/>
  <c r="O126" i="27"/>
  <c r="R126" i="27" s="1"/>
  <c r="M126" i="27"/>
  <c r="O152" i="27"/>
  <c r="U152" i="27"/>
  <c r="M152" i="27"/>
  <c r="O146" i="27"/>
  <c r="R146" i="27" s="1"/>
  <c r="M146" i="27"/>
  <c r="O35" i="27"/>
  <c r="M35" i="27"/>
  <c r="U35" i="27"/>
  <c r="O135" i="27"/>
  <c r="R135" i="27" s="1"/>
  <c r="M135" i="27"/>
  <c r="Q5" i="27"/>
  <c r="U7" i="27"/>
  <c r="O164" i="27"/>
  <c r="M164" i="27"/>
  <c r="U164" i="27"/>
  <c r="M129" i="27"/>
  <c r="O129" i="27"/>
  <c r="M106" i="27"/>
  <c r="O106" i="27"/>
  <c r="U106" i="27"/>
  <c r="O107" i="27"/>
  <c r="U107" i="27"/>
  <c r="M107" i="27"/>
  <c r="O206" i="27"/>
  <c r="M206" i="27"/>
  <c r="M219" i="27"/>
  <c r="O219" i="27"/>
  <c r="P93" i="27"/>
  <c r="W93" i="27"/>
  <c r="X93" i="27" s="1"/>
  <c r="M191" i="27"/>
  <c r="O191" i="27"/>
  <c r="U191" i="27"/>
  <c r="W214" i="27"/>
  <c r="X214" i="27" s="1"/>
  <c r="P214" i="27"/>
  <c r="M181" i="27"/>
  <c r="U181" i="27"/>
  <c r="O181" i="27"/>
  <c r="U98" i="27"/>
  <c r="O98" i="27"/>
  <c r="M98" i="27"/>
  <c r="R151" i="27"/>
  <c r="M197" i="27"/>
  <c r="O197" i="27"/>
  <c r="R214" i="27"/>
  <c r="O209" i="27"/>
  <c r="U209" i="27"/>
  <c r="M209" i="27"/>
  <c r="M95" i="27"/>
  <c r="O95" i="27"/>
  <c r="R95" i="27" s="1"/>
  <c r="M136" i="27"/>
  <c r="U136" i="27"/>
  <c r="O136" i="27"/>
  <c r="U68" i="27"/>
  <c r="M68" i="27"/>
  <c r="O68" i="27"/>
  <c r="O9" i="27"/>
  <c r="M9" i="27"/>
  <c r="U9" i="27"/>
  <c r="P39" i="27"/>
  <c r="W39" i="27"/>
  <c r="X39" i="27" s="1"/>
  <c r="P189" i="27"/>
  <c r="W189" i="27"/>
  <c r="X189" i="27" s="1"/>
  <c r="O216" i="27"/>
  <c r="R216" i="27" s="1"/>
  <c r="M216" i="27"/>
  <c r="U128" i="27"/>
  <c r="M128" i="27"/>
  <c r="O128" i="27"/>
  <c r="O121" i="27"/>
  <c r="U121" i="27"/>
  <c r="M121" i="27"/>
  <c r="O215" i="27"/>
  <c r="U215" i="27"/>
  <c r="M215" i="27"/>
  <c r="O114" i="27"/>
  <c r="M114" i="27"/>
  <c r="U114" i="27"/>
  <c r="U198" i="27"/>
  <c r="P204" i="27"/>
  <c r="W204" i="27"/>
  <c r="X204" i="27" s="1"/>
  <c r="O141" i="27"/>
  <c r="M141" i="27"/>
  <c r="U141" i="27"/>
  <c r="M108" i="27"/>
  <c r="O108" i="27"/>
  <c r="U108" i="27"/>
  <c r="O167" i="27"/>
  <c r="R167" i="27" s="1"/>
  <c r="M167" i="27"/>
  <c r="U220" i="27"/>
  <c r="O165" i="27"/>
  <c r="U165" i="27"/>
  <c r="M165" i="27"/>
  <c r="O134" i="27"/>
  <c r="R134" i="27" s="1"/>
  <c r="M134" i="27"/>
  <c r="R204" i="27"/>
  <c r="U182" i="27"/>
  <c r="M205" i="27"/>
  <c r="O205" i="27"/>
  <c r="M139" i="27"/>
  <c r="O139" i="27"/>
  <c r="R139" i="27" s="1"/>
  <c r="M122" i="27"/>
  <c r="O122" i="27"/>
  <c r="U122" i="27"/>
  <c r="O188" i="27"/>
  <c r="R188" i="27" s="1"/>
  <c r="M188" i="27"/>
  <c r="O200" i="27"/>
  <c r="M200" i="27"/>
  <c r="U200" i="27"/>
  <c r="O159" i="27"/>
  <c r="M159" i="27"/>
  <c r="U159" i="27"/>
  <c r="O192" i="27"/>
  <c r="R192" i="27" s="1"/>
  <c r="M192" i="27"/>
  <c r="R55" i="27"/>
  <c r="M92" i="27"/>
  <c r="U92" i="27"/>
  <c r="O92" i="27"/>
  <c r="M211" i="27"/>
  <c r="U211" i="27"/>
  <c r="O211" i="27"/>
  <c r="O195" i="27"/>
  <c r="M195" i="27"/>
  <c r="O177" i="27"/>
  <c r="R177" i="27" s="1"/>
  <c r="M177" i="27"/>
  <c r="P157" i="27"/>
  <c r="W157" i="27"/>
  <c r="X157" i="27" s="1"/>
  <c r="O8" i="27"/>
  <c r="U8" i="27"/>
  <c r="M8" i="27"/>
  <c r="P179" i="27"/>
  <c r="W179" i="27"/>
  <c r="X179" i="27" s="1"/>
  <c r="O97" i="27"/>
  <c r="R97" i="27" s="1"/>
  <c r="M97" i="27"/>
  <c r="V5" i="27"/>
  <c r="U218" i="27"/>
  <c r="U129" i="27"/>
  <c r="U206" i="27"/>
  <c r="O168" i="27"/>
  <c r="R168" i="27" s="1"/>
  <c r="M168" i="27"/>
  <c r="M144" i="27"/>
  <c r="O144" i="27"/>
  <c r="U144" i="27"/>
  <c r="M162" i="27"/>
  <c r="O162" i="27"/>
  <c r="R162" i="27" s="1"/>
  <c r="O44" i="27"/>
  <c r="U44" i="27"/>
  <c r="M44" i="27"/>
  <c r="R39" i="27"/>
  <c r="U219" i="27"/>
  <c r="W221" i="27"/>
  <c r="X221" i="27" s="1"/>
  <c r="P221" i="27"/>
  <c r="O193" i="27"/>
  <c r="R193" i="27" s="1"/>
  <c r="M193" i="27"/>
  <c r="U195" i="27"/>
  <c r="O102" i="27"/>
  <c r="R102" i="27" s="1"/>
  <c r="M102" i="27"/>
  <c r="O132" i="27"/>
  <c r="R132" i="27" s="1"/>
  <c r="M132" i="27"/>
  <c r="O16" i="27"/>
  <c r="M16" i="27"/>
  <c r="U197" i="27"/>
  <c r="U171" i="27"/>
  <c r="O202" i="27"/>
  <c r="R202" i="27" s="1"/>
  <c r="M202" i="27"/>
  <c r="U205" i="27"/>
  <c r="P142" i="27"/>
  <c r="W142" i="27"/>
  <c r="X142" i="27" s="1"/>
  <c r="M180" i="27"/>
  <c r="U180" i="27"/>
  <c r="O180" i="27"/>
  <c r="U166" i="27"/>
  <c r="M166" i="27"/>
  <c r="O166" i="27"/>
  <c r="M123" i="27"/>
  <c r="O123" i="27"/>
  <c r="R123" i="27" s="1"/>
  <c r="U109" i="27"/>
  <c r="P151" i="27"/>
  <c r="W151" i="27"/>
  <c r="X151" i="27" s="1"/>
  <c r="U112" i="27"/>
  <c r="O112" i="27"/>
  <c r="M112" i="27"/>
  <c r="O100" i="27"/>
  <c r="R100" i="27" s="1"/>
  <c r="M100" i="27"/>
  <c r="O145" i="27"/>
  <c r="R145" i="27" s="1"/>
  <c r="M145" i="27"/>
  <c r="O113" i="27"/>
  <c r="U113" i="27"/>
  <c r="M113" i="27"/>
  <c r="O85" i="27"/>
  <c r="R85" i="27" s="1"/>
  <c r="M85" i="27"/>
  <c r="O115" i="27"/>
  <c r="M115" i="27"/>
  <c r="U115" i="27"/>
  <c r="O25" i="24"/>
  <c r="M25" i="24"/>
  <c r="M7" i="24"/>
  <c r="O7" i="24"/>
  <c r="D2" i="33" l="1"/>
  <c r="R1" i="33"/>
  <c r="X5" i="33"/>
  <c r="F1" i="33"/>
  <c r="AH4" i="33"/>
  <c r="AI3" i="33"/>
  <c r="AH2" i="33"/>
  <c r="E2" i="31"/>
  <c r="F2" i="31"/>
  <c r="D2" i="31"/>
  <c r="R1" i="31"/>
  <c r="AH2" i="31"/>
  <c r="AI3" i="31"/>
  <c r="AH4" i="31"/>
  <c r="P24" i="30"/>
  <c r="P5" i="30" s="1"/>
  <c r="M5" i="30"/>
  <c r="X5" i="30" s="1"/>
  <c r="AE4" i="30"/>
  <c r="AF3" i="30"/>
  <c r="AE2" i="30"/>
  <c r="R24" i="30"/>
  <c r="U5" i="30"/>
  <c r="W143" i="27"/>
  <c r="X143" i="27" s="1"/>
  <c r="R127" i="27"/>
  <c r="P158" i="27"/>
  <c r="R133" i="27"/>
  <c r="R184" i="27"/>
  <c r="R186" i="27"/>
  <c r="W178" i="27"/>
  <c r="X178" i="27" s="1"/>
  <c r="W48" i="27"/>
  <c r="X48" i="27" s="1"/>
  <c r="P127" i="27"/>
  <c r="W127" i="27"/>
  <c r="X127" i="27" s="1"/>
  <c r="W96" i="27"/>
  <c r="X96" i="27" s="1"/>
  <c r="W148" i="27"/>
  <c r="X148" i="27" s="1"/>
  <c r="W111" i="27"/>
  <c r="X111" i="27" s="1"/>
  <c r="R209" i="27"/>
  <c r="W174" i="27"/>
  <c r="X174" i="27" s="1"/>
  <c r="W125" i="27"/>
  <c r="X125" i="27" s="1"/>
  <c r="W14" i="27"/>
  <c r="X14" i="27" s="1"/>
  <c r="R141" i="27"/>
  <c r="R111" i="27"/>
  <c r="R114" i="27"/>
  <c r="R106" i="27"/>
  <c r="W160" i="27"/>
  <c r="X160" i="27" s="1"/>
  <c r="W53" i="27"/>
  <c r="X53" i="27" s="1"/>
  <c r="P91" i="27"/>
  <c r="P143" i="27"/>
  <c r="R101" i="27"/>
  <c r="W78" i="27"/>
  <c r="X78" i="27" s="1"/>
  <c r="R143" i="27"/>
  <c r="W105" i="27"/>
  <c r="X105" i="27" s="1"/>
  <c r="R125" i="27"/>
  <c r="P111" i="27"/>
  <c r="R205" i="27"/>
  <c r="W120" i="27"/>
  <c r="X120" i="27" s="1"/>
  <c r="W149" i="27"/>
  <c r="X149" i="27" s="1"/>
  <c r="R152" i="27"/>
  <c r="R212" i="27"/>
  <c r="R54" i="27"/>
  <c r="R52" i="27"/>
  <c r="W169" i="27"/>
  <c r="X169" i="27" s="1"/>
  <c r="W91" i="27"/>
  <c r="X91" i="27" s="1"/>
  <c r="R200" i="27"/>
  <c r="W133" i="27"/>
  <c r="X133" i="27" s="1"/>
  <c r="W52" i="27"/>
  <c r="X52" i="27" s="1"/>
  <c r="P48" i="27"/>
  <c r="R144" i="27"/>
  <c r="P17" i="27"/>
  <c r="R118" i="27"/>
  <c r="P178" i="27"/>
  <c r="P169" i="27"/>
  <c r="R148" i="27"/>
  <c r="P149" i="27"/>
  <c r="R182" i="27"/>
  <c r="W158" i="27"/>
  <c r="X158" i="27" s="1"/>
  <c r="W57" i="27"/>
  <c r="X57" i="27" s="1"/>
  <c r="R137" i="27"/>
  <c r="R218" i="27"/>
  <c r="R108" i="27"/>
  <c r="R215" i="27"/>
  <c r="R9" i="27"/>
  <c r="R194" i="27"/>
  <c r="R43" i="27"/>
  <c r="R99" i="27"/>
  <c r="R36" i="27"/>
  <c r="W137" i="27"/>
  <c r="X137" i="27" s="1"/>
  <c r="R185" i="27"/>
  <c r="R110" i="27"/>
  <c r="R113" i="27"/>
  <c r="W37" i="27"/>
  <c r="X37" i="27" s="1"/>
  <c r="R96" i="27"/>
  <c r="R160" i="27"/>
  <c r="R165" i="27"/>
  <c r="W203" i="27"/>
  <c r="X203" i="27" s="1"/>
  <c r="P174" i="27"/>
  <c r="R153" i="27"/>
  <c r="R120" i="27"/>
  <c r="W199" i="27"/>
  <c r="X199" i="27" s="1"/>
  <c r="P199" i="27"/>
  <c r="R195" i="27"/>
  <c r="W187" i="27"/>
  <c r="X187" i="27" s="1"/>
  <c r="P133" i="27"/>
  <c r="W17" i="27"/>
  <c r="X17" i="27" s="1"/>
  <c r="AB2" i="27"/>
  <c r="P160" i="27"/>
  <c r="R115" i="27"/>
  <c r="W118" i="27"/>
  <c r="X118" i="27" s="1"/>
  <c r="R191" i="27"/>
  <c r="P117" i="27"/>
  <c r="R211" i="27"/>
  <c r="W13" i="27"/>
  <c r="X13" i="27" s="1"/>
  <c r="P118" i="27"/>
  <c r="R164" i="27"/>
  <c r="R105" i="27"/>
  <c r="W6" i="27"/>
  <c r="X6" i="27" s="1"/>
  <c r="W153" i="27"/>
  <c r="X153" i="27" s="1"/>
  <c r="P94" i="27"/>
  <c r="W150" i="27"/>
  <c r="X150" i="27" s="1"/>
  <c r="P96" i="27"/>
  <c r="W110" i="27"/>
  <c r="X110" i="27" s="1"/>
  <c r="P110" i="27"/>
  <c r="P6" i="27"/>
  <c r="R163" i="27"/>
  <c r="W103" i="27"/>
  <c r="X103" i="27" s="1"/>
  <c r="R119" i="27"/>
  <c r="W43" i="27"/>
  <c r="X43" i="27" s="1"/>
  <c r="P43" i="27"/>
  <c r="P103" i="27"/>
  <c r="W104" i="27"/>
  <c r="X104" i="27" s="1"/>
  <c r="P154" i="27"/>
  <c r="W154" i="27"/>
  <c r="X154" i="27" s="1"/>
  <c r="O5" i="27"/>
  <c r="W175" i="27"/>
  <c r="X175" i="27" s="1"/>
  <c r="W99" i="27"/>
  <c r="X99" i="27" s="1"/>
  <c r="P36" i="27"/>
  <c r="W36" i="27"/>
  <c r="X36" i="27" s="1"/>
  <c r="W213" i="27"/>
  <c r="X213" i="27" s="1"/>
  <c r="R7" i="27"/>
  <c r="W117" i="27"/>
  <c r="X117" i="27" s="1"/>
  <c r="P105" i="27"/>
  <c r="P78" i="27"/>
  <c r="W94" i="27"/>
  <c r="X94" i="27" s="1"/>
  <c r="R158" i="27"/>
  <c r="R117" i="27"/>
  <c r="R171" i="27"/>
  <c r="R220" i="27"/>
  <c r="R172" i="27"/>
  <c r="R156" i="27"/>
  <c r="P104" i="27"/>
  <c r="P85" i="27"/>
  <c r="W85" i="27"/>
  <c r="X85" i="27" s="1"/>
  <c r="W159" i="27"/>
  <c r="X159" i="27" s="1"/>
  <c r="P159" i="27"/>
  <c r="P167" i="27"/>
  <c r="W167" i="27"/>
  <c r="X167" i="27" s="1"/>
  <c r="W171" i="27"/>
  <c r="X171" i="27" s="1"/>
  <c r="P171" i="27"/>
  <c r="W130" i="27"/>
  <c r="X130" i="27" s="1"/>
  <c r="P130" i="27"/>
  <c r="P128" i="27"/>
  <c r="W128" i="27"/>
  <c r="X128" i="27" s="1"/>
  <c r="W177" i="27"/>
  <c r="X177" i="27" s="1"/>
  <c r="P177" i="27"/>
  <c r="R128" i="27"/>
  <c r="P126" i="27"/>
  <c r="W126" i="27"/>
  <c r="X126" i="27" s="1"/>
  <c r="W200" i="27"/>
  <c r="X200" i="27" s="1"/>
  <c r="P200" i="27"/>
  <c r="W134" i="27"/>
  <c r="X134" i="27" s="1"/>
  <c r="P134" i="27"/>
  <c r="P218" i="27"/>
  <c r="W218" i="27"/>
  <c r="X218" i="27" s="1"/>
  <c r="R92" i="27"/>
  <c r="W201" i="27"/>
  <c r="X201" i="27" s="1"/>
  <c r="P201" i="27"/>
  <c r="R16" i="27"/>
  <c r="P162" i="27"/>
  <c r="W162" i="27"/>
  <c r="X162" i="27" s="1"/>
  <c r="P54" i="27"/>
  <c r="W54" i="27"/>
  <c r="X54" i="27" s="1"/>
  <c r="P163" i="27"/>
  <c r="W163" i="27"/>
  <c r="X163" i="27" s="1"/>
  <c r="W101" i="27"/>
  <c r="X101" i="27" s="1"/>
  <c r="P101" i="27"/>
  <c r="AD3" i="27"/>
  <c r="AC2" i="27"/>
  <c r="P114" i="27"/>
  <c r="W114" i="27"/>
  <c r="X114" i="27" s="1"/>
  <c r="W181" i="27"/>
  <c r="X181" i="27" s="1"/>
  <c r="P181" i="27"/>
  <c r="W155" i="27"/>
  <c r="X155" i="27" s="1"/>
  <c r="P155" i="27"/>
  <c r="P196" i="27"/>
  <c r="W196" i="27"/>
  <c r="X196" i="27" s="1"/>
  <c r="W132" i="27"/>
  <c r="X132" i="27" s="1"/>
  <c r="P132" i="27"/>
  <c r="R112" i="27"/>
  <c r="W198" i="27"/>
  <c r="X198" i="27" s="1"/>
  <c r="P198" i="27"/>
  <c r="U5" i="27"/>
  <c r="W106" i="27"/>
  <c r="X106" i="27" s="1"/>
  <c r="P106" i="27"/>
  <c r="P97" i="27"/>
  <c r="W97" i="27"/>
  <c r="X97" i="27" s="1"/>
  <c r="P68" i="27"/>
  <c r="W68" i="27"/>
  <c r="X68" i="27" s="1"/>
  <c r="W219" i="27"/>
  <c r="X219" i="27" s="1"/>
  <c r="P219" i="27"/>
  <c r="R35" i="27"/>
  <c r="W170" i="27"/>
  <c r="X170" i="27" s="1"/>
  <c r="P170" i="27"/>
  <c r="W172" i="27"/>
  <c r="X172" i="27" s="1"/>
  <c r="P172" i="27"/>
  <c r="W116" i="27"/>
  <c r="X116" i="27" s="1"/>
  <c r="P116" i="27"/>
  <c r="P123" i="27"/>
  <c r="W123" i="27"/>
  <c r="X123" i="27" s="1"/>
  <c r="W202" i="27"/>
  <c r="X202" i="27" s="1"/>
  <c r="P202" i="27"/>
  <c r="R122" i="27"/>
  <c r="W108" i="27"/>
  <c r="X108" i="27" s="1"/>
  <c r="P108" i="27"/>
  <c r="W215" i="27"/>
  <c r="X215" i="27" s="1"/>
  <c r="P215" i="27"/>
  <c r="R68" i="27"/>
  <c r="P206" i="27"/>
  <c r="W206" i="27"/>
  <c r="X206" i="27" s="1"/>
  <c r="P35" i="27"/>
  <c r="W35" i="27"/>
  <c r="X35" i="27" s="1"/>
  <c r="R98" i="27"/>
  <c r="W109" i="27"/>
  <c r="X109" i="27" s="1"/>
  <c r="P109" i="27"/>
  <c r="P92" i="27"/>
  <c r="W92" i="27"/>
  <c r="X92" i="27" s="1"/>
  <c r="P193" i="27"/>
  <c r="W193" i="27"/>
  <c r="X193" i="27" s="1"/>
  <c r="W188" i="27"/>
  <c r="X188" i="27" s="1"/>
  <c r="P188" i="27"/>
  <c r="R181" i="27"/>
  <c r="W194" i="27"/>
  <c r="X194" i="27" s="1"/>
  <c r="P194" i="27"/>
  <c r="W146" i="27"/>
  <c r="X146" i="27" s="1"/>
  <c r="P146" i="27"/>
  <c r="W220" i="27"/>
  <c r="X220" i="27" s="1"/>
  <c r="P220" i="27"/>
  <c r="R130" i="27"/>
  <c r="W156" i="27"/>
  <c r="X156" i="27" s="1"/>
  <c r="P156" i="27"/>
  <c r="W115" i="27"/>
  <c r="X115" i="27" s="1"/>
  <c r="P115" i="27"/>
  <c r="P166" i="27"/>
  <c r="W166" i="27"/>
  <c r="X166" i="27" s="1"/>
  <c r="R197" i="27"/>
  <c r="P44" i="27"/>
  <c r="W44" i="27"/>
  <c r="X44" i="27" s="1"/>
  <c r="R206" i="27"/>
  <c r="R8" i="27"/>
  <c r="P205" i="27"/>
  <c r="W205" i="27"/>
  <c r="X205" i="27" s="1"/>
  <c r="P121" i="27"/>
  <c r="W121" i="27"/>
  <c r="X121" i="27" s="1"/>
  <c r="W9" i="27"/>
  <c r="X9" i="27" s="1"/>
  <c r="P9" i="27"/>
  <c r="P136" i="27"/>
  <c r="W136" i="27"/>
  <c r="X136" i="27" s="1"/>
  <c r="R107" i="27"/>
  <c r="P164" i="27"/>
  <c r="W164" i="27"/>
  <c r="X164" i="27" s="1"/>
  <c r="W119" i="27"/>
  <c r="X119" i="27" s="1"/>
  <c r="P119" i="27"/>
  <c r="W112" i="27"/>
  <c r="X112" i="27" s="1"/>
  <c r="P112" i="27"/>
  <c r="P211" i="27"/>
  <c r="W211" i="27"/>
  <c r="X211" i="27" s="1"/>
  <c r="R180" i="27"/>
  <c r="M5" i="27"/>
  <c r="P185" i="27"/>
  <c r="W185" i="27"/>
  <c r="X185" i="27" s="1"/>
  <c r="P113" i="27"/>
  <c r="W113" i="27"/>
  <c r="X113" i="27" s="1"/>
  <c r="P180" i="27"/>
  <c r="W180" i="27"/>
  <c r="X180" i="27" s="1"/>
  <c r="R198" i="27"/>
  <c r="P95" i="27"/>
  <c r="W95" i="27"/>
  <c r="X95" i="27" s="1"/>
  <c r="P102" i="27"/>
  <c r="W102" i="27"/>
  <c r="X102" i="27" s="1"/>
  <c r="P216" i="27"/>
  <c r="W216" i="27"/>
  <c r="X216" i="27" s="1"/>
  <c r="W145" i="27"/>
  <c r="X145" i="27" s="1"/>
  <c r="P145" i="27"/>
  <c r="R109" i="27"/>
  <c r="P209" i="27"/>
  <c r="W209" i="27"/>
  <c r="X209" i="27" s="1"/>
  <c r="P212" i="27"/>
  <c r="W212" i="27"/>
  <c r="X212" i="27" s="1"/>
  <c r="P183" i="27"/>
  <c r="W183" i="27"/>
  <c r="X183" i="27" s="1"/>
  <c r="W129" i="27"/>
  <c r="X129" i="27" s="1"/>
  <c r="P129" i="27"/>
  <c r="P135" i="27"/>
  <c r="W135" i="27"/>
  <c r="X135" i="27" s="1"/>
  <c r="P144" i="27"/>
  <c r="W144" i="27"/>
  <c r="X144" i="27" s="1"/>
  <c r="W195" i="27"/>
  <c r="X195" i="27" s="1"/>
  <c r="P195" i="27"/>
  <c r="R219" i="27"/>
  <c r="P168" i="27"/>
  <c r="W168" i="27"/>
  <c r="X168" i="27" s="1"/>
  <c r="P139" i="27"/>
  <c r="W139" i="27"/>
  <c r="X139" i="27" s="1"/>
  <c r="P165" i="27"/>
  <c r="W165" i="27"/>
  <c r="X165" i="27" s="1"/>
  <c r="P184" i="27"/>
  <c r="W184" i="27"/>
  <c r="X184" i="27" s="1"/>
  <c r="P7" i="27"/>
  <c r="W7" i="27"/>
  <c r="X7" i="27" s="1"/>
  <c r="P100" i="27"/>
  <c r="W100" i="27"/>
  <c r="X100" i="27" s="1"/>
  <c r="W8" i="27"/>
  <c r="X8" i="27" s="1"/>
  <c r="P8" i="27"/>
  <c r="W192" i="27"/>
  <c r="X192" i="27" s="1"/>
  <c r="P192" i="27"/>
  <c r="P122" i="27"/>
  <c r="W122" i="27"/>
  <c r="X122" i="27" s="1"/>
  <c r="P141" i="27"/>
  <c r="W141" i="27"/>
  <c r="X141" i="27" s="1"/>
  <c r="R136" i="27"/>
  <c r="P197" i="27"/>
  <c r="W197" i="27"/>
  <c r="X197" i="27" s="1"/>
  <c r="P107" i="27"/>
  <c r="W107" i="27"/>
  <c r="X107" i="27" s="1"/>
  <c r="R166" i="27"/>
  <c r="P16" i="27"/>
  <c r="W16" i="27"/>
  <c r="X16" i="27" s="1"/>
  <c r="R44" i="27"/>
  <c r="R129" i="27"/>
  <c r="R159" i="27"/>
  <c r="R121" i="27"/>
  <c r="P98" i="27"/>
  <c r="W98" i="27"/>
  <c r="X98" i="27" s="1"/>
  <c r="P191" i="27"/>
  <c r="W191" i="27"/>
  <c r="X191" i="27" s="1"/>
  <c r="P152" i="27"/>
  <c r="W152" i="27"/>
  <c r="X152" i="27" s="1"/>
  <c r="P186" i="27"/>
  <c r="W186" i="27"/>
  <c r="X186" i="27" s="1"/>
  <c r="P208" i="27"/>
  <c r="W208" i="27"/>
  <c r="X208" i="27" s="1"/>
  <c r="P182" i="27"/>
  <c r="W182" i="27"/>
  <c r="X182" i="27" s="1"/>
  <c r="P25" i="24"/>
  <c r="P7" i="24"/>
  <c r="V4" i="25" a="1"/>
  <c r="V4" i="25" s="1"/>
  <c r="G24" i="24" a="1"/>
  <c r="G24" i="24" s="1"/>
  <c r="Q22" i="24"/>
  <c r="G22" i="24" a="1"/>
  <c r="G22" i="24" s="1"/>
  <c r="K21" i="24"/>
  <c r="Q21" i="24" s="1"/>
  <c r="G21" i="24" a="1"/>
  <c r="G21" i="24" s="1"/>
  <c r="K20" i="24"/>
  <c r="Q20" i="24" s="1"/>
  <c r="G20" i="24" a="1"/>
  <c r="G20" i="24" s="1"/>
  <c r="K19" i="24"/>
  <c r="Q19" i="24" s="1"/>
  <c r="G19" i="24" a="1"/>
  <c r="G19" i="24" s="1"/>
  <c r="K13" i="24"/>
  <c r="G13" i="24" a="1"/>
  <c r="G13" i="24" s="1"/>
  <c r="Q12" i="24"/>
  <c r="K6" i="24"/>
  <c r="Q6" i="24" s="1"/>
  <c r="G6" i="24" a="1"/>
  <c r="G6" i="24" s="1"/>
  <c r="N3" i="24"/>
  <c r="AJ3" i="33" l="1"/>
  <c r="AI2" i="33"/>
  <c r="AI4" i="33"/>
  <c r="AI4" i="31"/>
  <c r="AJ3" i="31"/>
  <c r="AI2" i="31"/>
  <c r="AF2" i="30"/>
  <c r="AG3" i="30"/>
  <c r="AF4" i="30"/>
  <c r="V1" i="30"/>
  <c r="R5" i="30"/>
  <c r="R1" i="30" s="1"/>
  <c r="R5" i="27"/>
  <c r="P5" i="27"/>
  <c r="AE3" i="27"/>
  <c r="AD2" i="27"/>
  <c r="W5" i="27"/>
  <c r="X5" i="27" s="1"/>
  <c r="I21" i="24"/>
  <c r="J21" i="24" s="1"/>
  <c r="I9" i="24"/>
  <c r="I69" i="24" s="1"/>
  <c r="I22" i="24"/>
  <c r="I13" i="24"/>
  <c r="J13" i="24" s="1"/>
  <c r="I20" i="24"/>
  <c r="J20" i="24" s="1"/>
  <c r="I24" i="24"/>
  <c r="I75" i="24" s="1"/>
  <c r="I19" i="24"/>
  <c r="J12" i="24"/>
  <c r="I6" i="24"/>
  <c r="I66" i="24" s="1"/>
  <c r="Q24" i="24"/>
  <c r="Q13" i="24"/>
  <c r="AJ4" i="33" l="1"/>
  <c r="AJ2" i="33"/>
  <c r="AK3" i="33"/>
  <c r="AJ4" i="31"/>
  <c r="AK3" i="31"/>
  <c r="AJ2" i="31"/>
  <c r="AG4" i="30"/>
  <c r="AG2" i="30"/>
  <c r="AH3" i="30"/>
  <c r="Q5" i="24"/>
  <c r="I74" i="24"/>
  <c r="J24" i="24"/>
  <c r="J22" i="24"/>
  <c r="J9" i="24"/>
  <c r="I68" i="24"/>
  <c r="J6" i="24"/>
  <c r="M19" i="24"/>
  <c r="J19" i="24"/>
  <c r="AF3" i="27"/>
  <c r="AE2" i="27"/>
  <c r="W5" i="25"/>
  <c r="X5" i="25" s="1"/>
  <c r="W10" i="25"/>
  <c r="X10" i="25" s="1"/>
  <c r="W13" i="25"/>
  <c r="X13" i="25" s="1"/>
  <c r="W16" i="25"/>
  <c r="X16" i="25" s="1"/>
  <c r="W29" i="25"/>
  <c r="X29" i="25" s="1"/>
  <c r="W12" i="25"/>
  <c r="X12" i="25" s="1"/>
  <c r="W18" i="25"/>
  <c r="X18" i="25" s="1"/>
  <c r="W17" i="25"/>
  <c r="X17" i="25" s="1"/>
  <c r="W15" i="25"/>
  <c r="X15" i="25" s="1"/>
  <c r="W14" i="25"/>
  <c r="X14" i="25" s="1"/>
  <c r="W7" i="25"/>
  <c r="X7" i="25" s="1"/>
  <c r="W11" i="25"/>
  <c r="X11" i="25" s="1"/>
  <c r="M12" i="24"/>
  <c r="O12" i="24"/>
  <c r="M13" i="24"/>
  <c r="O13" i="24"/>
  <c r="M22" i="24"/>
  <c r="O22" i="24"/>
  <c r="O20" i="24"/>
  <c r="M20" i="24"/>
  <c r="O21" i="24"/>
  <c r="M21" i="24"/>
  <c r="O24" i="24"/>
  <c r="M24" i="24"/>
  <c r="M9" i="24"/>
  <c r="O9" i="24"/>
  <c r="O19" i="24"/>
  <c r="M6" i="24"/>
  <c r="O6" i="24"/>
  <c r="AL3" i="33" l="1"/>
  <c r="AK4" i="33"/>
  <c r="AK2" i="33"/>
  <c r="AL3" i="31"/>
  <c r="AK2" i="31"/>
  <c r="AK4" i="31"/>
  <c r="AH4" i="30"/>
  <c r="AI3" i="30"/>
  <c r="AH2" i="30"/>
  <c r="P19" i="24"/>
  <c r="AG3" i="27"/>
  <c r="AF2" i="27"/>
  <c r="P12" i="24"/>
  <c r="P20" i="24"/>
  <c r="P24" i="24"/>
  <c r="P22" i="24"/>
  <c r="P6" i="24"/>
  <c r="P21" i="24"/>
  <c r="P13" i="24"/>
  <c r="P9" i="24"/>
  <c r="AL4" i="33" l="1"/>
  <c r="AM3" i="33"/>
  <c r="AL2" i="33"/>
  <c r="AM3" i="31"/>
  <c r="AL4" i="31"/>
  <c r="AL2" i="31"/>
  <c r="AJ3" i="30"/>
  <c r="AI4" i="30"/>
  <c r="AI2" i="30"/>
  <c r="AG2" i="27"/>
  <c r="AH3" i="27"/>
  <c r="AN3" i="33" l="1"/>
  <c r="AM2" i="33"/>
  <c r="AM4" i="33"/>
  <c r="AM4" i="31"/>
  <c r="AN3" i="31"/>
  <c r="AM2" i="31"/>
  <c r="AK3" i="30"/>
  <c r="AJ4" i="30"/>
  <c r="AJ2" i="30"/>
  <c r="AI3" i="27"/>
  <c r="AH2" i="27"/>
  <c r="AZ2" i="10" a="1"/>
  <c r="AZ2" i="10" s="1"/>
  <c r="AX2" i="10" a="1"/>
  <c r="AX2" i="10" s="1"/>
  <c r="Z3" i="24"/>
  <c r="AS3" i="10"/>
  <c r="AN4" i="33" l="1"/>
  <c r="AN2" i="33"/>
  <c r="AO3" i="33"/>
  <c r="AO3" i="31"/>
  <c r="AN4" i="31"/>
  <c r="AN2" i="31"/>
  <c r="AK4" i="30"/>
  <c r="AL3" i="30"/>
  <c r="AK2" i="30"/>
  <c r="AJ3" i="27"/>
  <c r="AI2" i="27"/>
  <c r="Z2" i="24"/>
  <c r="AA3" i="24"/>
  <c r="AS4" i="10"/>
  <c r="AS5" i="10" s="1"/>
  <c r="AS6" i="10" s="1"/>
  <c r="AS7" i="10" s="1"/>
  <c r="AS8" i="10" s="1"/>
  <c r="AS9" i="10" s="1"/>
  <c r="AS10" i="10" s="1"/>
  <c r="AS11" i="10" s="1"/>
  <c r="AS12" i="10" s="1"/>
  <c r="AS13" i="10" s="1"/>
  <c r="AS14" i="10" s="1"/>
  <c r="AS15" i="10" s="1"/>
  <c r="AS16" i="10" s="1"/>
  <c r="AS17" i="10" s="1"/>
  <c r="AS18" i="10" s="1"/>
  <c r="AS19" i="10" s="1"/>
  <c r="AS20" i="10" s="1"/>
  <c r="AS21" i="10" s="1"/>
  <c r="AS22" i="10" s="1"/>
  <c r="AS23" i="10" s="1"/>
  <c r="AS24" i="10" s="1"/>
  <c r="AS25" i="10" s="1"/>
  <c r="AS26" i="10" s="1"/>
  <c r="AS27" i="10" s="1"/>
  <c r="AS28" i="10" s="1"/>
  <c r="AS29" i="10" s="1"/>
  <c r="AS30" i="10" s="1"/>
  <c r="AS31" i="10" s="1"/>
  <c r="AS32" i="10" s="1"/>
  <c r="AS33" i="10" s="1"/>
  <c r="AS34" i="10" s="1"/>
  <c r="AS35" i="10" s="1"/>
  <c r="AS36" i="10" s="1"/>
  <c r="AS37" i="10" s="1"/>
  <c r="AS38" i="10" s="1"/>
  <c r="AS39" i="10" s="1"/>
  <c r="AS40" i="10" s="1"/>
  <c r="AS41" i="10" s="1"/>
  <c r="AS42" i="10" s="1"/>
  <c r="AS43" i="10" s="1"/>
  <c r="AS44" i="10" s="1"/>
  <c r="AS45" i="10" s="1"/>
  <c r="AS46" i="10" s="1"/>
  <c r="AS47" i="10" s="1"/>
  <c r="AS48" i="10" s="1"/>
  <c r="AS49" i="10" s="1"/>
  <c r="AS50" i="10" s="1"/>
  <c r="AS51" i="10" s="1"/>
  <c r="AS52" i="10" s="1"/>
  <c r="AS53" i="10" s="1"/>
  <c r="AS54" i="10" s="1"/>
  <c r="AS55" i="10" s="1"/>
  <c r="AS56" i="10" s="1"/>
  <c r="AS57" i="10" s="1"/>
  <c r="AS58" i="10" s="1"/>
  <c r="AS59" i="10" s="1"/>
  <c r="AS60" i="10" s="1"/>
  <c r="AS61" i="10" s="1"/>
  <c r="AS62" i="10" s="1"/>
  <c r="AS63" i="10" s="1"/>
  <c r="AS64" i="10" s="1"/>
  <c r="AS65" i="10" s="1"/>
  <c r="AS66" i="10" s="1"/>
  <c r="AS67" i="10" s="1"/>
  <c r="AS68" i="10" s="1"/>
  <c r="AS69" i="10" s="1"/>
  <c r="AS70" i="10" s="1"/>
  <c r="AS71" i="10" s="1"/>
  <c r="AS72" i="10" s="1"/>
  <c r="AS73" i="10" s="1"/>
  <c r="AS74" i="10" s="1"/>
  <c r="AS75" i="10" s="1"/>
  <c r="AS76" i="10" s="1"/>
  <c r="AS77" i="10" s="1"/>
  <c r="AS78" i="10" s="1"/>
  <c r="AS79" i="10" s="1"/>
  <c r="AS80" i="10" s="1"/>
  <c r="AS81" i="10" s="1"/>
  <c r="AS82" i="10" s="1"/>
  <c r="AS83" i="10" s="1"/>
  <c r="AS84" i="10" s="1"/>
  <c r="AS85" i="10" s="1"/>
  <c r="AS86" i="10" s="1"/>
  <c r="AS87" i="10" s="1"/>
  <c r="AS88" i="10" s="1"/>
  <c r="AS89" i="10" s="1"/>
  <c r="AS90" i="10" s="1"/>
  <c r="AS91" i="10" s="1"/>
  <c r="AS92" i="10" s="1"/>
  <c r="AS93" i="10" s="1"/>
  <c r="AS94" i="10" s="1"/>
  <c r="AS95" i="10" s="1"/>
  <c r="AS96" i="10" s="1"/>
  <c r="AS97" i="10" s="1"/>
  <c r="AS98" i="10" s="1"/>
  <c r="AS99" i="10" s="1"/>
  <c r="AS100" i="10" s="1"/>
  <c r="AS101" i="10" s="1"/>
  <c r="AS102" i="10" s="1"/>
  <c r="AS103" i="10" s="1"/>
  <c r="AS104" i="10" s="1"/>
  <c r="AS105" i="10" s="1"/>
  <c r="AS106" i="10" s="1"/>
  <c r="AS107" i="10" s="1"/>
  <c r="AS108" i="10" s="1"/>
  <c r="AS109" i="10" s="1"/>
  <c r="AS110" i="10" s="1"/>
  <c r="AS111" i="10" s="1"/>
  <c r="AS112" i="10" s="1"/>
  <c r="AS113" i="10" s="1"/>
  <c r="AS114" i="10" s="1"/>
  <c r="AS115" i="10" s="1"/>
  <c r="AS116" i="10" s="1"/>
  <c r="AS117" i="10" s="1"/>
  <c r="AS118" i="10" s="1"/>
  <c r="AS119" i="10" s="1"/>
  <c r="AS120" i="10" s="1"/>
  <c r="AS121" i="10" s="1"/>
  <c r="AS122" i="10" s="1"/>
  <c r="AS123" i="10" s="1"/>
  <c r="AS124" i="10" s="1"/>
  <c r="AS125" i="10" s="1"/>
  <c r="AS126" i="10" s="1"/>
  <c r="AS127" i="10" s="1"/>
  <c r="AS128" i="10" s="1"/>
  <c r="AS129" i="10" s="1"/>
  <c r="AS130" i="10" s="1"/>
  <c r="AS131" i="10" s="1"/>
  <c r="AS132" i="10" s="1"/>
  <c r="AS133" i="10" s="1"/>
  <c r="AS134" i="10" s="1"/>
  <c r="AS135" i="10" s="1"/>
  <c r="AS136" i="10" s="1"/>
  <c r="AS137" i="10" s="1"/>
  <c r="AS138" i="10" s="1"/>
  <c r="AS139" i="10" s="1"/>
  <c r="AS140" i="10" s="1"/>
  <c r="AS141" i="10" s="1"/>
  <c r="AS142" i="10" s="1"/>
  <c r="AS143" i="10" s="1"/>
  <c r="AS144" i="10" s="1"/>
  <c r="AS145" i="10" s="1"/>
  <c r="AS146" i="10" s="1"/>
  <c r="AS147" i="10" s="1"/>
  <c r="AS148" i="10" s="1"/>
  <c r="AS149" i="10" s="1"/>
  <c r="AS150" i="10" s="1"/>
  <c r="AS151" i="10" s="1"/>
  <c r="AS152" i="10" s="1"/>
  <c r="AS153" i="10" s="1"/>
  <c r="AS154" i="10" s="1"/>
  <c r="AS155" i="10" s="1"/>
  <c r="AS156" i="10" s="1"/>
  <c r="AS157" i="10" s="1"/>
  <c r="AS158" i="10" s="1"/>
  <c r="AS159" i="10" s="1"/>
  <c r="AS160" i="10" s="1"/>
  <c r="AS161" i="10" s="1"/>
  <c r="AS162" i="10" s="1"/>
  <c r="AS163" i="10" s="1"/>
  <c r="AS164" i="10" s="1"/>
  <c r="AS165" i="10" s="1"/>
  <c r="AS166" i="10" s="1"/>
  <c r="AS167" i="10" s="1"/>
  <c r="AS168" i="10" s="1"/>
  <c r="AS169" i="10" s="1"/>
  <c r="AS170" i="10" s="1"/>
  <c r="AS171" i="10" s="1"/>
  <c r="AS172" i="10" s="1"/>
  <c r="AS173" i="10" s="1"/>
  <c r="AS174" i="10" s="1"/>
  <c r="AS175" i="10" s="1"/>
  <c r="AS176" i="10" s="1"/>
  <c r="AS177" i="10" s="1"/>
  <c r="AS178" i="10" s="1"/>
  <c r="AS179" i="10" s="1"/>
  <c r="AS180" i="10" s="1"/>
  <c r="AS181" i="10" s="1"/>
  <c r="AS182" i="10" s="1"/>
  <c r="AS183" i="10" s="1"/>
  <c r="AS184" i="10" s="1"/>
  <c r="AS185" i="10" s="1"/>
  <c r="AS186" i="10" s="1"/>
  <c r="AS187" i="10" s="1"/>
  <c r="AS188" i="10" s="1"/>
  <c r="AS189" i="10" s="1"/>
  <c r="AS190" i="10" s="1"/>
  <c r="AS191" i="10" s="1"/>
  <c r="AS192" i="10" s="1"/>
  <c r="AS193" i="10" s="1"/>
  <c r="AS194" i="10" s="1"/>
  <c r="AS195" i="10" s="1"/>
  <c r="AS196" i="10" s="1"/>
  <c r="AS197" i="10" s="1"/>
  <c r="AS198" i="10" s="1"/>
  <c r="AS199" i="10" s="1"/>
  <c r="AS200" i="10" s="1"/>
  <c r="AS201" i="10" s="1"/>
  <c r="AS202" i="10" s="1"/>
  <c r="AS203" i="10" s="1"/>
  <c r="AS204" i="10" s="1"/>
  <c r="AS205" i="10" s="1"/>
  <c r="AS206" i="10" s="1"/>
  <c r="AS207" i="10" s="1"/>
  <c r="AS208" i="10" s="1"/>
  <c r="AS209" i="10" s="1"/>
  <c r="AS210" i="10" s="1"/>
  <c r="AS211" i="10" s="1"/>
  <c r="AS212" i="10" s="1"/>
  <c r="AS213" i="10" s="1"/>
  <c r="AS214" i="10" s="1"/>
  <c r="AS215" i="10" s="1"/>
  <c r="AS216" i="10" s="1"/>
  <c r="AS217" i="10" s="1"/>
  <c r="AS218" i="10" s="1"/>
  <c r="AS219" i="10" s="1"/>
  <c r="AS220" i="10" s="1"/>
  <c r="AS221" i="10" s="1"/>
  <c r="AS222" i="10" s="1"/>
  <c r="AS223" i="10" s="1"/>
  <c r="AS224" i="10" s="1"/>
  <c r="AS225" i="10" s="1"/>
  <c r="AS226" i="10" s="1"/>
  <c r="AS227" i="10" s="1"/>
  <c r="AS228" i="10" s="1"/>
  <c r="AS229" i="10" s="1"/>
  <c r="AS230" i="10" s="1"/>
  <c r="AS231" i="10" s="1"/>
  <c r="AS232" i="10" s="1"/>
  <c r="AS233" i="10" s="1"/>
  <c r="AS234" i="10" s="1"/>
  <c r="AS235" i="10" s="1"/>
  <c r="AS236" i="10" s="1"/>
  <c r="AS237" i="10" s="1"/>
  <c r="AS238" i="10" s="1"/>
  <c r="AS239" i="10" s="1"/>
  <c r="AS240" i="10" s="1"/>
  <c r="AS241" i="10" s="1"/>
  <c r="AS242" i="10" s="1"/>
  <c r="AS243" i="10" s="1"/>
  <c r="AS244" i="10" s="1"/>
  <c r="AS245" i="10" s="1"/>
  <c r="AS246" i="10" s="1"/>
  <c r="AP3" i="33" l="1"/>
  <c r="AO4" i="33"/>
  <c r="AO2" i="33"/>
  <c r="AP3" i="31"/>
  <c r="AO4" i="31"/>
  <c r="AO2" i="31"/>
  <c r="S44" i="24"/>
  <c r="S32" i="24"/>
  <c r="S34" i="24"/>
  <c r="S11" i="24"/>
  <c r="S43" i="24"/>
  <c r="S60" i="24"/>
  <c r="S53" i="24"/>
  <c r="S48" i="24"/>
  <c r="AL4" i="30"/>
  <c r="AL2" i="30"/>
  <c r="AM3" i="30"/>
  <c r="AG4" i="27"/>
  <c r="AH4" i="27"/>
  <c r="AE4" i="27"/>
  <c r="AI4" i="27"/>
  <c r="AF4" i="27"/>
  <c r="AD4" i="27"/>
  <c r="AC4" i="27"/>
  <c r="AA4" i="27"/>
  <c r="AB4" i="27"/>
  <c r="Z4" i="27"/>
  <c r="Y4" i="27"/>
  <c r="AJ2" i="27"/>
  <c r="AK3" i="27"/>
  <c r="AJ4" i="27"/>
  <c r="Z4" i="24"/>
  <c r="AB3" i="24"/>
  <c r="S45" i="24" s="1"/>
  <c r="AA2" i="24"/>
  <c r="AA4" i="24"/>
  <c r="Y4" i="24"/>
  <c r="D12" i="14"/>
  <c r="AP4" i="33" l="1"/>
  <c r="AQ3" i="33"/>
  <c r="AP2" i="33"/>
  <c r="V45" i="24"/>
  <c r="T45" i="24"/>
  <c r="S50" i="24"/>
  <c r="V50" i="24" s="1"/>
  <c r="S62" i="24"/>
  <c r="U62" i="24" s="1"/>
  <c r="S54" i="24"/>
  <c r="U54" i="24" s="1"/>
  <c r="S27" i="24"/>
  <c r="V27" i="24" s="1"/>
  <c r="S58" i="24"/>
  <c r="U58" i="24" s="1"/>
  <c r="S55" i="24"/>
  <c r="V55" i="24" s="1"/>
  <c r="AQ3" i="31"/>
  <c r="AP4" i="31"/>
  <c r="AP2" i="31"/>
  <c r="T44" i="24"/>
  <c r="U44" i="24"/>
  <c r="V44" i="24"/>
  <c r="S64" i="24"/>
  <c r="S59" i="24"/>
  <c r="S46" i="24"/>
  <c r="S35" i="24"/>
  <c r="S30" i="24"/>
  <c r="S56" i="24"/>
  <c r="S40" i="24"/>
  <c r="S10" i="24"/>
  <c r="S33" i="24"/>
  <c r="S29" i="24"/>
  <c r="S23" i="24"/>
  <c r="S36" i="24"/>
  <c r="S51" i="24"/>
  <c r="S28" i="24"/>
  <c r="S57" i="24"/>
  <c r="S31" i="24"/>
  <c r="S38" i="24"/>
  <c r="V60" i="24"/>
  <c r="U60" i="24"/>
  <c r="T60" i="24"/>
  <c r="S41" i="24"/>
  <c r="T34" i="24"/>
  <c r="U34" i="24"/>
  <c r="V34" i="24"/>
  <c r="T48" i="24"/>
  <c r="V48" i="24"/>
  <c r="U48" i="24"/>
  <c r="T53" i="24"/>
  <c r="U53" i="24"/>
  <c r="V53" i="24"/>
  <c r="V43" i="24"/>
  <c r="T43" i="24"/>
  <c r="U43" i="24"/>
  <c r="S8" i="24"/>
  <c r="S47" i="24"/>
  <c r="S52" i="24"/>
  <c r="S63" i="24"/>
  <c r="S42" i="24"/>
  <c r="S49" i="24"/>
  <c r="S39" i="24"/>
  <c r="V11" i="24"/>
  <c r="T11" i="24"/>
  <c r="U11" i="24"/>
  <c r="T32" i="24"/>
  <c r="V32" i="24"/>
  <c r="U32" i="24"/>
  <c r="S37" i="24"/>
  <c r="S26" i="24"/>
  <c r="S61" i="24"/>
  <c r="S18" i="24"/>
  <c r="AM4" i="30"/>
  <c r="AM2" i="30"/>
  <c r="AN3" i="30"/>
  <c r="AK2" i="27"/>
  <c r="AL3" i="27"/>
  <c r="AK4" i="27"/>
  <c r="AC3" i="24"/>
  <c r="AB2" i="24"/>
  <c r="AB4" i="24"/>
  <c r="D6" i="11"/>
  <c r="C4" i="11"/>
  <c r="AR3" i="33" l="1"/>
  <c r="AQ4" i="33"/>
  <c r="AQ2" i="33"/>
  <c r="T50" i="24"/>
  <c r="V58" i="24"/>
  <c r="R58" i="24" s="1"/>
  <c r="T58" i="24"/>
  <c r="V62" i="24"/>
  <c r="R62" i="24" s="1"/>
  <c r="U50" i="24"/>
  <c r="W50" i="24" s="1"/>
  <c r="X50" i="24" s="1"/>
  <c r="T54" i="24"/>
  <c r="T55" i="24"/>
  <c r="V54" i="24"/>
  <c r="R54" i="24" s="1"/>
  <c r="U55" i="24"/>
  <c r="W55" i="24" s="1"/>
  <c r="X55" i="24" s="1"/>
  <c r="T27" i="24"/>
  <c r="U27" i="24"/>
  <c r="R27" i="24" s="1"/>
  <c r="T62" i="24"/>
  <c r="AR3" i="31"/>
  <c r="AQ2" i="31"/>
  <c r="AQ4" i="31"/>
  <c r="T40" i="24"/>
  <c r="U40" i="24"/>
  <c r="V40" i="24"/>
  <c r="T49" i="24"/>
  <c r="U49" i="24"/>
  <c r="V49" i="24"/>
  <c r="V30" i="24"/>
  <c r="U30" i="24"/>
  <c r="T30" i="24"/>
  <c r="T46" i="24"/>
  <c r="V46" i="24"/>
  <c r="U46" i="24"/>
  <c r="T57" i="24"/>
  <c r="V57" i="24"/>
  <c r="U57" i="24"/>
  <c r="U28" i="24"/>
  <c r="T28" i="24"/>
  <c r="V28" i="24"/>
  <c r="W62" i="24"/>
  <c r="X62" i="24" s="1"/>
  <c r="U61" i="24"/>
  <c r="V61" i="24"/>
  <c r="T61" i="24"/>
  <c r="V10" i="24"/>
  <c r="T10" i="24"/>
  <c r="U10" i="24"/>
  <c r="T37" i="24"/>
  <c r="U37" i="24"/>
  <c r="V37" i="24"/>
  <c r="V42" i="24"/>
  <c r="U42" i="24"/>
  <c r="T42" i="24"/>
  <c r="W48" i="24"/>
  <c r="R48" i="24"/>
  <c r="T52" i="24"/>
  <c r="U52" i="24"/>
  <c r="V52" i="24"/>
  <c r="T47" i="24"/>
  <c r="V47" i="24"/>
  <c r="U47" i="24"/>
  <c r="R34" i="24"/>
  <c r="W34" i="24"/>
  <c r="X34" i="24" s="1"/>
  <c r="W32" i="24"/>
  <c r="X32" i="24" s="1"/>
  <c r="R32" i="24"/>
  <c r="U51" i="24"/>
  <c r="T51" i="24"/>
  <c r="V51" i="24"/>
  <c r="W44" i="24"/>
  <c r="X44" i="24" s="1"/>
  <c r="R44" i="24"/>
  <c r="W53" i="24"/>
  <c r="X53" i="24" s="1"/>
  <c r="R53" i="24"/>
  <c r="U35" i="24"/>
  <c r="V35" i="24"/>
  <c r="T35" i="24"/>
  <c r="T31" i="24"/>
  <c r="U31" i="24"/>
  <c r="V31" i="24"/>
  <c r="U8" i="24"/>
  <c r="T8" i="24"/>
  <c r="V8" i="24"/>
  <c r="V36" i="24"/>
  <c r="T36" i="24"/>
  <c r="V59" i="24"/>
  <c r="U59" i="24"/>
  <c r="T59" i="24"/>
  <c r="V41" i="24"/>
  <c r="T41" i="24"/>
  <c r="U41" i="24"/>
  <c r="W43" i="24"/>
  <c r="X43" i="24" s="1"/>
  <c r="R43" i="24"/>
  <c r="W60" i="24"/>
  <c r="X60" i="24" s="1"/>
  <c r="R60" i="24"/>
  <c r="T23" i="24"/>
  <c r="V23" i="24"/>
  <c r="U23" i="24"/>
  <c r="W54" i="24"/>
  <c r="X54" i="24" s="1"/>
  <c r="T39" i="24"/>
  <c r="V39" i="24"/>
  <c r="U39" i="24"/>
  <c r="U56" i="24"/>
  <c r="V56" i="24"/>
  <c r="T56" i="24"/>
  <c r="W58" i="24"/>
  <c r="X58" i="24" s="1"/>
  <c r="V63" i="24"/>
  <c r="T63" i="24"/>
  <c r="U63" i="24"/>
  <c r="T38" i="24"/>
  <c r="U38" i="24"/>
  <c r="V38" i="24"/>
  <c r="V64" i="24"/>
  <c r="T64" i="24"/>
  <c r="U64" i="24"/>
  <c r="W11" i="24"/>
  <c r="X11" i="24" s="1"/>
  <c r="R11" i="24"/>
  <c r="T29" i="24"/>
  <c r="V29" i="24"/>
  <c r="U29" i="24"/>
  <c r="V26" i="24"/>
  <c r="T26" i="24"/>
  <c r="V18" i="24"/>
  <c r="U18" i="24"/>
  <c r="T18" i="24"/>
  <c r="V33" i="24"/>
  <c r="U33" i="24"/>
  <c r="T33" i="24"/>
  <c r="AN4" i="30"/>
  <c r="AN2" i="30"/>
  <c r="AO3" i="30"/>
  <c r="AL4" i="27"/>
  <c r="AM3" i="27"/>
  <c r="AL2" i="27"/>
  <c r="AD3" i="24"/>
  <c r="AC2" i="24"/>
  <c r="AC4" i="24"/>
  <c r="C7" i="11"/>
  <c r="AR4" i="33" l="1"/>
  <c r="AS3" i="33"/>
  <c r="AR2" i="33"/>
  <c r="W27" i="24"/>
  <c r="R50" i="24"/>
  <c r="R55" i="24"/>
  <c r="AS3" i="31"/>
  <c r="AR2" i="31"/>
  <c r="AR4" i="31"/>
  <c r="R18" i="24"/>
  <c r="W18" i="24"/>
  <c r="X18" i="24" s="1"/>
  <c r="R30" i="24"/>
  <c r="W30" i="24"/>
  <c r="X30" i="24" s="1"/>
  <c r="W46" i="24"/>
  <c r="X46" i="24" s="1"/>
  <c r="R46" i="24"/>
  <c r="R63" i="24"/>
  <c r="W63" i="24"/>
  <c r="X63" i="24" s="1"/>
  <c r="W47" i="24"/>
  <c r="R47" i="24"/>
  <c r="R51" i="24"/>
  <c r="W51" i="24"/>
  <c r="X51" i="24" s="1"/>
  <c r="R8" i="24"/>
  <c r="W8" i="24"/>
  <c r="X8" i="24" s="1"/>
  <c r="R29" i="24"/>
  <c r="W29" i="24"/>
  <c r="X29" i="24" s="1"/>
  <c r="W23" i="24"/>
  <c r="X23" i="24" s="1"/>
  <c r="R23" i="24"/>
  <c r="W31" i="24"/>
  <c r="X31" i="24" s="1"/>
  <c r="R31" i="24"/>
  <c r="R49" i="24"/>
  <c r="W49" i="24"/>
  <c r="X49" i="24" s="1"/>
  <c r="W57" i="24"/>
  <c r="R57" i="24"/>
  <c r="R38" i="24"/>
  <c r="W38" i="24"/>
  <c r="R52" i="24"/>
  <c r="W52" i="24"/>
  <c r="X52" i="24" s="1"/>
  <c r="W61" i="24"/>
  <c r="X61" i="24" s="1"/>
  <c r="R61" i="24"/>
  <c r="W28" i="24"/>
  <c r="R28" i="24"/>
  <c r="W41" i="24"/>
  <c r="X41" i="24" s="1"/>
  <c r="R41" i="24"/>
  <c r="R56" i="24"/>
  <c r="W56" i="24"/>
  <c r="R37" i="24"/>
  <c r="W37" i="24"/>
  <c r="W40" i="24"/>
  <c r="X40" i="24" s="1"/>
  <c r="R40" i="24"/>
  <c r="R10" i="24"/>
  <c r="W10" i="24"/>
  <c r="X10" i="24" s="1"/>
  <c r="W59" i="24"/>
  <c r="X59" i="24" s="1"/>
  <c r="R59" i="24"/>
  <c r="W42" i="24"/>
  <c r="X42" i="24" s="1"/>
  <c r="R42" i="24"/>
  <c r="W33" i="24"/>
  <c r="X33" i="24" s="1"/>
  <c r="R33" i="24"/>
  <c r="R64" i="24"/>
  <c r="W64" i="24"/>
  <c r="X64" i="24" s="1"/>
  <c r="R39" i="24"/>
  <c r="W39" i="24"/>
  <c r="X39" i="24" s="1"/>
  <c r="W35" i="24"/>
  <c r="X35" i="24" s="1"/>
  <c r="R35" i="24"/>
  <c r="I36" i="24"/>
  <c r="AO4" i="30"/>
  <c r="AO2" i="30"/>
  <c r="AP3" i="30"/>
  <c r="AN3" i="27"/>
  <c r="AM4" i="27"/>
  <c r="AM2" i="27"/>
  <c r="AE3" i="24"/>
  <c r="AD2" i="24"/>
  <c r="AD4" i="24"/>
  <c r="AS2" i="33" l="1"/>
  <c r="AS4" i="33"/>
  <c r="AT3" i="33"/>
  <c r="AS4" i="31"/>
  <c r="AS2" i="31"/>
  <c r="AT3" i="31"/>
  <c r="AP4" i="30"/>
  <c r="AP2" i="30"/>
  <c r="AQ3" i="30"/>
  <c r="AO3" i="27"/>
  <c r="AN4" i="27"/>
  <c r="AN2" i="27"/>
  <c r="AF3" i="24"/>
  <c r="AE2" i="24"/>
  <c r="AE4" i="24"/>
  <c r="AT4" i="33" l="1"/>
  <c r="AT2" i="33"/>
  <c r="AU3" i="33"/>
  <c r="AT2" i="31"/>
  <c r="AT4" i="31"/>
  <c r="AU3" i="31"/>
  <c r="AQ4" i="30"/>
  <c r="AQ2" i="30"/>
  <c r="AR3" i="30"/>
  <c r="AO4" i="27"/>
  <c r="AP3" i="27"/>
  <c r="AO2" i="27"/>
  <c r="AG3" i="24"/>
  <c r="AF2" i="24"/>
  <c r="AF4" i="24"/>
  <c r="AU2" i="33" l="1"/>
  <c r="AV3" i="33"/>
  <c r="AU4" i="33"/>
  <c r="AU4" i="31"/>
  <c r="AU2" i="31"/>
  <c r="AV3" i="31"/>
  <c r="AR4" i="30"/>
  <c r="AS3" i="30"/>
  <c r="AR2" i="30"/>
  <c r="AP2" i="27"/>
  <c r="AP4" i="27"/>
  <c r="AQ3" i="27"/>
  <c r="AH3" i="24"/>
  <c r="AG2" i="24"/>
  <c r="AG4" i="24"/>
  <c r="AV2" i="33" l="1"/>
  <c r="AW3" i="33"/>
  <c r="AV4" i="33"/>
  <c r="AV2" i="31"/>
  <c r="AV4" i="31"/>
  <c r="AW3" i="31"/>
  <c r="AT3" i="30"/>
  <c r="AS2" i="30"/>
  <c r="AS4" i="30"/>
  <c r="AR3" i="27"/>
  <c r="AQ4" i="27"/>
  <c r="AQ2" i="27"/>
  <c r="AI3" i="24"/>
  <c r="AH2" i="24"/>
  <c r="AH4" i="24"/>
  <c r="AW4" i="33" l="1"/>
  <c r="AX3" i="33"/>
  <c r="AW2" i="33"/>
  <c r="AW4" i="31"/>
  <c r="AW2" i="31"/>
  <c r="AX3" i="31"/>
  <c r="AU3" i="30"/>
  <c r="AT2" i="30"/>
  <c r="AT4" i="30"/>
  <c r="AR4" i="27"/>
  <c r="AS3" i="27"/>
  <c r="AR2" i="27"/>
  <c r="AJ3" i="24"/>
  <c r="AI2" i="24"/>
  <c r="AI4" i="24"/>
  <c r="AX4" i="33" l="1"/>
  <c r="AX2" i="33"/>
  <c r="AY3" i="33"/>
  <c r="AX4" i="31"/>
  <c r="AX2" i="31"/>
  <c r="AY3" i="31"/>
  <c r="AU2" i="30"/>
  <c r="AU4" i="30"/>
  <c r="AV3" i="30"/>
  <c r="AS4" i="27"/>
  <c r="AT3" i="27"/>
  <c r="AS2" i="27"/>
  <c r="AK3" i="24"/>
  <c r="AJ2" i="24"/>
  <c r="AJ4" i="24"/>
  <c r="AY4" i="33" l="1"/>
  <c r="AZ3" i="33"/>
  <c r="AY2" i="33"/>
  <c r="AY4" i="31"/>
  <c r="AZ3" i="31"/>
  <c r="AY2" i="31"/>
  <c r="AV2" i="30"/>
  <c r="AW3" i="30"/>
  <c r="AV4" i="30"/>
  <c r="AT4" i="27"/>
  <c r="AU3" i="27"/>
  <c r="AT2" i="27"/>
  <c r="AL3" i="24"/>
  <c r="AK2" i="24"/>
  <c r="AK4" i="24"/>
  <c r="BA3" i="33" l="1"/>
  <c r="AZ4" i="33"/>
  <c r="AZ2" i="33"/>
  <c r="AZ4" i="31"/>
  <c r="BA3" i="31"/>
  <c r="AZ2" i="31"/>
  <c r="AW4" i="30"/>
  <c r="AW2" i="30"/>
  <c r="AX3" i="30"/>
  <c r="AU4" i="27"/>
  <c r="AV3" i="27"/>
  <c r="AU2" i="27"/>
  <c r="AM3" i="24"/>
  <c r="AL2" i="24"/>
  <c r="N4" i="25" a="1"/>
  <c r="N4" i="25" s="1"/>
  <c r="AL4" i="24"/>
  <c r="BB3" i="33" l="1"/>
  <c r="BA4" i="33"/>
  <c r="BA2" i="33"/>
  <c r="BB3" i="31"/>
  <c r="BA4" i="31"/>
  <c r="BA2" i="31"/>
  <c r="AX4" i="30"/>
  <c r="AY3" i="30"/>
  <c r="AX2" i="30"/>
  <c r="AW3" i="27"/>
  <c r="AV4" i="27"/>
  <c r="AV2" i="27"/>
  <c r="AN3" i="24"/>
  <c r="AM2" i="24"/>
  <c r="AM4" i="24"/>
  <c r="BC3" i="33" l="1"/>
  <c r="BB4" i="33"/>
  <c r="BB2" i="33"/>
  <c r="BC3" i="31"/>
  <c r="BB4" i="31"/>
  <c r="BB2" i="31"/>
  <c r="AZ3" i="30"/>
  <c r="AY4" i="30"/>
  <c r="AY2" i="30"/>
  <c r="M24" i="25" a="1"/>
  <c r="M24" i="25" s="1"/>
  <c r="AW2" i="27"/>
  <c r="AW4" i="27"/>
  <c r="AX3" i="27"/>
  <c r="AN2" i="24"/>
  <c r="AO3" i="24"/>
  <c r="AN4" i="24"/>
  <c r="BC4" i="33" l="1"/>
  <c r="BC2" i="33"/>
  <c r="BD3" i="33"/>
  <c r="BC4" i="31"/>
  <c r="BC2" i="31"/>
  <c r="BD3" i="31"/>
  <c r="BA3" i="30"/>
  <c r="AZ4" i="30"/>
  <c r="AZ2" i="30"/>
  <c r="AX2" i="27"/>
  <c r="AX4" i="27"/>
  <c r="AY3" i="27"/>
  <c r="AP3" i="24"/>
  <c r="AO2" i="24"/>
  <c r="M4" i="25" a="1"/>
  <c r="M4" i="25" s="1"/>
  <c r="AO4" i="24"/>
  <c r="BE3" i="33" l="1"/>
  <c r="BD4" i="33"/>
  <c r="BD2" i="33"/>
  <c r="BD4" i="31"/>
  <c r="BE3" i="31"/>
  <c r="BD2" i="31"/>
  <c r="BB3" i="30"/>
  <c r="BA4" i="30"/>
  <c r="BA2" i="30"/>
  <c r="AY2" i="27"/>
  <c r="AZ3" i="27"/>
  <c r="AY4" i="27"/>
  <c r="AQ3" i="24"/>
  <c r="AP2" i="24"/>
  <c r="AP4" i="24"/>
  <c r="BF3" i="33" l="1"/>
  <c r="BE4" i="33"/>
  <c r="BE2" i="33"/>
  <c r="BF3" i="31"/>
  <c r="BE2" i="31"/>
  <c r="BE4" i="31"/>
  <c r="BC3" i="30"/>
  <c r="BB4" i="30"/>
  <c r="BB2" i="30"/>
  <c r="BA3" i="27"/>
  <c r="AZ2" i="27"/>
  <c r="AZ4" i="27"/>
  <c r="AR3" i="24"/>
  <c r="AQ2" i="24"/>
  <c r="AQ4" i="24"/>
  <c r="BF4" i="33" l="1"/>
  <c r="BG3" i="33"/>
  <c r="BF2" i="33"/>
  <c r="BG3" i="31"/>
  <c r="BF2" i="31"/>
  <c r="BF4" i="31"/>
  <c r="BC2" i="30"/>
  <c r="BC4" i="30"/>
  <c r="BD3" i="30"/>
  <c r="BA4" i="27"/>
  <c r="BB3" i="27"/>
  <c r="BA2" i="27"/>
  <c r="AS3" i="24"/>
  <c r="AR2" i="24"/>
  <c r="AR4" i="24"/>
  <c r="BG4" i="33" l="1"/>
  <c r="BH3" i="33"/>
  <c r="BG2" i="33"/>
  <c r="BG4" i="31"/>
  <c r="BH3" i="31"/>
  <c r="BG2" i="31"/>
  <c r="BD4" i="30"/>
  <c r="BD2" i="30"/>
  <c r="BE3" i="30"/>
  <c r="M26" i="25" a="1"/>
  <c r="M26" i="25" s="1"/>
  <c r="M25" i="25" a="1"/>
  <c r="M25" i="25" s="1"/>
  <c r="BC3" i="27"/>
  <c r="BB2" i="27"/>
  <c r="BB4" i="27"/>
  <c r="AT3" i="24"/>
  <c r="AS2" i="24"/>
  <c r="AS4" i="24"/>
  <c r="BH4" i="33" l="1"/>
  <c r="BI3" i="33"/>
  <c r="BH2" i="33"/>
  <c r="BH2" i="31"/>
  <c r="BI3" i="31"/>
  <c r="BH4" i="31"/>
  <c r="BE2" i="30"/>
  <c r="BE4" i="30"/>
  <c r="BF3" i="30"/>
  <c r="N26" i="25" a="1"/>
  <c r="N26" i="25" s="1"/>
  <c r="N24" i="25" a="1"/>
  <c r="N24" i="25" s="1"/>
  <c r="BD3" i="27"/>
  <c r="BC2" i="27"/>
  <c r="BC4" i="27"/>
  <c r="AU3" i="24"/>
  <c r="M20" i="25" s="1" a="1"/>
  <c r="M20" i="25" s="1"/>
  <c r="AT2" i="24"/>
  <c r="AT4" i="24"/>
  <c r="BJ3" i="33" l="1"/>
  <c r="BI4" i="33"/>
  <c r="BI2" i="33"/>
  <c r="BI2" i="31"/>
  <c r="BJ3" i="31"/>
  <c r="BI4" i="31"/>
  <c r="BF4" i="30"/>
  <c r="BF2" i="30"/>
  <c r="BG3" i="30"/>
  <c r="BD4" i="27"/>
  <c r="BE3" i="27"/>
  <c r="BD2" i="27"/>
  <c r="AV3" i="24"/>
  <c r="N20" i="25" s="1" a="1"/>
  <c r="N20" i="25" s="1"/>
  <c r="AU2" i="24"/>
  <c r="AU4" i="24"/>
  <c r="BK3" i="33" l="1"/>
  <c r="BJ4" i="33"/>
  <c r="BJ2" i="33"/>
  <c r="BJ2" i="31"/>
  <c r="BK3" i="31"/>
  <c r="BJ4" i="31"/>
  <c r="BG4" i="30"/>
  <c r="BH3" i="30"/>
  <c r="BG2" i="30"/>
  <c r="BE2" i="27"/>
  <c r="BF3" i="27"/>
  <c r="BE4" i="27"/>
  <c r="AW3" i="24"/>
  <c r="AV2" i="24"/>
  <c r="AV4" i="24"/>
  <c r="BL3" i="33" l="1"/>
  <c r="BK4" i="33"/>
  <c r="BK2" i="33"/>
  <c r="BK2" i="31"/>
  <c r="BK4" i="31"/>
  <c r="BL3" i="31"/>
  <c r="BI3" i="30"/>
  <c r="BH4" i="30"/>
  <c r="BH2" i="30"/>
  <c r="BG3" i="27"/>
  <c r="BF4" i="27"/>
  <c r="BF2" i="27"/>
  <c r="AX3" i="24"/>
  <c r="AW2" i="24"/>
  <c r="AW4" i="24"/>
  <c r="BL4" i="33" l="1"/>
  <c r="BM3" i="33"/>
  <c r="BL2" i="33"/>
  <c r="BL2" i="31"/>
  <c r="BM3" i="31"/>
  <c r="BL4" i="31"/>
  <c r="BI2" i="30"/>
  <c r="BJ3" i="30"/>
  <c r="BI4" i="30"/>
  <c r="BH3" i="27"/>
  <c r="BG2" i="27"/>
  <c r="BG4" i="27"/>
  <c r="AY3" i="24"/>
  <c r="AX2" i="24"/>
  <c r="AX4" i="24"/>
  <c r="BN3" i="33" l="1"/>
  <c r="BM4" i="33"/>
  <c r="BM2" i="33"/>
  <c r="BM4" i="31"/>
  <c r="BM2" i="31"/>
  <c r="BN3" i="31"/>
  <c r="BK3" i="30"/>
  <c r="BJ4" i="30"/>
  <c r="BJ2" i="30"/>
  <c r="M21" i="25" a="1"/>
  <c r="M21" i="25" s="1"/>
  <c r="N21" i="25" a="1"/>
  <c r="N21" i="25" s="1"/>
  <c r="BH4" i="27"/>
  <c r="BI3" i="27"/>
  <c r="BH2" i="27"/>
  <c r="AZ3" i="24"/>
  <c r="N25" i="25" s="1" a="1"/>
  <c r="N25" i="25" s="1"/>
  <c r="AY2" i="24"/>
  <c r="AY4" i="24"/>
  <c r="BN4" i="33" l="1"/>
  <c r="BN2" i="33"/>
  <c r="BO3" i="33"/>
  <c r="BN4" i="31"/>
  <c r="BN2" i="31"/>
  <c r="BO3" i="31"/>
  <c r="BK4" i="30"/>
  <c r="BK2" i="30"/>
  <c r="BL3" i="30"/>
  <c r="BJ3" i="27"/>
  <c r="BI4" i="27"/>
  <c r="BI2" i="27"/>
  <c r="BA3" i="24"/>
  <c r="AZ2" i="24"/>
  <c r="AZ4" i="24"/>
  <c r="BO4" i="33" l="1"/>
  <c r="BP3" i="33"/>
  <c r="BO2" i="33"/>
  <c r="BP3" i="31"/>
  <c r="BO2" i="31"/>
  <c r="BO4" i="31"/>
  <c r="BL4" i="30"/>
  <c r="BL2" i="30"/>
  <c r="BM3" i="30"/>
  <c r="M22" i="25" a="1"/>
  <c r="M22" i="25" s="1"/>
  <c r="N22" i="25" a="1"/>
  <c r="N22" i="25" s="1"/>
  <c r="BK3" i="27"/>
  <c r="BJ4" i="27"/>
  <c r="BJ2" i="27"/>
  <c r="BB3" i="24"/>
  <c r="M23" i="25" s="1" a="1"/>
  <c r="M23" i="25" s="1"/>
  <c r="BA2" i="24"/>
  <c r="BA4" i="24"/>
  <c r="BP4" i="33" l="1"/>
  <c r="BQ3" i="33"/>
  <c r="BP2" i="33"/>
  <c r="BP2" i="31"/>
  <c r="BP4" i="31"/>
  <c r="BQ3" i="31"/>
  <c r="BM4" i="30"/>
  <c r="BM2" i="30"/>
  <c r="BN3" i="30"/>
  <c r="BK4" i="27"/>
  <c r="BL3" i="27"/>
  <c r="BK2" i="27"/>
  <c r="BC3" i="24"/>
  <c r="BB2" i="24"/>
  <c r="BB4" i="24"/>
  <c r="BQ4" i="33" l="1"/>
  <c r="BR3" i="33"/>
  <c r="BQ2" i="33"/>
  <c r="BR3" i="31"/>
  <c r="BQ2" i="31"/>
  <c r="BQ4" i="31"/>
  <c r="BO3" i="30"/>
  <c r="BN4" i="30"/>
  <c r="BN2" i="30"/>
  <c r="BL4" i="27"/>
  <c r="BL2" i="27"/>
  <c r="BM3" i="27"/>
  <c r="BD3" i="24"/>
  <c r="BC2" i="24"/>
  <c r="BC4" i="24"/>
  <c r="BS3" i="33" l="1"/>
  <c r="BR2" i="33"/>
  <c r="BR4" i="33"/>
  <c r="BS3" i="31"/>
  <c r="BR4" i="31"/>
  <c r="BR2" i="31"/>
  <c r="BO4" i="30"/>
  <c r="BO2" i="30"/>
  <c r="BP3" i="30"/>
  <c r="BM2" i="27"/>
  <c r="BM4" i="27"/>
  <c r="BN3" i="27"/>
  <c r="BE3" i="24"/>
  <c r="N23" i="25" s="1" a="1"/>
  <c r="N23" i="25" s="1"/>
  <c r="BD2" i="24"/>
  <c r="BD4" i="24"/>
  <c r="BS4" i="33" l="1"/>
  <c r="BT3" i="33"/>
  <c r="BS2" i="33"/>
  <c r="BS4" i="31"/>
  <c r="BS2" i="31"/>
  <c r="BT3" i="31"/>
  <c r="BP4" i="30"/>
  <c r="BP2" i="30"/>
  <c r="BQ3" i="30"/>
  <c r="BN4" i="27"/>
  <c r="BN2" i="27"/>
  <c r="BO3" i="27"/>
  <c r="BF3" i="24"/>
  <c r="BE2" i="24"/>
  <c r="BE4" i="24"/>
  <c r="BT4" i="33" l="1"/>
  <c r="BU3" i="33"/>
  <c r="BT2" i="33"/>
  <c r="BU3" i="31"/>
  <c r="BT4" i="31"/>
  <c r="BT2" i="31"/>
  <c r="BR3" i="30"/>
  <c r="BQ4" i="30"/>
  <c r="BQ2" i="30"/>
  <c r="BO2" i="27"/>
  <c r="BO4" i="27"/>
  <c r="BP3" i="27"/>
  <c r="BG3" i="24"/>
  <c r="BF2" i="24"/>
  <c r="BF4" i="24"/>
  <c r="BV3" i="33" l="1"/>
  <c r="BU4" i="33"/>
  <c r="BU2" i="33"/>
  <c r="BU4" i="31"/>
  <c r="BU2" i="31"/>
  <c r="BV3" i="31"/>
  <c r="BS3" i="30"/>
  <c r="BR2" i="30"/>
  <c r="BR4" i="30"/>
  <c r="BP4" i="27"/>
  <c r="BQ3" i="27"/>
  <c r="BP2" i="27"/>
  <c r="BH3" i="24"/>
  <c r="BG2" i="24"/>
  <c r="BG4" i="24"/>
  <c r="BV4" i="33" l="1"/>
  <c r="BW3" i="33"/>
  <c r="BV2" i="33"/>
  <c r="BW3" i="31"/>
  <c r="BV4" i="31"/>
  <c r="BV2" i="31"/>
  <c r="BT3" i="30"/>
  <c r="BS2" i="30"/>
  <c r="BS4" i="30"/>
  <c r="BQ4" i="27"/>
  <c r="BQ2" i="27"/>
  <c r="BR3" i="27"/>
  <c r="BI3" i="24"/>
  <c r="BH2" i="24"/>
  <c r="BH4" i="24"/>
  <c r="BW4" i="33" l="1"/>
  <c r="BW2" i="33"/>
  <c r="BX3" i="33"/>
  <c r="BW2" i="31"/>
  <c r="BW4" i="31"/>
  <c r="BX3" i="31"/>
  <c r="BT4" i="30"/>
  <c r="BU3" i="30"/>
  <c r="BT2" i="30"/>
  <c r="BS3" i="27"/>
  <c r="BR4" i="27"/>
  <c r="BR2" i="27"/>
  <c r="BJ3" i="24"/>
  <c r="BI2" i="24"/>
  <c r="BI4" i="24"/>
  <c r="BX2" i="33" l="1"/>
  <c r="BX4" i="33"/>
  <c r="BY3" i="33"/>
  <c r="BX2" i="31"/>
  <c r="BX4" i="31"/>
  <c r="BY3" i="31"/>
  <c r="BU2" i="30"/>
  <c r="BV3" i="30"/>
  <c r="BU4" i="30"/>
  <c r="BS4" i="27"/>
  <c r="BT3" i="27"/>
  <c r="BS2" i="27"/>
  <c r="BK3" i="24"/>
  <c r="BJ2" i="24"/>
  <c r="BJ4" i="24"/>
  <c r="BZ3" i="33" l="1"/>
  <c r="BY2" i="33"/>
  <c r="BY4" i="33"/>
  <c r="BY2" i="31"/>
  <c r="BZ3" i="31"/>
  <c r="BY4" i="31"/>
  <c r="BW3" i="30"/>
  <c r="BV2" i="30"/>
  <c r="BV4" i="30"/>
  <c r="BU3" i="27"/>
  <c r="BT4" i="27"/>
  <c r="BT2" i="27"/>
  <c r="BK2" i="24"/>
  <c r="BL3" i="24"/>
  <c r="BK4" i="24"/>
  <c r="BZ4" i="33" l="1"/>
  <c r="BZ2" i="33"/>
  <c r="CA3" i="33"/>
  <c r="CA3" i="31"/>
  <c r="BZ4" i="31"/>
  <c r="BZ2" i="31"/>
  <c r="BW2" i="30"/>
  <c r="BX3" i="30"/>
  <c r="BW4" i="30"/>
  <c r="BV3" i="27"/>
  <c r="BU2" i="27"/>
  <c r="BU4" i="27"/>
  <c r="BM3" i="24"/>
  <c r="BL2" i="24"/>
  <c r="BL4" i="24"/>
  <c r="CB3" i="33" l="1"/>
  <c r="CA4" i="33"/>
  <c r="CA2" i="33"/>
  <c r="CB3" i="31"/>
  <c r="CA4" i="31"/>
  <c r="CA2" i="31"/>
  <c r="BX4" i="30"/>
  <c r="BX2" i="30"/>
  <c r="BY3" i="30"/>
  <c r="BV4" i="27"/>
  <c r="BW3" i="27"/>
  <c r="BV2" i="27"/>
  <c r="BN3" i="24"/>
  <c r="BM2" i="24"/>
  <c r="BM4" i="24"/>
  <c r="CC3" i="33" l="1"/>
  <c r="CB2" i="33"/>
  <c r="CB4" i="33"/>
  <c r="CC3" i="31"/>
  <c r="CB4" i="31"/>
  <c r="CB2" i="31"/>
  <c r="BY4" i="30"/>
  <c r="BZ3" i="30"/>
  <c r="BY2" i="30"/>
  <c r="BW2" i="27"/>
  <c r="BW4" i="27"/>
  <c r="BX3" i="27"/>
  <c r="BO3" i="24"/>
  <c r="BN2" i="24"/>
  <c r="BN4" i="24"/>
  <c r="CC4" i="33" l="1"/>
  <c r="CC2" i="33"/>
  <c r="CD3" i="33"/>
  <c r="CC4" i="31"/>
  <c r="CD3" i="31"/>
  <c r="CC2" i="31"/>
  <c r="CA3" i="30"/>
  <c r="BZ2" i="30"/>
  <c r="BZ4" i="30"/>
  <c r="BY3" i="27"/>
  <c r="BX4" i="27"/>
  <c r="BX2" i="27"/>
  <c r="BP3" i="24"/>
  <c r="BO2" i="24"/>
  <c r="BO4" i="24"/>
  <c r="CD4" i="33" l="1"/>
  <c r="CE3" i="33"/>
  <c r="CD2" i="33"/>
  <c r="CD4" i="31"/>
  <c r="CD2" i="31"/>
  <c r="CE3" i="31"/>
  <c r="CA4" i="30"/>
  <c r="CB3" i="30"/>
  <c r="CA2" i="30"/>
  <c r="BZ3" i="27"/>
  <c r="BY4" i="27"/>
  <c r="BY2" i="27"/>
  <c r="BQ3" i="24"/>
  <c r="BP2" i="24"/>
  <c r="BP4" i="24"/>
  <c r="CE4" i="33" l="1"/>
  <c r="CF3" i="33"/>
  <c r="CE2" i="33"/>
  <c r="CF3" i="31"/>
  <c r="CE2" i="31"/>
  <c r="CE4" i="31"/>
  <c r="CC3" i="30"/>
  <c r="CB4" i="30"/>
  <c r="CB2" i="30"/>
  <c r="BZ2" i="27"/>
  <c r="CA3" i="27"/>
  <c r="BZ4" i="27"/>
  <c r="BR3" i="24"/>
  <c r="BQ2" i="24"/>
  <c r="BQ4" i="24"/>
  <c r="CG3" i="33" l="1"/>
  <c r="CF4" i="33"/>
  <c r="CF2" i="33"/>
  <c r="CF2" i="31"/>
  <c r="CF4" i="31"/>
  <c r="CG3" i="31"/>
  <c r="CD3" i="30"/>
  <c r="CC4" i="30"/>
  <c r="CC2" i="30"/>
  <c r="CA2" i="27"/>
  <c r="CB3" i="27"/>
  <c r="CA4" i="27"/>
  <c r="BS3" i="24"/>
  <c r="BR2" i="24"/>
  <c r="BR4" i="24"/>
  <c r="CH3" i="33" l="1"/>
  <c r="CG4" i="33"/>
  <c r="CG2" i="33"/>
  <c r="CH3" i="31"/>
  <c r="CG2" i="31"/>
  <c r="CG4" i="31"/>
  <c r="CD4" i="30"/>
  <c r="CE3" i="30"/>
  <c r="CD2" i="30"/>
  <c r="CB2" i="27"/>
  <c r="CB4" i="27"/>
  <c r="CC3" i="27"/>
  <c r="BT3" i="24"/>
  <c r="BS2" i="24"/>
  <c r="BS4" i="24"/>
  <c r="CH4" i="33" l="1"/>
  <c r="CI3" i="33"/>
  <c r="CH2" i="33"/>
  <c r="CI3" i="31"/>
  <c r="CH2" i="31"/>
  <c r="CH4" i="31"/>
  <c r="CE4" i="30"/>
  <c r="CF3" i="30"/>
  <c r="CE2" i="30"/>
  <c r="CC4" i="27"/>
  <c r="CD3" i="27"/>
  <c r="CC2" i="27"/>
  <c r="BU3" i="24"/>
  <c r="BT2" i="24"/>
  <c r="BT4" i="24"/>
  <c r="CJ3" i="33" l="1"/>
  <c r="CI4" i="33"/>
  <c r="CI2" i="33"/>
  <c r="CI4" i="31"/>
  <c r="CJ3" i="31"/>
  <c r="CI2" i="31"/>
  <c r="CF4" i="30"/>
  <c r="CG3" i="30"/>
  <c r="CF2" i="30"/>
  <c r="CE3" i="27"/>
  <c r="CD4" i="27"/>
  <c r="CD2" i="27"/>
  <c r="BU2" i="24"/>
  <c r="BV3" i="24"/>
  <c r="BU4" i="24"/>
  <c r="CJ4" i="33" l="1"/>
  <c r="CK3" i="33"/>
  <c r="CJ2" i="33"/>
  <c r="CJ4" i="31"/>
  <c r="CJ2" i="31"/>
  <c r="CK3" i="31"/>
  <c r="CG4" i="30"/>
  <c r="CH3" i="30"/>
  <c r="CG2" i="30"/>
  <c r="CE4" i="27"/>
  <c r="CF3" i="27"/>
  <c r="CE2" i="27"/>
  <c r="BV2" i="24"/>
  <c r="BW3" i="24"/>
  <c r="BV4" i="24"/>
  <c r="CL3" i="33" l="1"/>
  <c r="CK2" i="33"/>
  <c r="CK4" i="33"/>
  <c r="CL3" i="31"/>
  <c r="CK4" i="31"/>
  <c r="CK2" i="31"/>
  <c r="CH4" i="30"/>
  <c r="CH2" i="30"/>
  <c r="CI3" i="30"/>
  <c r="CF2" i="27"/>
  <c r="CG3" i="27"/>
  <c r="CF4" i="27"/>
  <c r="BX3" i="24"/>
  <c r="BW2" i="24"/>
  <c r="BW4" i="24"/>
  <c r="CL4" i="33" l="1"/>
  <c r="CM3" i="33"/>
  <c r="CL2" i="33"/>
  <c r="CL2" i="31"/>
  <c r="CL4" i="31"/>
  <c r="CM3" i="31"/>
  <c r="CI4" i="30"/>
  <c r="CJ3" i="30"/>
  <c r="CI2" i="30"/>
  <c r="CH3" i="27"/>
  <c r="CG4" i="27"/>
  <c r="CG2" i="27"/>
  <c r="BY3" i="24"/>
  <c r="BX2" i="24"/>
  <c r="BX4" i="24"/>
  <c r="CN3" i="33" l="1"/>
  <c r="CM2" i="33"/>
  <c r="CM4" i="33"/>
  <c r="CM4" i="31"/>
  <c r="CM2" i="31"/>
  <c r="CN3" i="31"/>
  <c r="CK3" i="30"/>
  <c r="CJ2" i="30"/>
  <c r="CJ4" i="30"/>
  <c r="CH4" i="27"/>
  <c r="CI3" i="27"/>
  <c r="CH2" i="27"/>
  <c r="BY2" i="24"/>
  <c r="BZ3" i="24"/>
  <c r="BY4" i="24"/>
  <c r="CO3" i="33" l="1"/>
  <c r="CN2" i="33"/>
  <c r="CN4" i="33"/>
  <c r="CN2" i="31"/>
  <c r="CN4" i="31"/>
  <c r="CO3" i="31"/>
  <c r="CK2" i="30"/>
  <c r="CL3" i="30"/>
  <c r="CK4" i="30"/>
  <c r="CI4" i="27"/>
  <c r="CI2" i="27"/>
  <c r="CJ3" i="27"/>
  <c r="CA3" i="24"/>
  <c r="BZ2" i="24"/>
  <c r="BZ4" i="24"/>
  <c r="CP3" i="33" l="1"/>
  <c r="CO4" i="33"/>
  <c r="CO2" i="33"/>
  <c r="CO4" i="31"/>
  <c r="CP3" i="31"/>
  <c r="CO2" i="31"/>
  <c r="CM3" i="30"/>
  <c r="CL2" i="30"/>
  <c r="CL4" i="30"/>
  <c r="CJ4" i="27"/>
  <c r="CK3" i="27"/>
  <c r="CJ2" i="27"/>
  <c r="CA2" i="24"/>
  <c r="CB3" i="24"/>
  <c r="CA4" i="24"/>
  <c r="CP4" i="33" l="1"/>
  <c r="CP2" i="33"/>
  <c r="CQ3" i="33"/>
  <c r="CP4" i="31"/>
  <c r="CP2" i="31"/>
  <c r="CQ3" i="31"/>
  <c r="CM4" i="30"/>
  <c r="CN3" i="30"/>
  <c r="CM2" i="30"/>
  <c r="CK4" i="27"/>
  <c r="CK2" i="27"/>
  <c r="CL3" i="27"/>
  <c r="CC3" i="24"/>
  <c r="CB2" i="24"/>
  <c r="CB4" i="24"/>
  <c r="CR3" i="33" l="1"/>
  <c r="CQ4" i="33"/>
  <c r="CQ2" i="33"/>
  <c r="CQ4" i="31"/>
  <c r="CR3" i="31"/>
  <c r="CQ2" i="31"/>
  <c r="CN2" i="30"/>
  <c r="CN4" i="30"/>
  <c r="CO3" i="30"/>
  <c r="CM3" i="27"/>
  <c r="CL4" i="27"/>
  <c r="CL2" i="27"/>
  <c r="CC2" i="24"/>
  <c r="CD3" i="24"/>
  <c r="CC4" i="24"/>
  <c r="CR4" i="33" l="1"/>
  <c r="CR2" i="33"/>
  <c r="CS3" i="33"/>
  <c r="CR4" i="31"/>
  <c r="CS3" i="31"/>
  <c r="CR2" i="31"/>
  <c r="CO4" i="30"/>
  <c r="CP3" i="30"/>
  <c r="CO2" i="30"/>
  <c r="CN3" i="27"/>
  <c r="CM4" i="27"/>
  <c r="CM2" i="27"/>
  <c r="CE3" i="24"/>
  <c r="CD2" i="24"/>
  <c r="CD4" i="24"/>
  <c r="CS4" i="33" l="1"/>
  <c r="CT3" i="33"/>
  <c r="CS2" i="33"/>
  <c r="CS4" i="31"/>
  <c r="CT3" i="31"/>
  <c r="CS2" i="31"/>
  <c r="CP4" i="30"/>
  <c r="CQ3" i="30"/>
  <c r="CP2" i="30"/>
  <c r="CO3" i="27"/>
  <c r="CN2" i="27"/>
  <c r="CN4" i="27"/>
  <c r="CF3" i="24"/>
  <c r="CE2" i="24"/>
  <c r="CE4" i="24"/>
  <c r="CT4" i="33" l="1"/>
  <c r="CU3" i="33"/>
  <c r="CT2" i="33"/>
  <c r="CT4" i="31"/>
  <c r="CU3" i="31"/>
  <c r="CT2" i="31"/>
  <c r="CQ4" i="30"/>
  <c r="CQ2" i="30"/>
  <c r="CR3" i="30"/>
  <c r="CO2" i="27"/>
  <c r="CO4" i="27"/>
  <c r="CP3" i="27"/>
  <c r="CG3" i="24"/>
  <c r="CF2" i="24"/>
  <c r="CF4" i="24"/>
  <c r="CV3" i="33" l="1"/>
  <c r="CU2" i="33"/>
  <c r="CU4" i="33"/>
  <c r="CV3" i="31"/>
  <c r="CU2" i="31"/>
  <c r="CU4" i="31"/>
  <c r="CS3" i="30"/>
  <c r="CR4" i="30"/>
  <c r="CR2" i="30"/>
  <c r="CP2" i="27"/>
  <c r="CP4" i="27"/>
  <c r="CQ3" i="27"/>
  <c r="CG2" i="24"/>
  <c r="CH3" i="24"/>
  <c r="CG4" i="24"/>
  <c r="CV4" i="33" l="1"/>
  <c r="CV2" i="33"/>
  <c r="CW3" i="33"/>
  <c r="CW3" i="31"/>
  <c r="CV2" i="31"/>
  <c r="CV4" i="31"/>
  <c r="CS4" i="30"/>
  <c r="CT3" i="30"/>
  <c r="CS2" i="30"/>
  <c r="CQ2" i="27"/>
  <c r="CQ4" i="27"/>
  <c r="CR3" i="27"/>
  <c r="CH2" i="24"/>
  <c r="CI3" i="24"/>
  <c r="CH4" i="24"/>
  <c r="CW4" i="33" l="1"/>
  <c r="CX3" i="33"/>
  <c r="CW2" i="33"/>
  <c r="CW4" i="31"/>
  <c r="CX3" i="31"/>
  <c r="CW2" i="31"/>
  <c r="CT4" i="30"/>
  <c r="CT2" i="30"/>
  <c r="CU3" i="30"/>
  <c r="CR4" i="27"/>
  <c r="CR2" i="27"/>
  <c r="CS3" i="27"/>
  <c r="CJ3" i="24"/>
  <c r="CI2" i="24"/>
  <c r="CI4" i="24"/>
  <c r="CX4" i="33" l="1"/>
  <c r="CY3" i="33"/>
  <c r="CX2" i="33"/>
  <c r="CY3" i="31"/>
  <c r="CX2" i="31"/>
  <c r="CX4" i="31"/>
  <c r="CU4" i="30"/>
  <c r="CU2" i="30"/>
  <c r="CV3" i="30"/>
  <c r="CS4" i="27"/>
  <c r="CS2" i="27"/>
  <c r="CT3" i="27"/>
  <c r="CJ2" i="24"/>
  <c r="CK3" i="24"/>
  <c r="CJ4" i="24"/>
  <c r="CZ3" i="33" l="1"/>
  <c r="CY4" i="33"/>
  <c r="CY2" i="33"/>
  <c r="CZ3" i="31"/>
  <c r="CY2" i="31"/>
  <c r="CY4" i="31"/>
  <c r="CV4" i="30"/>
  <c r="CV2" i="30"/>
  <c r="CW3" i="30"/>
  <c r="CT4" i="27"/>
  <c r="CU3" i="27"/>
  <c r="CT2" i="27"/>
  <c r="CL3" i="24"/>
  <c r="CK2" i="24"/>
  <c r="CK4" i="24"/>
  <c r="DA3" i="33" l="1"/>
  <c r="CZ4" i="33"/>
  <c r="CZ2" i="33"/>
  <c r="CZ2" i="31"/>
  <c r="DA3" i="31"/>
  <c r="CZ4" i="31"/>
  <c r="CW4" i="30"/>
  <c r="CX3" i="30"/>
  <c r="CW2" i="30"/>
  <c r="CU4" i="27"/>
  <c r="CV3" i="27"/>
  <c r="CU2" i="27"/>
  <c r="CM3" i="24"/>
  <c r="CL2" i="24"/>
  <c r="CL4" i="24"/>
  <c r="DB3" i="33" l="1"/>
  <c r="DA2" i="33"/>
  <c r="DA4" i="33"/>
  <c r="DA4" i="31"/>
  <c r="DB3" i="31"/>
  <c r="DA2" i="31"/>
  <c r="CY3" i="30"/>
  <c r="CX2" i="30"/>
  <c r="CX4" i="30"/>
  <c r="CW3" i="27"/>
  <c r="CV2" i="27"/>
  <c r="CV4" i="27"/>
  <c r="CN3" i="24"/>
  <c r="CM2" i="24"/>
  <c r="CM4" i="24"/>
  <c r="DC3" i="33" l="1"/>
  <c r="DB4" i="33"/>
  <c r="DB2" i="33"/>
  <c r="DB2" i="31"/>
  <c r="DC3" i="31"/>
  <c r="DB4" i="31"/>
  <c r="CY2" i="30"/>
  <c r="CY4" i="30"/>
  <c r="CZ3" i="30"/>
  <c r="CW4" i="27"/>
  <c r="CX3" i="27"/>
  <c r="CW2" i="27"/>
  <c r="CO3" i="24"/>
  <c r="CN2" i="24"/>
  <c r="CN4" i="24"/>
  <c r="DD3" i="33" l="1"/>
  <c r="DC4" i="33"/>
  <c r="DC2" i="33"/>
  <c r="DC2" i="31"/>
  <c r="DC4" i="31"/>
  <c r="DD3" i="31"/>
  <c r="CZ4" i="30"/>
  <c r="DA3" i="30"/>
  <c r="CZ2" i="30"/>
  <c r="CX4" i="27"/>
  <c r="CY3" i="27"/>
  <c r="CX2" i="27"/>
  <c r="CO2" i="24"/>
  <c r="CP3" i="24"/>
  <c r="CO4" i="24"/>
  <c r="DD4" i="33" l="1"/>
  <c r="DD2" i="33"/>
  <c r="DE3" i="33"/>
  <c r="DD4" i="31"/>
  <c r="DD2" i="31"/>
  <c r="DE3" i="31"/>
  <c r="DA4" i="30"/>
  <c r="DA2" i="30"/>
  <c r="DB3" i="30"/>
  <c r="CZ3" i="27"/>
  <c r="CY2" i="27"/>
  <c r="CY4" i="27"/>
  <c r="CQ3" i="24"/>
  <c r="CP2" i="24"/>
  <c r="CP4" i="24"/>
  <c r="DE4" i="33" l="1"/>
  <c r="DE2" i="33"/>
  <c r="DF3" i="33"/>
  <c r="DE2" i="31"/>
  <c r="DE4" i="31"/>
  <c r="DF3" i="31"/>
  <c r="DB4" i="30"/>
  <c r="DB2" i="30"/>
  <c r="DC3" i="30"/>
  <c r="DA3" i="27"/>
  <c r="CZ4" i="27"/>
  <c r="CZ2" i="27"/>
  <c r="CQ2" i="24"/>
  <c r="CR3" i="24"/>
  <c r="CQ4" i="24"/>
  <c r="DG3" i="33" l="1"/>
  <c r="DF4" i="33"/>
  <c r="DF2" i="33"/>
  <c r="DF4" i="31"/>
  <c r="DF2" i="31"/>
  <c r="DG3" i="31"/>
  <c r="DC4" i="30"/>
  <c r="DC2" i="30"/>
  <c r="DD3" i="30"/>
  <c r="DB3" i="27"/>
  <c r="DA4" i="27"/>
  <c r="DA2" i="27"/>
  <c r="CS3" i="24"/>
  <c r="CR2" i="24"/>
  <c r="CR4" i="24"/>
  <c r="DG4" i="33" l="1"/>
  <c r="DG2" i="33"/>
  <c r="DH3" i="33"/>
  <c r="DG4" i="31"/>
  <c r="DG2" i="31"/>
  <c r="DH3" i="31"/>
  <c r="DD4" i="30"/>
  <c r="DD2" i="30"/>
  <c r="DE3" i="30"/>
  <c r="DC3" i="27"/>
  <c r="DB2" i="27"/>
  <c r="DB4" i="27"/>
  <c r="CT3" i="24"/>
  <c r="CS2" i="24"/>
  <c r="CS4" i="24"/>
  <c r="DH2" i="33" l="1"/>
  <c r="DI3" i="33"/>
  <c r="DH4" i="33"/>
  <c r="DH4" i="31"/>
  <c r="DI3" i="31"/>
  <c r="DH2" i="31"/>
  <c r="DE4" i="30"/>
  <c r="DF3" i="30"/>
  <c r="DE2" i="30"/>
  <c r="DC2" i="27"/>
  <c r="DD3" i="27"/>
  <c r="DC4" i="27"/>
  <c r="CT2" i="24"/>
  <c r="CU3" i="24"/>
  <c r="CT4" i="24"/>
  <c r="DJ3" i="33" l="1"/>
  <c r="DI4" i="33"/>
  <c r="DI2" i="33"/>
  <c r="DI4" i="31"/>
  <c r="DI2" i="31"/>
  <c r="DJ3" i="31"/>
  <c r="DG3" i="30"/>
  <c r="DF2" i="30"/>
  <c r="DF4" i="30"/>
  <c r="DE3" i="27"/>
  <c r="DD4" i="27"/>
  <c r="DD2" i="27"/>
  <c r="CV3" i="24"/>
  <c r="CU2" i="24"/>
  <c r="CU4" i="24"/>
  <c r="DK3" i="33" l="1"/>
  <c r="DJ4" i="33"/>
  <c r="DJ2" i="33"/>
  <c r="DK3" i="31"/>
  <c r="DJ4" i="31"/>
  <c r="DJ2" i="31"/>
  <c r="DH3" i="30"/>
  <c r="DG4" i="30"/>
  <c r="DG2" i="30"/>
  <c r="DF3" i="27"/>
  <c r="DE2" i="27"/>
  <c r="DE4" i="27"/>
  <c r="CW3" i="24"/>
  <c r="CV2" i="24"/>
  <c r="CV4" i="24"/>
  <c r="DK4" i="33" l="1"/>
  <c r="DL3" i="33"/>
  <c r="DK2" i="33"/>
  <c r="DK4" i="31"/>
  <c r="DL3" i="31"/>
  <c r="DK2" i="31"/>
  <c r="DH4" i="30"/>
  <c r="DI3" i="30"/>
  <c r="DH2" i="30"/>
  <c r="DF2" i="27"/>
  <c r="DF4" i="27"/>
  <c r="DG3" i="27"/>
  <c r="CW2" i="24"/>
  <c r="CX3" i="24"/>
  <c r="CW4" i="24"/>
  <c r="DL4" i="33" l="1"/>
  <c r="DM3" i="33"/>
  <c r="DL2" i="33"/>
  <c r="DM3" i="31"/>
  <c r="DL4" i="31"/>
  <c r="DL2" i="31"/>
  <c r="DJ3" i="30"/>
  <c r="DI2" i="30"/>
  <c r="DI4" i="30"/>
  <c r="DH3" i="27"/>
  <c r="DG2" i="27"/>
  <c r="DG4" i="27"/>
  <c r="CY3" i="24"/>
  <c r="CX2" i="24"/>
  <c r="CX4" i="24"/>
  <c r="DM4" i="33" l="1"/>
  <c r="DN3" i="33"/>
  <c r="DM2" i="33"/>
  <c r="DN3" i="31"/>
  <c r="DM4" i="31"/>
  <c r="DM2" i="31"/>
  <c r="DJ4" i="30"/>
  <c r="DK3" i="30"/>
  <c r="DJ2" i="30"/>
  <c r="DH4" i="27"/>
  <c r="DH2" i="27"/>
  <c r="DI3" i="27"/>
  <c r="CZ3" i="24"/>
  <c r="CY2" i="24"/>
  <c r="CY4" i="24"/>
  <c r="DO3" i="33" l="1"/>
  <c r="DN4" i="33"/>
  <c r="DN2" i="33"/>
  <c r="DN2" i="31"/>
  <c r="DO3" i="31"/>
  <c r="DN4" i="31"/>
  <c r="DK4" i="30"/>
  <c r="DL3" i="30"/>
  <c r="DK2" i="30"/>
  <c r="DI4" i="27"/>
  <c r="DI2" i="27"/>
  <c r="DJ3" i="27"/>
  <c r="DA3" i="24"/>
  <c r="CZ2" i="24"/>
  <c r="CZ4" i="24"/>
  <c r="DP3" i="33" l="1"/>
  <c r="DO4" i="33"/>
  <c r="DO2" i="33"/>
  <c r="DP3" i="31"/>
  <c r="DO2" i="31"/>
  <c r="DO4" i="31"/>
  <c r="DM3" i="30"/>
  <c r="DL2" i="30"/>
  <c r="DL4" i="30"/>
  <c r="DJ2" i="27"/>
  <c r="DJ4" i="27"/>
  <c r="DK3" i="27"/>
  <c r="DB3" i="24"/>
  <c r="DA2" i="24"/>
  <c r="DA4" i="24"/>
  <c r="DP4" i="33" l="1"/>
  <c r="DP2" i="33"/>
  <c r="DQ3" i="33"/>
  <c r="DQ3" i="31"/>
  <c r="DP2" i="31"/>
  <c r="DP4" i="31"/>
  <c r="DM2" i="30"/>
  <c r="DM4" i="30"/>
  <c r="DN3" i="30"/>
  <c r="DL3" i="27"/>
  <c r="DK4" i="27"/>
  <c r="DK2" i="27"/>
  <c r="DC3" i="24"/>
  <c r="DB2" i="24"/>
  <c r="DB4" i="24"/>
  <c r="DR3" i="33" l="1"/>
  <c r="DQ4" i="33"/>
  <c r="DQ2" i="33"/>
  <c r="DQ2" i="31"/>
  <c r="DR3" i="31"/>
  <c r="DQ4" i="31"/>
  <c r="DN2" i="30"/>
  <c r="DN4" i="30"/>
  <c r="DO3" i="30"/>
  <c r="DL4" i="27"/>
  <c r="DM3" i="27"/>
  <c r="DL2" i="27"/>
  <c r="DC2" i="24"/>
  <c r="DD3" i="24"/>
  <c r="DC4" i="24"/>
  <c r="DS3" i="33" l="1"/>
  <c r="DR2" i="33"/>
  <c r="DR4" i="33"/>
  <c r="DR2" i="31"/>
  <c r="DR4" i="31"/>
  <c r="DS3" i="31"/>
  <c r="DO4" i="30"/>
  <c r="DP3" i="30"/>
  <c r="DO2" i="30"/>
  <c r="DM4" i="27"/>
  <c r="DM2" i="27"/>
  <c r="DN3" i="27"/>
  <c r="DE3" i="24"/>
  <c r="DD2" i="24"/>
  <c r="DD4" i="24"/>
  <c r="DS2" i="33" l="1"/>
  <c r="DT3" i="33"/>
  <c r="DS4" i="33"/>
  <c r="DT3" i="31"/>
  <c r="DS2" i="31"/>
  <c r="DS4" i="31"/>
  <c r="DP4" i="30"/>
  <c r="DQ3" i="30"/>
  <c r="DP2" i="30"/>
  <c r="DO3" i="27"/>
  <c r="DN4" i="27"/>
  <c r="DN2" i="27"/>
  <c r="DE2" i="24"/>
  <c r="DF3" i="24"/>
  <c r="DE4" i="24"/>
  <c r="DT4" i="33" l="1"/>
  <c r="DU3" i="33"/>
  <c r="DT2" i="33"/>
  <c r="DT4" i="31"/>
  <c r="DU3" i="31"/>
  <c r="DT2" i="31"/>
  <c r="DQ2" i="30"/>
  <c r="DQ4" i="30"/>
  <c r="DR3" i="30"/>
  <c r="DP3" i="27"/>
  <c r="DO4" i="27"/>
  <c r="DO2" i="27"/>
  <c r="DG3" i="24"/>
  <c r="DF2" i="24"/>
  <c r="DF4" i="24"/>
  <c r="DU2" i="33" l="1"/>
  <c r="DU4" i="33"/>
  <c r="DV3" i="33"/>
  <c r="DU4" i="31"/>
  <c r="DU2" i="31"/>
  <c r="DV3" i="31"/>
  <c r="DR2" i="30"/>
  <c r="DR4" i="30"/>
  <c r="DS3" i="30"/>
  <c r="DQ3" i="27"/>
  <c r="DP4" i="27"/>
  <c r="DP2" i="27"/>
  <c r="DG2" i="24"/>
  <c r="DH3" i="24"/>
  <c r="DG4" i="24"/>
  <c r="DV4" i="33" l="1"/>
  <c r="DV2" i="33"/>
  <c r="DW3" i="33"/>
  <c r="DV4" i="31"/>
  <c r="DV2" i="31"/>
  <c r="DW3" i="31"/>
  <c r="DS2" i="30"/>
  <c r="DS4" i="30"/>
  <c r="DT3" i="30"/>
  <c r="DQ2" i="27"/>
  <c r="DQ4" i="27"/>
  <c r="DR3" i="27"/>
  <c r="DI3" i="24"/>
  <c r="DH2" i="24"/>
  <c r="DH4" i="24"/>
  <c r="DX3" i="33" l="1"/>
  <c r="DW4" i="33"/>
  <c r="DW2" i="33"/>
  <c r="DW2" i="31"/>
  <c r="DX3" i="31"/>
  <c r="DW4" i="31"/>
  <c r="DT4" i="30"/>
  <c r="DT2" i="30"/>
  <c r="DU3" i="30"/>
  <c r="DS3" i="27"/>
  <c r="DR4" i="27"/>
  <c r="DR2" i="27"/>
  <c r="DI2" i="24"/>
  <c r="DJ3" i="24"/>
  <c r="DI4" i="24"/>
  <c r="DX2" i="33" l="1"/>
  <c r="DY3" i="33"/>
  <c r="DX4" i="33"/>
  <c r="DY3" i="31"/>
  <c r="DX2" i="31"/>
  <c r="DX4" i="31"/>
  <c r="DV3" i="30"/>
  <c r="DU4" i="30"/>
  <c r="DU2" i="30"/>
  <c r="DS4" i="27"/>
  <c r="DS2" i="27"/>
  <c r="DT3" i="27"/>
  <c r="DK3" i="24"/>
  <c r="DJ2" i="24"/>
  <c r="DJ4" i="24"/>
  <c r="DY2" i="33" l="1"/>
  <c r="DY4" i="33"/>
  <c r="DZ3" i="33"/>
  <c r="DY4" i="31"/>
  <c r="DZ3" i="31"/>
  <c r="DY2" i="31"/>
  <c r="DW3" i="30"/>
  <c r="DV4" i="30"/>
  <c r="DV2" i="30"/>
  <c r="DT2" i="27"/>
  <c r="DU3" i="27"/>
  <c r="DT4" i="27"/>
  <c r="DK2" i="24"/>
  <c r="DL3" i="24"/>
  <c r="DK4" i="24"/>
  <c r="DZ4" i="33" l="1"/>
  <c r="DZ2" i="33"/>
  <c r="EA3" i="33"/>
  <c r="DZ2" i="31"/>
  <c r="EA3" i="31"/>
  <c r="DZ4" i="31"/>
  <c r="DX3" i="30"/>
  <c r="DW4" i="30"/>
  <c r="DW2" i="30"/>
  <c r="DU2" i="27"/>
  <c r="DV3" i="27"/>
  <c r="DU4" i="27"/>
  <c r="DL2" i="24"/>
  <c r="DM3" i="24"/>
  <c r="DL4" i="24"/>
  <c r="EA4" i="33" l="1"/>
  <c r="EB3" i="33"/>
  <c r="EA2" i="33"/>
  <c r="EA4" i="31"/>
  <c r="EB3" i="31"/>
  <c r="EA2" i="31"/>
  <c r="DX4" i="30"/>
  <c r="DY3" i="30"/>
  <c r="DX2" i="30"/>
  <c r="DW3" i="27"/>
  <c r="DV4" i="27"/>
  <c r="DV2" i="27"/>
  <c r="DM2" i="24"/>
  <c r="DN3" i="24"/>
  <c r="DM4" i="24"/>
  <c r="EB4" i="33" l="1"/>
  <c r="EB2" i="33"/>
  <c r="EC3" i="33"/>
  <c r="EB2" i="31"/>
  <c r="EC3" i="31"/>
  <c r="EB4" i="31"/>
  <c r="DY4" i="30"/>
  <c r="DZ3" i="30"/>
  <c r="DY2" i="30"/>
  <c r="DW4" i="27"/>
  <c r="DX3" i="27"/>
  <c r="DW2" i="27"/>
  <c r="DN2" i="24"/>
  <c r="DO3" i="24"/>
  <c r="DN4" i="24"/>
  <c r="ED3" i="33" l="1"/>
  <c r="EC2" i="33"/>
  <c r="EC4" i="33"/>
  <c r="ED3" i="31"/>
  <c r="EC2" i="31"/>
  <c r="EC4" i="31"/>
  <c r="EA3" i="30"/>
  <c r="DZ4" i="30"/>
  <c r="DZ2" i="30"/>
  <c r="DX4" i="27"/>
  <c r="DY3" i="27"/>
  <c r="DX2" i="27"/>
  <c r="DO2" i="24"/>
  <c r="DP3" i="24"/>
  <c r="DO4" i="24"/>
  <c r="EE3" i="33" l="1"/>
  <c r="ED4" i="33"/>
  <c r="ED2" i="33"/>
  <c r="EE3" i="31"/>
  <c r="ED2" i="31"/>
  <c r="ED4" i="31"/>
  <c r="EA4" i="30"/>
  <c r="EA2" i="30"/>
  <c r="EB3" i="30"/>
  <c r="DZ3" i="27"/>
  <c r="DY2" i="27"/>
  <c r="DY4" i="27"/>
  <c r="DQ3" i="24"/>
  <c r="DP2" i="24"/>
  <c r="DP4" i="24"/>
  <c r="EF3" i="33" l="1"/>
  <c r="EE4" i="33"/>
  <c r="EE2" i="33"/>
  <c r="EF3" i="31"/>
  <c r="EE4" i="31"/>
  <c r="EE2" i="31"/>
  <c r="EB4" i="30"/>
  <c r="EB2" i="30"/>
  <c r="EC3" i="30"/>
  <c r="DZ4" i="27"/>
  <c r="EA3" i="27"/>
  <c r="DZ2" i="27"/>
  <c r="DR3" i="24"/>
  <c r="DQ2" i="24"/>
  <c r="DQ4" i="24"/>
  <c r="EF2" i="33" l="1"/>
  <c r="EF4" i="33"/>
  <c r="EG3" i="33"/>
  <c r="EG3" i="31"/>
  <c r="EF2" i="31"/>
  <c r="EF4" i="31"/>
  <c r="EC4" i="30"/>
  <c r="EC2" i="30"/>
  <c r="ED3" i="30"/>
  <c r="EB3" i="27"/>
  <c r="EA2" i="27"/>
  <c r="EA4" i="27"/>
  <c r="DS3" i="24"/>
  <c r="DR2" i="24"/>
  <c r="DR4" i="24"/>
  <c r="EG2" i="33" l="1"/>
  <c r="EG4" i="33"/>
  <c r="EH3" i="33"/>
  <c r="EG2" i="31"/>
  <c r="EG4" i="31"/>
  <c r="EH3" i="31"/>
  <c r="ED4" i="30"/>
  <c r="ED2" i="30"/>
  <c r="EE3" i="30"/>
  <c r="EC3" i="27"/>
  <c r="EB4" i="27"/>
  <c r="EB2" i="27"/>
  <c r="DT3" i="24"/>
  <c r="DS2" i="24"/>
  <c r="DS4" i="24"/>
  <c r="EH4" i="33" l="1"/>
  <c r="EI3" i="33"/>
  <c r="EH2" i="33"/>
  <c r="EH4" i="31"/>
  <c r="EH2" i="31"/>
  <c r="EI3" i="31"/>
  <c r="EE4" i="30"/>
  <c r="EE2" i="30"/>
  <c r="EF3" i="30"/>
  <c r="EC4" i="27"/>
  <c r="EC2" i="27"/>
  <c r="ED3" i="27"/>
  <c r="DU3" i="24"/>
  <c r="DT2" i="24"/>
  <c r="DT4" i="24"/>
  <c r="EI2" i="33" l="1"/>
  <c r="EI4" i="33"/>
  <c r="EJ3" i="33"/>
  <c r="EI4" i="31"/>
  <c r="EJ3" i="31"/>
  <c r="EI2" i="31"/>
  <c r="EF4" i="30"/>
  <c r="EF2" i="30"/>
  <c r="EG3" i="30"/>
  <c r="EE3" i="27"/>
  <c r="ED4" i="27"/>
  <c r="ED2" i="27"/>
  <c r="DV3" i="24"/>
  <c r="DU2" i="24"/>
  <c r="DU4" i="24"/>
  <c r="EK3" i="33" l="1"/>
  <c r="EJ4" i="33"/>
  <c r="EJ2" i="33"/>
  <c r="EJ4" i="31"/>
  <c r="EK3" i="31"/>
  <c r="EJ2" i="31"/>
  <c r="EG2" i="30"/>
  <c r="EG4" i="30"/>
  <c r="EH3" i="30"/>
  <c r="EE2" i="27"/>
  <c r="EE4" i="27"/>
  <c r="EF3" i="27"/>
  <c r="DV2" i="24"/>
  <c r="DW3" i="24"/>
  <c r="DV4" i="24"/>
  <c r="EK4" i="33" l="1"/>
  <c r="EL3" i="33"/>
  <c r="EK2" i="33"/>
  <c r="EK4" i="31"/>
  <c r="EL3" i="31"/>
  <c r="EK2" i="31"/>
  <c r="EH2" i="30"/>
  <c r="EI3" i="30"/>
  <c r="EH4" i="30"/>
  <c r="EF2" i="27"/>
  <c r="EF4" i="27"/>
  <c r="EG3" i="27"/>
  <c r="DX3" i="24"/>
  <c r="DW2" i="24"/>
  <c r="DW4" i="24"/>
  <c r="EL4" i="33" l="1"/>
  <c r="EM3" i="33"/>
  <c r="EL2" i="33"/>
  <c r="EM3" i="31"/>
  <c r="EL4" i="31"/>
  <c r="EL2" i="31"/>
  <c r="EI4" i="30"/>
  <c r="EI2" i="30"/>
  <c r="EJ3" i="30"/>
  <c r="EG4" i="27"/>
  <c r="EG2" i="27"/>
  <c r="EH3" i="27"/>
  <c r="DX2" i="24"/>
  <c r="DY3" i="24"/>
  <c r="DX4" i="24"/>
  <c r="EM4" i="33" l="1"/>
  <c r="EM2" i="33"/>
  <c r="EN3" i="33"/>
  <c r="EM4" i="31"/>
  <c r="EN3" i="31"/>
  <c r="EM2" i="31"/>
  <c r="EJ2" i="30"/>
  <c r="EK3" i="30"/>
  <c r="EJ4" i="30"/>
  <c r="EH2" i="27"/>
  <c r="EI3" i="27"/>
  <c r="EH4" i="27"/>
  <c r="DZ3" i="24"/>
  <c r="DY2" i="24"/>
  <c r="DY4" i="24"/>
  <c r="EN4" i="33" l="1"/>
  <c r="EO3" i="33"/>
  <c r="EN2" i="33"/>
  <c r="EN4" i="31"/>
  <c r="EO3" i="31"/>
  <c r="EN2" i="31"/>
  <c r="EL3" i="30"/>
  <c r="EK2" i="30"/>
  <c r="EK4" i="30"/>
  <c r="EI2" i="27"/>
  <c r="EJ3" i="27"/>
  <c r="EI4" i="27"/>
  <c r="EA3" i="24"/>
  <c r="DZ2" i="24"/>
  <c r="DZ4" i="24"/>
  <c r="EP3" i="33" l="1"/>
  <c r="EO4" i="33"/>
  <c r="EO2" i="33"/>
  <c r="EO2" i="31"/>
  <c r="EO4" i="31"/>
  <c r="EP3" i="31"/>
  <c r="EL4" i="30"/>
  <c r="EM3" i="30"/>
  <c r="EL2" i="30"/>
  <c r="EJ2" i="27"/>
  <c r="EJ4" i="27"/>
  <c r="EK3" i="27"/>
  <c r="EB3" i="24"/>
  <c r="EA2" i="24"/>
  <c r="EA4" i="24"/>
  <c r="EQ3" i="33" l="1"/>
  <c r="EP4" i="33"/>
  <c r="EP2" i="33"/>
  <c r="EP2" i="31"/>
  <c r="EP4" i="31"/>
  <c r="EQ3" i="31"/>
  <c r="EN3" i="30"/>
  <c r="EM2" i="30"/>
  <c r="EM4" i="30"/>
  <c r="EK4" i="27"/>
  <c r="EL3" i="27"/>
  <c r="EK2" i="27"/>
  <c r="EB2" i="24"/>
  <c r="EC3" i="24"/>
  <c r="EB4" i="24"/>
  <c r="ER3" i="33" l="1"/>
  <c r="EQ4" i="33"/>
  <c r="EQ2" i="33"/>
  <c r="EQ4" i="31"/>
  <c r="ER3" i="31"/>
  <c r="EQ2" i="31"/>
  <c r="EO3" i="30"/>
  <c r="EN2" i="30"/>
  <c r="EN4" i="30"/>
  <c r="EM3" i="27"/>
  <c r="EL4" i="27"/>
  <c r="EL2" i="27"/>
  <c r="ED3" i="24"/>
  <c r="EC2" i="24"/>
  <c r="EC4" i="24"/>
  <c r="ER4" i="33" l="1"/>
  <c r="ER2" i="33"/>
  <c r="ES3" i="33"/>
  <c r="ES3" i="31"/>
  <c r="ER4" i="31"/>
  <c r="ER2" i="31"/>
  <c r="EO2" i="30"/>
  <c r="EP3" i="30"/>
  <c r="EO4" i="30"/>
  <c r="EN3" i="27"/>
  <c r="EM4" i="27"/>
  <c r="EM2" i="27"/>
  <c r="ED2" i="24"/>
  <c r="EE3" i="24"/>
  <c r="ED4" i="24"/>
  <c r="ET3" i="33" l="1"/>
  <c r="ES4" i="33"/>
  <c r="ES2" i="33"/>
  <c r="ET3" i="31"/>
  <c r="ES2" i="31"/>
  <c r="ES4" i="31"/>
  <c r="EP4" i="30"/>
  <c r="EQ3" i="30"/>
  <c r="EP2" i="30"/>
  <c r="EN4" i="27"/>
  <c r="EO3" i="27"/>
  <c r="EN2" i="27"/>
  <c r="EF3" i="24"/>
  <c r="EE2" i="24"/>
  <c r="EE4" i="24"/>
  <c r="EU3" i="33" l="1"/>
  <c r="ET4" i="33"/>
  <c r="ET2" i="33"/>
  <c r="ET4" i="31"/>
  <c r="ET2" i="31"/>
  <c r="EU3" i="31"/>
  <c r="EQ4" i="30"/>
  <c r="ER3" i="30"/>
  <c r="EQ2" i="30"/>
  <c r="EO4" i="27"/>
  <c r="EP3" i="27"/>
  <c r="EO2" i="27"/>
  <c r="EG3" i="24"/>
  <c r="EF2" i="24"/>
  <c r="EF4" i="24"/>
  <c r="EU2" i="33" l="1"/>
  <c r="EU4" i="33"/>
  <c r="EV3" i="33"/>
  <c r="EU2" i="31"/>
  <c r="EV3" i="31"/>
  <c r="EU4" i="31"/>
  <c r="ER4" i="30"/>
  <c r="ES3" i="30"/>
  <c r="ER2" i="30"/>
  <c r="EQ3" i="27"/>
  <c r="EP4" i="27"/>
  <c r="EP2" i="27"/>
  <c r="EH3" i="24"/>
  <c r="EG2" i="24"/>
  <c r="EG4" i="24"/>
  <c r="EV4" i="33" l="1"/>
  <c r="EV2" i="33"/>
  <c r="EW3" i="33"/>
  <c r="EW3" i="31"/>
  <c r="EV2" i="31"/>
  <c r="EV4" i="31"/>
  <c r="ET3" i="30"/>
  <c r="ES4" i="30"/>
  <c r="ES2" i="30"/>
  <c r="EQ4" i="27"/>
  <c r="EQ2" i="27"/>
  <c r="ER3" i="27"/>
  <c r="EI3" i="24"/>
  <c r="EH2" i="24"/>
  <c r="EH4" i="24"/>
  <c r="EW2" i="33" l="1"/>
  <c r="EW4" i="33"/>
  <c r="EX3" i="33"/>
  <c r="EW2" i="31"/>
  <c r="EW4" i="31"/>
  <c r="EX3" i="31"/>
  <c r="ET4" i="30"/>
  <c r="ET2" i="30"/>
  <c r="EU3" i="30"/>
  <c r="ER4" i="27"/>
  <c r="ER2" i="27"/>
  <c r="ES3" i="27"/>
  <c r="EJ3" i="24"/>
  <c r="EI2" i="24"/>
  <c r="EI4" i="24"/>
  <c r="EX4" i="33" l="1"/>
  <c r="EX2" i="33"/>
  <c r="EY3" i="33"/>
  <c r="EX2" i="31"/>
  <c r="EX4" i="31"/>
  <c r="EY3" i="31"/>
  <c r="EU4" i="30"/>
  <c r="EU2" i="30"/>
  <c r="EV3" i="30"/>
  <c r="ET3" i="27"/>
  <c r="ES2" i="27"/>
  <c r="ES4" i="27"/>
  <c r="EK3" i="24"/>
  <c r="EJ2" i="24"/>
  <c r="EJ4" i="24"/>
  <c r="EZ3" i="33" l="1"/>
  <c r="EY4" i="33"/>
  <c r="EY2" i="33"/>
  <c r="EY4" i="31"/>
  <c r="EY2" i="31"/>
  <c r="EZ3" i="31"/>
  <c r="EV4" i="30"/>
  <c r="EV2" i="30"/>
  <c r="EW3" i="30"/>
  <c r="ET4" i="27"/>
  <c r="ET2" i="27"/>
  <c r="EU3" i="27"/>
  <c r="EL3" i="24"/>
  <c r="EK2" i="24"/>
  <c r="EK4" i="24"/>
  <c r="EZ4" i="33" l="1"/>
  <c r="FA3" i="33"/>
  <c r="EZ2" i="33"/>
  <c r="EZ4" i="31"/>
  <c r="FA3" i="31"/>
  <c r="EZ2" i="31"/>
  <c r="EW4" i="30"/>
  <c r="EW2" i="30"/>
  <c r="EX3" i="30"/>
  <c r="EU2" i="27"/>
  <c r="EV3" i="27"/>
  <c r="EU4" i="27"/>
  <c r="EL2" i="24"/>
  <c r="EM3" i="24"/>
  <c r="EL4" i="24"/>
  <c r="FA2" i="33" l="1"/>
  <c r="FB3" i="33"/>
  <c r="FA4" i="33"/>
  <c r="FA4" i="31"/>
  <c r="FA2" i="31"/>
  <c r="FB3" i="31"/>
  <c r="EX4" i="30"/>
  <c r="EX2" i="30"/>
  <c r="EY3" i="30"/>
  <c r="EV4" i="27"/>
  <c r="EV2" i="27"/>
  <c r="EW3" i="27"/>
  <c r="EM2" i="24"/>
  <c r="EN3" i="24"/>
  <c r="EM4" i="24"/>
  <c r="FB4" i="33" l="1"/>
  <c r="FC3" i="33"/>
  <c r="FB2" i="33"/>
  <c r="FB4" i="31"/>
  <c r="FC3" i="31"/>
  <c r="FB2" i="31"/>
  <c r="EY2" i="30"/>
  <c r="EZ3" i="30"/>
  <c r="EY4" i="30"/>
  <c r="EW4" i="27"/>
  <c r="EW2" i="27"/>
  <c r="EX3" i="27"/>
  <c r="EN2" i="24"/>
  <c r="EO3" i="24"/>
  <c r="EN4" i="24"/>
  <c r="FC4" i="33" l="1"/>
  <c r="FC2" i="33"/>
  <c r="FD3" i="33"/>
  <c r="FD3" i="31"/>
  <c r="FC2" i="31"/>
  <c r="FC4" i="31"/>
  <c r="EZ4" i="30"/>
  <c r="FA3" i="30"/>
  <c r="EZ2" i="30"/>
  <c r="EX2" i="27"/>
  <c r="EY3" i="27"/>
  <c r="EX4" i="27"/>
  <c r="EO2" i="24"/>
  <c r="EP3" i="24"/>
  <c r="EO4" i="24"/>
  <c r="FE3" i="33" l="1"/>
  <c r="FD2" i="33"/>
  <c r="FD4" i="33"/>
  <c r="FD2" i="31"/>
  <c r="FD4" i="31"/>
  <c r="FE3" i="31"/>
  <c r="FB3" i="30"/>
  <c r="FA2" i="30"/>
  <c r="FA4" i="30"/>
  <c r="EY2" i="27"/>
  <c r="EZ3" i="27"/>
  <c r="EY4" i="27"/>
  <c r="EQ3" i="24"/>
  <c r="EP2" i="24"/>
  <c r="EP4" i="24"/>
  <c r="FF3" i="33" l="1"/>
  <c r="FE4" i="33"/>
  <c r="FE2" i="33"/>
  <c r="FE4" i="31"/>
  <c r="FF3" i="31"/>
  <c r="FE2" i="31"/>
  <c r="FC3" i="30"/>
  <c r="FB2" i="30"/>
  <c r="FB4" i="30"/>
  <c r="EZ4" i="27"/>
  <c r="FA3" i="27"/>
  <c r="EZ2" i="27"/>
  <c r="ER3" i="24"/>
  <c r="EQ2" i="24"/>
  <c r="EQ4" i="24"/>
  <c r="FG3" i="33" l="1"/>
  <c r="FF4" i="33"/>
  <c r="FF2" i="33"/>
  <c r="FG3" i="31"/>
  <c r="FF4" i="31"/>
  <c r="FF2" i="31"/>
  <c r="FC2" i="30"/>
  <c r="FD3" i="30"/>
  <c r="FC4" i="30"/>
  <c r="FA4" i="27"/>
  <c r="FB3" i="27"/>
  <c r="FA2" i="27"/>
  <c r="ES3" i="24"/>
  <c r="ER2" i="24"/>
  <c r="ER4" i="24"/>
  <c r="FH3" i="33" l="1"/>
  <c r="FG4" i="33"/>
  <c r="FG2" i="33"/>
  <c r="FG4" i="31"/>
  <c r="FH3" i="31"/>
  <c r="FG2" i="31"/>
  <c r="FE3" i="30"/>
  <c r="FD2" i="30"/>
  <c r="FD4" i="30"/>
  <c r="FB4" i="27"/>
  <c r="FC3" i="27"/>
  <c r="FB2" i="27"/>
  <c r="ET3" i="24"/>
  <c r="ES2" i="24"/>
  <c r="ES4" i="24"/>
  <c r="FH4" i="33" l="1"/>
  <c r="FH2" i="33"/>
  <c r="FI3" i="33"/>
  <c r="FI3" i="31"/>
  <c r="FH2" i="31"/>
  <c r="FH4" i="31"/>
  <c r="FE4" i="30"/>
  <c r="FE2" i="30"/>
  <c r="FF3" i="30"/>
  <c r="FD3" i="27"/>
  <c r="FC4" i="27"/>
  <c r="FC2" i="27"/>
  <c r="EU3" i="24"/>
  <c r="ET2" i="24"/>
  <c r="ET4" i="24"/>
  <c r="FI2" i="33" l="1"/>
  <c r="FJ3" i="33"/>
  <c r="FI4" i="33"/>
  <c r="FJ3" i="31"/>
  <c r="FI4" i="31"/>
  <c r="FI2" i="31"/>
  <c r="FF2" i="30"/>
  <c r="FG3" i="30"/>
  <c r="FF4" i="30"/>
  <c r="FE3" i="27"/>
  <c r="FD4" i="27"/>
  <c r="FD2" i="27"/>
  <c r="EU2" i="24"/>
  <c r="EV3" i="24"/>
  <c r="EU4" i="24"/>
  <c r="FK3" i="33" l="1"/>
  <c r="FJ2" i="33"/>
  <c r="FJ4" i="33"/>
  <c r="FJ2" i="31"/>
  <c r="FK3" i="31"/>
  <c r="FJ4" i="31"/>
  <c r="FG4" i="30"/>
  <c r="FG2" i="30"/>
  <c r="FH3" i="30"/>
  <c r="FE4" i="27"/>
  <c r="FF3" i="27"/>
  <c r="FE2" i="27"/>
  <c r="EW3" i="24"/>
  <c r="EV2" i="24"/>
  <c r="EV4" i="24"/>
  <c r="FK2" i="33" l="1"/>
  <c r="FL3" i="33"/>
  <c r="FK4" i="33"/>
  <c r="FK2" i="31"/>
  <c r="FL3" i="31"/>
  <c r="FK4" i="31"/>
  <c r="FH4" i="30"/>
  <c r="FI3" i="30"/>
  <c r="FH2" i="30"/>
  <c r="FG3" i="27"/>
  <c r="FF2" i="27"/>
  <c r="FF4" i="27"/>
  <c r="EX3" i="24"/>
  <c r="EW2" i="24"/>
  <c r="EW4" i="24"/>
  <c r="FL4" i="33" l="1"/>
  <c r="FL2" i="33"/>
  <c r="FM3" i="33"/>
  <c r="FM3" i="31"/>
  <c r="FL2" i="31"/>
  <c r="FL4" i="31"/>
  <c r="FI4" i="30"/>
  <c r="FJ3" i="30"/>
  <c r="FI2" i="30"/>
  <c r="FG2" i="27"/>
  <c r="FH3" i="27"/>
  <c r="FG4" i="27"/>
  <c r="EX2" i="24"/>
  <c r="EY3" i="24"/>
  <c r="EX4" i="24"/>
  <c r="FM4" i="33" l="1"/>
  <c r="FN3" i="33"/>
  <c r="FM2" i="33"/>
  <c r="FN3" i="31"/>
  <c r="FM2" i="31"/>
  <c r="FM4" i="31"/>
  <c r="FK3" i="30"/>
  <c r="FJ4" i="30"/>
  <c r="FJ2" i="30"/>
  <c r="FH4" i="27"/>
  <c r="FI3" i="27"/>
  <c r="FH2" i="27"/>
  <c r="EY2" i="24"/>
  <c r="EZ3" i="24"/>
  <c r="EY4" i="24"/>
  <c r="FN2" i="33" l="1"/>
  <c r="FO3" i="33"/>
  <c r="FN4" i="33"/>
  <c r="FO3" i="31"/>
  <c r="FN2" i="31"/>
  <c r="FN4" i="31"/>
  <c r="FL3" i="30"/>
  <c r="FK4" i="30"/>
  <c r="FK2" i="30"/>
  <c r="FJ3" i="27"/>
  <c r="FI2" i="27"/>
  <c r="FI4" i="27"/>
  <c r="EZ2" i="24"/>
  <c r="FA3" i="24"/>
  <c r="EZ4" i="24"/>
  <c r="FO4" i="33" l="1"/>
  <c r="FP3" i="33"/>
  <c r="FO2" i="33"/>
  <c r="FO4" i="31"/>
  <c r="FP3" i="31"/>
  <c r="FO2" i="31"/>
  <c r="FL4" i="30"/>
  <c r="FM3" i="30"/>
  <c r="FL2" i="30"/>
  <c r="FJ4" i="27"/>
  <c r="FJ2" i="27"/>
  <c r="FK3" i="27"/>
  <c r="FA2" i="24"/>
  <c r="FB3" i="24"/>
  <c r="FA4" i="24"/>
  <c r="FP4" i="33" l="1"/>
  <c r="FQ3" i="33"/>
  <c r="FP2" i="33"/>
  <c r="FP4" i="31"/>
  <c r="FQ3" i="31"/>
  <c r="FP2" i="31"/>
  <c r="FM4" i="30"/>
  <c r="FM2" i="30"/>
  <c r="FN3" i="30"/>
  <c r="FK2" i="27"/>
  <c r="FK4" i="27"/>
  <c r="FL3" i="27"/>
  <c r="FB2" i="24"/>
  <c r="FC3" i="24"/>
  <c r="FB4" i="24"/>
  <c r="FR3" i="33" l="1"/>
  <c r="FQ4" i="33"/>
  <c r="FQ2" i="33"/>
  <c r="FQ4" i="31"/>
  <c r="FQ2" i="31"/>
  <c r="FR3" i="31"/>
  <c r="FN4" i="30"/>
  <c r="FN2" i="30"/>
  <c r="FO3" i="30"/>
  <c r="FL2" i="27"/>
  <c r="FL4" i="27"/>
  <c r="FM3" i="27"/>
  <c r="FD3" i="24"/>
  <c r="FC2" i="24"/>
  <c r="FC4" i="24"/>
  <c r="FR4" i="33" l="1"/>
  <c r="FS3" i="33"/>
  <c r="FR2" i="33"/>
  <c r="FR2" i="31"/>
  <c r="FR4" i="31"/>
  <c r="FS3" i="31"/>
  <c r="FP3" i="30"/>
  <c r="FO2" i="30"/>
  <c r="FO4" i="30"/>
  <c r="FM2" i="27"/>
  <c r="FM4" i="27"/>
  <c r="FN3" i="27"/>
  <c r="FD2" i="24"/>
  <c r="FE3" i="24"/>
  <c r="FD4" i="24"/>
  <c r="FT3" i="33" l="1"/>
  <c r="FS4" i="33"/>
  <c r="FS2" i="33"/>
  <c r="FS4" i="31"/>
  <c r="FS2" i="31"/>
  <c r="FT3" i="31"/>
  <c r="FQ3" i="30"/>
  <c r="FP2" i="30"/>
  <c r="FP4" i="30"/>
  <c r="FN2" i="27"/>
  <c r="FN4" i="27"/>
  <c r="FO3" i="27"/>
  <c r="FF3" i="24"/>
  <c r="FE2" i="24"/>
  <c r="FE4" i="24"/>
  <c r="FU3" i="33" l="1"/>
  <c r="FT4" i="33"/>
  <c r="FT2" i="33"/>
  <c r="FT4" i="31"/>
  <c r="FT2" i="31"/>
  <c r="FU3" i="31"/>
  <c r="FQ2" i="30"/>
  <c r="FQ4" i="30"/>
  <c r="FR3" i="30"/>
  <c r="FO4" i="27"/>
  <c r="FO2" i="27"/>
  <c r="FP3" i="27"/>
  <c r="FF2" i="24"/>
  <c r="FG3" i="24"/>
  <c r="FF4" i="24"/>
  <c r="FV3" i="33" l="1"/>
  <c r="FU4" i="33"/>
  <c r="FU2" i="33"/>
  <c r="FU4" i="31"/>
  <c r="FU2" i="31"/>
  <c r="FV3" i="31"/>
  <c r="FR2" i="30"/>
  <c r="FR4" i="30"/>
  <c r="FS3" i="30"/>
  <c r="FP4" i="27"/>
  <c r="FP2" i="27"/>
  <c r="FQ3" i="27"/>
  <c r="FH3" i="24"/>
  <c r="FG2" i="24"/>
  <c r="FG4" i="24"/>
  <c r="FV4" i="33" l="1"/>
  <c r="FW3" i="33"/>
  <c r="FV2" i="33"/>
  <c r="FV4" i="31"/>
  <c r="FW3" i="31"/>
  <c r="FV2" i="31"/>
  <c r="FT3" i="30"/>
  <c r="FS4" i="30"/>
  <c r="FS2" i="30"/>
  <c r="FQ4" i="27"/>
  <c r="FQ2" i="27"/>
  <c r="FR3" i="27"/>
  <c r="FI3" i="24"/>
  <c r="FH2" i="24"/>
  <c r="FH4" i="24"/>
  <c r="FW2" i="33" l="1"/>
  <c r="FW4" i="33"/>
  <c r="FX3" i="33"/>
  <c r="FW4" i="31"/>
  <c r="FX3" i="31"/>
  <c r="FW2" i="31"/>
  <c r="FU3" i="30"/>
  <c r="FT4" i="30"/>
  <c r="FT2" i="30"/>
  <c r="FS3" i="27"/>
  <c r="FR4" i="27"/>
  <c r="FR2" i="27"/>
  <c r="FI2" i="24"/>
  <c r="FJ3" i="24"/>
  <c r="FI4" i="24"/>
  <c r="FY3" i="33" l="1"/>
  <c r="FX4" i="33"/>
  <c r="FX2" i="33"/>
  <c r="FY3" i="31"/>
  <c r="FX2" i="31"/>
  <c r="FX4" i="31"/>
  <c r="FU2" i="30"/>
  <c r="FV3" i="30"/>
  <c r="FU4" i="30"/>
  <c r="FT3" i="27"/>
  <c r="FS4" i="27"/>
  <c r="FS2" i="27"/>
  <c r="FK3" i="24"/>
  <c r="FJ2" i="24"/>
  <c r="FJ4" i="24"/>
  <c r="FY2" i="33" l="1"/>
  <c r="FY4" i="33"/>
  <c r="FZ3" i="33"/>
  <c r="FY2" i="31"/>
  <c r="FZ3" i="31"/>
  <c r="FY4" i="31"/>
  <c r="FV4" i="30"/>
  <c r="FV2" i="30"/>
  <c r="FW3" i="30"/>
  <c r="FU3" i="27"/>
  <c r="FT4" i="27"/>
  <c r="FT2" i="27"/>
  <c r="FK2" i="24"/>
  <c r="FL3" i="24"/>
  <c r="FK4" i="24"/>
  <c r="GA3" i="33" l="1"/>
  <c r="FZ4" i="33"/>
  <c r="FZ2" i="33"/>
  <c r="FZ2" i="31"/>
  <c r="GA3" i="31"/>
  <c r="FZ4" i="31"/>
  <c r="FW4" i="30"/>
  <c r="FW2" i="30"/>
  <c r="FX3" i="30"/>
  <c r="FU4" i="27"/>
  <c r="FU2" i="27"/>
  <c r="FV3" i="27"/>
  <c r="FL2" i="24"/>
  <c r="FM3" i="24"/>
  <c r="FL4" i="24"/>
  <c r="GA4" i="33" l="1"/>
  <c r="GB3" i="33"/>
  <c r="GA2" i="33"/>
  <c r="GB3" i="31"/>
  <c r="GA4" i="31"/>
  <c r="GA2" i="31"/>
  <c r="FX2" i="30"/>
  <c r="FY3" i="30"/>
  <c r="FX4" i="30"/>
  <c r="FW3" i="27"/>
  <c r="FV4" i="27"/>
  <c r="FV2" i="27"/>
  <c r="FM2" i="24"/>
  <c r="FN3" i="24"/>
  <c r="FM4" i="24"/>
  <c r="GB4" i="33" l="1"/>
  <c r="GB2" i="33"/>
  <c r="GC3" i="33"/>
  <c r="GC3" i="31"/>
  <c r="GB4" i="31"/>
  <c r="GB2" i="31"/>
  <c r="FY4" i="30"/>
  <c r="FY2" i="30"/>
  <c r="FZ3" i="30"/>
  <c r="FX3" i="27"/>
  <c r="FW4" i="27"/>
  <c r="FW2" i="27"/>
  <c r="FN2" i="24"/>
  <c r="FO3" i="24"/>
  <c r="FN4" i="24"/>
  <c r="GD3" i="33" l="1"/>
  <c r="GC4" i="33"/>
  <c r="GC2" i="33"/>
  <c r="GC4" i="31"/>
  <c r="GD3" i="31"/>
  <c r="GC2" i="31"/>
  <c r="FZ4" i="30"/>
  <c r="GA3" i="30"/>
  <c r="FZ2" i="30"/>
  <c r="FX4" i="27"/>
  <c r="FY3" i="27"/>
  <c r="FX2" i="27"/>
  <c r="FO2" i="24"/>
  <c r="FP3" i="24"/>
  <c r="FO4" i="24"/>
  <c r="GD4" i="33" l="1"/>
  <c r="GD2" i="33"/>
  <c r="GE3" i="33"/>
  <c r="GD4" i="31"/>
  <c r="GE3" i="31"/>
  <c r="GD2" i="31"/>
  <c r="GB3" i="30"/>
  <c r="GA2" i="30"/>
  <c r="GA4" i="30"/>
  <c r="FY4" i="27"/>
  <c r="FZ3" i="27"/>
  <c r="FY2" i="27"/>
  <c r="FQ3" i="24"/>
  <c r="FP2" i="24"/>
  <c r="FP4" i="24"/>
  <c r="GE4" i="33" l="1"/>
  <c r="GF3" i="33"/>
  <c r="GE2" i="33"/>
  <c r="GE4" i="31"/>
  <c r="GF3" i="31"/>
  <c r="GE2" i="31"/>
  <c r="GB4" i="30"/>
  <c r="GC3" i="30"/>
  <c r="GB2" i="30"/>
  <c r="GA3" i="27"/>
  <c r="FZ2" i="27"/>
  <c r="FZ4" i="27"/>
  <c r="FQ2" i="24"/>
  <c r="FR3" i="24"/>
  <c r="FQ4" i="24"/>
  <c r="GF4" i="33" l="1"/>
  <c r="GG3" i="33"/>
  <c r="GF2" i="33"/>
  <c r="GF2" i="31"/>
  <c r="GF4" i="31"/>
  <c r="GG3" i="31"/>
  <c r="GC4" i="30"/>
  <c r="GD3" i="30"/>
  <c r="GC2" i="30"/>
  <c r="GA4" i="27"/>
  <c r="GB3" i="27"/>
  <c r="GA2" i="27"/>
  <c r="FS3" i="24"/>
  <c r="FR2" i="24"/>
  <c r="FR4" i="24"/>
  <c r="GH3" i="33" l="1"/>
  <c r="GG2" i="33"/>
  <c r="GG4" i="33"/>
  <c r="GG4" i="31"/>
  <c r="GG2" i="31"/>
  <c r="GH3" i="31"/>
  <c r="GE3" i="30"/>
  <c r="GD2" i="30"/>
  <c r="GD4" i="30"/>
  <c r="GB2" i="27"/>
  <c r="GB4" i="27"/>
  <c r="GC3" i="27"/>
  <c r="FS2" i="24"/>
  <c r="FT3" i="24"/>
  <c r="FS4" i="24"/>
  <c r="GH2" i="33" l="1"/>
  <c r="GH4" i="33"/>
  <c r="GI3" i="33"/>
  <c r="GH4" i="31"/>
  <c r="GH2" i="31"/>
  <c r="GI3" i="31"/>
  <c r="GF3" i="30"/>
  <c r="GE2" i="30"/>
  <c r="GE4" i="30"/>
  <c r="GC2" i="27"/>
  <c r="GC4" i="27"/>
  <c r="GD3" i="27"/>
  <c r="FT2" i="24"/>
  <c r="FU3" i="24"/>
  <c r="FT4" i="24"/>
  <c r="GJ3" i="33" l="1"/>
  <c r="GI4" i="33"/>
  <c r="GI2" i="33"/>
  <c r="GJ3" i="31"/>
  <c r="GI2" i="31"/>
  <c r="GI4" i="31"/>
  <c r="GF2" i="30"/>
  <c r="GG3" i="30"/>
  <c r="GF4" i="30"/>
  <c r="GD4" i="27"/>
  <c r="GD2" i="27"/>
  <c r="GE3" i="27"/>
  <c r="FV3" i="24"/>
  <c r="FU2" i="24"/>
  <c r="FU4" i="24"/>
  <c r="GJ4" i="33" l="1"/>
  <c r="GK3" i="33"/>
  <c r="GJ2" i="33"/>
  <c r="GJ4" i="31"/>
  <c r="GK3" i="31"/>
  <c r="GJ2" i="31"/>
  <c r="GG2" i="30"/>
  <c r="GH3" i="30"/>
  <c r="GG4" i="30"/>
  <c r="GE4" i="27"/>
  <c r="GE2" i="27"/>
  <c r="GF3" i="27"/>
  <c r="FW3" i="24"/>
  <c r="FV2" i="24"/>
  <c r="FV4" i="24"/>
  <c r="GK2" i="33" l="1"/>
  <c r="GK4" i="33"/>
  <c r="GL3" i="33"/>
  <c r="GL3" i="31"/>
  <c r="GK4" i="31"/>
  <c r="GK2" i="31"/>
  <c r="GH2" i="30"/>
  <c r="GI3" i="30"/>
  <c r="GH4" i="30"/>
  <c r="GG3" i="27"/>
  <c r="GF2" i="27"/>
  <c r="GF4" i="27"/>
  <c r="FX3" i="24"/>
  <c r="FW2" i="24"/>
  <c r="FW4" i="24"/>
  <c r="GM3" i="33" l="1"/>
  <c r="GL4" i="33"/>
  <c r="GL2" i="33"/>
  <c r="GM3" i="31"/>
  <c r="GL4" i="31"/>
  <c r="GL2" i="31"/>
  <c r="GJ3" i="30"/>
  <c r="GI4" i="30"/>
  <c r="GI2" i="30"/>
  <c r="GG2" i="27"/>
  <c r="GH3" i="27"/>
  <c r="GG4" i="27"/>
  <c r="FX2" i="24"/>
  <c r="FY3" i="24"/>
  <c r="FX4" i="24"/>
  <c r="GM2" i="33" l="1"/>
  <c r="GM4" i="33"/>
  <c r="GN3" i="33"/>
  <c r="GM4" i="31"/>
  <c r="GN3" i="31"/>
  <c r="GM2" i="31"/>
  <c r="GK3" i="30"/>
  <c r="GJ4" i="30"/>
  <c r="GJ2" i="30"/>
  <c r="GH4" i="27"/>
  <c r="GH2" i="27"/>
  <c r="GI3" i="27"/>
  <c r="FY2" i="24"/>
  <c r="FZ3" i="24"/>
  <c r="FY4" i="24"/>
  <c r="GN2" i="33" l="1"/>
  <c r="GO3" i="33"/>
  <c r="GN4" i="33"/>
  <c r="GN4" i="31"/>
  <c r="GN2" i="31"/>
  <c r="GO3" i="31"/>
  <c r="GK4" i="30"/>
  <c r="GL3" i="30"/>
  <c r="GK2" i="30"/>
  <c r="GJ3" i="27"/>
  <c r="GI2" i="27"/>
  <c r="GI4" i="27"/>
  <c r="FZ2" i="24"/>
  <c r="GA3" i="24"/>
  <c r="FZ4" i="24"/>
  <c r="GO4" i="33" l="1"/>
  <c r="GP3" i="33"/>
  <c r="GO2" i="33"/>
  <c r="GO2" i="31"/>
  <c r="GP3" i="31"/>
  <c r="GO4" i="31"/>
  <c r="GL4" i="30"/>
  <c r="GM3" i="30"/>
  <c r="GL2" i="30"/>
  <c r="GJ2" i="27"/>
  <c r="GJ4" i="27"/>
  <c r="GK3" i="27"/>
  <c r="GB3" i="24"/>
  <c r="GA2" i="24"/>
  <c r="GA4" i="24"/>
  <c r="GP4" i="33" l="1"/>
  <c r="GQ3" i="33"/>
  <c r="GP2" i="33"/>
  <c r="GQ3" i="31"/>
  <c r="GP4" i="31"/>
  <c r="GP2" i="31"/>
  <c r="GM4" i="30"/>
  <c r="GN3" i="30"/>
  <c r="GM2" i="30"/>
  <c r="GK4" i="27"/>
  <c r="GL3" i="27"/>
  <c r="GK2" i="27"/>
  <c r="GB2" i="24"/>
  <c r="GC3" i="24"/>
  <c r="GB4" i="24"/>
  <c r="GQ4" i="33" l="1"/>
  <c r="GR3" i="33"/>
  <c r="GQ2" i="33"/>
  <c r="GQ4" i="31"/>
  <c r="GQ2" i="31"/>
  <c r="GR3" i="31"/>
  <c r="GN4" i="30"/>
  <c r="GO3" i="30"/>
  <c r="GN2" i="30"/>
  <c r="GM3" i="27"/>
  <c r="GL2" i="27"/>
  <c r="GL4" i="27"/>
  <c r="GD3" i="24"/>
  <c r="GC2" i="24"/>
  <c r="GC4" i="24"/>
  <c r="GR4" i="33" l="1"/>
  <c r="GS3" i="33"/>
  <c r="GR2" i="33"/>
  <c r="GS3" i="31"/>
  <c r="GR2" i="31"/>
  <c r="GR4" i="31"/>
  <c r="GO4" i="30"/>
  <c r="GP3" i="30"/>
  <c r="GO2" i="30"/>
  <c r="GM4" i="27"/>
  <c r="GN3" i="27"/>
  <c r="GM2" i="27"/>
  <c r="GE3" i="24"/>
  <c r="GD2" i="24"/>
  <c r="GD4" i="24"/>
  <c r="GT3" i="33" l="1"/>
  <c r="GS4" i="33"/>
  <c r="GS2" i="33"/>
  <c r="GT3" i="31"/>
  <c r="GS2" i="31"/>
  <c r="GS4" i="31"/>
  <c r="GP4" i="30"/>
  <c r="GP2" i="30"/>
  <c r="GQ3" i="30"/>
  <c r="GN4" i="27"/>
  <c r="GO3" i="27"/>
  <c r="GN2" i="27"/>
  <c r="GF3" i="24"/>
  <c r="GE2" i="24"/>
  <c r="GE4" i="24"/>
  <c r="GT4" i="33" l="1"/>
  <c r="GT2" i="33"/>
  <c r="GU3" i="33"/>
  <c r="GT4" i="31"/>
  <c r="GT2" i="31"/>
  <c r="GU3" i="31"/>
  <c r="GQ4" i="30"/>
  <c r="GR3" i="30"/>
  <c r="GQ2" i="30"/>
  <c r="GP3" i="27"/>
  <c r="GO4" i="27"/>
  <c r="GO2" i="27"/>
  <c r="GG3" i="24"/>
  <c r="GF2" i="24"/>
  <c r="GF4" i="24"/>
  <c r="GV3" i="33" l="1"/>
  <c r="GU2" i="33"/>
  <c r="GU4" i="33"/>
  <c r="GU2" i="31"/>
  <c r="GU4" i="31"/>
  <c r="GV3" i="31"/>
  <c r="GS3" i="30"/>
  <c r="GR4" i="30"/>
  <c r="GR2" i="30"/>
  <c r="GP4" i="27"/>
  <c r="GQ3" i="27"/>
  <c r="GP2" i="27"/>
  <c r="GH3" i="24"/>
  <c r="GG2" i="24"/>
  <c r="GG4" i="24"/>
  <c r="GW3" i="33" l="1"/>
  <c r="GV2" i="33"/>
  <c r="GV4" i="33"/>
  <c r="GV2" i="31"/>
  <c r="GW3" i="31"/>
  <c r="GV4" i="31"/>
  <c r="GS4" i="30"/>
  <c r="GS2" i="30"/>
  <c r="GT3" i="30"/>
  <c r="GQ2" i="27"/>
  <c r="GR3" i="27"/>
  <c r="GQ4" i="27"/>
  <c r="GI3" i="24"/>
  <c r="GH2" i="24"/>
  <c r="GH4" i="24"/>
  <c r="GX3" i="33" l="1"/>
  <c r="GW2" i="33"/>
  <c r="GW4" i="33"/>
  <c r="GX3" i="31"/>
  <c r="GW4" i="31"/>
  <c r="GW2" i="31"/>
  <c r="GU3" i="30"/>
  <c r="GT2" i="30"/>
  <c r="GT4" i="30"/>
  <c r="GR4" i="27"/>
  <c r="GR2" i="27"/>
  <c r="GS3" i="27"/>
  <c r="GJ3" i="24"/>
  <c r="GI2" i="24"/>
  <c r="GI4" i="24"/>
  <c r="GX4" i="33" l="1"/>
  <c r="GY3" i="33"/>
  <c r="GX2" i="33"/>
  <c r="GY3" i="31"/>
  <c r="GX4" i="31"/>
  <c r="GX2" i="31"/>
  <c r="GV3" i="30"/>
  <c r="GU2" i="30"/>
  <c r="GU4" i="30"/>
  <c r="GT3" i="27"/>
  <c r="GS4" i="27"/>
  <c r="GS2" i="27"/>
  <c r="GK3" i="24"/>
  <c r="GJ2" i="24"/>
  <c r="GJ4" i="24"/>
  <c r="GY2" i="33" l="1"/>
  <c r="GZ3" i="33"/>
  <c r="GY4" i="33"/>
  <c r="GY4" i="31"/>
  <c r="GZ3" i="31"/>
  <c r="GY2" i="31"/>
  <c r="GW3" i="30"/>
  <c r="GV2" i="30"/>
  <c r="GV4" i="30"/>
  <c r="GU3" i="27"/>
  <c r="GT4" i="27"/>
  <c r="GT2" i="27"/>
  <c r="GL3" i="24"/>
  <c r="GK2" i="24"/>
  <c r="GK4" i="24"/>
  <c r="GZ4" i="33" l="1"/>
  <c r="HA3" i="33"/>
  <c r="GZ2" i="33"/>
  <c r="GZ2" i="31"/>
  <c r="HA3" i="31"/>
  <c r="GZ4" i="31"/>
  <c r="GX3" i="30"/>
  <c r="GW2" i="30"/>
  <c r="GW4" i="30"/>
  <c r="GV3" i="27"/>
  <c r="GU4" i="27"/>
  <c r="GU2" i="27"/>
  <c r="GL2" i="24"/>
  <c r="GM3" i="24"/>
  <c r="GL4" i="24"/>
  <c r="HA2" i="33" l="1"/>
  <c r="HA4" i="33"/>
  <c r="HB3" i="33"/>
  <c r="HB3" i="31"/>
  <c r="HA4" i="31"/>
  <c r="HA2" i="31"/>
  <c r="GX2" i="30"/>
  <c r="GX4" i="30"/>
  <c r="GY3" i="30"/>
  <c r="GV4" i="27"/>
  <c r="GW3" i="27"/>
  <c r="GV2" i="27"/>
  <c r="GM2" i="24"/>
  <c r="GN3" i="24"/>
  <c r="GM4" i="24"/>
  <c r="HB4" i="33" l="1"/>
  <c r="HB2" i="33"/>
  <c r="HC3" i="33"/>
  <c r="HB2" i="31"/>
  <c r="HB4" i="31"/>
  <c r="HC3" i="31"/>
  <c r="GZ3" i="30"/>
  <c r="GY2" i="30"/>
  <c r="GY4" i="30"/>
  <c r="GW2" i="27"/>
  <c r="GW4" i="27"/>
  <c r="GX3" i="27"/>
  <c r="GO3" i="24"/>
  <c r="GN2" i="24"/>
  <c r="GN4" i="24"/>
  <c r="HD3" i="33" l="1"/>
  <c r="HC2" i="33"/>
  <c r="HC4" i="33"/>
  <c r="HC4" i="31"/>
  <c r="HC2" i="31"/>
  <c r="HD3" i="31"/>
  <c r="HA3" i="30"/>
  <c r="GZ2" i="30"/>
  <c r="GZ4" i="30"/>
  <c r="GY3" i="27"/>
  <c r="GX4" i="27"/>
  <c r="GX2" i="27"/>
  <c r="GO2" i="24"/>
  <c r="GP3" i="24"/>
  <c r="GO4" i="24"/>
  <c r="HD4" i="33" l="1"/>
  <c r="HE3" i="33"/>
  <c r="HD2" i="33"/>
  <c r="HE3" i="31"/>
  <c r="HD2" i="31"/>
  <c r="HD4" i="31"/>
  <c r="HA2" i="30"/>
  <c r="HB3" i="30"/>
  <c r="HA4" i="30"/>
  <c r="GY4" i="27"/>
  <c r="GY2" i="27"/>
  <c r="GZ3" i="27"/>
  <c r="GQ3" i="24"/>
  <c r="GP2" i="24"/>
  <c r="GP4" i="24"/>
  <c r="HE4" i="33" l="1"/>
  <c r="HE2" i="33"/>
  <c r="HF3" i="33"/>
  <c r="HE4" i="31"/>
  <c r="HE2" i="31"/>
  <c r="HF3" i="31"/>
  <c r="HC3" i="30"/>
  <c r="HB4" i="30"/>
  <c r="HB2" i="30"/>
  <c r="GZ2" i="27"/>
  <c r="GZ4" i="27"/>
  <c r="HA3" i="27"/>
  <c r="GR3" i="24"/>
  <c r="GQ2" i="24"/>
  <c r="GQ4" i="24"/>
  <c r="HF4" i="33" l="1"/>
  <c r="HG3" i="33"/>
  <c r="HF2" i="33"/>
  <c r="HF4" i="31"/>
  <c r="HG3" i="31"/>
  <c r="HF2" i="31"/>
  <c r="HC4" i="30"/>
  <c r="HD3" i="30"/>
  <c r="HC2" i="30"/>
  <c r="HB3" i="27"/>
  <c r="HA4" i="27"/>
  <c r="HA2" i="27"/>
  <c r="GR2" i="24"/>
  <c r="GS3" i="24"/>
  <c r="GR4" i="24"/>
  <c r="HG4" i="33" l="1"/>
  <c r="HG2" i="33"/>
  <c r="HH3" i="33"/>
  <c r="HG2" i="31"/>
  <c r="HG4" i="31"/>
  <c r="HH3" i="31"/>
  <c r="HD4" i="30"/>
  <c r="HE3" i="30"/>
  <c r="HD2" i="30"/>
  <c r="HB4" i="27"/>
  <c r="HB2" i="27"/>
  <c r="HC3" i="27"/>
  <c r="GT3" i="24"/>
  <c r="GS2" i="24"/>
  <c r="GS4" i="24"/>
  <c r="HI3" i="33" l="1"/>
  <c r="HH4" i="33"/>
  <c r="HH2" i="33"/>
  <c r="HH2" i="31"/>
  <c r="HI3" i="31"/>
  <c r="HH4" i="31"/>
  <c r="HE4" i="30"/>
  <c r="HF3" i="30"/>
  <c r="HE2" i="30"/>
  <c r="HC2" i="27"/>
  <c r="HD3" i="27"/>
  <c r="HC4" i="27"/>
  <c r="GT2" i="24"/>
  <c r="GU3" i="24"/>
  <c r="GT4" i="24"/>
  <c r="HI4" i="33" l="1"/>
  <c r="HJ3" i="33"/>
  <c r="HI2" i="33"/>
  <c r="HI4" i="31"/>
  <c r="HJ3" i="31"/>
  <c r="HI2" i="31"/>
  <c r="HG3" i="30"/>
  <c r="HF2" i="30"/>
  <c r="HF4" i="30"/>
  <c r="HD4" i="27"/>
  <c r="HE3" i="27"/>
  <c r="HD2" i="27"/>
  <c r="GV3" i="24"/>
  <c r="GU2" i="24"/>
  <c r="GU4" i="24"/>
  <c r="HJ2" i="33" l="1"/>
  <c r="HJ4" i="33"/>
  <c r="HK3" i="33"/>
  <c r="HJ2" i="31"/>
  <c r="HJ4" i="31"/>
  <c r="HK3" i="31"/>
  <c r="HG4" i="30"/>
  <c r="HG2" i="30"/>
  <c r="HH3" i="30"/>
  <c r="HF3" i="27"/>
  <c r="HE2" i="27"/>
  <c r="HE4" i="27"/>
  <c r="GW3" i="24"/>
  <c r="GV2" i="24"/>
  <c r="GV4" i="24"/>
  <c r="HL3" i="33" l="1"/>
  <c r="HK4" i="33"/>
  <c r="HK2" i="33"/>
  <c r="HK2" i="31"/>
  <c r="HK4" i="31"/>
  <c r="HL3" i="31"/>
  <c r="HH4" i="30"/>
  <c r="HI3" i="30"/>
  <c r="HH2" i="30"/>
  <c r="HF4" i="27"/>
  <c r="HG3" i="27"/>
  <c r="HF2" i="27"/>
  <c r="GW2" i="24"/>
  <c r="GX3" i="24"/>
  <c r="GW4" i="24"/>
  <c r="HL4" i="33" l="1"/>
  <c r="HL2" i="33"/>
  <c r="HM3" i="33"/>
  <c r="HL2" i="31"/>
  <c r="HL4" i="31"/>
  <c r="HM3" i="31"/>
  <c r="HJ3" i="30"/>
  <c r="HI4" i="30"/>
  <c r="HI2" i="30"/>
  <c r="HG2" i="27"/>
  <c r="HH3" i="27"/>
  <c r="HG4" i="27"/>
  <c r="GY3" i="24"/>
  <c r="GX2" i="24"/>
  <c r="GX4" i="24"/>
  <c r="HM2" i="33" l="1"/>
  <c r="HN3" i="33"/>
  <c r="HM4" i="33"/>
  <c r="HM2" i="31"/>
  <c r="HN3" i="31"/>
  <c r="HM4" i="31"/>
  <c r="HJ4" i="30"/>
  <c r="HK3" i="30"/>
  <c r="HJ2" i="30"/>
  <c r="HI3" i="27"/>
  <c r="HH2" i="27"/>
  <c r="HH4" i="27"/>
  <c r="GZ3" i="24"/>
  <c r="GY2" i="24"/>
  <c r="GY4" i="24"/>
  <c r="HN4" i="33" l="1"/>
  <c r="HN2" i="33"/>
  <c r="HO3" i="33"/>
  <c r="HN2" i="31"/>
  <c r="HO3" i="31"/>
  <c r="HN4" i="31"/>
  <c r="HK4" i="30"/>
  <c r="HL3" i="30"/>
  <c r="HK2" i="30"/>
  <c r="HI4" i="27"/>
  <c r="HJ3" i="27"/>
  <c r="HI2" i="27"/>
  <c r="HA3" i="24"/>
  <c r="GZ2" i="24"/>
  <c r="GZ4" i="24"/>
  <c r="HO2" i="33" l="1"/>
  <c r="HP3" i="33"/>
  <c r="HO4" i="33"/>
  <c r="HP3" i="31"/>
  <c r="HO4" i="31"/>
  <c r="HO2" i="31"/>
  <c r="HL4" i="30"/>
  <c r="HL2" i="30"/>
  <c r="HM3" i="30"/>
  <c r="HJ2" i="27"/>
  <c r="HK3" i="27"/>
  <c r="HJ4" i="27"/>
  <c r="HA2" i="24"/>
  <c r="HB3" i="24"/>
  <c r="HA4" i="24"/>
  <c r="HP4" i="33" l="1"/>
  <c r="HP2" i="33"/>
  <c r="HQ3" i="33"/>
  <c r="HQ3" i="31"/>
  <c r="HP2" i="31"/>
  <c r="HP4" i="31"/>
  <c r="HM4" i="30"/>
  <c r="HM2" i="30"/>
  <c r="HN3" i="30"/>
  <c r="HK2" i="27"/>
  <c r="HL3" i="27"/>
  <c r="HK4" i="27"/>
  <c r="HB2" i="24"/>
  <c r="HC3" i="24"/>
  <c r="HB4" i="24"/>
  <c r="HQ4" i="33" l="1"/>
  <c r="HQ2" i="33"/>
  <c r="HR3" i="33"/>
  <c r="HR3" i="31"/>
  <c r="HQ4" i="31"/>
  <c r="HQ2" i="31"/>
  <c r="HN2" i="30"/>
  <c r="HO3" i="30"/>
  <c r="HN4" i="30"/>
  <c r="HM3" i="27"/>
  <c r="HL4" i="27"/>
  <c r="HL2" i="27"/>
  <c r="HC2" i="24"/>
  <c r="HD3" i="24"/>
  <c r="HC4" i="24"/>
  <c r="HS3" i="33" l="1"/>
  <c r="HR2" i="33"/>
  <c r="HR4" i="33"/>
  <c r="HS3" i="31"/>
  <c r="HR2" i="31"/>
  <c r="HR4" i="31"/>
  <c r="HP3" i="30"/>
  <c r="HO2" i="30"/>
  <c r="HO4" i="30"/>
  <c r="HN3" i="27"/>
  <c r="HM4" i="27"/>
  <c r="HM2" i="27"/>
  <c r="HE3" i="24"/>
  <c r="HD2" i="24"/>
  <c r="HD4" i="24"/>
  <c r="HS4" i="33" l="1"/>
  <c r="HT3" i="33"/>
  <c r="HS2" i="33"/>
  <c r="HS4" i="31"/>
  <c r="HS2" i="31"/>
  <c r="HT3" i="31"/>
  <c r="HQ3" i="30"/>
  <c r="HP2" i="30"/>
  <c r="HP4" i="30"/>
  <c r="HN2" i="27"/>
  <c r="HN4" i="27"/>
  <c r="HO3" i="27"/>
  <c r="HF3" i="24"/>
  <c r="HE2" i="24"/>
  <c r="HE4" i="24"/>
  <c r="HT4" i="33" l="1"/>
  <c r="HU3" i="33"/>
  <c r="HT2" i="33"/>
  <c r="HT4" i="31"/>
  <c r="HU3" i="31"/>
  <c r="HT2" i="31"/>
  <c r="HR3" i="30"/>
  <c r="HQ2" i="30"/>
  <c r="HQ4" i="30"/>
  <c r="HP3" i="27"/>
  <c r="HO4" i="27"/>
  <c r="HO2" i="27"/>
  <c r="HF2" i="24"/>
  <c r="HG3" i="24"/>
  <c r="HF4" i="24"/>
  <c r="HU4" i="33" l="1"/>
  <c r="HV3" i="33"/>
  <c r="HU2" i="33"/>
  <c r="HU4" i="31"/>
  <c r="HV3" i="31"/>
  <c r="HU2" i="31"/>
  <c r="HR4" i="30"/>
  <c r="HS3" i="30"/>
  <c r="HR2" i="30"/>
  <c r="HQ3" i="27"/>
  <c r="HP4" i="27"/>
  <c r="HP2" i="27"/>
  <c r="HG2" i="24"/>
  <c r="HH3" i="24"/>
  <c r="HG4" i="24"/>
  <c r="HV4" i="33" l="1"/>
  <c r="HV2" i="33"/>
  <c r="HW3" i="33"/>
  <c r="HV2" i="31"/>
  <c r="HV4" i="31"/>
  <c r="HW3" i="31"/>
  <c r="HS2" i="30"/>
  <c r="HS4" i="30"/>
  <c r="HT3" i="30"/>
  <c r="HQ4" i="27"/>
  <c r="HR3" i="27"/>
  <c r="HQ2" i="27"/>
  <c r="HH2" i="24"/>
  <c r="HI3" i="24"/>
  <c r="HH4" i="24"/>
  <c r="HX3" i="33" l="1"/>
  <c r="HW4" i="33"/>
  <c r="HW2" i="33"/>
  <c r="HW4" i="31"/>
  <c r="HX3" i="31"/>
  <c r="HW2" i="31"/>
  <c r="HU3" i="30"/>
  <c r="HT4" i="30"/>
  <c r="HT2" i="30"/>
  <c r="HR2" i="27"/>
  <c r="HR4" i="27"/>
  <c r="HS3" i="27"/>
  <c r="HJ3" i="24"/>
  <c r="HI2" i="24"/>
  <c r="HI4" i="24"/>
  <c r="HX4" i="33" l="1"/>
  <c r="HY3" i="33"/>
  <c r="HX2" i="33"/>
  <c r="HX4" i="31"/>
  <c r="HY3" i="31"/>
  <c r="HX2" i="31"/>
  <c r="HU2" i="30"/>
  <c r="HU4" i="30"/>
  <c r="HV3" i="30"/>
  <c r="HS4" i="27"/>
  <c r="HT3" i="27"/>
  <c r="HS2" i="27"/>
  <c r="HK3" i="24"/>
  <c r="HJ2" i="24"/>
  <c r="HJ4" i="24"/>
  <c r="HZ3" i="33" l="1"/>
  <c r="HY4" i="33"/>
  <c r="HY2" i="33"/>
  <c r="HZ3" i="31"/>
  <c r="HY4" i="31"/>
  <c r="HY2" i="31"/>
  <c r="HV4" i="30"/>
  <c r="HV2" i="30"/>
  <c r="HW3" i="30"/>
  <c r="HT4" i="27"/>
  <c r="HT2" i="27"/>
  <c r="HU3" i="27"/>
  <c r="HL3" i="24"/>
  <c r="HK2" i="24"/>
  <c r="HK4" i="24"/>
  <c r="HZ2" i="33" l="1"/>
  <c r="HZ4" i="33"/>
  <c r="IA3" i="33"/>
  <c r="IA3" i="31"/>
  <c r="HZ4" i="31"/>
  <c r="HZ2" i="31"/>
  <c r="HW2" i="30"/>
  <c r="HW4" i="30"/>
  <c r="HX3" i="30"/>
  <c r="HU4" i="27"/>
  <c r="HV3" i="27"/>
  <c r="HU2" i="27"/>
  <c r="HL2" i="24"/>
  <c r="HM3" i="24"/>
  <c r="HL4" i="24"/>
  <c r="IA2" i="33" l="1"/>
  <c r="IA4" i="33"/>
  <c r="IB3" i="33"/>
  <c r="IB3" i="31"/>
  <c r="IA2" i="31"/>
  <c r="IA4" i="31"/>
  <c r="HY3" i="30"/>
  <c r="HX4" i="30"/>
  <c r="HX2" i="30"/>
  <c r="HW3" i="27"/>
  <c r="HV4" i="27"/>
  <c r="HV2" i="27"/>
  <c r="HM2" i="24"/>
  <c r="HN3" i="24"/>
  <c r="HM4" i="24"/>
  <c r="IB4" i="33" l="1"/>
  <c r="IB2" i="33"/>
  <c r="IC3" i="33"/>
  <c r="IB2" i="31"/>
  <c r="IC3" i="31"/>
  <c r="IB4" i="31"/>
  <c r="HY4" i="30"/>
  <c r="HZ3" i="30"/>
  <c r="HY2" i="30"/>
  <c r="HX3" i="27"/>
  <c r="HW2" i="27"/>
  <c r="HW4" i="27"/>
  <c r="HO3" i="24"/>
  <c r="HN2" i="24"/>
  <c r="HN4" i="24"/>
  <c r="IC2" i="33" l="1"/>
  <c r="ID3" i="33"/>
  <c r="IC4" i="33"/>
  <c r="IC2" i="31"/>
  <c r="ID3" i="31"/>
  <c r="IC4" i="31"/>
  <c r="HZ4" i="30"/>
  <c r="HZ2" i="30"/>
  <c r="IA3" i="30"/>
  <c r="HX4" i="27"/>
  <c r="HY3" i="27"/>
  <c r="HX2" i="27"/>
  <c r="HP3" i="24"/>
  <c r="HO2" i="24"/>
  <c r="HO4" i="24"/>
  <c r="ID4" i="33" l="1"/>
  <c r="IE3" i="33"/>
  <c r="ID2" i="33"/>
  <c r="ID2" i="31"/>
  <c r="IE3" i="31"/>
  <c r="ID4" i="31"/>
  <c r="IA4" i="30"/>
  <c r="IA2" i="30"/>
  <c r="IB3" i="30"/>
  <c r="HY2" i="27"/>
  <c r="HY4" i="27"/>
  <c r="HZ3" i="27"/>
  <c r="HQ3" i="24"/>
  <c r="HP2" i="24"/>
  <c r="HP4" i="24"/>
  <c r="IE4" i="33" l="1"/>
  <c r="IF3" i="33"/>
  <c r="IE2" i="33"/>
  <c r="IF3" i="31"/>
  <c r="IE2" i="31"/>
  <c r="IE4" i="31"/>
  <c r="IB2" i="30"/>
  <c r="IB4" i="30"/>
  <c r="IC3" i="30"/>
  <c r="HZ4" i="27"/>
  <c r="HZ2" i="27"/>
  <c r="IA3" i="27"/>
  <c r="HQ2" i="24"/>
  <c r="HR3" i="24"/>
  <c r="HQ4" i="24"/>
  <c r="IF4" i="33" l="1"/>
  <c r="IF2" i="33"/>
  <c r="IG3" i="33"/>
  <c r="IG3" i="31"/>
  <c r="IF2" i="31"/>
  <c r="IF4" i="31"/>
  <c r="IC4" i="30"/>
  <c r="ID3" i="30"/>
  <c r="IC2" i="30"/>
  <c r="IA4" i="27"/>
  <c r="IA2" i="27"/>
  <c r="IB3" i="27"/>
  <c r="HR2" i="24"/>
  <c r="HS3" i="24"/>
  <c r="HR4" i="24"/>
  <c r="IG4" i="33" l="1"/>
  <c r="IH3" i="33"/>
  <c r="IG2" i="33"/>
  <c r="IG4" i="31"/>
  <c r="IG2" i="31"/>
  <c r="IH3" i="31"/>
  <c r="ID2" i="30"/>
  <c r="ID4" i="30"/>
  <c r="IE3" i="30"/>
  <c r="IB2" i="27"/>
  <c r="IC3" i="27"/>
  <c r="IB4" i="27"/>
  <c r="HS2" i="24"/>
  <c r="HT3" i="24"/>
  <c r="HS4" i="24"/>
  <c r="IH4" i="33" l="1"/>
  <c r="II3" i="33"/>
  <c r="IH2" i="33"/>
  <c r="IH2" i="31"/>
  <c r="II3" i="31"/>
  <c r="IH4" i="31"/>
  <c r="IF3" i="30"/>
  <c r="IE2" i="30"/>
  <c r="IE4" i="30"/>
  <c r="IC2" i="27"/>
  <c r="IC4" i="27"/>
  <c r="ID3" i="27"/>
  <c r="HT2" i="24"/>
  <c r="HU3" i="24"/>
  <c r="HT4" i="24"/>
  <c r="II2" i="33" l="1"/>
  <c r="II4" i="33"/>
  <c r="IJ3" i="33"/>
  <c r="II2" i="31"/>
  <c r="IJ3" i="31"/>
  <c r="II4" i="31"/>
  <c r="IF4" i="30"/>
  <c r="IG3" i="30"/>
  <c r="IF2" i="30"/>
  <c r="ID4" i="27"/>
  <c r="ID2" i="27"/>
  <c r="IE3" i="27"/>
  <c r="HU2" i="24"/>
  <c r="HV3" i="24"/>
  <c r="HU4" i="24"/>
  <c r="IJ2" i="33" l="1"/>
  <c r="IJ4" i="33"/>
  <c r="IK3" i="33"/>
  <c r="IJ2" i="31"/>
  <c r="IJ4" i="31"/>
  <c r="IK3" i="31"/>
  <c r="IG4" i="30"/>
  <c r="IH3" i="30"/>
  <c r="IG2" i="30"/>
  <c r="IF3" i="27"/>
  <c r="IE4" i="27"/>
  <c r="IE2" i="27"/>
  <c r="HW3" i="24"/>
  <c r="HV2" i="24"/>
  <c r="HV4" i="24"/>
  <c r="IK4" i="33" l="1"/>
  <c r="IL3" i="33"/>
  <c r="IK2" i="33"/>
  <c r="IK4" i="31"/>
  <c r="IL3" i="31"/>
  <c r="IK2" i="31"/>
  <c r="II3" i="30"/>
  <c r="IH4" i="30"/>
  <c r="IH2" i="30"/>
  <c r="IF4" i="27"/>
  <c r="IF2" i="27"/>
  <c r="IG3" i="27"/>
  <c r="HX3" i="24"/>
  <c r="HW2" i="24"/>
  <c r="HW4" i="24"/>
  <c r="IL4" i="33" l="1"/>
  <c r="IM3" i="33"/>
  <c r="IL2" i="33"/>
  <c r="IM3" i="31"/>
  <c r="IL4" i="31"/>
  <c r="IL2" i="31"/>
  <c r="IJ3" i="30"/>
  <c r="II4" i="30"/>
  <c r="II2" i="30"/>
  <c r="IG4" i="27"/>
  <c r="IH3" i="27"/>
  <c r="IG2" i="27"/>
  <c r="HY3" i="24"/>
  <c r="HX2" i="24"/>
  <c r="HX4" i="24"/>
  <c r="IM4" i="33" l="1"/>
  <c r="IN3" i="33"/>
  <c r="IM2" i="33"/>
  <c r="IM4" i="31"/>
  <c r="IN3" i="31"/>
  <c r="IM2" i="31"/>
  <c r="IJ4" i="30"/>
  <c r="IJ2" i="30"/>
  <c r="IK3" i="30"/>
  <c r="IH4" i="27"/>
  <c r="II3" i="27"/>
  <c r="IH2" i="27"/>
  <c r="HZ3" i="24"/>
  <c r="HY2" i="24"/>
  <c r="HY4" i="24"/>
  <c r="IN4" i="33" l="1"/>
  <c r="IO3" i="33"/>
  <c r="IN2" i="33"/>
  <c r="IN4" i="31"/>
  <c r="IO3" i="31"/>
  <c r="IN2" i="31"/>
  <c r="IK4" i="30"/>
  <c r="IK2" i="30"/>
  <c r="IL3" i="30"/>
  <c r="IJ3" i="27"/>
  <c r="II4" i="27"/>
  <c r="II2" i="27"/>
  <c r="HZ2" i="24"/>
  <c r="IA3" i="24"/>
  <c r="HZ4" i="24"/>
  <c r="IO2" i="33" l="1"/>
  <c r="IO4" i="33"/>
  <c r="IP3" i="33"/>
  <c r="IO4" i="31"/>
  <c r="IP3" i="31"/>
  <c r="IO2" i="31"/>
  <c r="IM3" i="30"/>
  <c r="IL4" i="30"/>
  <c r="IL2" i="30"/>
  <c r="IK3" i="27"/>
  <c r="IJ2" i="27"/>
  <c r="IJ4" i="27"/>
  <c r="IB3" i="24"/>
  <c r="IA2" i="24"/>
  <c r="IA4" i="24"/>
  <c r="IQ3" i="33" l="1"/>
  <c r="IP4" i="33"/>
  <c r="IP2" i="33"/>
  <c r="IP4" i="31"/>
  <c r="IP2" i="31"/>
  <c r="IQ3" i="31"/>
  <c r="IN3" i="30"/>
  <c r="IM2" i="30"/>
  <c r="IM4" i="30"/>
  <c r="IK4" i="27"/>
  <c r="IL3" i="27"/>
  <c r="IK2" i="27"/>
  <c r="IB2" i="24"/>
  <c r="IC3" i="24"/>
  <c r="IB4" i="24"/>
  <c r="IQ2" i="33" l="1"/>
  <c r="IQ4" i="33"/>
  <c r="IR3" i="33"/>
  <c r="IQ4" i="31"/>
  <c r="IQ2" i="31"/>
  <c r="IR3" i="31"/>
  <c r="IO3" i="30"/>
  <c r="IN2" i="30"/>
  <c r="IN4" i="30"/>
  <c r="IM3" i="27"/>
  <c r="IL2" i="27"/>
  <c r="IL4" i="27"/>
  <c r="ID3" i="24"/>
  <c r="IC2" i="24"/>
  <c r="IC4" i="24"/>
  <c r="IR2" i="33" l="1"/>
  <c r="IR4" i="33"/>
  <c r="IS3" i="33"/>
  <c r="IR4" i="31"/>
  <c r="IS3" i="31"/>
  <c r="IR2" i="31"/>
  <c r="IO4" i="30"/>
  <c r="IP3" i="30"/>
  <c r="IO2" i="30"/>
  <c r="IM4" i="27"/>
  <c r="IM2" i="27"/>
  <c r="IN3" i="27"/>
  <c r="IE3" i="24"/>
  <c r="ID2" i="24"/>
  <c r="ID4" i="24"/>
  <c r="IT3" i="33" l="1"/>
  <c r="IS4" i="33"/>
  <c r="IS2" i="33"/>
  <c r="IS4" i="31"/>
  <c r="IS2" i="31"/>
  <c r="IT3" i="31"/>
  <c r="IP2" i="30"/>
  <c r="IQ3" i="30"/>
  <c r="IP4" i="30"/>
  <c r="IN4" i="27"/>
  <c r="IO3" i="27"/>
  <c r="IN2" i="27"/>
  <c r="IE2" i="24"/>
  <c r="IF3" i="24"/>
  <c r="IE4" i="24"/>
  <c r="IT4" i="33" l="1"/>
  <c r="IU3" i="33"/>
  <c r="IT2" i="33"/>
  <c r="IU3" i="31"/>
  <c r="IT2" i="31"/>
  <c r="IT4" i="31"/>
  <c r="IQ4" i="30"/>
  <c r="IR3" i="30"/>
  <c r="IQ2" i="30"/>
  <c r="IO4" i="27"/>
  <c r="IP3" i="27"/>
  <c r="IO2" i="27"/>
  <c r="IF2" i="24"/>
  <c r="IG3" i="24"/>
  <c r="IF4" i="24"/>
  <c r="IV3" i="33" l="1"/>
  <c r="IU4" i="33"/>
  <c r="IU2" i="33"/>
  <c r="IU4" i="31"/>
  <c r="IV3" i="31"/>
  <c r="IU2" i="31"/>
  <c r="IR4" i="30"/>
  <c r="IR2" i="30"/>
  <c r="IS3" i="30"/>
  <c r="IP2" i="27"/>
  <c r="IQ3" i="27"/>
  <c r="IP4" i="27"/>
  <c r="IH3" i="24"/>
  <c r="IG2" i="24"/>
  <c r="IG4" i="24"/>
  <c r="IV4" i="33" l="1"/>
  <c r="IW3" i="33"/>
  <c r="IV2" i="33"/>
  <c r="IV2" i="31"/>
  <c r="IV4" i="31"/>
  <c r="IW3" i="31"/>
  <c r="IT3" i="30"/>
  <c r="IS2" i="30"/>
  <c r="IS4" i="30"/>
  <c r="IR3" i="27"/>
  <c r="IQ2" i="27"/>
  <c r="IQ4" i="27"/>
  <c r="II3" i="24"/>
  <c r="IH2" i="24"/>
  <c r="IH4" i="24"/>
  <c r="IX3" i="33" l="1"/>
  <c r="IW4" i="33"/>
  <c r="IW2" i="33"/>
  <c r="IW2" i="31"/>
  <c r="IX3" i="31"/>
  <c r="IW4" i="31"/>
  <c r="IT4" i="30"/>
  <c r="IT2" i="30"/>
  <c r="IU3" i="30"/>
  <c r="IR2" i="27"/>
  <c r="IS3" i="27"/>
  <c r="IR4" i="27"/>
  <c r="IJ3" i="24"/>
  <c r="II2" i="24"/>
  <c r="II4" i="24"/>
  <c r="IX4" i="33" l="1"/>
  <c r="IY3" i="33"/>
  <c r="IX2" i="33"/>
  <c r="IX2" i="31"/>
  <c r="IX4" i="31"/>
  <c r="IY3" i="31"/>
  <c r="IV3" i="30"/>
  <c r="IU2" i="30"/>
  <c r="IU4" i="30"/>
  <c r="IS4" i="27"/>
  <c r="IS2" i="27"/>
  <c r="IT3" i="27"/>
  <c r="IK3" i="24"/>
  <c r="IJ2" i="24"/>
  <c r="IJ4" i="24"/>
  <c r="IZ3" i="33" l="1"/>
  <c r="IY4" i="33"/>
  <c r="IY2" i="33"/>
  <c r="IY2" i="31"/>
  <c r="IZ3" i="31"/>
  <c r="IY4" i="31"/>
  <c r="IW3" i="30"/>
  <c r="IV2" i="30"/>
  <c r="IV4" i="30"/>
  <c r="IU3" i="27"/>
  <c r="IT4" i="27"/>
  <c r="IT2" i="27"/>
  <c r="IL3" i="24"/>
  <c r="IK2" i="24"/>
  <c r="IK4" i="24"/>
  <c r="IZ4" i="33" l="1"/>
  <c r="IZ2" i="33"/>
  <c r="JA3" i="33"/>
  <c r="IZ4" i="31"/>
  <c r="IZ2" i="31"/>
  <c r="JA3" i="31"/>
  <c r="IX3" i="30"/>
  <c r="IW2" i="30"/>
  <c r="IW4" i="30"/>
  <c r="IU4" i="27"/>
  <c r="IV3" i="27"/>
  <c r="IU2" i="27"/>
  <c r="IM3" i="24"/>
  <c r="IL2" i="24"/>
  <c r="IL4" i="24"/>
  <c r="JB3" i="33" l="1"/>
  <c r="JA4" i="33"/>
  <c r="JA2" i="33"/>
  <c r="JA2" i="31"/>
  <c r="JB3" i="31"/>
  <c r="JA4" i="31"/>
  <c r="IX4" i="30"/>
  <c r="IX2" i="30"/>
  <c r="IY3" i="30"/>
  <c r="IV4" i="27"/>
  <c r="IW3" i="27"/>
  <c r="IV2" i="27"/>
  <c r="IN3" i="24"/>
  <c r="IM2" i="24"/>
  <c r="IM4" i="24"/>
  <c r="JB4" i="33" l="1"/>
  <c r="JC3" i="33"/>
  <c r="JB2" i="33"/>
  <c r="JB4" i="31"/>
  <c r="JC3" i="31"/>
  <c r="JB2" i="31"/>
  <c r="IY2" i="30"/>
  <c r="IZ3" i="30"/>
  <c r="IY4" i="30"/>
  <c r="IW4" i="27"/>
  <c r="IX3" i="27"/>
  <c r="IW2" i="27"/>
  <c r="IN2" i="24"/>
  <c r="IO3" i="24"/>
  <c r="IN4" i="24"/>
  <c r="JC2" i="33" l="1"/>
  <c r="JD3" i="33"/>
  <c r="JC4" i="33"/>
  <c r="JC4" i="31"/>
  <c r="JD3" i="31"/>
  <c r="JC2" i="31"/>
  <c r="IZ4" i="30"/>
  <c r="IZ2" i="30"/>
  <c r="JA3" i="30"/>
  <c r="IY3" i="27"/>
  <c r="IX4" i="27"/>
  <c r="IX2" i="27"/>
  <c r="IP3" i="24"/>
  <c r="IO2" i="24"/>
  <c r="IO4" i="24"/>
  <c r="JD4" i="33" l="1"/>
  <c r="JE3" i="33"/>
  <c r="JD2" i="33"/>
  <c r="JE3" i="31"/>
  <c r="JD4" i="31"/>
  <c r="JD2" i="31"/>
  <c r="JA4" i="30"/>
  <c r="JB3" i="30"/>
  <c r="JA2" i="30"/>
  <c r="IY4" i="27"/>
  <c r="IZ3" i="27"/>
  <c r="IY2" i="27"/>
  <c r="IP2" i="24"/>
  <c r="IQ3" i="24"/>
  <c r="IP4" i="24"/>
  <c r="JE2" i="33" l="1"/>
  <c r="JE4" i="33"/>
  <c r="JF3" i="33"/>
  <c r="JF3" i="31"/>
  <c r="JE4" i="31"/>
  <c r="JE2" i="31"/>
  <c r="JC3" i="30"/>
  <c r="JB4" i="30"/>
  <c r="JB2" i="30"/>
  <c r="IZ4" i="27"/>
  <c r="JA3" i="27"/>
  <c r="IZ2" i="27"/>
  <c r="IR3" i="24"/>
  <c r="IQ2" i="24"/>
  <c r="IQ4" i="24"/>
  <c r="JF4" i="33" l="1"/>
  <c r="JF2" i="33"/>
  <c r="JG3" i="33"/>
  <c r="JF4" i="31"/>
  <c r="JG3" i="31"/>
  <c r="JF2" i="31"/>
  <c r="JC4" i="30"/>
  <c r="JD3" i="30"/>
  <c r="JC2" i="30"/>
  <c r="JA4" i="27"/>
  <c r="JA2" i="27"/>
  <c r="JB3" i="27"/>
  <c r="IS3" i="24"/>
  <c r="IR2" i="24"/>
  <c r="IR4" i="24"/>
  <c r="JH3" i="33" l="1"/>
  <c r="JG2" i="33"/>
  <c r="JG4" i="33"/>
  <c r="JH3" i="31"/>
  <c r="JG2" i="31"/>
  <c r="JG4" i="31"/>
  <c r="JD2" i="30"/>
  <c r="JD4" i="30"/>
  <c r="JE3" i="30"/>
  <c r="JB4" i="27"/>
  <c r="JC3" i="27"/>
  <c r="JB2" i="27"/>
  <c r="IS2" i="24"/>
  <c r="IT3" i="24"/>
  <c r="IS4" i="24"/>
  <c r="JH2" i="33" l="1"/>
  <c r="JI3" i="33"/>
  <c r="JH4" i="33"/>
  <c r="JI3" i="31"/>
  <c r="JH2" i="31"/>
  <c r="JH4" i="31"/>
  <c r="JE4" i="30"/>
  <c r="JE2" i="30"/>
  <c r="JF3" i="30"/>
  <c r="JC2" i="27"/>
  <c r="JC4" i="27"/>
  <c r="JD3" i="27"/>
  <c r="IU3" i="24"/>
  <c r="IT2" i="24"/>
  <c r="IT4" i="24"/>
  <c r="JJ3" i="33" l="1"/>
  <c r="JI4" i="33"/>
  <c r="JI2" i="33"/>
  <c r="JI4" i="31"/>
  <c r="JI2" i="31"/>
  <c r="JJ3" i="31"/>
  <c r="JF4" i="30"/>
  <c r="JF2" i="30"/>
  <c r="JG3" i="30"/>
  <c r="JD2" i="27"/>
  <c r="JE3" i="27"/>
  <c r="JD4" i="27"/>
  <c r="IV3" i="24"/>
  <c r="IU2" i="24"/>
  <c r="IU4" i="24"/>
  <c r="JJ4" i="33" l="1"/>
  <c r="JK3" i="33"/>
  <c r="JJ2" i="33"/>
  <c r="JK3" i="31"/>
  <c r="JJ4" i="31"/>
  <c r="JJ2" i="31"/>
  <c r="JG4" i="30"/>
  <c r="JG2" i="30"/>
  <c r="JH3" i="30"/>
  <c r="JF3" i="27"/>
  <c r="JE2" i="27"/>
  <c r="JE4" i="27"/>
  <c r="IW3" i="24"/>
  <c r="IV2" i="24"/>
  <c r="IV4" i="24"/>
  <c r="JK4" i="33" l="1"/>
  <c r="JL3" i="33"/>
  <c r="JK2" i="33"/>
  <c r="JK2" i="31"/>
  <c r="JK4" i="31"/>
  <c r="JL3" i="31"/>
  <c r="JH4" i="30"/>
  <c r="JH2" i="30"/>
  <c r="JI3" i="30"/>
  <c r="JG3" i="27"/>
  <c r="JF2" i="27"/>
  <c r="JF4" i="27"/>
  <c r="IX3" i="24"/>
  <c r="IW2" i="24"/>
  <c r="IW4" i="24"/>
  <c r="JL4" i="33" l="1"/>
  <c r="JL2" i="33"/>
  <c r="JM3" i="33"/>
  <c r="JL2" i="31"/>
  <c r="JL4" i="31"/>
  <c r="JM3" i="31"/>
  <c r="JI4" i="30"/>
  <c r="JJ3" i="30"/>
  <c r="JI2" i="30"/>
  <c r="JG4" i="27"/>
  <c r="JH3" i="27"/>
  <c r="JG2" i="27"/>
  <c r="IY3" i="24"/>
  <c r="IX2" i="24"/>
  <c r="IX4" i="24"/>
  <c r="JN3" i="33" l="1"/>
  <c r="JM4" i="33"/>
  <c r="JM2" i="33"/>
  <c r="JM2" i="31"/>
  <c r="JM4" i="31"/>
  <c r="JN3" i="31"/>
  <c r="JK3" i="30"/>
  <c r="JJ4" i="30"/>
  <c r="JJ2" i="30"/>
  <c r="JH2" i="27"/>
  <c r="JI3" i="27"/>
  <c r="JH4" i="27"/>
  <c r="IY2" i="24"/>
  <c r="IZ3" i="24"/>
  <c r="IY4" i="24"/>
  <c r="JN4" i="33" l="1"/>
  <c r="JN2" i="33"/>
  <c r="JO3" i="33"/>
  <c r="JN2" i="31"/>
  <c r="JN4" i="31"/>
  <c r="JO3" i="31"/>
  <c r="JK2" i="30"/>
  <c r="JK4" i="30"/>
  <c r="JL3" i="30"/>
  <c r="JJ3" i="27"/>
  <c r="JI2" i="27"/>
  <c r="JI4" i="27"/>
  <c r="IZ2" i="24"/>
  <c r="JA3" i="24"/>
  <c r="IZ4" i="24"/>
  <c r="JP3" i="33" l="1"/>
  <c r="JO4" i="33"/>
  <c r="JO2" i="33"/>
  <c r="JO2" i="31"/>
  <c r="JP3" i="31"/>
  <c r="JO4" i="31"/>
  <c r="JM3" i="30"/>
  <c r="JL2" i="30"/>
  <c r="JL4" i="30"/>
  <c r="JJ4" i="27"/>
  <c r="JJ2" i="27"/>
  <c r="JK3" i="27"/>
  <c r="JB3" i="24"/>
  <c r="JA2" i="24"/>
  <c r="JA4" i="24"/>
  <c r="JP4" i="33" l="1"/>
  <c r="JP2" i="33"/>
  <c r="JQ3" i="33"/>
  <c r="JP4" i="31"/>
  <c r="JP2" i="31"/>
  <c r="JQ3" i="31"/>
  <c r="JN3" i="30"/>
  <c r="JM2" i="30"/>
  <c r="JM4" i="30"/>
  <c r="JK2" i="27"/>
  <c r="JL3" i="27"/>
  <c r="JK4" i="27"/>
  <c r="JC3" i="24"/>
  <c r="JB2" i="24"/>
  <c r="JB4" i="24"/>
  <c r="JQ4" i="33" l="1"/>
  <c r="JQ2" i="33"/>
  <c r="JR3" i="33"/>
  <c r="JQ4" i="31"/>
  <c r="JQ2" i="31"/>
  <c r="JR3" i="31"/>
  <c r="JN2" i="30"/>
  <c r="JN4" i="30"/>
  <c r="JO3" i="30"/>
  <c r="JM3" i="27"/>
  <c r="JL2" i="27"/>
  <c r="JL4" i="27"/>
  <c r="JD3" i="24"/>
  <c r="JC2" i="24"/>
  <c r="JC4" i="24"/>
  <c r="JS3" i="33" l="1"/>
  <c r="JR2" i="33"/>
  <c r="JR4" i="33"/>
  <c r="JS3" i="31"/>
  <c r="JR2" i="31"/>
  <c r="JR4" i="31"/>
  <c r="JO4" i="30"/>
  <c r="JO2" i="30"/>
  <c r="JP3" i="30"/>
  <c r="JN3" i="27"/>
  <c r="JM2" i="27"/>
  <c r="JM4" i="27"/>
  <c r="JE3" i="24"/>
  <c r="JD2" i="24"/>
  <c r="JD4" i="24"/>
  <c r="JS2" i="33" l="1"/>
  <c r="JS4" i="33"/>
  <c r="JT3" i="33"/>
  <c r="JS2" i="31"/>
  <c r="JS4" i="31"/>
  <c r="JT3" i="31"/>
  <c r="JP2" i="30"/>
  <c r="JQ3" i="30"/>
  <c r="JP4" i="30"/>
  <c r="JN4" i="27"/>
  <c r="JO3" i="27"/>
  <c r="JN2" i="27"/>
  <c r="JF3" i="24"/>
  <c r="JE2" i="24"/>
  <c r="JE4" i="24"/>
  <c r="JT4" i="33" l="1"/>
  <c r="JU3" i="33"/>
  <c r="JT2" i="33"/>
  <c r="JU3" i="31"/>
  <c r="JT4" i="31"/>
  <c r="JT2" i="31"/>
  <c r="JR3" i="30"/>
  <c r="JQ4" i="30"/>
  <c r="JQ2" i="30"/>
  <c r="JO2" i="27"/>
  <c r="JP3" i="27"/>
  <c r="JO4" i="27"/>
  <c r="JG3" i="24"/>
  <c r="JF2" i="24"/>
  <c r="JF4" i="24"/>
  <c r="JU4" i="33" l="1"/>
  <c r="JV3" i="33"/>
  <c r="JU2" i="33"/>
  <c r="JV3" i="31"/>
  <c r="JU2" i="31"/>
  <c r="JU4" i="31"/>
  <c r="JR2" i="30"/>
  <c r="JS3" i="30"/>
  <c r="JR4" i="30"/>
  <c r="JP4" i="27"/>
  <c r="JQ3" i="27"/>
  <c r="JP2" i="27"/>
  <c r="JH3" i="24"/>
  <c r="JG2" i="24"/>
  <c r="JG4" i="24"/>
  <c r="JV4" i="33" l="1"/>
  <c r="JV2" i="33"/>
  <c r="JW3" i="33"/>
  <c r="JW3" i="31"/>
  <c r="JV4" i="31"/>
  <c r="JV2" i="31"/>
  <c r="JT3" i="30"/>
  <c r="JS2" i="30"/>
  <c r="JS4" i="30"/>
  <c r="JQ4" i="27"/>
  <c r="JR3" i="27"/>
  <c r="JQ2" i="27"/>
  <c r="JH2" i="24"/>
  <c r="JI3" i="24"/>
  <c r="JH4" i="24"/>
  <c r="JW4" i="33" l="1"/>
  <c r="JX3" i="33"/>
  <c r="JW2" i="33"/>
  <c r="JW4" i="31"/>
  <c r="JX3" i="31"/>
  <c r="JW2" i="31"/>
  <c r="JT4" i="30"/>
  <c r="JU3" i="30"/>
  <c r="JT2" i="30"/>
  <c r="JR4" i="27"/>
  <c r="JR2" i="27"/>
  <c r="JS3" i="27"/>
  <c r="JJ3" i="24"/>
  <c r="JI2" i="24"/>
  <c r="JI4" i="24"/>
  <c r="JX4" i="33" l="1"/>
  <c r="JY3" i="33"/>
  <c r="JX2" i="33"/>
  <c r="JX4" i="31"/>
  <c r="JY3" i="31"/>
  <c r="JX2" i="31"/>
  <c r="JV3" i="30"/>
  <c r="JU4" i="30"/>
  <c r="JU2" i="30"/>
  <c r="JS4" i="27"/>
  <c r="JS2" i="27"/>
  <c r="JT3" i="27"/>
  <c r="JK3" i="24"/>
  <c r="JJ2" i="24"/>
  <c r="JJ4" i="24"/>
  <c r="JZ3" i="33" l="1"/>
  <c r="JY4" i="33"/>
  <c r="JY2" i="33"/>
  <c r="JZ3" i="31"/>
  <c r="JY2" i="31"/>
  <c r="JY4" i="31"/>
  <c r="JV4" i="30"/>
  <c r="JW3" i="30"/>
  <c r="JV2" i="30"/>
  <c r="JT4" i="27"/>
  <c r="JU3" i="27"/>
  <c r="JT2" i="27"/>
  <c r="JK2" i="24"/>
  <c r="JL3" i="24"/>
  <c r="JK4" i="24"/>
  <c r="JZ4" i="33" l="1"/>
  <c r="JZ2" i="33"/>
  <c r="KA3" i="33"/>
  <c r="JZ2" i="31"/>
  <c r="KA3" i="31"/>
  <c r="JZ4" i="31"/>
  <c r="JX3" i="30"/>
  <c r="JW4" i="30"/>
  <c r="JW2" i="30"/>
  <c r="JV3" i="27"/>
  <c r="JU2" i="27"/>
  <c r="JU4" i="27"/>
  <c r="JM3" i="24"/>
  <c r="JL2" i="24"/>
  <c r="JL4" i="24"/>
  <c r="KB3" i="33" l="1"/>
  <c r="KA4" i="33"/>
  <c r="KA2" i="33"/>
  <c r="KB3" i="31"/>
  <c r="KA4" i="31"/>
  <c r="KA2" i="31"/>
  <c r="JY3" i="30"/>
  <c r="JX4" i="30"/>
  <c r="JX2" i="30"/>
  <c r="JV2" i="27"/>
  <c r="JW3" i="27"/>
  <c r="JV4" i="27"/>
  <c r="JN3" i="24"/>
  <c r="JM2" i="24"/>
  <c r="JM4" i="24"/>
  <c r="KC3" i="33" l="1"/>
  <c r="KB4" i="33"/>
  <c r="KB2" i="33"/>
  <c r="KB2" i="31"/>
  <c r="KC3" i="31"/>
  <c r="KB4" i="31"/>
  <c r="JY4" i="30"/>
  <c r="JZ3" i="30"/>
  <c r="JY2" i="30"/>
  <c r="JX3" i="27"/>
  <c r="JW4" i="27"/>
  <c r="JW2" i="27"/>
  <c r="JO3" i="24"/>
  <c r="JO4" i="24" s="1"/>
  <c r="JN2" i="24"/>
  <c r="JN4" i="24"/>
  <c r="KD3" i="33" l="1"/>
  <c r="KC4" i="33"/>
  <c r="KC2" i="33"/>
  <c r="KC2" i="31"/>
  <c r="KD3" i="31"/>
  <c r="KC4" i="31"/>
  <c r="JZ4" i="30"/>
  <c r="KA3" i="30"/>
  <c r="JZ2" i="30"/>
  <c r="JX4" i="27"/>
  <c r="JY3" i="27"/>
  <c r="JX2" i="27"/>
  <c r="JP3" i="24"/>
  <c r="JP4" i="24" s="1"/>
  <c r="JO2" i="24"/>
  <c r="KD4" i="33" l="1"/>
  <c r="KE3" i="33"/>
  <c r="KD2" i="33"/>
  <c r="KD2" i="31"/>
  <c r="KD4" i="31"/>
  <c r="KE3" i="31"/>
  <c r="KA4" i="30"/>
  <c r="KB3" i="30"/>
  <c r="KA2" i="30"/>
  <c r="JZ3" i="27"/>
  <c r="JY4" i="27"/>
  <c r="JY2" i="27"/>
  <c r="JQ3" i="24"/>
  <c r="JQ4" i="24" s="1"/>
  <c r="JP2" i="24"/>
  <c r="KE2" i="33" l="1"/>
  <c r="KF3" i="33"/>
  <c r="KE4" i="33"/>
  <c r="KE4" i="31"/>
  <c r="KF3" i="31"/>
  <c r="KE2" i="31"/>
  <c r="KC3" i="30"/>
  <c r="KB4" i="30"/>
  <c r="KB2" i="30"/>
  <c r="KA3" i="27"/>
  <c r="JZ4" i="27"/>
  <c r="JZ2" i="27"/>
  <c r="JR3" i="24"/>
  <c r="JR4" i="24" s="1"/>
  <c r="JQ2" i="24"/>
  <c r="KF4" i="33" l="1"/>
  <c r="KG3" i="33"/>
  <c r="KF2" i="33"/>
  <c r="KF4" i="31"/>
  <c r="KG3" i="31"/>
  <c r="KF2" i="31"/>
  <c r="KD3" i="30"/>
  <c r="KC2" i="30"/>
  <c r="KC4" i="30"/>
  <c r="KA2" i="27"/>
  <c r="KA4" i="27"/>
  <c r="KB3" i="27"/>
  <c r="JR2" i="24"/>
  <c r="JS3" i="24"/>
  <c r="JS4" i="24" s="1"/>
  <c r="KG2" i="33" l="1"/>
  <c r="KG4" i="33"/>
  <c r="KH3" i="33"/>
  <c r="KG4" i="31"/>
  <c r="KH3" i="31"/>
  <c r="KG2" i="31"/>
  <c r="KD4" i="30"/>
  <c r="KD2" i="30"/>
  <c r="KE3" i="30"/>
  <c r="KC3" i="27"/>
  <c r="KB2" i="27"/>
  <c r="KB4" i="27"/>
  <c r="JT3" i="24"/>
  <c r="JT4" i="24" s="1"/>
  <c r="JS2" i="24"/>
  <c r="KH4" i="33" l="1"/>
  <c r="KH2" i="33"/>
  <c r="KI3" i="33"/>
  <c r="KI3" i="31"/>
  <c r="KH4" i="31"/>
  <c r="KH2" i="31"/>
  <c r="KE2" i="30"/>
  <c r="KF3" i="30"/>
  <c r="KE4" i="30"/>
  <c r="KC2" i="27"/>
  <c r="KC4" i="27"/>
  <c r="KD3" i="27"/>
  <c r="JU3" i="24"/>
  <c r="JU4" i="24" s="1"/>
  <c r="JT2" i="24"/>
  <c r="KI4" i="33" l="1"/>
  <c r="KJ3" i="33"/>
  <c r="KI2" i="33"/>
  <c r="KI4" i="31"/>
  <c r="KJ3" i="31"/>
  <c r="KI2" i="31"/>
  <c r="KG3" i="30"/>
  <c r="KF2" i="30"/>
  <c r="KF4" i="30"/>
  <c r="KD4" i="27"/>
  <c r="KD2" i="27"/>
  <c r="KE3" i="27"/>
  <c r="JU2" i="24"/>
  <c r="JV3" i="24"/>
  <c r="JV4" i="24" s="1"/>
  <c r="KJ2" i="33" l="1"/>
  <c r="KJ4" i="33"/>
  <c r="KK3" i="33"/>
  <c r="KK3" i="31"/>
  <c r="KJ4" i="31"/>
  <c r="KJ2" i="31"/>
  <c r="KG4" i="30"/>
  <c r="KG2" i="30"/>
  <c r="KH3" i="30"/>
  <c r="KE4" i="27"/>
  <c r="KE2" i="27"/>
  <c r="KF3" i="27"/>
  <c r="JW3" i="24"/>
  <c r="JW4" i="24" s="1"/>
  <c r="JV2" i="24"/>
  <c r="KL3" i="33" l="1"/>
  <c r="KK4" i="33"/>
  <c r="KK2" i="33"/>
  <c r="KK4" i="31"/>
  <c r="KL3" i="31"/>
  <c r="KK2" i="31"/>
  <c r="KH2" i="30"/>
  <c r="KI3" i="30"/>
  <c r="KH4" i="30"/>
  <c r="KF4" i="27"/>
  <c r="KF2" i="27"/>
  <c r="KG3" i="27"/>
  <c r="JX3" i="24"/>
  <c r="JX4" i="24" s="1"/>
  <c r="JW2" i="24"/>
  <c r="KL4" i="33" l="1"/>
  <c r="KM3" i="33"/>
  <c r="KL2" i="33"/>
  <c r="KM3" i="31"/>
  <c r="KL4" i="31"/>
  <c r="KL2" i="31"/>
  <c r="KI4" i="30"/>
  <c r="KJ3" i="30"/>
  <c r="KI2" i="30"/>
  <c r="KG2" i="27"/>
  <c r="KH3" i="27"/>
  <c r="KG4" i="27"/>
  <c r="JX2" i="24"/>
  <c r="JY3" i="24"/>
  <c r="JY4" i="24" s="1"/>
  <c r="KM4" i="33" l="1"/>
  <c r="KM2" i="33"/>
  <c r="KN3" i="33"/>
  <c r="KM2" i="31"/>
  <c r="KN3" i="31"/>
  <c r="KM4" i="31"/>
  <c r="KJ4" i="30"/>
  <c r="KK3" i="30"/>
  <c r="KJ2" i="30"/>
  <c r="KH4" i="27"/>
  <c r="KI3" i="27"/>
  <c r="KH2" i="27"/>
  <c r="JY2" i="24"/>
  <c r="JZ3" i="24"/>
  <c r="JZ4" i="24" s="1"/>
  <c r="KN4" i="33" l="1"/>
  <c r="KN2" i="33"/>
  <c r="KO3" i="33"/>
  <c r="KN2" i="31"/>
  <c r="KO3" i="31"/>
  <c r="KN4" i="31"/>
  <c r="KK2" i="30"/>
  <c r="KK4" i="30"/>
  <c r="KL3" i="30"/>
  <c r="KJ3" i="27"/>
  <c r="KI4" i="27"/>
  <c r="KI2" i="27"/>
  <c r="KA3" i="24"/>
  <c r="KA4" i="24" s="1"/>
  <c r="JZ2" i="24"/>
  <c r="KP3" i="33" l="1"/>
  <c r="KO4" i="33"/>
  <c r="KO2" i="33"/>
  <c r="KO4" i="31"/>
  <c r="KO2" i="31"/>
  <c r="KP3" i="31"/>
  <c r="KM3" i="30"/>
  <c r="KL2" i="30"/>
  <c r="KL4" i="30"/>
  <c r="KK3" i="27"/>
  <c r="KJ4" i="27"/>
  <c r="KJ2" i="27"/>
  <c r="KB3" i="24"/>
  <c r="KB4" i="24" s="1"/>
  <c r="KA2" i="24"/>
  <c r="KQ3" i="33" l="1"/>
  <c r="KP4" i="33"/>
  <c r="KP2" i="33"/>
  <c r="KP2" i="31"/>
  <c r="KQ3" i="31"/>
  <c r="KP4" i="31"/>
  <c r="KN3" i="30"/>
  <c r="KM4" i="30"/>
  <c r="KM2" i="30"/>
  <c r="KK2" i="27"/>
  <c r="KL3" i="27"/>
  <c r="KK4" i="27"/>
  <c r="KC3" i="24"/>
  <c r="KC4" i="24" s="1"/>
  <c r="KB2" i="24"/>
  <c r="KR3" i="33" l="1"/>
  <c r="KQ4" i="33"/>
  <c r="KQ2" i="33"/>
  <c r="KQ2" i="31"/>
  <c r="KQ4" i="31"/>
  <c r="KR3" i="31"/>
  <c r="KO3" i="30"/>
  <c r="KN2" i="30"/>
  <c r="KN4" i="30"/>
  <c r="KL4" i="27"/>
  <c r="KL2" i="27"/>
  <c r="KM3" i="27"/>
  <c r="KD3" i="24"/>
  <c r="KD4" i="24" s="1"/>
  <c r="KC2" i="24"/>
  <c r="KS3" i="33" l="1"/>
  <c r="KR2" i="33"/>
  <c r="KR4" i="33"/>
  <c r="KR2" i="31"/>
  <c r="KS3" i="31"/>
  <c r="KR4" i="31"/>
  <c r="KO4" i="30"/>
  <c r="KP3" i="30"/>
  <c r="KO2" i="30"/>
  <c r="KN3" i="27"/>
  <c r="KM4" i="27"/>
  <c r="KM2" i="27"/>
  <c r="KE3" i="24"/>
  <c r="KE4" i="24" s="1"/>
  <c r="KD2" i="24"/>
  <c r="KS4" i="33" l="1"/>
  <c r="KS2" i="33"/>
  <c r="KT3" i="33"/>
  <c r="KS2" i="31"/>
  <c r="KT3" i="31"/>
  <c r="KS4" i="31"/>
  <c r="KQ3" i="30"/>
  <c r="KP4" i="30"/>
  <c r="KP2" i="30"/>
  <c r="KO3" i="27"/>
  <c r="KN2" i="27"/>
  <c r="KN4" i="27"/>
  <c r="KF3" i="24"/>
  <c r="KF4" i="24" s="1"/>
  <c r="KE2" i="24"/>
  <c r="KU3" i="33" l="1"/>
  <c r="KT2" i="33"/>
  <c r="KT4" i="33"/>
  <c r="KT2" i="31"/>
  <c r="KU3" i="31"/>
  <c r="KT4" i="31"/>
  <c r="KQ4" i="30"/>
  <c r="KR3" i="30"/>
  <c r="KQ2" i="30"/>
  <c r="KO4" i="27"/>
  <c r="KP3" i="27"/>
  <c r="KO2" i="27"/>
  <c r="KF2" i="24"/>
  <c r="KG3" i="24"/>
  <c r="KG4" i="24" s="1"/>
  <c r="KU4" i="33" l="1"/>
  <c r="KU2" i="33"/>
  <c r="KV3" i="33"/>
  <c r="KU4" i="31"/>
  <c r="KV3" i="31"/>
  <c r="KU2" i="31"/>
  <c r="KR4" i="30"/>
  <c r="KS3" i="30"/>
  <c r="KR2" i="30"/>
  <c r="KQ3" i="27"/>
  <c r="KP2" i="27"/>
  <c r="KP4" i="27"/>
  <c r="KH3" i="24"/>
  <c r="KH4" i="24" s="1"/>
  <c r="KG2" i="24"/>
  <c r="KV2" i="33" l="1"/>
  <c r="KV4" i="33"/>
  <c r="KW3" i="33"/>
  <c r="KW3" i="31"/>
  <c r="KV2" i="31"/>
  <c r="KV4" i="31"/>
  <c r="KS4" i="30"/>
  <c r="KT3" i="30"/>
  <c r="KS2" i="30"/>
  <c r="KQ2" i="27"/>
  <c r="KR3" i="27"/>
  <c r="KQ4" i="27"/>
  <c r="KH2" i="24"/>
  <c r="KI3" i="24"/>
  <c r="KI4" i="24" s="1"/>
  <c r="KX3" i="33" l="1"/>
  <c r="KW4" i="33"/>
  <c r="KW2" i="33"/>
  <c r="KW4" i="31"/>
  <c r="KW2" i="31"/>
  <c r="KX3" i="31"/>
  <c r="KT2" i="30"/>
  <c r="KU3" i="30"/>
  <c r="KT4" i="30"/>
  <c r="KR4" i="27"/>
  <c r="KR2" i="27"/>
  <c r="KS3" i="27"/>
  <c r="KJ3" i="24"/>
  <c r="KJ4" i="24" s="1"/>
  <c r="KI2" i="24"/>
  <c r="KX4" i="33" l="1"/>
  <c r="KY3" i="33"/>
  <c r="KX2" i="33"/>
  <c r="KY3" i="31"/>
  <c r="KX2" i="31"/>
  <c r="KX4" i="31"/>
  <c r="KV3" i="30"/>
  <c r="KU4" i="30"/>
  <c r="KU2" i="30"/>
  <c r="KS4" i="27"/>
  <c r="KT3" i="27"/>
  <c r="KS2" i="27"/>
  <c r="KK3" i="24"/>
  <c r="KK4" i="24" s="1"/>
  <c r="KJ2" i="24"/>
  <c r="KY4" i="33" l="1"/>
  <c r="KZ3" i="33"/>
  <c r="KY2" i="33"/>
  <c r="KY4" i="31"/>
  <c r="KZ3" i="31"/>
  <c r="KY2" i="31"/>
  <c r="KV4" i="30"/>
  <c r="KV2" i="30"/>
  <c r="KW3" i="30"/>
  <c r="KT2" i="27"/>
  <c r="KT4" i="27"/>
  <c r="KU3" i="27"/>
  <c r="KK2" i="24"/>
  <c r="KL3" i="24"/>
  <c r="KL4" i="24" s="1"/>
  <c r="KZ4" i="33" l="1"/>
  <c r="LA3" i="33"/>
  <c r="KZ2" i="33"/>
  <c r="KZ4" i="31"/>
  <c r="LA3" i="31"/>
  <c r="KZ2" i="31"/>
  <c r="KW4" i="30"/>
  <c r="KW2" i="30"/>
  <c r="KX3" i="30"/>
  <c r="KU4" i="27"/>
  <c r="KV3" i="27"/>
  <c r="KU2" i="27"/>
  <c r="KM3" i="24"/>
  <c r="KM4" i="24" s="1"/>
  <c r="KL2" i="24"/>
  <c r="LA2" i="33" l="1"/>
  <c r="LA4" i="33"/>
  <c r="LB3" i="33"/>
  <c r="LB3" i="31"/>
  <c r="LA4" i="31"/>
  <c r="LA2" i="31"/>
  <c r="KX4" i="30"/>
  <c r="KX2" i="30"/>
  <c r="KY3" i="30"/>
  <c r="KV2" i="27"/>
  <c r="KW3" i="27"/>
  <c r="KV4" i="27"/>
  <c r="KN3" i="24"/>
  <c r="KN4" i="24" s="1"/>
  <c r="KM2" i="24"/>
  <c r="LB4" i="33" l="1"/>
  <c r="LC3" i="33"/>
  <c r="LB2" i="33"/>
  <c r="LB2" i="31"/>
  <c r="LC3" i="31"/>
  <c r="LB4" i="31"/>
  <c r="KY4" i="30"/>
  <c r="KY2" i="30"/>
  <c r="KZ3" i="30"/>
  <c r="KW2" i="27"/>
  <c r="KW4" i="27"/>
  <c r="KX3" i="27"/>
  <c r="KO3" i="24"/>
  <c r="KO4" i="24" s="1"/>
  <c r="KN2" i="24"/>
  <c r="LD3" i="33" l="1"/>
  <c r="LC4" i="33"/>
  <c r="LC2" i="33"/>
  <c r="LD3" i="31"/>
  <c r="LC4" i="31"/>
  <c r="LC2" i="31"/>
  <c r="LA3" i="30"/>
  <c r="KZ4" i="30"/>
  <c r="KZ2" i="30"/>
  <c r="KX4" i="27"/>
  <c r="KX2" i="27"/>
  <c r="KY3" i="27"/>
  <c r="KO2" i="24"/>
  <c r="KP3" i="24"/>
  <c r="KP4" i="24" s="1"/>
  <c r="LD4" i="33" l="1"/>
  <c r="LE3" i="33"/>
  <c r="LD2" i="33"/>
  <c r="LD4" i="31"/>
  <c r="LD2" i="31"/>
  <c r="LE3" i="31"/>
  <c r="LA4" i="30"/>
  <c r="LB3" i="30"/>
  <c r="LA2" i="30"/>
  <c r="KZ3" i="27"/>
  <c r="KY2" i="27"/>
  <c r="KY4" i="27"/>
  <c r="KP2" i="24"/>
  <c r="KQ3" i="24"/>
  <c r="KQ4" i="24" s="1"/>
  <c r="LF3" i="33" l="1"/>
  <c r="LE4" i="33"/>
  <c r="LE2" i="33"/>
  <c r="LE4" i="31"/>
  <c r="LE2" i="31"/>
  <c r="LF3" i="31"/>
  <c r="LC3" i="30"/>
  <c r="LB2" i="30"/>
  <c r="LB4" i="30"/>
  <c r="KZ4" i="27"/>
  <c r="KZ2" i="27"/>
  <c r="LA3" i="27"/>
  <c r="KR3" i="24"/>
  <c r="KR4" i="24" s="1"/>
  <c r="KQ2" i="24"/>
  <c r="LF4" i="33" l="1"/>
  <c r="LF2" i="33"/>
  <c r="LG3" i="33"/>
  <c r="LF4" i="31"/>
  <c r="LF2" i="31"/>
  <c r="LG3" i="31"/>
  <c r="LD3" i="30"/>
  <c r="LC2" i="30"/>
  <c r="LC4" i="30"/>
  <c r="LA2" i="27"/>
  <c r="LA4" i="27"/>
  <c r="LB3" i="27"/>
  <c r="KS3" i="24"/>
  <c r="KS4" i="24" s="1"/>
  <c r="KR2" i="24"/>
  <c r="LG2" i="33" l="1"/>
  <c r="LH3" i="33"/>
  <c r="LG4" i="33"/>
  <c r="LG2" i="31"/>
  <c r="LG4" i="31"/>
  <c r="LH3" i="31"/>
  <c r="LE3" i="30"/>
  <c r="LD4" i="30"/>
  <c r="LD2" i="30"/>
  <c r="LC3" i="27"/>
  <c r="LB2" i="27"/>
  <c r="LB4" i="27"/>
  <c r="KS2" i="24"/>
  <c r="KT3" i="24"/>
  <c r="KT4" i="24" s="1"/>
  <c r="LH4" i="33" l="1"/>
  <c r="LI3" i="33"/>
  <c r="LH2" i="33"/>
  <c r="LH4" i="31"/>
  <c r="LH2" i="31"/>
  <c r="LI3" i="31"/>
  <c r="LE4" i="30"/>
  <c r="LE2" i="30"/>
  <c r="LF3" i="30"/>
  <c r="LD3" i="27"/>
  <c r="LC4" i="27"/>
  <c r="LC2" i="27"/>
  <c r="KT2" i="24"/>
  <c r="KU3" i="24"/>
  <c r="KU4" i="24" s="1"/>
  <c r="LI2" i="33" l="1"/>
  <c r="LI4" i="33"/>
  <c r="LJ3" i="33"/>
  <c r="LI2" i="31"/>
  <c r="LI4" i="31"/>
  <c r="LJ3" i="31"/>
  <c r="LF4" i="30"/>
  <c r="LG3" i="30"/>
  <c r="LF2" i="30"/>
  <c r="LD4" i="27"/>
  <c r="LE3" i="27"/>
  <c r="LD2" i="27"/>
  <c r="KU2" i="24"/>
  <c r="KV3" i="24"/>
  <c r="KV4" i="24" s="1"/>
  <c r="LJ4" i="33" l="1"/>
  <c r="LK3" i="33"/>
  <c r="LJ2" i="33"/>
  <c r="LJ4" i="31"/>
  <c r="LJ2" i="31"/>
  <c r="LK3" i="31"/>
  <c r="LG2" i="30"/>
  <c r="LH3" i="30"/>
  <c r="LG4" i="30"/>
  <c r="LE2" i="27"/>
  <c r="LE4" i="27"/>
  <c r="LF3" i="27"/>
  <c r="KW3" i="24"/>
  <c r="KW4" i="24" s="1"/>
  <c r="KV2" i="24"/>
  <c r="LK4" i="33" l="1"/>
  <c r="LK2" i="33"/>
  <c r="LL3" i="33"/>
  <c r="LK2" i="31"/>
  <c r="LL3" i="31"/>
  <c r="LK4" i="31"/>
  <c r="LH4" i="30"/>
  <c r="LH2" i="30"/>
  <c r="LI3" i="30"/>
  <c r="LF4" i="27"/>
  <c r="LG3" i="27"/>
  <c r="LF2" i="27"/>
  <c r="KX3" i="24"/>
  <c r="KX4" i="24" s="1"/>
  <c r="KW2" i="24"/>
  <c r="LL2" i="33" l="1"/>
  <c r="LM3" i="33"/>
  <c r="LL4" i="33"/>
  <c r="LM3" i="31"/>
  <c r="LL2" i="31"/>
  <c r="LL4" i="31"/>
  <c r="LJ3" i="30"/>
  <c r="LI2" i="30"/>
  <c r="LI4" i="30"/>
  <c r="LH3" i="27"/>
  <c r="LG2" i="27"/>
  <c r="LG4" i="27"/>
  <c r="KY3" i="24"/>
  <c r="KY4" i="24" s="1"/>
  <c r="KX2" i="24"/>
  <c r="LN3" i="33" l="1"/>
  <c r="LM2" i="33"/>
  <c r="LM4" i="33"/>
  <c r="LM4" i="31"/>
  <c r="LN3" i="31"/>
  <c r="LM2" i="31"/>
  <c r="LK3" i="30"/>
  <c r="LJ4" i="30"/>
  <c r="LJ2" i="30"/>
  <c r="LH2" i="27"/>
  <c r="LI3" i="27"/>
  <c r="LH4" i="27"/>
  <c r="KY2" i="24"/>
  <c r="KZ3" i="24"/>
  <c r="KZ4" i="24" s="1"/>
  <c r="LN4" i="33" l="1"/>
  <c r="LN2" i="33"/>
  <c r="LO3" i="33"/>
  <c r="LN4" i="31"/>
  <c r="LO3" i="31"/>
  <c r="LN2" i="31"/>
  <c r="LL3" i="30"/>
  <c r="LK2" i="30"/>
  <c r="LK4" i="30"/>
  <c r="LI4" i="27"/>
  <c r="LJ3" i="27"/>
  <c r="LI2" i="27"/>
  <c r="LA3" i="24"/>
  <c r="LA4" i="24" s="1"/>
  <c r="KZ2" i="24"/>
  <c r="LO4" i="33" l="1"/>
  <c r="LO2" i="33"/>
  <c r="LP3" i="33"/>
  <c r="LP3" i="31"/>
  <c r="LO4" i="31"/>
  <c r="LO2" i="31"/>
  <c r="LL4" i="30"/>
  <c r="LM3" i="30"/>
  <c r="LL2" i="30"/>
  <c r="LJ4" i="27"/>
  <c r="LJ2" i="27"/>
  <c r="LK3" i="27"/>
  <c r="LA2" i="24"/>
  <c r="LB3" i="24"/>
  <c r="LB4" i="24" s="1"/>
  <c r="LQ3" i="33" l="1"/>
  <c r="LP4" i="33"/>
  <c r="LP2" i="33"/>
  <c r="LP2" i="31"/>
  <c r="LQ3" i="31"/>
  <c r="LP4" i="31"/>
  <c r="LN3" i="30"/>
  <c r="LM2" i="30"/>
  <c r="LM4" i="30"/>
  <c r="LK4" i="27"/>
  <c r="LL3" i="27"/>
  <c r="LK2" i="27"/>
  <c r="LC3" i="24"/>
  <c r="LC4" i="24" s="1"/>
  <c r="LB2" i="24"/>
  <c r="LR3" i="33" l="1"/>
  <c r="LQ2" i="33"/>
  <c r="LQ4" i="33"/>
  <c r="LR3" i="31"/>
  <c r="LQ2" i="31"/>
  <c r="LQ4" i="31"/>
  <c r="LO3" i="30"/>
  <c r="LN4" i="30"/>
  <c r="LN2" i="30"/>
  <c r="LL4" i="27"/>
  <c r="LM3" i="27"/>
  <c r="LL2" i="27"/>
  <c r="LC2" i="24"/>
  <c r="LD3" i="24"/>
  <c r="LD4" i="24" s="1"/>
  <c r="LR2" i="33" l="1"/>
  <c r="LS3" i="33"/>
  <c r="LR4" i="33"/>
  <c r="LS3" i="31"/>
  <c r="LR4" i="31"/>
  <c r="LR2" i="31"/>
  <c r="LP3" i="30"/>
  <c r="LO2" i="30"/>
  <c r="LO4" i="30"/>
  <c r="LN3" i="27"/>
  <c r="LM2" i="27"/>
  <c r="LM4" i="27"/>
  <c r="LD2" i="24"/>
  <c r="LE3" i="24"/>
  <c r="LE4" i="24" s="1"/>
  <c r="LT3" i="33" l="1"/>
  <c r="LS2" i="33"/>
  <c r="LS4" i="33"/>
  <c r="LT3" i="31"/>
  <c r="LS2" i="31"/>
  <c r="LS4" i="31"/>
  <c r="LP2" i="30"/>
  <c r="LP4" i="30"/>
  <c r="LQ3" i="30"/>
  <c r="LN4" i="27"/>
  <c r="LO3" i="27"/>
  <c r="LN2" i="27"/>
  <c r="LF3" i="24"/>
  <c r="LF4" i="24" s="1"/>
  <c r="LE2" i="24"/>
  <c r="LT2" i="33" l="1"/>
  <c r="LT4" i="33"/>
  <c r="LU3" i="33"/>
  <c r="LU3" i="31"/>
  <c r="LT4" i="31"/>
  <c r="LT2" i="31"/>
  <c r="LQ4" i="30"/>
  <c r="LQ2" i="30"/>
  <c r="LR3" i="30"/>
  <c r="LO4" i="27"/>
  <c r="LP3" i="27"/>
  <c r="LO2" i="27"/>
  <c r="LG3" i="24"/>
  <c r="LG4" i="24" s="1"/>
  <c r="LF2" i="24"/>
  <c r="LU2" i="33" l="1"/>
  <c r="LU4" i="33"/>
  <c r="LV3" i="33"/>
  <c r="LV3" i="31"/>
  <c r="LU2" i="31"/>
  <c r="LU4" i="31"/>
  <c r="LR4" i="30"/>
  <c r="LR2" i="30"/>
  <c r="LS3" i="30"/>
  <c r="LQ3" i="27"/>
  <c r="LP4" i="27"/>
  <c r="LP2" i="27"/>
  <c r="LG2" i="24"/>
  <c r="LH3" i="24"/>
  <c r="LH4" i="24" s="1"/>
  <c r="LW3" i="33" l="1"/>
  <c r="LV4" i="33"/>
  <c r="LV2" i="33"/>
  <c r="LV2" i="31"/>
  <c r="LV4" i="31"/>
  <c r="LW3" i="31"/>
  <c r="LS4" i="30"/>
  <c r="LS2" i="30"/>
  <c r="LT3" i="30"/>
  <c r="LQ2" i="27"/>
  <c r="LQ4" i="27"/>
  <c r="LR3" i="27"/>
  <c r="LI3" i="24"/>
  <c r="LI4" i="24" s="1"/>
  <c r="LH2" i="24"/>
  <c r="LW2" i="33" l="1"/>
  <c r="LW4" i="33"/>
  <c r="LX3" i="33"/>
  <c r="LW4" i="31"/>
  <c r="LW2" i="31"/>
  <c r="LX3" i="31"/>
  <c r="LT4" i="30"/>
  <c r="LT2" i="30"/>
  <c r="LU3" i="30"/>
  <c r="LS3" i="27"/>
  <c r="LR2" i="27"/>
  <c r="LR4" i="27"/>
  <c r="LI2" i="24"/>
  <c r="LJ3" i="24"/>
  <c r="LJ4" i="24" s="1"/>
  <c r="LX4" i="33" l="1"/>
  <c r="LY3" i="33"/>
  <c r="LX2" i="33"/>
  <c r="LX4" i="31"/>
  <c r="LX2" i="31"/>
  <c r="LY3" i="31"/>
  <c r="LU4" i="30"/>
  <c r="LV3" i="30"/>
  <c r="LU2" i="30"/>
  <c r="LS2" i="27"/>
  <c r="LT3" i="27"/>
  <c r="LS4" i="27"/>
  <c r="LJ2" i="24"/>
  <c r="LK3" i="24"/>
  <c r="LK4" i="24" s="1"/>
  <c r="LY4" i="33" l="1"/>
  <c r="LY2" i="33"/>
  <c r="LZ3" i="33"/>
  <c r="LY4" i="31"/>
  <c r="LY2" i="31"/>
  <c r="LZ3" i="31"/>
  <c r="LV2" i="30"/>
  <c r="LW3" i="30"/>
  <c r="LV4" i="30"/>
  <c r="LT2" i="27"/>
  <c r="LT4" i="27"/>
  <c r="LU3" i="27"/>
  <c r="LL3" i="24"/>
  <c r="LL4" i="24" s="1"/>
  <c r="LK2" i="24"/>
  <c r="MA3" i="33" l="1"/>
  <c r="LZ4" i="33"/>
  <c r="LZ2" i="33"/>
  <c r="LZ2" i="31"/>
  <c r="LZ4" i="31"/>
  <c r="MA3" i="31"/>
  <c r="LW4" i="30"/>
  <c r="LW2" i="30"/>
  <c r="LX3" i="30"/>
  <c r="LU2" i="27"/>
  <c r="LU4" i="27"/>
  <c r="LV3" i="27"/>
  <c r="LM3" i="24"/>
  <c r="LM4" i="24" s="1"/>
  <c r="LL2" i="24"/>
  <c r="MA4" i="33" l="1"/>
  <c r="MB3" i="33"/>
  <c r="MA2" i="33"/>
  <c r="MA4" i="31"/>
  <c r="MB3" i="31"/>
  <c r="MA2" i="31"/>
  <c r="LX2" i="30"/>
  <c r="LY3" i="30"/>
  <c r="LX4" i="30"/>
  <c r="LV2" i="27"/>
  <c r="LV4" i="27"/>
  <c r="LW3" i="27"/>
  <c r="LN3" i="24"/>
  <c r="LN4" i="24" s="1"/>
  <c r="LM2" i="24"/>
  <c r="MB4" i="33" l="1"/>
  <c r="MC3" i="33"/>
  <c r="MB2" i="33"/>
  <c r="MB4" i="31"/>
  <c r="MB2" i="31"/>
  <c r="MC3" i="31"/>
  <c r="LZ3" i="30"/>
  <c r="LY4" i="30"/>
  <c r="LY2" i="30"/>
  <c r="LW4" i="27"/>
  <c r="LW2" i="27"/>
  <c r="LX3" i="27"/>
  <c r="LO3" i="24"/>
  <c r="LO4" i="24" s="1"/>
  <c r="LN2" i="24"/>
  <c r="MC4" i="33" l="1"/>
  <c r="MC2" i="33"/>
  <c r="MD3" i="33"/>
  <c r="MD3" i="31"/>
  <c r="MC4" i="31"/>
  <c r="MC2" i="31"/>
  <c r="LZ4" i="30"/>
  <c r="MA3" i="30"/>
  <c r="LZ2" i="30"/>
  <c r="LY3" i="27"/>
  <c r="LX2" i="27"/>
  <c r="LX4" i="27"/>
  <c r="LO2" i="24"/>
  <c r="LP3" i="24"/>
  <c r="LP4" i="24" s="1"/>
  <c r="MD4" i="33" l="1"/>
  <c r="MD2" i="33"/>
  <c r="ME3" i="33"/>
  <c r="MD2" i="31"/>
  <c r="MD4" i="31"/>
  <c r="ME3" i="31"/>
  <c r="MA4" i="30"/>
  <c r="MB3" i="30"/>
  <c r="MA2" i="30"/>
  <c r="LY4" i="27"/>
  <c r="LZ3" i="27"/>
  <c r="LY2" i="27"/>
  <c r="LP2" i="24"/>
  <c r="LQ3" i="24"/>
  <c r="LQ4" i="24" s="1"/>
  <c r="MF3" i="33" l="1"/>
  <c r="ME2" i="33"/>
  <c r="ME4" i="33"/>
  <c r="ME4" i="31"/>
  <c r="ME2" i="31"/>
  <c r="MF3" i="31"/>
  <c r="MC3" i="30"/>
  <c r="MB4" i="30"/>
  <c r="MB2" i="30"/>
  <c r="LZ2" i="27"/>
  <c r="LZ4" i="27"/>
  <c r="MA3" i="27"/>
  <c r="LR3" i="24"/>
  <c r="LR4" i="24" s="1"/>
  <c r="LQ2" i="24"/>
  <c r="MF2" i="33" l="1"/>
  <c r="MG3" i="33"/>
  <c r="MF4" i="33"/>
  <c r="MF2" i="31"/>
  <c r="MG3" i="31"/>
  <c r="MF4" i="31"/>
  <c r="MC4" i="30"/>
  <c r="MD3" i="30"/>
  <c r="MC2" i="30"/>
  <c r="MA4" i="27"/>
  <c r="MB3" i="27"/>
  <c r="MA2" i="27"/>
  <c r="LR2" i="24"/>
  <c r="LS3" i="24"/>
  <c r="LS4" i="24" s="1"/>
  <c r="MH3" i="33" l="1"/>
  <c r="MG2" i="33"/>
  <c r="MG4" i="33"/>
  <c r="MH3" i="31"/>
  <c r="MG2" i="31"/>
  <c r="MG4" i="31"/>
  <c r="MD4" i="30"/>
  <c r="ME3" i="30"/>
  <c r="MD2" i="30"/>
  <c r="MB4" i="27"/>
  <c r="MB2" i="27"/>
  <c r="MC3" i="27"/>
  <c r="LT3" i="24"/>
  <c r="LT4" i="24" s="1"/>
  <c r="LS2" i="24"/>
  <c r="MH4" i="33" l="1"/>
  <c r="MI3" i="33"/>
  <c r="MH2" i="33"/>
  <c r="MI3" i="31"/>
  <c r="MH2" i="31"/>
  <c r="MH4" i="31"/>
  <c r="ME2" i="30"/>
  <c r="MF3" i="30"/>
  <c r="ME4" i="30"/>
  <c r="MD3" i="27"/>
  <c r="MC4" i="27"/>
  <c r="MC2" i="27"/>
  <c r="LU3" i="24"/>
  <c r="LU4" i="24" s="1"/>
  <c r="LT2" i="24"/>
  <c r="MI2" i="33" l="1"/>
  <c r="MJ3" i="33"/>
  <c r="MI4" i="33"/>
  <c r="MJ3" i="31"/>
  <c r="MI4" i="31"/>
  <c r="MI2" i="31"/>
  <c r="MF2" i="30"/>
  <c r="MG3" i="30"/>
  <c r="MF4" i="30"/>
  <c r="ME3" i="27"/>
  <c r="MD4" i="27"/>
  <c r="MD2" i="27"/>
  <c r="LU2" i="24"/>
  <c r="LV3" i="24"/>
  <c r="LV4" i="24" s="1"/>
  <c r="MJ2" i="33" l="1"/>
  <c r="MK3" i="33"/>
  <c r="MJ4" i="33"/>
  <c r="MK3" i="31"/>
  <c r="MJ4" i="31"/>
  <c r="MJ2" i="31"/>
  <c r="MG2" i="30"/>
  <c r="MH3" i="30"/>
  <c r="MG4" i="30"/>
  <c r="ME4" i="27"/>
  <c r="MF3" i="27"/>
  <c r="ME2" i="27"/>
  <c r="LV2" i="24"/>
  <c r="LW3" i="24"/>
  <c r="LW4" i="24" s="1"/>
  <c r="MK2" i="33" l="1"/>
  <c r="MK4" i="33"/>
  <c r="ML3" i="33"/>
  <c r="MK2" i="31"/>
  <c r="ML3" i="31"/>
  <c r="MK4" i="31"/>
  <c r="MI3" i="30"/>
  <c r="MH2" i="30"/>
  <c r="MH4" i="30"/>
  <c r="MF4" i="27"/>
  <c r="MG3" i="27"/>
  <c r="MF2" i="27"/>
  <c r="LW2" i="24"/>
  <c r="LX3" i="24"/>
  <c r="LX4" i="24" s="1"/>
  <c r="ML4" i="33" l="1"/>
  <c r="ML2" i="33"/>
  <c r="MM3" i="33"/>
  <c r="MM3" i="31"/>
  <c r="ML4" i="31"/>
  <c r="ML2" i="31"/>
  <c r="MI4" i="30"/>
  <c r="MJ3" i="30"/>
  <c r="MI2" i="30"/>
  <c r="MH3" i="27"/>
  <c r="MG2" i="27"/>
  <c r="MG4" i="27"/>
  <c r="LX2" i="24"/>
  <c r="LY3" i="24"/>
  <c r="LY4" i="24" s="1"/>
  <c r="MN3" i="33" l="1"/>
  <c r="MM4" i="33"/>
  <c r="MM2" i="33"/>
  <c r="MM4" i="31"/>
  <c r="MM2" i="31"/>
  <c r="MN3" i="31"/>
  <c r="MJ2" i="30"/>
  <c r="MJ4" i="30"/>
  <c r="MK3" i="30"/>
  <c r="MH2" i="27"/>
  <c r="MI3" i="27"/>
  <c r="MH4" i="27"/>
  <c r="LZ3" i="24"/>
  <c r="LZ4" i="24" s="1"/>
  <c r="LY2" i="24"/>
  <c r="MN4" i="33" l="1"/>
  <c r="MO3" i="33"/>
  <c r="MN2" i="33"/>
  <c r="MN4" i="31"/>
  <c r="MO3" i="31"/>
  <c r="MN2" i="31"/>
  <c r="MK4" i="30"/>
  <c r="ML3" i="30"/>
  <c r="MK2" i="30"/>
  <c r="MI2" i="27"/>
  <c r="MI4" i="27"/>
  <c r="MJ3" i="27"/>
  <c r="LZ2" i="24"/>
  <c r="MA3" i="24"/>
  <c r="MA4" i="24" s="1"/>
  <c r="MO4" i="33" l="1"/>
  <c r="MO2" i="33"/>
  <c r="MP3" i="33"/>
  <c r="MO4" i="31"/>
  <c r="MO2" i="31"/>
  <c r="MP3" i="31"/>
  <c r="ML4" i="30"/>
  <c r="ML2" i="30"/>
  <c r="MM3" i="30"/>
  <c r="MJ2" i="27"/>
  <c r="MK3" i="27"/>
  <c r="MJ4" i="27"/>
  <c r="MA2" i="24"/>
  <c r="MB3" i="24"/>
  <c r="MB4" i="24" s="1"/>
  <c r="MP4" i="33" l="1"/>
  <c r="MP2" i="33"/>
  <c r="MQ3" i="33"/>
  <c r="MQ3" i="31"/>
  <c r="MP4" i="31"/>
  <c r="MP2" i="31"/>
  <c r="MM2" i="30"/>
  <c r="MM4" i="30"/>
  <c r="MN3" i="30"/>
  <c r="MK4" i="27"/>
  <c r="ML3" i="27"/>
  <c r="MK2" i="27"/>
  <c r="MC3" i="24"/>
  <c r="MC4" i="24" s="1"/>
  <c r="MB2" i="24"/>
  <c r="MQ4" i="33" l="1"/>
  <c r="MR3" i="33"/>
  <c r="MQ2" i="33"/>
  <c r="MR3" i="31"/>
  <c r="MQ4" i="31"/>
  <c r="MQ2" i="31"/>
  <c r="MN4" i="30"/>
  <c r="MO3" i="30"/>
  <c r="MN2" i="30"/>
  <c r="MM3" i="27"/>
  <c r="ML2" i="27"/>
  <c r="ML4" i="27"/>
  <c r="MD3" i="24"/>
  <c r="MD4" i="24" s="1"/>
  <c r="MC2" i="24"/>
  <c r="MR4" i="33" l="1"/>
  <c r="MR2" i="33"/>
  <c r="MS3" i="33"/>
  <c r="MR2" i="31"/>
  <c r="MR4" i="31"/>
  <c r="MS3" i="31"/>
  <c r="MP3" i="30"/>
  <c r="MO4" i="30"/>
  <c r="MO2" i="30"/>
  <c r="MM4" i="27"/>
  <c r="MN3" i="27"/>
  <c r="MM2" i="27"/>
  <c r="ME3" i="24"/>
  <c r="ME4" i="24" s="1"/>
  <c r="MD2" i="24"/>
  <c r="MT3" i="33" l="1"/>
  <c r="MS4" i="33"/>
  <c r="MS2" i="33"/>
  <c r="MS4" i="31"/>
  <c r="MT3" i="31"/>
  <c r="MS2" i="31"/>
  <c r="MQ3" i="30"/>
  <c r="MP4" i="30"/>
  <c r="MP2" i="30"/>
  <c r="MN4" i="27"/>
  <c r="MN2" i="27"/>
  <c r="MO3" i="27"/>
  <c r="ME2" i="24"/>
  <c r="MF3" i="24"/>
  <c r="MF4" i="24" s="1"/>
  <c r="MT4" i="33" l="1"/>
  <c r="MU3" i="33"/>
  <c r="MT2" i="33"/>
  <c r="MT4" i="31"/>
  <c r="MU3" i="31"/>
  <c r="MT2" i="31"/>
  <c r="MR3" i="30"/>
  <c r="MQ2" i="30"/>
  <c r="MQ4" i="30"/>
  <c r="MP3" i="27"/>
  <c r="MO2" i="27"/>
  <c r="MO4" i="27"/>
  <c r="MG3" i="24"/>
  <c r="MG4" i="24" s="1"/>
  <c r="MF2" i="24"/>
  <c r="MV3" i="33" l="1"/>
  <c r="MU4" i="33"/>
  <c r="MU2" i="33"/>
  <c r="MU2" i="31"/>
  <c r="MU4" i="31"/>
  <c r="MV3" i="31"/>
  <c r="MR4" i="30"/>
  <c r="MS3" i="30"/>
  <c r="MR2" i="30"/>
  <c r="MP4" i="27"/>
  <c r="MQ3" i="27"/>
  <c r="MP2" i="27"/>
  <c r="MH3" i="24"/>
  <c r="MH4" i="24" s="1"/>
  <c r="MG2" i="24"/>
  <c r="MW3" i="33" l="1"/>
  <c r="MV4" i="33"/>
  <c r="MV2" i="33"/>
  <c r="MV4" i="31"/>
  <c r="MV2" i="31"/>
  <c r="MW3" i="31"/>
  <c r="MS4" i="30"/>
  <c r="MT3" i="30"/>
  <c r="MS2" i="30"/>
  <c r="MQ4" i="27"/>
  <c r="MQ2" i="27"/>
  <c r="MR3" i="27"/>
  <c r="MI3" i="24"/>
  <c r="MI4" i="24" s="1"/>
  <c r="MH2" i="24"/>
  <c r="MW2" i="33" l="1"/>
  <c r="MW4" i="33"/>
  <c r="MX3" i="33"/>
  <c r="MW4" i="31"/>
  <c r="MW2" i="31"/>
  <c r="MX3" i="31"/>
  <c r="MT4" i="30"/>
  <c r="MU3" i="30"/>
  <c r="MT2" i="30"/>
  <c r="MS3" i="27"/>
  <c r="MR4" i="27"/>
  <c r="MR2" i="27"/>
  <c r="MI2" i="24"/>
  <c r="MJ3" i="24"/>
  <c r="MJ4" i="24" s="1"/>
  <c r="MX4" i="33" l="1"/>
  <c r="MX2" i="33"/>
  <c r="MY3" i="33"/>
  <c r="MY3" i="31"/>
  <c r="MX4" i="31"/>
  <c r="MX2" i="31"/>
  <c r="MU2" i="30"/>
  <c r="MV3" i="30"/>
  <c r="MU4" i="30"/>
  <c r="MT3" i="27"/>
  <c r="MS2" i="27"/>
  <c r="MS4" i="27"/>
  <c r="MK3" i="24"/>
  <c r="MK4" i="24" s="1"/>
  <c r="MJ2" i="24"/>
  <c r="MY2" i="33" l="1"/>
  <c r="MY4" i="33"/>
  <c r="MZ3" i="33"/>
  <c r="MZ3" i="31"/>
  <c r="MY4" i="31"/>
  <c r="MY2" i="31"/>
  <c r="MV2" i="30"/>
  <c r="MW3" i="30"/>
  <c r="MV4" i="30"/>
  <c r="MT2" i="27"/>
  <c r="MU3" i="27"/>
  <c r="MT4" i="27"/>
  <c r="ML3" i="24"/>
  <c r="ML4" i="24" s="1"/>
  <c r="MK2" i="24"/>
  <c r="MZ4" i="33" l="1"/>
  <c r="NA3" i="33"/>
  <c r="MZ2" i="33"/>
  <c r="MZ2" i="31"/>
  <c r="MZ4" i="31"/>
  <c r="NA3" i="31"/>
  <c r="MW2" i="30"/>
  <c r="MX3" i="30"/>
  <c r="MW4" i="30"/>
  <c r="MU4" i="27"/>
  <c r="MU2" i="27"/>
  <c r="MV3" i="27"/>
  <c r="ML2" i="24"/>
  <c r="MM3" i="24"/>
  <c r="MM4" i="24" s="1"/>
  <c r="NA4" i="33" l="1"/>
  <c r="NB3" i="33"/>
  <c r="NA2" i="33"/>
  <c r="NB3" i="31"/>
  <c r="NA4" i="31"/>
  <c r="NA2" i="31"/>
  <c r="MX2" i="30"/>
  <c r="MY3" i="30"/>
  <c r="MX4" i="30"/>
  <c r="MW3" i="27"/>
  <c r="MV4" i="27"/>
  <c r="MV2" i="27"/>
  <c r="MM2" i="24"/>
  <c r="MN3" i="24"/>
  <c r="MN4" i="24" s="1"/>
  <c r="NB2" i="33" l="1"/>
  <c r="NB4" i="33"/>
  <c r="NC3" i="33"/>
  <c r="NC3" i="31"/>
  <c r="NB4" i="31"/>
  <c r="NB2" i="31"/>
  <c r="MY2" i="30"/>
  <c r="MZ3" i="30"/>
  <c r="MY4" i="30"/>
  <c r="MW4" i="27"/>
  <c r="MX3" i="27"/>
  <c r="MW2" i="27"/>
  <c r="MN2" i="24"/>
  <c r="MO3" i="24"/>
  <c r="MO4" i="24" s="1"/>
  <c r="NC4" i="33" l="1"/>
  <c r="ND3" i="33"/>
  <c r="NC2" i="33"/>
  <c r="NC4" i="31"/>
  <c r="NC2" i="31"/>
  <c r="ND3" i="31"/>
  <c r="NA3" i="30"/>
  <c r="MZ4" i="30"/>
  <c r="MZ2" i="30"/>
  <c r="MX2" i="27"/>
  <c r="MX4" i="27"/>
  <c r="MY3" i="27"/>
  <c r="MP3" i="24"/>
  <c r="MP4" i="24" s="1"/>
  <c r="MO2" i="24"/>
  <c r="ND4" i="33" l="1"/>
  <c r="ND2" i="33"/>
  <c r="NE3" i="33"/>
  <c r="ND4" i="31"/>
  <c r="ND2" i="31"/>
  <c r="NE3" i="31"/>
  <c r="NA4" i="30"/>
  <c r="NA2" i="30"/>
  <c r="NB3" i="30"/>
  <c r="MY2" i="27"/>
  <c r="MZ3" i="27"/>
  <c r="MY4" i="27"/>
  <c r="MP2" i="24"/>
  <c r="MQ3" i="24"/>
  <c r="MQ4" i="24" s="1"/>
  <c r="NF3" i="33" l="1"/>
  <c r="NE2" i="33"/>
  <c r="NE4" i="33"/>
  <c r="NF3" i="31"/>
  <c r="NE2" i="31"/>
  <c r="NE4" i="31"/>
  <c r="NB4" i="30"/>
  <c r="NB2" i="30"/>
  <c r="NC3" i="30"/>
  <c r="MZ2" i="27"/>
  <c r="NA3" i="27"/>
  <c r="MZ4" i="27"/>
  <c r="MQ2" i="24"/>
  <c r="MR3" i="24"/>
  <c r="MR4" i="24" s="1"/>
  <c r="NF4" i="33" l="1"/>
  <c r="NG3" i="33"/>
  <c r="NF2" i="33"/>
  <c r="NG3" i="31"/>
  <c r="NF2" i="31"/>
  <c r="NF4" i="31"/>
  <c r="ND3" i="30"/>
  <c r="NC4" i="30"/>
  <c r="NC2" i="30"/>
  <c r="NB3" i="27"/>
  <c r="NA4" i="27"/>
  <c r="NA2" i="27"/>
  <c r="MR2" i="24"/>
  <c r="MS3" i="24"/>
  <c r="MS4" i="24" s="1"/>
  <c r="NH3" i="33" l="1"/>
  <c r="NG2" i="33"/>
  <c r="NG4" i="33"/>
  <c r="NG4" i="31"/>
  <c r="NG2" i="31"/>
  <c r="NH3" i="31"/>
  <c r="NE3" i="30"/>
  <c r="ND4" i="30"/>
  <c r="ND2" i="30"/>
  <c r="NC3" i="27"/>
  <c r="NB4" i="27"/>
  <c r="NB2" i="27"/>
  <c r="MT3" i="24"/>
  <c r="MT4" i="24" s="1"/>
  <c r="MS2" i="24"/>
  <c r="NH4" i="33" l="1"/>
  <c r="NI3" i="33"/>
  <c r="NH2" i="33"/>
  <c r="NI3" i="31"/>
  <c r="NH2" i="31"/>
  <c r="NH4" i="31"/>
  <c r="NE4" i="30"/>
  <c r="NF3" i="30"/>
  <c r="NE2" i="30"/>
  <c r="NC4" i="27"/>
  <c r="ND3" i="27"/>
  <c r="NC2" i="27"/>
  <c r="MT2" i="24"/>
  <c r="MU3" i="24"/>
  <c r="MU4" i="24" s="1"/>
  <c r="NJ3" i="33" l="1"/>
  <c r="NI4" i="33"/>
  <c r="NI2" i="33"/>
  <c r="NJ3" i="31"/>
  <c r="NI2" i="31"/>
  <c r="NI4" i="31"/>
  <c r="NG3" i="30"/>
  <c r="NF4" i="30"/>
  <c r="NF2" i="30"/>
  <c r="ND4" i="27"/>
  <c r="NE3" i="27"/>
  <c r="ND2" i="27"/>
  <c r="MU2" i="24"/>
  <c r="MV3" i="24"/>
  <c r="MV4" i="24" s="1"/>
  <c r="NK3" i="33" l="1"/>
  <c r="NJ4" i="33"/>
  <c r="NJ2" i="33"/>
  <c r="NJ4" i="31"/>
  <c r="NK3" i="31"/>
  <c r="NJ2" i="31"/>
  <c r="NH3" i="30"/>
  <c r="NG4" i="30"/>
  <c r="NG2" i="30"/>
  <c r="NF3" i="27"/>
  <c r="NE4" i="27"/>
  <c r="NE2" i="27"/>
  <c r="MV2" i="24"/>
  <c r="MW3" i="24"/>
  <c r="MW4" i="24" s="1"/>
  <c r="NK2" i="33" l="1"/>
  <c r="NK4" i="33"/>
  <c r="NL3" i="33"/>
  <c r="NL3" i="31"/>
  <c r="NK2" i="31"/>
  <c r="NK4" i="31"/>
  <c r="NH4" i="30"/>
  <c r="NH2" i="30"/>
  <c r="NI3" i="30"/>
  <c r="NG3" i="27"/>
  <c r="NF4" i="27"/>
  <c r="NF2" i="27"/>
  <c r="MW2" i="24"/>
  <c r="MX3" i="24"/>
  <c r="MX4" i="24" s="1"/>
  <c r="NL4" i="33" l="1"/>
  <c r="NL2" i="33"/>
  <c r="NM3" i="33"/>
  <c r="NM3" i="31"/>
  <c r="NL2" i="31"/>
  <c r="NL4" i="31"/>
  <c r="NI4" i="30"/>
  <c r="NI2" i="30"/>
  <c r="NJ3" i="30"/>
  <c r="NH3" i="27"/>
  <c r="NG4" i="27"/>
  <c r="NG2" i="27"/>
  <c r="MX2" i="24"/>
  <c r="MY3" i="24"/>
  <c r="MY4" i="24" s="1"/>
  <c r="NM2" i="33" l="1"/>
  <c r="NM4" i="33"/>
  <c r="NN3" i="33"/>
  <c r="NN3" i="31"/>
  <c r="NM2" i="31"/>
  <c r="NM4" i="31"/>
  <c r="NJ4" i="30"/>
  <c r="NJ2" i="30"/>
  <c r="NK3" i="30"/>
  <c r="NH4" i="27"/>
  <c r="NI3" i="27"/>
  <c r="NH2" i="27"/>
  <c r="MY2" i="24"/>
  <c r="MZ3" i="24"/>
  <c r="MZ4" i="24" s="1"/>
  <c r="NN4" i="33" l="1"/>
  <c r="NO3" i="33"/>
  <c r="NN2" i="33"/>
  <c r="NN2" i="31"/>
  <c r="NN4" i="31"/>
  <c r="NO3" i="31"/>
  <c r="NK4" i="30"/>
  <c r="NK2" i="30"/>
  <c r="NL3" i="30"/>
  <c r="NI2" i="27"/>
  <c r="NJ3" i="27"/>
  <c r="NI4" i="27"/>
  <c r="MZ2" i="24"/>
  <c r="NA3" i="24"/>
  <c r="NA4" i="24" s="1"/>
  <c r="NP3" i="33" l="1"/>
  <c r="NO4" i="33"/>
  <c r="NO2" i="33"/>
  <c r="NP3" i="31"/>
  <c r="NO2" i="31"/>
  <c r="NO4" i="31"/>
  <c r="NL2" i="30"/>
  <c r="NL4" i="30"/>
  <c r="NM3" i="30"/>
  <c r="NJ4" i="27"/>
  <c r="NK3" i="27"/>
  <c r="NJ2" i="27"/>
  <c r="NA2" i="24"/>
  <c r="NB3" i="24"/>
  <c r="NB4" i="24" s="1"/>
  <c r="NP4" i="33" l="1"/>
  <c r="NQ3" i="33"/>
  <c r="NP2" i="33"/>
  <c r="NQ3" i="31"/>
  <c r="NP4" i="31"/>
  <c r="NP2" i="31"/>
  <c r="NM4" i="30"/>
  <c r="NM2" i="30"/>
  <c r="NN3" i="30"/>
  <c r="NK4" i="27"/>
  <c r="NL3" i="27"/>
  <c r="NK2" i="27"/>
  <c r="NC3" i="24"/>
  <c r="NC4" i="24" s="1"/>
  <c r="NB2" i="24"/>
  <c r="NQ4" i="33" l="1"/>
  <c r="NR3" i="33"/>
  <c r="NQ2" i="33"/>
  <c r="NQ4" i="31"/>
  <c r="NQ2" i="31"/>
  <c r="NR3" i="31"/>
  <c r="NN2" i="30"/>
  <c r="NO3" i="30"/>
  <c r="NN4" i="30"/>
  <c r="NL2" i="27"/>
  <c r="NL4" i="27"/>
  <c r="NM3" i="27"/>
  <c r="ND3" i="24"/>
  <c r="ND4" i="24" s="1"/>
  <c r="NC2" i="24"/>
  <c r="NR4" i="33" l="1"/>
  <c r="NR2" i="33"/>
  <c r="NS3" i="33"/>
  <c r="NS3" i="31"/>
  <c r="NR2" i="31"/>
  <c r="NR4" i="31"/>
  <c r="NP3" i="30"/>
  <c r="NO2" i="30"/>
  <c r="NO4" i="30"/>
  <c r="NM4" i="27"/>
  <c r="NM2" i="27"/>
  <c r="NN3" i="27"/>
  <c r="NE3" i="24"/>
  <c r="NE4" i="24" s="1"/>
  <c r="ND2" i="24"/>
  <c r="NS4" i="33" l="1"/>
  <c r="NT3" i="33"/>
  <c r="NS2" i="33"/>
  <c r="NT3" i="31"/>
  <c r="NS4" i="31"/>
  <c r="NS2" i="31"/>
  <c r="NP4" i="30"/>
  <c r="NP2" i="30"/>
  <c r="NQ3" i="30"/>
  <c r="NN2" i="27"/>
  <c r="NN4" i="27"/>
  <c r="NO3" i="27"/>
  <c r="NE2" i="24"/>
  <c r="NF3" i="24"/>
  <c r="NF4" i="24" s="1"/>
  <c r="NT2" i="33" l="1"/>
  <c r="NU3" i="33"/>
  <c r="NT4" i="33"/>
  <c r="NT2" i="31"/>
  <c r="NU3" i="31"/>
  <c r="NT4" i="31"/>
  <c r="NQ4" i="30"/>
  <c r="NQ2" i="30"/>
  <c r="NR3" i="30"/>
  <c r="NO4" i="27"/>
  <c r="NO2" i="27"/>
  <c r="NP3" i="27"/>
  <c r="NF2" i="24"/>
  <c r="NG3" i="24"/>
  <c r="NG4" i="24" s="1"/>
  <c r="NV3" i="33" l="1"/>
  <c r="NU2" i="33"/>
  <c r="NU4" i="33"/>
  <c r="NV3" i="31"/>
  <c r="NU4" i="31"/>
  <c r="NU2" i="31"/>
  <c r="NS3" i="30"/>
  <c r="NR2" i="30"/>
  <c r="NR4" i="30"/>
  <c r="NP4" i="27"/>
  <c r="NP2" i="27"/>
  <c r="NQ3" i="27"/>
  <c r="NH3" i="24"/>
  <c r="NH4" i="24" s="1"/>
  <c r="NG2" i="24"/>
  <c r="NW3" i="33" l="1"/>
  <c r="NV2" i="33"/>
  <c r="NV4" i="33"/>
  <c r="NV2" i="31"/>
  <c r="NV4" i="31"/>
  <c r="NW3" i="31"/>
  <c r="NT3" i="30"/>
  <c r="NS2" i="30"/>
  <c r="NS4" i="30"/>
  <c r="NQ2" i="27"/>
  <c r="NR3" i="27"/>
  <c r="NQ4" i="27"/>
  <c r="NI3" i="24"/>
  <c r="NI4" i="24" s="1"/>
  <c r="NH2" i="24"/>
  <c r="NX3" i="33" l="1"/>
  <c r="NW4" i="33"/>
  <c r="NW2" i="33"/>
  <c r="NW2" i="31"/>
  <c r="NW4" i="31"/>
  <c r="NX3" i="31"/>
  <c r="NU3" i="30"/>
  <c r="NT4" i="30"/>
  <c r="NT2" i="30"/>
  <c r="NR4" i="27"/>
  <c r="NR2" i="27"/>
  <c r="NS3" i="27"/>
  <c r="NJ3" i="24"/>
  <c r="NJ4" i="24" s="1"/>
  <c r="NI2" i="24"/>
  <c r="NY3" i="33" l="1"/>
  <c r="NX2" i="33"/>
  <c r="NX4" i="33"/>
  <c r="NX4" i="31"/>
  <c r="NY3" i="31"/>
  <c r="NX2" i="31"/>
  <c r="NV3" i="30"/>
  <c r="NU2" i="30"/>
  <c r="NU4" i="30"/>
  <c r="NS4" i="27"/>
  <c r="NT3" i="27"/>
  <c r="NS2" i="27"/>
  <c r="NK3" i="24"/>
  <c r="NK4" i="24" s="1"/>
  <c r="NJ2" i="24"/>
  <c r="NY2" i="33" l="1"/>
  <c r="NY4" i="33"/>
  <c r="NZ3" i="33"/>
  <c r="NZ3" i="31"/>
  <c r="NY4" i="31"/>
  <c r="NY2" i="31"/>
  <c r="NW3" i="30"/>
  <c r="NV2" i="30"/>
  <c r="NV4" i="30"/>
  <c r="NU3" i="27"/>
  <c r="NT2" i="27"/>
  <c r="NT4" i="27"/>
  <c r="NK2" i="24"/>
  <c r="NL3" i="24"/>
  <c r="NL4" i="24" s="1"/>
  <c r="NZ4" i="33" l="1"/>
  <c r="OA3" i="33"/>
  <c r="NZ2" i="33"/>
  <c r="NZ4" i="31"/>
  <c r="OA3" i="31"/>
  <c r="NZ2" i="31"/>
  <c r="NX3" i="30"/>
  <c r="NW4" i="30"/>
  <c r="NW2" i="30"/>
  <c r="NU2" i="27"/>
  <c r="NV3" i="27"/>
  <c r="NU4" i="27"/>
  <c r="NL2" i="24"/>
  <c r="NM3" i="24"/>
  <c r="NM4" i="24" s="1"/>
  <c r="OA2" i="33" l="1"/>
  <c r="OB3" i="33"/>
  <c r="OA4" i="33"/>
  <c r="OB3" i="31"/>
  <c r="OA4" i="31"/>
  <c r="OA2" i="31"/>
  <c r="NY3" i="30"/>
  <c r="NX4" i="30"/>
  <c r="NX2" i="30"/>
  <c r="NW3" i="27"/>
  <c r="NV2" i="27"/>
  <c r="NV4" i="27"/>
  <c r="NM2" i="24"/>
  <c r="NN3" i="24"/>
  <c r="NN4" i="24" s="1"/>
  <c r="OC3" i="33" l="1"/>
  <c r="OB2" i="33"/>
  <c r="OB4" i="33"/>
  <c r="OC3" i="31"/>
  <c r="OB4" i="31"/>
  <c r="OB2" i="31"/>
  <c r="NZ3" i="30"/>
  <c r="NY4" i="30"/>
  <c r="NY2" i="30"/>
  <c r="NX3" i="27"/>
  <c r="NW2" i="27"/>
  <c r="NW4" i="27"/>
  <c r="NO3" i="24"/>
  <c r="NO4" i="24" s="1"/>
  <c r="NN2" i="24"/>
  <c r="OD3" i="33" l="1"/>
  <c r="OC4" i="33"/>
  <c r="OC2" i="33"/>
  <c r="OD3" i="31"/>
  <c r="OC4" i="31"/>
  <c r="OC2" i="31"/>
  <c r="NZ2" i="30"/>
  <c r="NZ4" i="30"/>
  <c r="OA3" i="30"/>
  <c r="NX4" i="27"/>
  <c r="NY3" i="27"/>
  <c r="NX2" i="27"/>
  <c r="NO2" i="24"/>
  <c r="NP3" i="24"/>
  <c r="NP4" i="24" s="1"/>
  <c r="OD2" i="33" l="1"/>
  <c r="OD4" i="33"/>
  <c r="OE3" i="33"/>
  <c r="OD2" i="31"/>
  <c r="OE3" i="31"/>
  <c r="OD4" i="31"/>
  <c r="OA4" i="30"/>
  <c r="OB3" i="30"/>
  <c r="OA2" i="30"/>
  <c r="NZ3" i="27"/>
  <c r="NY2" i="27"/>
  <c r="NY4" i="27"/>
  <c r="NP2" i="24"/>
  <c r="NQ3" i="24"/>
  <c r="NQ4" i="24" s="1"/>
  <c r="OE4" i="33" l="1"/>
  <c r="OF3" i="33"/>
  <c r="OE2" i="33"/>
  <c r="OE4" i="31"/>
  <c r="OF3" i="31"/>
  <c r="OE2" i="31"/>
  <c r="OB4" i="30"/>
  <c r="OB2" i="30"/>
  <c r="OC3" i="30"/>
  <c r="OA3" i="27"/>
  <c r="NZ2" i="27"/>
  <c r="NZ4" i="27"/>
  <c r="NR3" i="24"/>
  <c r="NR4" i="24" s="1"/>
  <c r="NQ2" i="24"/>
  <c r="OF4" i="33" l="1"/>
  <c r="OF2" i="33"/>
  <c r="OG3" i="33"/>
  <c r="OG3" i="31"/>
  <c r="OF4" i="31"/>
  <c r="OF2" i="31"/>
  <c r="OC4" i="30"/>
  <c r="OC2" i="30"/>
  <c r="OD3" i="30"/>
  <c r="OA4" i="27"/>
  <c r="OB3" i="27"/>
  <c r="OA2" i="27"/>
  <c r="NS3" i="24"/>
  <c r="NS4" i="24" s="1"/>
  <c r="NR2" i="24"/>
  <c r="OG4" i="33" l="1"/>
  <c r="OH3" i="33"/>
  <c r="OG2" i="33"/>
  <c r="OH3" i="31"/>
  <c r="OG2" i="31"/>
  <c r="OG4" i="31"/>
  <c r="OD4" i="30"/>
  <c r="OD2" i="30"/>
  <c r="OE3" i="30"/>
  <c r="OC3" i="27"/>
  <c r="OB4" i="27"/>
  <c r="OB2" i="27"/>
  <c r="NS2" i="24"/>
  <c r="NT3" i="24"/>
  <c r="NT4" i="24" s="1"/>
  <c r="OH4" i="33" l="1"/>
  <c r="OH2" i="33"/>
  <c r="OI3" i="33"/>
  <c r="OH4" i="31"/>
  <c r="OH2" i="31"/>
  <c r="OI3" i="31"/>
  <c r="OF3" i="30"/>
  <c r="OE2" i="30"/>
  <c r="OE4" i="30"/>
  <c r="OC4" i="27"/>
  <c r="OD3" i="27"/>
  <c r="OC2" i="27"/>
  <c r="NT2" i="24"/>
  <c r="NU3" i="24"/>
  <c r="NU4" i="24" s="1"/>
  <c r="OJ3" i="33" l="1"/>
  <c r="OI4" i="33"/>
  <c r="OI2" i="33"/>
  <c r="OI2" i="31"/>
  <c r="OJ3" i="31"/>
  <c r="OI4" i="31"/>
  <c r="OG3" i="30"/>
  <c r="OF4" i="30"/>
  <c r="OF2" i="30"/>
  <c r="OD2" i="27"/>
  <c r="OE3" i="27"/>
  <c r="OD4" i="27"/>
  <c r="NU2" i="24"/>
  <c r="NV3" i="24"/>
  <c r="NV4" i="24" s="1"/>
  <c r="OK3" i="33" l="1"/>
  <c r="OJ4" i="33"/>
  <c r="OJ2" i="33"/>
  <c r="OK3" i="31"/>
  <c r="OJ2" i="31"/>
  <c r="OJ4" i="31"/>
  <c r="OG4" i="30"/>
  <c r="OG2" i="30"/>
  <c r="OH3" i="30"/>
  <c r="OE2" i="27"/>
  <c r="OE4" i="27"/>
  <c r="OF3" i="27"/>
  <c r="NW3" i="24"/>
  <c r="NW4" i="24" s="1"/>
  <c r="NV2" i="24"/>
  <c r="OL3" i="33" l="1"/>
  <c r="OK2" i="33"/>
  <c r="OK4" i="33"/>
  <c r="OL3" i="31"/>
  <c r="OK4" i="31"/>
  <c r="OK2" i="31"/>
  <c r="OI3" i="30"/>
  <c r="OH4" i="30"/>
  <c r="OH2" i="30"/>
  <c r="OF4" i="27"/>
  <c r="OF2" i="27"/>
  <c r="OG3" i="27"/>
  <c r="NX3" i="24"/>
  <c r="NX4" i="24" s="1"/>
  <c r="NW2" i="24"/>
  <c r="OL4" i="33" l="1"/>
  <c r="OM3" i="33"/>
  <c r="OL2" i="33"/>
  <c r="OM3" i="31"/>
  <c r="OL2" i="31"/>
  <c r="OL4" i="31"/>
  <c r="OI4" i="30"/>
  <c r="OI2" i="30"/>
  <c r="OJ3" i="30"/>
  <c r="OG4" i="27"/>
  <c r="OG2" i="27"/>
  <c r="OH3" i="27"/>
  <c r="NY3" i="24"/>
  <c r="NY4" i="24" s="1"/>
  <c r="NX2" i="24"/>
  <c r="OM2" i="33" l="1"/>
  <c r="OM4" i="33"/>
  <c r="ON3" i="33"/>
  <c r="OM2" i="31"/>
  <c r="OM4" i="31"/>
  <c r="ON3" i="31"/>
  <c r="OJ2" i="30"/>
  <c r="OK3" i="30"/>
  <c r="OJ4" i="30"/>
  <c r="OI3" i="27"/>
  <c r="OH4" i="27"/>
  <c r="OH2" i="27"/>
  <c r="NZ3" i="24"/>
  <c r="NZ4" i="24" s="1"/>
  <c r="NY2" i="24"/>
  <c r="ON4" i="33" l="1"/>
  <c r="ON2" i="33"/>
  <c r="OO3" i="33"/>
  <c r="ON4" i="31"/>
  <c r="ON2" i="31"/>
  <c r="OO3" i="31"/>
  <c r="OK2" i="30"/>
  <c r="OL3" i="30"/>
  <c r="OK4" i="30"/>
  <c r="OI4" i="27"/>
  <c r="OJ3" i="27"/>
  <c r="OI2" i="27"/>
  <c r="OA3" i="24"/>
  <c r="NZ2" i="24"/>
  <c r="OO2" i="33" l="1"/>
  <c r="OP3" i="33"/>
  <c r="OO4" i="33"/>
  <c r="OO4" i="31"/>
  <c r="OO2" i="31"/>
  <c r="OP3" i="31"/>
  <c r="OM3" i="30"/>
  <c r="OL2" i="30"/>
  <c r="OL4" i="30"/>
  <c r="OJ4" i="27"/>
  <c r="OJ2" i="27"/>
  <c r="OK3" i="27"/>
  <c r="OB3" i="24"/>
  <c r="OB4" i="24" s="1"/>
  <c r="OA2" i="24"/>
  <c r="OA4" i="24"/>
  <c r="OP4" i="33" l="1"/>
  <c r="OP2" i="33"/>
  <c r="OQ3" i="33"/>
  <c r="OP4" i="31"/>
  <c r="OP2" i="31"/>
  <c r="OQ3" i="31"/>
  <c r="OM2" i="30"/>
  <c r="ON3" i="30"/>
  <c r="OM4" i="30"/>
  <c r="OK2" i="27"/>
  <c r="OL3" i="27"/>
  <c r="OK4" i="27"/>
  <c r="OC3" i="24"/>
  <c r="OC4" i="24" s="1"/>
  <c r="OB2" i="24"/>
  <c r="OR3" i="33" l="1"/>
  <c r="OQ2" i="33"/>
  <c r="OQ4" i="33"/>
  <c r="OQ4" i="31"/>
  <c r="OQ2" i="31"/>
  <c r="OR3" i="31"/>
  <c r="ON2" i="30"/>
  <c r="OO3" i="30"/>
  <c r="ON4" i="30"/>
  <c r="OM3" i="27"/>
  <c r="OL4" i="27"/>
  <c r="OL2" i="27"/>
  <c r="OD3" i="24"/>
  <c r="OD4" i="24" s="1"/>
  <c r="OC2" i="24"/>
  <c r="OS3" i="33" l="1"/>
  <c r="OR4" i="33"/>
  <c r="OR2" i="33"/>
  <c r="OR4" i="31"/>
  <c r="OR2" i="31"/>
  <c r="OS3" i="31"/>
  <c r="OP3" i="30"/>
  <c r="OO4" i="30"/>
  <c r="OO2" i="30"/>
  <c r="OM2" i="27"/>
  <c r="OM4" i="27"/>
  <c r="ON3" i="27"/>
  <c r="OD2" i="24"/>
  <c r="OE3" i="24"/>
  <c r="OE4" i="24" s="1"/>
  <c r="OS4" i="33" l="1"/>
  <c r="OS2" i="33"/>
  <c r="OT3" i="33"/>
  <c r="OS4" i="31"/>
  <c r="OS2" i="31"/>
  <c r="OT3" i="31"/>
  <c r="OP4" i="30"/>
  <c r="OQ3" i="30"/>
  <c r="OP2" i="30"/>
  <c r="ON2" i="27"/>
  <c r="ON4" i="27"/>
  <c r="OO3" i="27"/>
  <c r="OF3" i="24"/>
  <c r="OF4" i="24" s="1"/>
  <c r="OE2" i="24"/>
  <c r="OT4" i="33" l="1"/>
  <c r="OT2" i="33"/>
  <c r="OU3" i="33"/>
  <c r="OT4" i="31"/>
  <c r="OT2" i="31"/>
  <c r="OU3" i="31"/>
  <c r="OR3" i="30"/>
  <c r="OQ4" i="30"/>
  <c r="OQ2" i="30"/>
  <c r="OP3" i="27"/>
  <c r="OO4" i="27"/>
  <c r="OO2" i="27"/>
  <c r="OF2" i="24"/>
  <c r="OG3" i="24"/>
  <c r="OG4" i="24" s="1"/>
  <c r="OU4" i="33" l="1"/>
  <c r="OV3" i="33"/>
  <c r="OU2" i="33"/>
  <c r="OV3" i="31"/>
  <c r="OU2" i="31"/>
  <c r="OU4" i="31"/>
  <c r="OR4" i="30"/>
  <c r="OS3" i="30"/>
  <c r="OR2" i="30"/>
  <c r="OQ3" i="27"/>
  <c r="OP4" i="27"/>
  <c r="OP2" i="27"/>
  <c r="OG2" i="24"/>
  <c r="OH3" i="24"/>
  <c r="OH4" i="24" s="1"/>
  <c r="OW3" i="33" l="1"/>
  <c r="OV2" i="33"/>
  <c r="OV4" i="33"/>
  <c r="OV2" i="31"/>
  <c r="OW3" i="31"/>
  <c r="OV4" i="31"/>
  <c r="OS4" i="30"/>
  <c r="OT3" i="30"/>
  <c r="OS2" i="30"/>
  <c r="OQ4" i="27"/>
  <c r="OR3" i="27"/>
  <c r="OQ2" i="27"/>
  <c r="OH2" i="24"/>
  <c r="OI3" i="24"/>
  <c r="OI4" i="24" s="1"/>
  <c r="OW4" i="33" l="1"/>
  <c r="OX3" i="33"/>
  <c r="OW2" i="33"/>
  <c r="OW4" i="31"/>
  <c r="OX3" i="31"/>
  <c r="OW2" i="31"/>
  <c r="OU3" i="30"/>
  <c r="OT4" i="30"/>
  <c r="OT2" i="30"/>
  <c r="OS3" i="27"/>
  <c r="OR4" i="27"/>
  <c r="OR2" i="27"/>
  <c r="OI2" i="24"/>
  <c r="OJ3" i="24"/>
  <c r="OJ4" i="24" s="1"/>
  <c r="OX2" i="33" l="1"/>
  <c r="OX4" i="33"/>
  <c r="OY3" i="33"/>
  <c r="OY3" i="31"/>
  <c r="OX2" i="31"/>
  <c r="OX4" i="31"/>
  <c r="OU4" i="30"/>
  <c r="OU2" i="30"/>
  <c r="OV3" i="30"/>
  <c r="OT3" i="27"/>
  <c r="OS4" i="27"/>
  <c r="OS2" i="27"/>
  <c r="OK3" i="24"/>
  <c r="OK4" i="24" s="1"/>
  <c r="OJ2" i="24"/>
  <c r="OZ3" i="33" l="1"/>
  <c r="OY4" i="33"/>
  <c r="OY2" i="33"/>
  <c r="OZ3" i="31"/>
  <c r="OY2" i="31"/>
  <c r="OY4" i="31"/>
  <c r="OW3" i="30"/>
  <c r="OV4" i="30"/>
  <c r="OV2" i="30"/>
  <c r="OT4" i="27"/>
  <c r="OU3" i="27"/>
  <c r="OT2" i="27"/>
  <c r="OK2" i="24"/>
  <c r="OL3" i="24"/>
  <c r="OL4" i="24" s="1"/>
  <c r="OZ4" i="33" l="1"/>
  <c r="PA3" i="33"/>
  <c r="OZ2" i="33"/>
  <c r="PA3" i="31"/>
  <c r="OZ2" i="31"/>
  <c r="OZ4" i="31"/>
  <c r="OX3" i="30"/>
  <c r="OW2" i="30"/>
  <c r="OW4" i="30"/>
  <c r="OU2" i="27"/>
  <c r="OU4" i="27"/>
  <c r="OV3" i="27"/>
  <c r="OL2" i="24"/>
  <c r="OM3" i="24"/>
  <c r="OM4" i="24" s="1"/>
  <c r="PA2" i="33" l="1"/>
  <c r="PB3" i="33"/>
  <c r="PA4" i="33"/>
  <c r="PB3" i="31"/>
  <c r="PA4" i="31"/>
  <c r="PA2" i="31"/>
  <c r="OX2" i="30"/>
  <c r="OY3" i="30"/>
  <c r="OX4" i="30"/>
  <c r="OW3" i="27"/>
  <c r="OV2" i="27"/>
  <c r="OV4" i="27"/>
  <c r="ON3" i="24"/>
  <c r="ON4" i="24" s="1"/>
  <c r="OM2" i="24"/>
  <c r="PB4" i="33" l="1"/>
  <c r="PB2" i="33"/>
  <c r="PC3" i="33"/>
  <c r="PC3" i="31"/>
  <c r="PB2" i="31"/>
  <c r="PB4" i="31"/>
  <c r="OY2" i="30"/>
  <c r="OY4" i="30"/>
  <c r="OZ3" i="30"/>
  <c r="OW4" i="27"/>
  <c r="OX3" i="27"/>
  <c r="OW2" i="27"/>
  <c r="OO3" i="24"/>
  <c r="OO4" i="24" s="1"/>
  <c r="ON2" i="24"/>
  <c r="PC2" i="33" l="1"/>
  <c r="PD3" i="33"/>
  <c r="PC4" i="33"/>
  <c r="PD3" i="31"/>
  <c r="PC2" i="31"/>
  <c r="PC4" i="31"/>
  <c r="OZ2" i="30"/>
  <c r="OZ4" i="30"/>
  <c r="PA3" i="30"/>
  <c r="OX2" i="27"/>
  <c r="OX4" i="27"/>
  <c r="OY3" i="27"/>
  <c r="OO2" i="24"/>
  <c r="OP3" i="24"/>
  <c r="OP4" i="24" s="1"/>
  <c r="PD2" i="33" l="1"/>
  <c r="PE3" i="33"/>
  <c r="PD4" i="33"/>
  <c r="PE3" i="31"/>
  <c r="PD4" i="31"/>
  <c r="PD2" i="31"/>
  <c r="PA4" i="30"/>
  <c r="PB3" i="30"/>
  <c r="PA2" i="30"/>
  <c r="OY2" i="27"/>
  <c r="OZ3" i="27"/>
  <c r="OY4" i="27"/>
  <c r="OP2" i="24"/>
  <c r="OQ3" i="24"/>
  <c r="OQ4" i="24" s="1"/>
  <c r="PE4" i="33" l="1"/>
  <c r="PF3" i="33"/>
  <c r="PE2" i="33"/>
  <c r="PE4" i="31"/>
  <c r="PF3" i="31"/>
  <c r="PE2" i="31"/>
  <c r="PB2" i="30"/>
  <c r="PB4" i="30"/>
  <c r="PC3" i="30"/>
  <c r="PA3" i="27"/>
  <c r="OZ2" i="27"/>
  <c r="OZ4" i="27"/>
  <c r="OQ2" i="24"/>
  <c r="OR3" i="24"/>
  <c r="OR4" i="24" s="1"/>
  <c r="PF4" i="33" l="1"/>
  <c r="PG3" i="33"/>
  <c r="PF2" i="33"/>
  <c r="PF4" i="31"/>
  <c r="PF2" i="31"/>
  <c r="PG3" i="31"/>
  <c r="PD3" i="30"/>
  <c r="PC4" i="30"/>
  <c r="PC2" i="30"/>
  <c r="PB3" i="27"/>
  <c r="PA4" i="27"/>
  <c r="PA2" i="27"/>
  <c r="OS3" i="24"/>
  <c r="OS4" i="24" s="1"/>
  <c r="OR2" i="24"/>
  <c r="PG4" i="33" l="1"/>
  <c r="PH3" i="33"/>
  <c r="PG2" i="33"/>
  <c r="PG4" i="31"/>
  <c r="PG2" i="31"/>
  <c r="PH3" i="31"/>
  <c r="PD2" i="30"/>
  <c r="PE3" i="30"/>
  <c r="PD4" i="30"/>
  <c r="PB2" i="27"/>
  <c r="PB4" i="27"/>
  <c r="PC3" i="27"/>
  <c r="OT3" i="24"/>
  <c r="OT4" i="24" s="1"/>
  <c r="OS2" i="24"/>
  <c r="PH4" i="33" l="1"/>
  <c r="PH2" i="33"/>
  <c r="PI3" i="33"/>
  <c r="PH2" i="31"/>
  <c r="PH4" i="31"/>
  <c r="PI3" i="31"/>
  <c r="PF3" i="30"/>
  <c r="PE2" i="30"/>
  <c r="PE4" i="30"/>
  <c r="PD3" i="27"/>
  <c r="PC2" i="27"/>
  <c r="PC4" i="27"/>
  <c r="OU3" i="24"/>
  <c r="OU4" i="24" s="1"/>
  <c r="OT2" i="24"/>
  <c r="PJ3" i="33" l="1"/>
  <c r="PI4" i="33"/>
  <c r="PI2" i="33"/>
  <c r="PJ3" i="31"/>
  <c r="PI2" i="31"/>
  <c r="PI4" i="31"/>
  <c r="PF4" i="30"/>
  <c r="PG3" i="30"/>
  <c r="PF2" i="30"/>
  <c r="PE3" i="27"/>
  <c r="PD4" i="27"/>
  <c r="PD2" i="27"/>
  <c r="OV3" i="24"/>
  <c r="OV4" i="24" s="1"/>
  <c r="OU2" i="24"/>
  <c r="PK3" i="33" l="1"/>
  <c r="PJ4" i="33"/>
  <c r="PJ2" i="33"/>
  <c r="PJ2" i="31"/>
  <c r="PJ4" i="31"/>
  <c r="PK3" i="31"/>
  <c r="PG4" i="30"/>
  <c r="PG2" i="30"/>
  <c r="PH3" i="30"/>
  <c r="PF3" i="27"/>
  <c r="PE2" i="27"/>
  <c r="PE4" i="27"/>
  <c r="OW3" i="24"/>
  <c r="OW4" i="24" s="1"/>
  <c r="OV2" i="24"/>
  <c r="PK4" i="33" l="1"/>
  <c r="PL3" i="33"/>
  <c r="PK2" i="33"/>
  <c r="PK2" i="31"/>
  <c r="PK4" i="31"/>
  <c r="PL3" i="31"/>
  <c r="PI3" i="30"/>
  <c r="PH4" i="30"/>
  <c r="PH2" i="30"/>
  <c r="PF4" i="27"/>
  <c r="PF2" i="27"/>
  <c r="PG3" i="27"/>
  <c r="OW2" i="24"/>
  <c r="OX3" i="24"/>
  <c r="OX4" i="24" s="1"/>
  <c r="PL4" i="33" l="1"/>
  <c r="PM3" i="33"/>
  <c r="PL2" i="33"/>
  <c r="PL4" i="31"/>
  <c r="PM3" i="31"/>
  <c r="PL2" i="31"/>
  <c r="PI2" i="30"/>
  <c r="PJ3" i="30"/>
  <c r="PI4" i="30"/>
  <c r="PG4" i="27"/>
  <c r="PH3" i="27"/>
  <c r="PG2" i="27"/>
  <c r="OY3" i="24"/>
  <c r="OY4" i="24" s="1"/>
  <c r="OX2" i="24"/>
  <c r="PN3" i="33" l="1"/>
  <c r="PM2" i="33"/>
  <c r="PM4" i="33"/>
  <c r="PM4" i="31"/>
  <c r="PN3" i="31"/>
  <c r="PM2" i="31"/>
  <c r="PJ4" i="30"/>
  <c r="PJ2" i="30"/>
  <c r="PK3" i="30"/>
  <c r="PH4" i="27"/>
  <c r="PI3" i="27"/>
  <c r="PH2" i="27"/>
  <c r="OY2" i="24"/>
  <c r="OZ3" i="24"/>
  <c r="OZ4" i="24" s="1"/>
  <c r="PO3" i="33" l="1"/>
  <c r="PN2" i="33"/>
  <c r="PN4" i="33"/>
  <c r="PO3" i="31"/>
  <c r="PN4" i="31"/>
  <c r="PN2" i="31"/>
  <c r="PK4" i="30"/>
  <c r="PL3" i="30"/>
  <c r="PK2" i="30"/>
  <c r="PJ3" i="27"/>
  <c r="PI4" i="27"/>
  <c r="PI2" i="27"/>
  <c r="OZ2" i="24"/>
  <c r="PA3" i="24"/>
  <c r="PA4" i="24" s="1"/>
  <c r="PO2" i="33" l="1"/>
  <c r="PO4" i="33"/>
  <c r="PP3" i="33"/>
  <c r="PO4" i="31"/>
  <c r="PP3" i="31"/>
  <c r="PO2" i="31"/>
  <c r="PM3" i="30"/>
  <c r="PL4" i="30"/>
  <c r="PL2" i="30"/>
  <c r="PK3" i="27"/>
  <c r="PJ4" i="27"/>
  <c r="PJ2" i="27"/>
  <c r="PB3" i="24"/>
  <c r="PB4" i="24" s="1"/>
  <c r="PA2" i="24"/>
  <c r="PP4" i="33" l="1"/>
  <c r="PP2" i="33"/>
  <c r="PQ3" i="33"/>
  <c r="PP2" i="31"/>
  <c r="PQ3" i="31"/>
  <c r="PP4" i="31"/>
  <c r="PN3" i="30"/>
  <c r="PM2" i="30"/>
  <c r="PM4" i="30"/>
  <c r="PK2" i="27"/>
  <c r="PL3" i="27"/>
  <c r="PK4" i="27"/>
  <c r="PC3" i="24"/>
  <c r="PC4" i="24" s="1"/>
  <c r="PB2" i="24"/>
  <c r="PQ2" i="33" l="1"/>
  <c r="PR3" i="33"/>
  <c r="PQ4" i="33"/>
  <c r="PR3" i="31"/>
  <c r="PQ4" i="31"/>
  <c r="PQ2" i="31"/>
  <c r="PO3" i="30"/>
  <c r="PN2" i="30"/>
  <c r="PN4" i="30"/>
  <c r="PL4" i="27"/>
  <c r="PL2" i="27"/>
  <c r="PM3" i="27"/>
  <c r="PD3" i="24"/>
  <c r="PD4" i="24" s="1"/>
  <c r="PC2" i="24"/>
  <c r="PS3" i="33" l="1"/>
  <c r="PR2" i="33"/>
  <c r="PR4" i="33"/>
  <c r="PR2" i="31"/>
  <c r="PR4" i="31"/>
  <c r="PS3" i="31"/>
  <c r="PP3" i="30"/>
  <c r="PO2" i="30"/>
  <c r="PO4" i="30"/>
  <c r="PM2" i="27"/>
  <c r="PM4" i="27"/>
  <c r="PN3" i="27"/>
  <c r="PE3" i="24"/>
  <c r="PE4" i="24" s="1"/>
  <c r="PD2" i="24"/>
  <c r="PT3" i="33" l="1"/>
  <c r="PS2" i="33"/>
  <c r="PS4" i="33"/>
  <c r="PS2" i="31"/>
  <c r="PT3" i="31"/>
  <c r="PS4" i="31"/>
  <c r="PP2" i="30"/>
  <c r="PQ3" i="30"/>
  <c r="PP4" i="30"/>
  <c r="PN4" i="27"/>
  <c r="PN2" i="27"/>
  <c r="PO3" i="27"/>
  <c r="PF3" i="24"/>
  <c r="PF4" i="24" s="1"/>
  <c r="PE2" i="24"/>
  <c r="PT4" i="33" l="1"/>
  <c r="PT2" i="33"/>
  <c r="PU3" i="33"/>
  <c r="PU3" i="31"/>
  <c r="PT4" i="31"/>
  <c r="PT2" i="31"/>
  <c r="PR3" i="30"/>
  <c r="PQ2" i="30"/>
  <c r="PQ4" i="30"/>
  <c r="PO4" i="27"/>
  <c r="PP3" i="27"/>
  <c r="PO2" i="27"/>
  <c r="PG3" i="24"/>
  <c r="PG4" i="24" s="1"/>
  <c r="PF2" i="24"/>
  <c r="PU4" i="33" l="1"/>
  <c r="PU2" i="33"/>
  <c r="PV3" i="33"/>
  <c r="PU4" i="31"/>
  <c r="PV3" i="31"/>
  <c r="PU2" i="31"/>
  <c r="PR2" i="30"/>
  <c r="PR4" i="30"/>
  <c r="PS3" i="30"/>
  <c r="PP2" i="27"/>
  <c r="PQ3" i="27"/>
  <c r="PP4" i="27"/>
  <c r="PG2" i="24"/>
  <c r="PH3" i="24"/>
  <c r="PH4" i="24" s="1"/>
  <c r="PV4" i="33" l="1"/>
  <c r="PW3" i="33"/>
  <c r="PV2" i="33"/>
  <c r="PW3" i="31"/>
  <c r="PV2" i="31"/>
  <c r="PV4" i="31"/>
  <c r="PS4" i="30"/>
  <c r="PT3" i="30"/>
  <c r="PS2" i="30"/>
  <c r="PQ2" i="27"/>
  <c r="PR3" i="27"/>
  <c r="PQ4" i="27"/>
  <c r="PH2" i="24"/>
  <c r="PI3" i="24"/>
  <c r="PI4" i="24" s="1"/>
  <c r="PW4" i="33" l="1"/>
  <c r="PX3" i="33"/>
  <c r="PW2" i="33"/>
  <c r="PX3" i="31"/>
  <c r="PW4" i="31"/>
  <c r="PW2" i="31"/>
  <c r="PT4" i="30"/>
  <c r="PU3" i="30"/>
  <c r="PT2" i="30"/>
  <c r="PS3" i="27"/>
  <c r="PR2" i="27"/>
  <c r="PR4" i="27"/>
  <c r="PJ3" i="24"/>
  <c r="PJ4" i="24" s="1"/>
  <c r="PI2" i="24"/>
  <c r="PY3" i="33" l="1"/>
  <c r="PX4" i="33"/>
  <c r="PX2" i="33"/>
  <c r="PX2" i="31"/>
  <c r="PX4" i="31"/>
  <c r="PY3" i="31"/>
  <c r="PU4" i="30"/>
  <c r="PV3" i="30"/>
  <c r="PU2" i="30"/>
  <c r="PT3" i="27"/>
  <c r="PS4" i="27"/>
  <c r="PS2" i="27"/>
  <c r="PK3" i="24"/>
  <c r="PK4" i="24" s="1"/>
  <c r="PJ2" i="24"/>
  <c r="PY4" i="33" l="1"/>
  <c r="PZ3" i="33"/>
  <c r="PY2" i="33"/>
  <c r="PY4" i="31"/>
  <c r="PZ3" i="31"/>
  <c r="PY2" i="31"/>
  <c r="PW3" i="30"/>
  <c r="PV4" i="30"/>
  <c r="PV2" i="30"/>
  <c r="PT4" i="27"/>
  <c r="PT2" i="27"/>
  <c r="PU3" i="27"/>
  <c r="PL3" i="24"/>
  <c r="PL4" i="24" s="1"/>
  <c r="PK2" i="24"/>
  <c r="PZ4" i="33" l="1"/>
  <c r="QA3" i="33"/>
  <c r="PZ2" i="33"/>
  <c r="QA3" i="31"/>
  <c r="PZ2" i="31"/>
  <c r="PZ4" i="31"/>
  <c r="PW4" i="30"/>
  <c r="PX3" i="30"/>
  <c r="PW2" i="30"/>
  <c r="PU4" i="27"/>
  <c r="PV3" i="27"/>
  <c r="PU2" i="27"/>
  <c r="PL2" i="24"/>
  <c r="PM3" i="24"/>
  <c r="PM4" i="24" s="1"/>
  <c r="QA4" i="33" l="1"/>
  <c r="QB3" i="33"/>
  <c r="QA2" i="33"/>
  <c r="QA4" i="31"/>
  <c r="QA2" i="31"/>
  <c r="QB3" i="31"/>
  <c r="PY3" i="30"/>
  <c r="PX2" i="30"/>
  <c r="PX4" i="30"/>
  <c r="PV4" i="27"/>
  <c r="PV2" i="27"/>
  <c r="PW3" i="27"/>
  <c r="PN3" i="24"/>
  <c r="PN4" i="24" s="1"/>
  <c r="PM2" i="24"/>
  <c r="QC3" i="33" l="1"/>
  <c r="QB4" i="33"/>
  <c r="QB2" i="33"/>
  <c r="QC3" i="31"/>
  <c r="QB2" i="31"/>
  <c r="QB4" i="31"/>
  <c r="PY4" i="30"/>
  <c r="PY2" i="30"/>
  <c r="PZ3" i="30"/>
  <c r="PW2" i="27"/>
  <c r="PX3" i="27"/>
  <c r="PW4" i="27"/>
  <c r="PO3" i="24"/>
  <c r="PO4" i="24" s="1"/>
  <c r="PN2" i="24"/>
  <c r="QD3" i="33" l="1"/>
  <c r="QC2" i="33"/>
  <c r="QC4" i="33"/>
  <c r="QD3" i="31"/>
  <c r="QC2" i="31"/>
  <c r="QC4" i="31"/>
  <c r="PZ4" i="30"/>
  <c r="QA3" i="30"/>
  <c r="PZ2" i="30"/>
  <c r="PY3" i="27"/>
  <c r="PX4" i="27"/>
  <c r="PX2" i="27"/>
  <c r="PO2" i="24"/>
  <c r="PP3" i="24"/>
  <c r="PP4" i="24" s="1"/>
  <c r="QE3" i="33" l="1"/>
  <c r="QD4" i="33"/>
  <c r="QD2" i="33"/>
  <c r="QD2" i="31"/>
  <c r="QE3" i="31"/>
  <c r="QD4" i="31"/>
  <c r="QB3" i="30"/>
  <c r="QA4" i="30"/>
  <c r="QA2" i="30"/>
  <c r="PY2" i="27"/>
  <c r="PZ3" i="27"/>
  <c r="PY4" i="27"/>
  <c r="PQ3" i="24"/>
  <c r="PQ4" i="24" s="1"/>
  <c r="PP2" i="24"/>
  <c r="QE2" i="33" l="1"/>
  <c r="QE4" i="33"/>
  <c r="QF3" i="33"/>
  <c r="QE4" i="31"/>
  <c r="QF3" i="31"/>
  <c r="QE2" i="31"/>
  <c r="QB4" i="30"/>
  <c r="QB2" i="30"/>
  <c r="QC3" i="30"/>
  <c r="QA3" i="27"/>
  <c r="PZ2" i="27"/>
  <c r="PZ4" i="27"/>
  <c r="PR3" i="24"/>
  <c r="PR4" i="24" s="1"/>
  <c r="PQ2" i="24"/>
  <c r="QF2" i="33" l="1"/>
  <c r="QF4" i="33"/>
  <c r="QG3" i="33"/>
  <c r="QF2" i="31"/>
  <c r="QF4" i="31"/>
  <c r="QG3" i="31"/>
  <c r="QD3" i="30"/>
  <c r="QC4" i="30"/>
  <c r="QC2" i="30"/>
  <c r="QA4" i="27"/>
  <c r="QA2" i="27"/>
  <c r="QB3" i="27"/>
  <c r="PS3" i="24"/>
  <c r="PS4" i="24" s="1"/>
  <c r="PR2" i="24"/>
  <c r="QG4" i="33" l="1"/>
  <c r="QH3" i="33"/>
  <c r="QG2" i="33"/>
  <c r="QG4" i="31"/>
  <c r="QH3" i="31"/>
  <c r="QG2" i="31"/>
  <c r="QD2" i="30"/>
  <c r="QE3" i="30"/>
  <c r="QD4" i="30"/>
  <c r="QB2" i="27"/>
  <c r="QC3" i="27"/>
  <c r="QB4" i="27"/>
  <c r="PS2" i="24"/>
  <c r="PT3" i="24"/>
  <c r="PT4" i="24" s="1"/>
  <c r="QH4" i="33" l="1"/>
  <c r="QI3" i="33"/>
  <c r="QH2" i="33"/>
  <c r="QH2" i="31"/>
  <c r="QI3" i="31"/>
  <c r="QH4" i="31"/>
  <c r="QF3" i="30"/>
  <c r="QE4" i="30"/>
  <c r="QE2" i="30"/>
  <c r="QC2" i="27"/>
  <c r="QD3" i="27"/>
  <c r="QC4" i="27"/>
  <c r="PT2" i="24"/>
  <c r="PU3" i="24"/>
  <c r="PU4" i="24" s="1"/>
  <c r="QJ3" i="33" l="1"/>
  <c r="QI4" i="33"/>
  <c r="QI2" i="33"/>
  <c r="QI4" i="31"/>
  <c r="QI2" i="31"/>
  <c r="QJ3" i="31"/>
  <c r="QF2" i="30"/>
  <c r="QG3" i="30"/>
  <c r="QF4" i="30"/>
  <c r="QD2" i="27"/>
  <c r="QD4" i="27"/>
  <c r="QE3" i="27"/>
  <c r="PU2" i="24"/>
  <c r="PV3" i="24"/>
  <c r="PV4" i="24" s="1"/>
  <c r="QJ4" i="33" l="1"/>
  <c r="QJ2" i="33"/>
  <c r="QK3" i="33"/>
  <c r="QK3" i="31"/>
  <c r="QJ4" i="31"/>
  <c r="QJ2" i="31"/>
  <c r="QG2" i="30"/>
  <c r="QH3" i="30"/>
  <c r="QG4" i="30"/>
  <c r="QF3" i="27"/>
  <c r="QE2" i="27"/>
  <c r="QE4" i="27"/>
  <c r="PV2" i="24"/>
  <c r="PW3" i="24"/>
  <c r="PW4" i="24" s="1"/>
  <c r="QK4" i="33" l="1"/>
  <c r="QK2" i="33"/>
  <c r="QL3" i="33"/>
  <c r="QL3" i="31"/>
  <c r="QK4" i="31"/>
  <c r="QK2" i="31"/>
  <c r="QH4" i="30"/>
  <c r="QH2" i="30"/>
  <c r="QI3" i="30"/>
  <c r="QF4" i="27"/>
  <c r="QF2" i="27"/>
  <c r="QG3" i="27"/>
  <c r="PW2" i="24"/>
  <c r="PX3" i="24"/>
  <c r="PX4" i="24" s="1"/>
  <c r="QM3" i="33" l="1"/>
  <c r="QL4" i="33"/>
  <c r="QL2" i="33"/>
  <c r="QL2" i="31"/>
  <c r="QM3" i="31"/>
  <c r="QL4" i="31"/>
  <c r="QI2" i="30"/>
  <c r="QJ3" i="30"/>
  <c r="QI4" i="30"/>
  <c r="QG4" i="27"/>
  <c r="QH3" i="27"/>
  <c r="QG2" i="27"/>
  <c r="PY3" i="24"/>
  <c r="PY4" i="24" s="1"/>
  <c r="PX2" i="24"/>
  <c r="QN3" i="33" l="1"/>
  <c r="QM4" i="33"/>
  <c r="QM2" i="33"/>
  <c r="QM4" i="31"/>
  <c r="QM2" i="31"/>
  <c r="QN3" i="31"/>
  <c r="QK3" i="30"/>
  <c r="QJ2" i="30"/>
  <c r="QJ4" i="30"/>
  <c r="QI3" i="27"/>
  <c r="QH4" i="27"/>
  <c r="QH2" i="27"/>
  <c r="PY2" i="24"/>
  <c r="PZ3" i="24"/>
  <c r="PZ4" i="24" s="1"/>
  <c r="QN4" i="33" l="1"/>
  <c r="QO3" i="33"/>
  <c r="QN2" i="33"/>
  <c r="QN4" i="31"/>
  <c r="QO3" i="31"/>
  <c r="QN2" i="31"/>
  <c r="QL3" i="30"/>
  <c r="QK2" i="30"/>
  <c r="QK4" i="30"/>
  <c r="QJ3" i="27"/>
  <c r="QI4" i="27"/>
  <c r="QI2" i="27"/>
  <c r="QA3" i="24"/>
  <c r="QA4" i="24" s="1"/>
  <c r="PZ2" i="24"/>
  <c r="QO4" i="33" l="1"/>
  <c r="QO2" i="33"/>
  <c r="QP3" i="33"/>
  <c r="QO4" i="31"/>
  <c r="QP3" i="31"/>
  <c r="QO2" i="31"/>
  <c r="QM3" i="30"/>
  <c r="QL2" i="30"/>
  <c r="QL4" i="30"/>
  <c r="QJ4" i="27"/>
  <c r="QJ2" i="27"/>
  <c r="QK3" i="27"/>
  <c r="QB3" i="24"/>
  <c r="QB4" i="24" s="1"/>
  <c r="QA2" i="24"/>
  <c r="QP4" i="33" l="1"/>
  <c r="QQ3" i="33"/>
  <c r="QP2" i="33"/>
  <c r="QP4" i="31"/>
  <c r="QQ3" i="31"/>
  <c r="QP2" i="31"/>
  <c r="QM4" i="30"/>
  <c r="QM2" i="30"/>
  <c r="QN3" i="30"/>
  <c r="QK4" i="27"/>
  <c r="QL3" i="27"/>
  <c r="QK2" i="27"/>
  <c r="QB2" i="24"/>
  <c r="QC3" i="24"/>
  <c r="QC4" i="24" s="1"/>
  <c r="QQ2" i="33" l="1"/>
  <c r="QQ4" i="33"/>
  <c r="QR3" i="33"/>
  <c r="QQ4" i="31"/>
  <c r="QR3" i="31"/>
  <c r="QQ2" i="31"/>
  <c r="QN4" i="30"/>
  <c r="QN2" i="30"/>
  <c r="QO3" i="30"/>
  <c r="QM3" i="27"/>
  <c r="QL2" i="27"/>
  <c r="QL4" i="27"/>
  <c r="QD3" i="24"/>
  <c r="QD4" i="24" s="1"/>
  <c r="QC2" i="24"/>
  <c r="QS3" i="33" l="1"/>
  <c r="QR4" i="33"/>
  <c r="QR2" i="33"/>
  <c r="QS3" i="31"/>
  <c r="QR2" i="31"/>
  <c r="QR4" i="31"/>
  <c r="QP3" i="30"/>
  <c r="QO4" i="30"/>
  <c r="QO2" i="30"/>
  <c r="QM4" i="27"/>
  <c r="QN3" i="27"/>
  <c r="QM2" i="27"/>
  <c r="QE3" i="24"/>
  <c r="QE4" i="24" s="1"/>
  <c r="QD2" i="24"/>
  <c r="QS2" i="33" l="1"/>
  <c r="QS4" i="33"/>
  <c r="QT3" i="33"/>
  <c r="QT3" i="31"/>
  <c r="QS2" i="31"/>
  <c r="QS4" i="31"/>
  <c r="QQ3" i="30"/>
  <c r="QP4" i="30"/>
  <c r="QP2" i="30"/>
  <c r="QN4" i="27"/>
  <c r="QO3" i="27"/>
  <c r="QN2" i="27"/>
  <c r="QE2" i="24"/>
  <c r="QF3" i="24"/>
  <c r="QF4" i="24" s="1"/>
  <c r="QU3" i="33" l="1"/>
  <c r="QT2" i="33"/>
  <c r="QT4" i="33"/>
  <c r="QU3" i="31"/>
  <c r="QT2" i="31"/>
  <c r="QT4" i="31"/>
  <c r="QQ4" i="30"/>
  <c r="QR3" i="30"/>
  <c r="QQ2" i="30"/>
  <c r="QO2" i="27"/>
  <c r="QO4" i="27"/>
  <c r="QP3" i="27"/>
  <c r="QG3" i="24"/>
  <c r="QG4" i="24" s="1"/>
  <c r="QF2" i="24"/>
  <c r="QV3" i="33" l="1"/>
  <c r="QU4" i="33"/>
  <c r="QU2" i="33"/>
  <c r="QV3" i="31"/>
  <c r="QU2" i="31"/>
  <c r="QU4" i="31"/>
  <c r="QR2" i="30"/>
  <c r="QR4" i="30"/>
  <c r="QS3" i="30"/>
  <c r="QP4" i="27"/>
  <c r="QQ3" i="27"/>
  <c r="QP2" i="27"/>
  <c r="QG2" i="24"/>
  <c r="QH3" i="24"/>
  <c r="QH4" i="24" s="1"/>
  <c r="QV4" i="33" l="1"/>
  <c r="QW3" i="33"/>
  <c r="QV2" i="33"/>
  <c r="QV2" i="31"/>
  <c r="QW3" i="31"/>
  <c r="QV4" i="31"/>
  <c r="QT3" i="30"/>
  <c r="QS4" i="30"/>
  <c r="QS2" i="30"/>
  <c r="QR3" i="27"/>
  <c r="QQ4" i="27"/>
  <c r="QQ2" i="27"/>
  <c r="QI3" i="24"/>
  <c r="QI4" i="24" s="1"/>
  <c r="QH2" i="24"/>
  <c r="QX3" i="33" l="1"/>
  <c r="QW2" i="33"/>
  <c r="QW4" i="33"/>
  <c r="QW4" i="31"/>
  <c r="QW2" i="31"/>
  <c r="QX3" i="31"/>
  <c r="QT4" i="30"/>
  <c r="QT2" i="30"/>
  <c r="QU3" i="30"/>
  <c r="QR2" i="27"/>
  <c r="QS3" i="27"/>
  <c r="QR4" i="27"/>
  <c r="QJ3" i="24"/>
  <c r="QJ4" i="24" s="1"/>
  <c r="QI2" i="24"/>
  <c r="QX4" i="33" l="1"/>
  <c r="QY3" i="33"/>
  <c r="QX2" i="33"/>
  <c r="QX2" i="31"/>
  <c r="QY3" i="31"/>
  <c r="QX4" i="31"/>
  <c r="QU4" i="30"/>
  <c r="QU2" i="30"/>
  <c r="QV3" i="30"/>
  <c r="QS2" i="27"/>
  <c r="QS4" i="27"/>
  <c r="QT3" i="27"/>
  <c r="QK3" i="24"/>
  <c r="QK4" i="24" s="1"/>
  <c r="QJ2" i="24"/>
  <c r="QY4" i="33" l="1"/>
  <c r="QZ3" i="33"/>
  <c r="QY2" i="33"/>
  <c r="QZ3" i="31"/>
  <c r="QY2" i="31"/>
  <c r="QY4" i="31"/>
  <c r="QV4" i="30"/>
  <c r="QV2" i="30"/>
  <c r="QW3" i="30"/>
  <c r="QU3" i="27"/>
  <c r="QT2" i="27"/>
  <c r="QT4" i="27"/>
  <c r="QK2" i="24"/>
  <c r="QL3" i="24"/>
  <c r="QL4" i="24" s="1"/>
  <c r="RA3" i="33" l="1"/>
  <c r="QZ4" i="33"/>
  <c r="QZ2" i="33"/>
  <c r="QZ2" i="31"/>
  <c r="RA3" i="31"/>
  <c r="QZ4" i="31"/>
  <c r="QW4" i="30"/>
  <c r="QW2" i="30"/>
  <c r="QX3" i="30"/>
  <c r="QU2" i="27"/>
  <c r="QU4" i="27"/>
  <c r="QV3" i="27"/>
  <c r="QL2" i="24"/>
  <c r="QM3" i="24"/>
  <c r="QM4" i="24" s="1"/>
  <c r="RB3" i="33" l="1"/>
  <c r="RA4" i="33"/>
  <c r="RA2" i="33"/>
  <c r="RA2" i="31"/>
  <c r="RA4" i="31"/>
  <c r="RB3" i="31"/>
  <c r="QY3" i="30"/>
  <c r="QX4" i="30"/>
  <c r="QX2" i="30"/>
  <c r="QV2" i="27"/>
  <c r="QW3" i="27"/>
  <c r="QV4" i="27"/>
  <c r="QM2" i="24"/>
  <c r="QN3" i="24"/>
  <c r="QN4" i="24" s="1"/>
  <c r="RB4" i="33" l="1"/>
  <c r="RB2" i="33"/>
  <c r="RC3" i="33"/>
  <c r="RB2" i="31"/>
  <c r="RC3" i="31"/>
  <c r="RB4" i="31"/>
  <c r="QY2" i="30"/>
  <c r="QY4" i="30"/>
  <c r="QZ3" i="30"/>
  <c r="QX3" i="27"/>
  <c r="QW2" i="27"/>
  <c r="QW4" i="27"/>
  <c r="QO3" i="24"/>
  <c r="QO4" i="24" s="1"/>
  <c r="QN2" i="24"/>
  <c r="RC4" i="33" l="1"/>
  <c r="RC2" i="33"/>
  <c r="RD3" i="33"/>
  <c r="RC4" i="31"/>
  <c r="RD3" i="31"/>
  <c r="RC2" i="31"/>
  <c r="QZ2" i="30"/>
  <c r="RA3" i="30"/>
  <c r="QZ4" i="30"/>
  <c r="QX4" i="27"/>
  <c r="QX2" i="27"/>
  <c r="QY3" i="27"/>
  <c r="QP3" i="24"/>
  <c r="QP4" i="24" s="1"/>
  <c r="QO2" i="24"/>
  <c r="RE3" i="33" l="1"/>
  <c r="RD2" i="33"/>
  <c r="RD4" i="33"/>
  <c r="RD4" i="31"/>
  <c r="RE3" i="31"/>
  <c r="RD2" i="31"/>
  <c r="RA2" i="30"/>
  <c r="RB3" i="30"/>
  <c r="RA4" i="30"/>
  <c r="QY2" i="27"/>
  <c r="QZ3" i="27"/>
  <c r="QY4" i="27"/>
  <c r="QQ3" i="24"/>
  <c r="QQ4" i="24" s="1"/>
  <c r="QP2" i="24"/>
  <c r="RE4" i="33" l="1"/>
  <c r="RF3" i="33"/>
  <c r="RE2" i="33"/>
  <c r="RE4" i="31"/>
  <c r="RE2" i="31"/>
  <c r="RF3" i="31"/>
  <c r="RB2" i="30"/>
  <c r="RC3" i="30"/>
  <c r="RB4" i="30"/>
  <c r="RA3" i="27"/>
  <c r="QZ4" i="27"/>
  <c r="QZ2" i="27"/>
  <c r="QR3" i="24"/>
  <c r="QR4" i="24" s="1"/>
  <c r="QQ2" i="24"/>
  <c r="RF2" i="33" l="1"/>
  <c r="RF4" i="33"/>
  <c r="RG3" i="33"/>
  <c r="RF4" i="31"/>
  <c r="RF2" i="31"/>
  <c r="RG3" i="31"/>
  <c r="RC4" i="30"/>
  <c r="RC2" i="30"/>
  <c r="RD3" i="30"/>
  <c r="RA4" i="27"/>
  <c r="RB3" i="27"/>
  <c r="RA2" i="27"/>
  <c r="QS3" i="24"/>
  <c r="QS4" i="24" s="1"/>
  <c r="QR2" i="24"/>
  <c r="RH3" i="33" l="1"/>
  <c r="RG2" i="33"/>
  <c r="RG4" i="33"/>
  <c r="RH3" i="31"/>
  <c r="RG4" i="31"/>
  <c r="RG2" i="31"/>
  <c r="RD4" i="30"/>
  <c r="RE3" i="30"/>
  <c r="RD2" i="30"/>
  <c r="RB4" i="27"/>
  <c r="RB2" i="27"/>
  <c r="RC3" i="27"/>
  <c r="QT3" i="24"/>
  <c r="QT4" i="24" s="1"/>
  <c r="QS2" i="24"/>
  <c r="RH4" i="33" l="1"/>
  <c r="RH2" i="33"/>
  <c r="RI3" i="33"/>
  <c r="RH4" i="31"/>
  <c r="RI3" i="31"/>
  <c r="RH2" i="31"/>
  <c r="RF3" i="30"/>
  <c r="RE2" i="30"/>
  <c r="RE4" i="30"/>
  <c r="RC2" i="27"/>
  <c r="RD3" i="27"/>
  <c r="RC4" i="27"/>
  <c r="QU3" i="24"/>
  <c r="QU4" i="24" s="1"/>
  <c r="QT2" i="24"/>
  <c r="RI4" i="33" l="1"/>
  <c r="RJ3" i="33"/>
  <c r="RI2" i="33"/>
  <c r="RJ3" i="31"/>
  <c r="RI4" i="31"/>
  <c r="RI2" i="31"/>
  <c r="RF2" i="30"/>
  <c r="RG3" i="30"/>
  <c r="RF4" i="30"/>
  <c r="RD4" i="27"/>
  <c r="RE3" i="27"/>
  <c r="RD2" i="27"/>
  <c r="QU2" i="24"/>
  <c r="QV3" i="24"/>
  <c r="QV4" i="24" s="1"/>
  <c r="RK3" i="33" l="1"/>
  <c r="RJ2" i="33"/>
  <c r="RJ4" i="33"/>
  <c r="RK3" i="31"/>
  <c r="RJ4" i="31"/>
  <c r="RJ2" i="31"/>
  <c r="RH3" i="30"/>
  <c r="RG4" i="30"/>
  <c r="RG2" i="30"/>
  <c r="RE4" i="27"/>
  <c r="RE2" i="27"/>
  <c r="RF3" i="27"/>
  <c r="QW3" i="24"/>
  <c r="QW4" i="24" s="1"/>
  <c r="QV2" i="24"/>
  <c r="RL3" i="33" l="1"/>
  <c r="RK4" i="33"/>
  <c r="RK2" i="33"/>
  <c r="RK4" i="31"/>
  <c r="RK2" i="31"/>
  <c r="RL3" i="31"/>
  <c r="RH4" i="30"/>
  <c r="RI3" i="30"/>
  <c r="RH2" i="30"/>
  <c r="RF2" i="27"/>
  <c r="RF4" i="27"/>
  <c r="RG3" i="27"/>
  <c r="QX3" i="24"/>
  <c r="QX4" i="24" s="1"/>
  <c r="QW2" i="24"/>
  <c r="RL4" i="33" l="1"/>
  <c r="RL2" i="33"/>
  <c r="RM3" i="33"/>
  <c r="RL2" i="31"/>
  <c r="RM3" i="31"/>
  <c r="RL4" i="31"/>
  <c r="RJ3" i="30"/>
  <c r="RI4" i="30"/>
  <c r="RI2" i="30"/>
  <c r="RG4" i="27"/>
  <c r="RH3" i="27"/>
  <c r="RG2" i="27"/>
  <c r="QY3" i="24"/>
  <c r="QY4" i="24" s="1"/>
  <c r="QX2" i="24"/>
  <c r="RM4" i="33" l="1"/>
  <c r="RM2" i="33"/>
  <c r="RN3" i="33"/>
  <c r="RN3" i="31"/>
  <c r="RM2" i="31"/>
  <c r="RM4" i="31"/>
  <c r="RJ4" i="30"/>
  <c r="RK3" i="30"/>
  <c r="RJ2" i="30"/>
  <c r="RH4" i="27"/>
  <c r="RI3" i="27"/>
  <c r="RH2" i="27"/>
  <c r="QZ3" i="24"/>
  <c r="QZ4" i="24" s="1"/>
  <c r="QY2" i="24"/>
  <c r="RO3" i="33" l="1"/>
  <c r="RN2" i="33"/>
  <c r="RN4" i="33"/>
  <c r="RN2" i="31"/>
  <c r="RO3" i="31"/>
  <c r="RN4" i="31"/>
  <c r="RK4" i="30"/>
  <c r="RL3" i="30"/>
  <c r="RK2" i="30"/>
  <c r="RJ3" i="27"/>
  <c r="RI2" i="27"/>
  <c r="RI4" i="27"/>
  <c r="QZ2" i="24"/>
  <c r="RA3" i="24"/>
  <c r="RA4" i="24" s="1"/>
  <c r="RP3" i="33" l="1"/>
  <c r="RO2" i="33"/>
  <c r="RO4" i="33"/>
  <c r="RO2" i="31"/>
  <c r="RP3" i="31"/>
  <c r="RO4" i="31"/>
  <c r="RM3" i="30"/>
  <c r="RL4" i="30"/>
  <c r="RL2" i="30"/>
  <c r="RK3" i="27"/>
  <c r="RJ2" i="27"/>
  <c r="RJ4" i="27"/>
  <c r="RB3" i="24"/>
  <c r="RB4" i="24" s="1"/>
  <c r="RA2" i="24"/>
  <c r="RP4" i="33" l="1"/>
  <c r="RQ3" i="33"/>
  <c r="RP2" i="33"/>
  <c r="RP2" i="31"/>
  <c r="RQ3" i="31"/>
  <c r="RP4" i="31"/>
  <c r="RM4" i="30"/>
  <c r="RN3" i="30"/>
  <c r="RM2" i="30"/>
  <c r="RL3" i="27"/>
  <c r="RK4" i="27"/>
  <c r="RK2" i="27"/>
  <c r="RC3" i="24"/>
  <c r="RC4" i="24" s="1"/>
  <c r="RB2" i="24"/>
  <c r="RR3" i="33" l="1"/>
  <c r="RQ4" i="33"/>
  <c r="RQ2" i="33"/>
  <c r="RQ2" i="31"/>
  <c r="RR3" i="31"/>
  <c r="RQ4" i="31"/>
  <c r="RN4" i="30"/>
  <c r="RN2" i="30"/>
  <c r="RO3" i="30"/>
  <c r="RL4" i="27"/>
  <c r="RM3" i="27"/>
  <c r="RL2" i="27"/>
  <c r="RC2" i="24"/>
  <c r="RD3" i="24"/>
  <c r="RD4" i="24" s="1"/>
  <c r="RR4" i="33" l="1"/>
  <c r="RS3" i="33"/>
  <c r="RR2" i="33"/>
  <c r="RS3" i="31"/>
  <c r="RR2" i="31"/>
  <c r="RR4" i="31"/>
  <c r="RO2" i="30"/>
  <c r="RO4" i="30"/>
  <c r="RP3" i="30"/>
  <c r="RN3" i="27"/>
  <c r="RM4" i="27"/>
  <c r="RM2" i="27"/>
  <c r="RE3" i="24"/>
  <c r="RE4" i="24" s="1"/>
  <c r="RD2" i="24"/>
  <c r="RS2" i="33" l="1"/>
  <c r="RT3" i="33"/>
  <c r="RS4" i="33"/>
  <c r="RS4" i="31"/>
  <c r="RT3" i="31"/>
  <c r="RS2" i="31"/>
  <c r="RP2" i="30"/>
  <c r="RP4" i="30"/>
  <c r="RQ3" i="30"/>
  <c r="RO3" i="27"/>
  <c r="RN4" i="27"/>
  <c r="RN2" i="27"/>
  <c r="RF3" i="24"/>
  <c r="RF4" i="24" s="1"/>
  <c r="RE2" i="24"/>
  <c r="RT4" i="33" l="1"/>
  <c r="RU3" i="33"/>
  <c r="RT2" i="33"/>
  <c r="RT4" i="31"/>
  <c r="RU3" i="31"/>
  <c r="RT2" i="31"/>
  <c r="RQ2" i="30"/>
  <c r="RQ4" i="30"/>
  <c r="RR3" i="30"/>
  <c r="RO2" i="27"/>
  <c r="RO4" i="27"/>
  <c r="RP3" i="27"/>
  <c r="RG3" i="24"/>
  <c r="RG4" i="24" s="1"/>
  <c r="RF2" i="24"/>
  <c r="RU2" i="33" l="1"/>
  <c r="RV3" i="33"/>
  <c r="RU4" i="33"/>
  <c r="RU4" i="31"/>
  <c r="RU2" i="31"/>
  <c r="RV3" i="31"/>
  <c r="RR4" i="30"/>
  <c r="RR2" i="30"/>
  <c r="RS3" i="30"/>
  <c r="RP2" i="27"/>
  <c r="RP4" i="27"/>
  <c r="RQ3" i="27"/>
  <c r="RG2" i="24"/>
  <c r="RH3" i="24"/>
  <c r="RH4" i="24" s="1"/>
  <c r="RW3" i="33" l="1"/>
  <c r="RV4" i="33"/>
  <c r="RV2" i="33"/>
  <c r="RW3" i="31"/>
  <c r="RV4" i="31"/>
  <c r="RV2" i="31"/>
  <c r="RS4" i="30"/>
  <c r="RS2" i="30"/>
  <c r="RT3" i="30"/>
  <c r="RQ4" i="27"/>
  <c r="RQ2" i="27"/>
  <c r="RR3" i="27"/>
  <c r="RI3" i="24"/>
  <c r="RI4" i="24" s="1"/>
  <c r="RH2" i="24"/>
  <c r="RW2" i="33" l="1"/>
  <c r="RW4" i="33"/>
  <c r="RX3" i="33"/>
  <c r="RW4" i="31"/>
  <c r="RX3" i="31"/>
  <c r="RW2" i="31"/>
  <c r="RU3" i="30"/>
  <c r="RT2" i="30"/>
  <c r="RT4" i="30"/>
  <c r="RR4" i="27"/>
  <c r="RR2" i="27"/>
  <c r="RS3" i="27"/>
  <c r="RJ3" i="24"/>
  <c r="RJ4" i="24" s="1"/>
  <c r="RI2" i="24"/>
  <c r="RX4" i="33" l="1"/>
  <c r="RY3" i="33"/>
  <c r="RX2" i="33"/>
  <c r="RX4" i="31"/>
  <c r="RX2" i="31"/>
  <c r="RY3" i="31"/>
  <c r="RV3" i="30"/>
  <c r="RU4" i="30"/>
  <c r="RU2" i="30"/>
  <c r="RS4" i="27"/>
  <c r="RS2" i="27"/>
  <c r="RT3" i="27"/>
  <c r="RJ2" i="24"/>
  <c r="RK3" i="24"/>
  <c r="RK4" i="24" s="1"/>
  <c r="RY4" i="33" l="1"/>
  <c r="RZ3" i="33"/>
  <c r="RY2" i="33"/>
  <c r="RY4" i="31"/>
  <c r="RZ3" i="31"/>
  <c r="RY2" i="31"/>
  <c r="RW3" i="30"/>
  <c r="RV2" i="30"/>
  <c r="RV4" i="30"/>
  <c r="RT4" i="27"/>
  <c r="RT2" i="27"/>
  <c r="RU3" i="27"/>
  <c r="RL3" i="24"/>
  <c r="RL4" i="24" s="1"/>
  <c r="RK2" i="24"/>
  <c r="RZ4" i="33" l="1"/>
  <c r="SA3" i="33"/>
  <c r="RZ2" i="33"/>
  <c r="RZ4" i="31"/>
  <c r="RZ2" i="31"/>
  <c r="SA3" i="31"/>
  <c r="RX3" i="30"/>
  <c r="RW2" i="30"/>
  <c r="RW4" i="30"/>
  <c r="RU4" i="27"/>
  <c r="RV3" i="27"/>
  <c r="RU2" i="27"/>
  <c r="RM3" i="24"/>
  <c r="RM4" i="24" s="1"/>
  <c r="RL2" i="24"/>
  <c r="SA4" i="33" l="1"/>
  <c r="SA2" i="33"/>
  <c r="SB3" i="33"/>
  <c r="SB3" i="31"/>
  <c r="SA4" i="31"/>
  <c r="SA2" i="31"/>
  <c r="RX4" i="30"/>
  <c r="RY3" i="30"/>
  <c r="RX2" i="30"/>
  <c r="RV2" i="27"/>
  <c r="RW3" i="27"/>
  <c r="RV4" i="27"/>
  <c r="RN3" i="24"/>
  <c r="RN4" i="24" s="1"/>
  <c r="RM2" i="24"/>
  <c r="SC3" i="33" l="1"/>
  <c r="SB2" i="33"/>
  <c r="SB4" i="33"/>
  <c r="SB2" i="31"/>
  <c r="SB4" i="31"/>
  <c r="SC3" i="31"/>
  <c r="RZ3" i="30"/>
  <c r="RY2" i="30"/>
  <c r="RY4" i="30"/>
  <c r="RW2" i="27"/>
  <c r="RX3" i="27"/>
  <c r="RW4" i="27"/>
  <c r="RO3" i="24"/>
  <c r="RO4" i="24" s="1"/>
  <c r="RN2" i="24"/>
  <c r="SD3" i="33" l="1"/>
  <c r="SC4" i="33"/>
  <c r="SC2" i="33"/>
  <c r="SC2" i="31"/>
  <c r="SC4" i="31"/>
  <c r="SD3" i="31"/>
  <c r="SA3" i="30"/>
  <c r="RZ4" i="30"/>
  <c r="RZ2" i="30"/>
  <c r="RY3" i="27"/>
  <c r="RX2" i="27"/>
  <c r="RX4" i="27"/>
  <c r="RO2" i="24"/>
  <c r="RP3" i="24"/>
  <c r="RP4" i="24" s="1"/>
  <c r="SE3" i="33" l="1"/>
  <c r="SD4" i="33"/>
  <c r="SD2" i="33"/>
  <c r="SD4" i="31"/>
  <c r="SE3" i="31"/>
  <c r="SD2" i="31"/>
  <c r="SA2" i="30"/>
  <c r="SB3" i="30"/>
  <c r="SA4" i="30"/>
  <c r="RY4" i="27"/>
  <c r="RY2" i="27"/>
  <c r="RZ3" i="27"/>
  <c r="RQ3" i="24"/>
  <c r="RQ4" i="24" s="1"/>
  <c r="RP2" i="24"/>
  <c r="SE2" i="33" l="1"/>
  <c r="SE4" i="33"/>
  <c r="SF3" i="33"/>
  <c r="SE2" i="31"/>
  <c r="SE4" i="31"/>
  <c r="SF3" i="31"/>
  <c r="SB4" i="30"/>
  <c r="SC3" i="30"/>
  <c r="SB2" i="30"/>
  <c r="RZ4" i="27"/>
  <c r="RZ2" i="27"/>
  <c r="SA3" i="27"/>
  <c r="RQ2" i="24"/>
  <c r="RR3" i="24"/>
  <c r="RR4" i="24" s="1"/>
  <c r="SF4" i="33" l="1"/>
  <c r="SG3" i="33"/>
  <c r="SF2" i="33"/>
  <c r="SF2" i="31"/>
  <c r="SG3" i="31"/>
  <c r="SF4" i="31"/>
  <c r="SC4" i="30"/>
  <c r="SD3" i="30"/>
  <c r="SC2" i="30"/>
  <c r="SB3" i="27"/>
  <c r="SA4" i="27"/>
  <c r="SA2" i="27"/>
  <c r="RS3" i="24"/>
  <c r="RS4" i="24" s="1"/>
  <c r="RR2" i="24"/>
  <c r="SG4" i="33" l="1"/>
  <c r="SG2" i="33"/>
  <c r="SH3" i="33"/>
  <c r="SG2" i="31"/>
  <c r="SH3" i="31"/>
  <c r="SG4" i="31"/>
  <c r="SE3" i="30"/>
  <c r="SD2" i="30"/>
  <c r="SD4" i="30"/>
  <c r="SC3" i="27"/>
  <c r="SB4" i="27"/>
  <c r="SB2" i="27"/>
  <c r="RS2" i="24"/>
  <c r="RT3" i="24"/>
  <c r="RT4" i="24" s="1"/>
  <c r="SH2" i="33" l="1"/>
  <c r="SH4" i="33"/>
  <c r="SI3" i="33"/>
  <c r="SH4" i="31"/>
  <c r="SI3" i="31"/>
  <c r="SH2" i="31"/>
  <c r="SF3" i="30"/>
  <c r="SE2" i="30"/>
  <c r="SE4" i="30"/>
  <c r="SD3" i="27"/>
  <c r="SC4" i="27"/>
  <c r="SC2" i="27"/>
  <c r="RU3" i="24"/>
  <c r="RU4" i="24" s="1"/>
  <c r="RT2" i="24"/>
  <c r="SI4" i="33" l="1"/>
  <c r="SI2" i="33"/>
  <c r="SJ3" i="33"/>
  <c r="SI4" i="31"/>
  <c r="SJ3" i="31"/>
  <c r="SI2" i="31"/>
  <c r="SF2" i="30"/>
  <c r="SG3" i="30"/>
  <c r="SF4" i="30"/>
  <c r="SD4" i="27"/>
  <c r="SE3" i="27"/>
  <c r="SD2" i="27"/>
  <c r="RV3" i="24"/>
  <c r="RV4" i="24" s="1"/>
  <c r="RU2" i="24"/>
  <c r="SK3" i="33" l="1"/>
  <c r="SJ4" i="33"/>
  <c r="SJ2" i="33"/>
  <c r="SK3" i="31"/>
  <c r="SJ2" i="31"/>
  <c r="SJ4" i="31"/>
  <c r="SG4" i="30"/>
  <c r="SG2" i="30"/>
  <c r="SH3" i="30"/>
  <c r="SE2" i="27"/>
  <c r="SF3" i="27"/>
  <c r="SE4" i="27"/>
  <c r="RW3" i="24"/>
  <c r="RW4" i="24" s="1"/>
  <c r="RV2" i="24"/>
  <c r="SL3" i="33" l="1"/>
  <c r="SK4" i="33"/>
  <c r="SK2" i="33"/>
  <c r="SL3" i="31"/>
  <c r="SK2" i="31"/>
  <c r="SK4" i="31"/>
  <c r="SH2" i="30"/>
  <c r="SH4" i="30"/>
  <c r="SI3" i="30"/>
  <c r="SG3" i="27"/>
  <c r="SF4" i="27"/>
  <c r="SF2" i="27"/>
  <c r="RX3" i="24"/>
  <c r="RX4" i="24" s="1"/>
  <c r="RW2" i="24"/>
  <c r="SL4" i="33" l="1"/>
  <c r="SM3" i="33"/>
  <c r="SL2" i="33"/>
  <c r="SL4" i="31"/>
  <c r="SM3" i="31"/>
  <c r="SL2" i="31"/>
  <c r="SJ3" i="30"/>
  <c r="SI2" i="30"/>
  <c r="SI4" i="30"/>
  <c r="SG4" i="27"/>
  <c r="SH3" i="27"/>
  <c r="SG2" i="27"/>
  <c r="RY3" i="24"/>
  <c r="RY4" i="24" s="1"/>
  <c r="RX2" i="24"/>
  <c r="SM4" i="33" l="1"/>
  <c r="SN3" i="33"/>
  <c r="SM2" i="33"/>
  <c r="SM4" i="31"/>
  <c r="SM2" i="31"/>
  <c r="SN3" i="31"/>
  <c r="SJ4" i="30"/>
  <c r="SJ2" i="30"/>
  <c r="SK3" i="30"/>
  <c r="SH2" i="27"/>
  <c r="SI3" i="27"/>
  <c r="SH4" i="27"/>
  <c r="RZ3" i="24"/>
  <c r="RY2" i="24"/>
  <c r="SN4" i="33" l="1"/>
  <c r="SO3" i="33"/>
  <c r="SN2" i="33"/>
  <c r="SN2" i="31"/>
  <c r="SO3" i="31"/>
  <c r="SN4" i="31"/>
  <c r="SK2" i="30"/>
  <c r="SK4" i="30"/>
  <c r="SL3" i="30"/>
  <c r="SI4" i="27"/>
  <c r="SJ3" i="27"/>
  <c r="SI2" i="27"/>
  <c r="SA3" i="24"/>
  <c r="SA4" i="24" s="1"/>
  <c r="RZ2" i="24"/>
  <c r="RZ4" i="24"/>
  <c r="SO4" i="33" l="1"/>
  <c r="SO2" i="33"/>
  <c r="SP3" i="33"/>
  <c r="SP3" i="31"/>
  <c r="SO4" i="31"/>
  <c r="SO2" i="31"/>
  <c r="SL4" i="30"/>
  <c r="SM3" i="30"/>
  <c r="SL2" i="30"/>
  <c r="SK3" i="27"/>
  <c r="SJ4" i="27"/>
  <c r="SJ2" i="27"/>
  <c r="SA2" i="24"/>
  <c r="SB3" i="24"/>
  <c r="SB4" i="24" s="1"/>
  <c r="SQ3" i="33" l="1"/>
  <c r="SP4" i="33"/>
  <c r="SP2" i="33"/>
  <c r="SP2" i="31"/>
  <c r="SQ3" i="31"/>
  <c r="SP4" i="31"/>
  <c r="SM4" i="30"/>
  <c r="SN3" i="30"/>
  <c r="SM2" i="30"/>
  <c r="SK4" i="27"/>
  <c r="SK2" i="27"/>
  <c r="SL3" i="27"/>
  <c r="SB2" i="24"/>
  <c r="SC3" i="24"/>
  <c r="SC4" i="24" s="1"/>
  <c r="SR3" i="33" l="1"/>
  <c r="SQ4" i="33"/>
  <c r="SQ2" i="33"/>
  <c r="SR3" i="31"/>
  <c r="SQ4" i="31"/>
  <c r="SQ2" i="31"/>
  <c r="SO3" i="30"/>
  <c r="SN4" i="30"/>
  <c r="SN2" i="30"/>
  <c r="SM3" i="27"/>
  <c r="SL2" i="27"/>
  <c r="SL4" i="27"/>
  <c r="SC2" i="24"/>
  <c r="SD3" i="24"/>
  <c r="SD4" i="24" s="1"/>
  <c r="SR4" i="33" l="1"/>
  <c r="SR2" i="33"/>
  <c r="SS3" i="33"/>
  <c r="SR4" i="31"/>
  <c r="SS3" i="31"/>
  <c r="SR2" i="31"/>
  <c r="SP3" i="30"/>
  <c r="SO4" i="30"/>
  <c r="SO2" i="30"/>
  <c r="SN3" i="27"/>
  <c r="SM4" i="27"/>
  <c r="SM2" i="27"/>
  <c r="SE3" i="24"/>
  <c r="SE4" i="24" s="1"/>
  <c r="SD2" i="24"/>
  <c r="SS4" i="33" l="1"/>
  <c r="ST3" i="33"/>
  <c r="SS2" i="33"/>
  <c r="SS4" i="31"/>
  <c r="SS2" i="31"/>
  <c r="ST3" i="31"/>
  <c r="SQ3" i="30"/>
  <c r="SP4" i="30"/>
  <c r="SP2" i="30"/>
  <c r="SN4" i="27"/>
  <c r="SN2" i="27"/>
  <c r="SO3" i="27"/>
  <c r="SF3" i="24"/>
  <c r="SF4" i="24" s="1"/>
  <c r="SE2" i="24"/>
  <c r="ST2" i="33" l="1"/>
  <c r="SU3" i="33"/>
  <c r="ST4" i="33"/>
  <c r="ST2" i="31"/>
  <c r="ST4" i="31"/>
  <c r="SU3" i="31"/>
  <c r="SR3" i="30"/>
  <c r="SQ4" i="30"/>
  <c r="SQ2" i="30"/>
  <c r="SO2" i="27"/>
  <c r="SO4" i="27"/>
  <c r="SP3" i="27"/>
  <c r="SG3" i="24"/>
  <c r="SG4" i="24" s="1"/>
  <c r="SF2" i="24"/>
  <c r="SU2" i="33" l="1"/>
  <c r="SV3" i="33"/>
  <c r="SU4" i="33"/>
  <c r="SU2" i="31"/>
  <c r="SU4" i="31"/>
  <c r="SV3" i="31"/>
  <c r="SR4" i="30"/>
  <c r="SS3" i="30"/>
  <c r="SR2" i="30"/>
  <c r="SQ3" i="27"/>
  <c r="SP2" i="27"/>
  <c r="SP4" i="27"/>
  <c r="SH3" i="24"/>
  <c r="SH4" i="24" s="1"/>
  <c r="SG2" i="24"/>
  <c r="SV4" i="33" l="1"/>
  <c r="SV2" i="33"/>
  <c r="SW3" i="33"/>
  <c r="SV2" i="31"/>
  <c r="SV4" i="31"/>
  <c r="SW3" i="31"/>
  <c r="SS4" i="30"/>
  <c r="ST3" i="30"/>
  <c r="SS2" i="30"/>
  <c r="SR3" i="27"/>
  <c r="SQ4" i="27"/>
  <c r="SQ2" i="27"/>
  <c r="SI3" i="24"/>
  <c r="SI4" i="24" s="1"/>
  <c r="SH2" i="24"/>
  <c r="SW2" i="33" l="1"/>
  <c r="SW4" i="33"/>
  <c r="SX3" i="33"/>
  <c r="SW4" i="31"/>
  <c r="SW2" i="31"/>
  <c r="SX3" i="31"/>
  <c r="ST4" i="30"/>
  <c r="SU3" i="30"/>
  <c r="ST2" i="30"/>
  <c r="SR4" i="27"/>
  <c r="SR2" i="27"/>
  <c r="SS3" i="27"/>
  <c r="SI2" i="24"/>
  <c r="SJ3" i="24"/>
  <c r="SJ4" i="24" s="1"/>
  <c r="SX4" i="33" l="1"/>
  <c r="SY3" i="33"/>
  <c r="SX2" i="33"/>
  <c r="SX4" i="31"/>
  <c r="SX2" i="31"/>
  <c r="SY3" i="31"/>
  <c r="SU2" i="30"/>
  <c r="SV3" i="30"/>
  <c r="SU4" i="30"/>
  <c r="SS2" i="27"/>
  <c r="SS4" i="27"/>
  <c r="ST3" i="27"/>
  <c r="SK3" i="24"/>
  <c r="SK4" i="24" s="1"/>
  <c r="SJ2" i="24"/>
  <c r="SY4" i="33" l="1"/>
  <c r="SY2" i="33"/>
  <c r="SZ3" i="33"/>
  <c r="SZ3" i="31"/>
  <c r="SY4" i="31"/>
  <c r="SY2" i="31"/>
  <c r="SV4" i="30"/>
  <c r="SV2" i="30"/>
  <c r="SW3" i="30"/>
  <c r="SU3" i="27"/>
  <c r="ST4" i="27"/>
  <c r="ST2" i="27"/>
  <c r="SL3" i="24"/>
  <c r="SL4" i="24" s="1"/>
  <c r="SK2" i="24"/>
  <c r="TA3" i="33" l="1"/>
  <c r="SZ4" i="33"/>
  <c r="SZ2" i="33"/>
  <c r="TA3" i="31"/>
  <c r="SZ4" i="31"/>
  <c r="SZ2" i="31"/>
  <c r="SW2" i="30"/>
  <c r="SX3" i="30"/>
  <c r="SW4" i="30"/>
  <c r="SU4" i="27"/>
  <c r="SU2" i="27"/>
  <c r="SV3" i="27"/>
  <c r="SM3" i="24"/>
  <c r="SM4" i="24" s="1"/>
  <c r="SL2" i="24"/>
  <c r="TB3" i="33" l="1"/>
  <c r="TA4" i="33"/>
  <c r="TA2" i="33"/>
  <c r="TA4" i="31"/>
  <c r="TB3" i="31"/>
  <c r="TA2" i="31"/>
  <c r="SY3" i="30"/>
  <c r="SX4" i="30"/>
  <c r="SX2" i="30"/>
  <c r="SV2" i="27"/>
  <c r="SW3" i="27"/>
  <c r="SV4" i="27"/>
  <c r="SN3" i="24"/>
  <c r="SN4" i="24" s="1"/>
  <c r="SM2" i="24"/>
  <c r="TB4" i="33" l="1"/>
  <c r="TC3" i="33"/>
  <c r="TB2" i="33"/>
  <c r="TC3" i="31"/>
  <c r="TB4" i="31"/>
  <c r="TB2" i="31"/>
  <c r="SZ3" i="30"/>
  <c r="SY2" i="30"/>
  <c r="SY4" i="30"/>
  <c r="SW4" i="27"/>
  <c r="SW2" i="27"/>
  <c r="SX3" i="27"/>
  <c r="SO3" i="24"/>
  <c r="SO4" i="24" s="1"/>
  <c r="SN2" i="24"/>
  <c r="TD3" i="33" l="1"/>
  <c r="TC4" i="33"/>
  <c r="TC2" i="33"/>
  <c r="TD3" i="31"/>
  <c r="TC4" i="31"/>
  <c r="TC2" i="31"/>
  <c r="SZ4" i="30"/>
  <c r="TA3" i="30"/>
  <c r="SZ2" i="30"/>
  <c r="SX4" i="27"/>
  <c r="SY3" i="27"/>
  <c r="SX2" i="27"/>
  <c r="SP3" i="24"/>
  <c r="SP4" i="24" s="1"/>
  <c r="SO2" i="24"/>
  <c r="TE3" i="33" l="1"/>
  <c r="TD2" i="33"/>
  <c r="TD4" i="33"/>
  <c r="TD2" i="31"/>
  <c r="TD4" i="31"/>
  <c r="TE3" i="31"/>
  <c r="TA4" i="30"/>
  <c r="TB3" i="30"/>
  <c r="TA2" i="30"/>
  <c r="SY4" i="27"/>
  <c r="SZ3" i="27"/>
  <c r="SY2" i="27"/>
  <c r="SQ3" i="24"/>
  <c r="SQ4" i="24" s="1"/>
  <c r="SP2" i="24"/>
  <c r="TE4" i="33" l="1"/>
  <c r="TF3" i="33"/>
  <c r="TE2" i="33"/>
  <c r="TE2" i="31"/>
  <c r="TF3" i="31"/>
  <c r="TE4" i="31"/>
  <c r="TC3" i="30"/>
  <c r="TB2" i="30"/>
  <c r="TB4" i="30"/>
  <c r="TA3" i="27"/>
  <c r="SZ2" i="27"/>
  <c r="SZ4" i="27"/>
  <c r="SR3" i="24"/>
  <c r="SR4" i="24" s="1"/>
  <c r="SQ2" i="24"/>
  <c r="TF2" i="33" l="1"/>
  <c r="TG3" i="33"/>
  <c r="TF4" i="33"/>
  <c r="TG3" i="31"/>
  <c r="TF2" i="31"/>
  <c r="TF4" i="31"/>
  <c r="TD3" i="30"/>
  <c r="TC2" i="30"/>
  <c r="TC4" i="30"/>
  <c r="TA4" i="27"/>
  <c r="TB3" i="27"/>
  <c r="TA2" i="27"/>
  <c r="SS3" i="24"/>
  <c r="SS4" i="24" s="1"/>
  <c r="SR2" i="24"/>
  <c r="TG4" i="33" l="1"/>
  <c r="TG2" i="33"/>
  <c r="TH3" i="33"/>
  <c r="TG2" i="31"/>
  <c r="TH3" i="31"/>
  <c r="TG4" i="31"/>
  <c r="TE3" i="30"/>
  <c r="TD2" i="30"/>
  <c r="TD4" i="30"/>
  <c r="TB4" i="27"/>
  <c r="TC3" i="27"/>
  <c r="TB2" i="27"/>
  <c r="SS2" i="24"/>
  <c r="ST3" i="24"/>
  <c r="ST4" i="24" s="1"/>
  <c r="TH2" i="33" l="1"/>
  <c r="TI3" i="33"/>
  <c r="TH4" i="33"/>
  <c r="TH4" i="31"/>
  <c r="TH2" i="31"/>
  <c r="TI3" i="31"/>
  <c r="TE4" i="30"/>
  <c r="TE2" i="30"/>
  <c r="TF3" i="30"/>
  <c r="TC4" i="27"/>
  <c r="TD3" i="27"/>
  <c r="TC2" i="27"/>
  <c r="SU3" i="24"/>
  <c r="SU4" i="24" s="1"/>
  <c r="ST2" i="24"/>
  <c r="TI2" i="33" l="1"/>
  <c r="TI4" i="33"/>
  <c r="TJ3" i="33"/>
  <c r="TI2" i="31"/>
  <c r="TJ3" i="31"/>
  <c r="TI4" i="31"/>
  <c r="TG3" i="30"/>
  <c r="TF4" i="30"/>
  <c r="TF2" i="30"/>
  <c r="TE3" i="27"/>
  <c r="TD2" i="27"/>
  <c r="TD4" i="27"/>
  <c r="SV3" i="24"/>
  <c r="SV4" i="24" s="1"/>
  <c r="SU2" i="24"/>
  <c r="TJ4" i="33" l="1"/>
  <c r="TK3" i="33"/>
  <c r="TJ2" i="33"/>
  <c r="TJ2" i="31"/>
  <c r="TJ4" i="31"/>
  <c r="TK3" i="31"/>
  <c r="TH3" i="30"/>
  <c r="TG4" i="30"/>
  <c r="TG2" i="30"/>
  <c r="TE2" i="27"/>
  <c r="TF3" i="27"/>
  <c r="TE4" i="27"/>
  <c r="SV2" i="24"/>
  <c r="SW3" i="24"/>
  <c r="SW4" i="24" s="1"/>
  <c r="TK2" i="33" l="1"/>
  <c r="TK4" i="33"/>
  <c r="TL3" i="33"/>
  <c r="TK4" i="31"/>
  <c r="TL3" i="31"/>
  <c r="TK2" i="31"/>
  <c r="TI3" i="30"/>
  <c r="TH4" i="30"/>
  <c r="TH2" i="30"/>
  <c r="TG3" i="27"/>
  <c r="TF2" i="27"/>
  <c r="TF4" i="27"/>
  <c r="SX3" i="24"/>
  <c r="SX4" i="24" s="1"/>
  <c r="SW2" i="24"/>
  <c r="TM3" i="33" l="1"/>
  <c r="TL4" i="33"/>
  <c r="TL2" i="33"/>
  <c r="TL4" i="31"/>
  <c r="TL2" i="31"/>
  <c r="TM3" i="31"/>
  <c r="TI4" i="30"/>
  <c r="TI2" i="30"/>
  <c r="TJ3" i="30"/>
  <c r="TG2" i="27"/>
  <c r="TH3" i="27"/>
  <c r="TG4" i="27"/>
  <c r="SY3" i="24"/>
  <c r="SY4" i="24" s="1"/>
  <c r="SX2" i="24"/>
  <c r="TM4" i="33" l="1"/>
  <c r="TN3" i="33"/>
  <c r="TM2" i="33"/>
  <c r="TM4" i="31"/>
  <c r="TM2" i="31"/>
  <c r="TN3" i="31"/>
  <c r="TJ2" i="30"/>
  <c r="TJ4" i="30"/>
  <c r="TK3" i="30"/>
  <c r="TI3" i="27"/>
  <c r="TH2" i="27"/>
  <c r="TH4" i="27"/>
  <c r="SY2" i="24"/>
  <c r="SZ3" i="24"/>
  <c r="SZ4" i="24" s="1"/>
  <c r="TO3" i="33" l="1"/>
  <c r="TN2" i="33"/>
  <c r="TN4" i="33"/>
  <c r="TN2" i="31"/>
  <c r="TO3" i="31"/>
  <c r="TN4" i="31"/>
  <c r="TK4" i="30"/>
  <c r="TK2" i="30"/>
  <c r="TL3" i="30"/>
  <c r="TI2" i="27"/>
  <c r="TJ3" i="27"/>
  <c r="TI4" i="27"/>
  <c r="TA3" i="24"/>
  <c r="TA4" i="24" s="1"/>
  <c r="SZ2" i="24"/>
  <c r="TP3" i="33" l="1"/>
  <c r="TO4" i="33"/>
  <c r="TO2" i="33"/>
  <c r="TO4" i="31"/>
  <c r="TP3" i="31"/>
  <c r="TO2" i="31"/>
  <c r="TL4" i="30"/>
  <c r="TL2" i="30"/>
  <c r="TM3" i="30"/>
  <c r="TJ2" i="27"/>
  <c r="TJ4" i="27"/>
  <c r="TK3" i="27"/>
  <c r="TB3" i="24"/>
  <c r="TB4" i="24" s="1"/>
  <c r="TA2" i="24"/>
  <c r="TP4" i="33" l="1"/>
  <c r="TQ3" i="33"/>
  <c r="TP2" i="33"/>
  <c r="TQ3" i="31"/>
  <c r="TP2" i="31"/>
  <c r="TP4" i="31"/>
  <c r="TN3" i="30"/>
  <c r="TM4" i="30"/>
  <c r="TM2" i="30"/>
  <c r="TK4" i="27"/>
  <c r="TL3" i="27"/>
  <c r="TK2" i="27"/>
  <c r="TC3" i="24"/>
  <c r="TC4" i="24" s="1"/>
  <c r="TB2" i="24"/>
  <c r="TQ4" i="33" l="1"/>
  <c r="TR3" i="33"/>
  <c r="TQ2" i="33"/>
  <c r="TR3" i="31"/>
  <c r="TQ2" i="31"/>
  <c r="TQ4" i="31"/>
  <c r="TN4" i="30"/>
  <c r="TN2" i="30"/>
  <c r="TO3" i="30"/>
  <c r="TL2" i="27"/>
  <c r="TM3" i="27"/>
  <c r="TL4" i="27"/>
  <c r="TD3" i="24"/>
  <c r="TD4" i="24" s="1"/>
  <c r="TC2" i="24"/>
  <c r="TS3" i="33" l="1"/>
  <c r="TR4" i="33"/>
  <c r="TR2" i="33"/>
  <c r="TR2" i="31"/>
  <c r="TS3" i="31"/>
  <c r="TR4" i="31"/>
  <c r="TO4" i="30"/>
  <c r="TP3" i="30"/>
  <c r="TO2" i="30"/>
  <c r="TM4" i="27"/>
  <c r="TM2" i="27"/>
  <c r="TN3" i="27"/>
  <c r="TE3" i="24"/>
  <c r="TE4" i="24" s="1"/>
  <c r="TD2" i="24"/>
  <c r="TT3" i="33" l="1"/>
  <c r="TS2" i="33"/>
  <c r="TS4" i="33"/>
  <c r="TT3" i="31"/>
  <c r="TS2" i="31"/>
  <c r="TS4" i="31"/>
  <c r="TQ3" i="30"/>
  <c r="TP2" i="30"/>
  <c r="TP4" i="30"/>
  <c r="TN4" i="27"/>
  <c r="TN2" i="27"/>
  <c r="TO3" i="27"/>
  <c r="TF3" i="24"/>
  <c r="TF4" i="24" s="1"/>
  <c r="TE2" i="24"/>
  <c r="TU3" i="33" l="1"/>
  <c r="TT4" i="33"/>
  <c r="TT2" i="33"/>
  <c r="TU3" i="31"/>
  <c r="TT4" i="31"/>
  <c r="TT2" i="31"/>
  <c r="TQ4" i="30"/>
  <c r="TQ2" i="30"/>
  <c r="TR3" i="30"/>
  <c r="TO2" i="27"/>
  <c r="TO4" i="27"/>
  <c r="TP3" i="27"/>
  <c r="TG3" i="24"/>
  <c r="TG4" i="24" s="1"/>
  <c r="TF2" i="24"/>
  <c r="TV3" i="33" l="1"/>
  <c r="TU4" i="33"/>
  <c r="TU2" i="33"/>
  <c r="TU4" i="31"/>
  <c r="TV3" i="31"/>
  <c r="TU2" i="31"/>
  <c r="TR2" i="30"/>
  <c r="TS3" i="30"/>
  <c r="TR4" i="30"/>
  <c r="TP4" i="27"/>
  <c r="TP2" i="27"/>
  <c r="TQ3" i="27"/>
  <c r="TH3" i="24"/>
  <c r="TH4" i="24" s="1"/>
  <c r="TG2" i="24"/>
  <c r="TV4" i="33" l="1"/>
  <c r="TW3" i="33"/>
  <c r="TV2" i="33"/>
  <c r="TW3" i="31"/>
  <c r="TV4" i="31"/>
  <c r="TV2" i="31"/>
  <c r="TS2" i="30"/>
  <c r="TT3" i="30"/>
  <c r="TS4" i="30"/>
  <c r="TR3" i="27"/>
  <c r="TQ4" i="27"/>
  <c r="TQ2" i="27"/>
  <c r="TI3" i="24"/>
  <c r="TI4" i="24" s="1"/>
  <c r="TH2" i="24"/>
  <c r="TW2" i="33" l="1"/>
  <c r="TW4" i="33"/>
  <c r="TX3" i="33"/>
  <c r="TW2" i="31"/>
  <c r="TW4" i="31"/>
  <c r="TX3" i="31"/>
  <c r="TU3" i="30"/>
  <c r="TT4" i="30"/>
  <c r="TT2" i="30"/>
  <c r="TS3" i="27"/>
  <c r="TR4" i="27"/>
  <c r="TR2" i="27"/>
  <c r="TI2" i="24"/>
  <c r="TJ3" i="24"/>
  <c r="TJ4" i="24" s="1"/>
  <c r="TX4" i="33" l="1"/>
  <c r="TY3" i="33"/>
  <c r="TX2" i="33"/>
  <c r="TX4" i="31"/>
  <c r="TX2" i="31"/>
  <c r="TY3" i="31"/>
  <c r="TV3" i="30"/>
  <c r="TU4" i="30"/>
  <c r="TU2" i="30"/>
  <c r="TS4" i="27"/>
  <c r="TS2" i="27"/>
  <c r="TT3" i="27"/>
  <c r="TJ2" i="24"/>
  <c r="TK3" i="24"/>
  <c r="TK4" i="24" s="1"/>
  <c r="TY2" i="33" l="1"/>
  <c r="TY4" i="33"/>
  <c r="TZ3" i="33"/>
  <c r="TY2" i="31"/>
  <c r="TY4" i="31"/>
  <c r="TZ3" i="31"/>
  <c r="TW3" i="30"/>
  <c r="TV4" i="30"/>
  <c r="TV2" i="30"/>
  <c r="TT4" i="27"/>
  <c r="TU3" i="27"/>
  <c r="TT2" i="27"/>
  <c r="TL3" i="24"/>
  <c r="TL4" i="24" s="1"/>
  <c r="TK2" i="24"/>
  <c r="TZ4" i="33" l="1"/>
  <c r="TZ2" i="33"/>
  <c r="UA3" i="33"/>
  <c r="TZ4" i="31"/>
  <c r="TZ2" i="31"/>
  <c r="UA3" i="31"/>
  <c r="TX3" i="30"/>
  <c r="TW4" i="30"/>
  <c r="TW2" i="30"/>
  <c r="TV3" i="27"/>
  <c r="TU2" i="27"/>
  <c r="TU4" i="27"/>
  <c r="TM3" i="24"/>
  <c r="TM4" i="24" s="1"/>
  <c r="TL2" i="24"/>
  <c r="UA4" i="33" l="1"/>
  <c r="UA2" i="33"/>
  <c r="UB3" i="33"/>
  <c r="UA4" i="31"/>
  <c r="UB3" i="31"/>
  <c r="UA2" i="31"/>
  <c r="TX2" i="30"/>
  <c r="TY3" i="30"/>
  <c r="TX4" i="30"/>
  <c r="TV2" i="27"/>
  <c r="TV4" i="27"/>
  <c r="TW3" i="27"/>
  <c r="TN3" i="24"/>
  <c r="TN4" i="24" s="1"/>
  <c r="TM2" i="24"/>
  <c r="UB4" i="33" l="1"/>
  <c r="UC3" i="33"/>
  <c r="UB2" i="33"/>
  <c r="UB4" i="31"/>
  <c r="UB2" i="31"/>
  <c r="UC3" i="31"/>
  <c r="TZ3" i="30"/>
  <c r="TY4" i="30"/>
  <c r="TY2" i="30"/>
  <c r="TW2" i="27"/>
  <c r="TX3" i="27"/>
  <c r="TW4" i="27"/>
  <c r="TO3" i="24"/>
  <c r="TO4" i="24" s="1"/>
  <c r="TN2" i="24"/>
  <c r="UC2" i="33" l="1"/>
  <c r="UC4" i="33"/>
  <c r="UD3" i="33"/>
  <c r="UC4" i="31"/>
  <c r="UC2" i="31"/>
  <c r="UD3" i="31"/>
  <c r="TZ4" i="30"/>
  <c r="TZ2" i="30"/>
  <c r="UA3" i="30"/>
  <c r="TX2" i="27"/>
  <c r="TX4" i="27"/>
  <c r="TY3" i="27"/>
  <c r="TP3" i="24"/>
  <c r="TP4" i="24" s="1"/>
  <c r="TO2" i="24"/>
  <c r="UD4" i="33" l="1"/>
  <c r="UE3" i="33"/>
  <c r="UD2" i="33"/>
  <c r="UE3" i="31"/>
  <c r="UD2" i="31"/>
  <c r="UD4" i="31"/>
  <c r="UA2" i="30"/>
  <c r="UA4" i="30"/>
  <c r="UB3" i="30"/>
  <c r="TY2" i="27"/>
  <c r="TY4" i="27"/>
  <c r="TZ3" i="27"/>
  <c r="TP2" i="24"/>
  <c r="TQ3" i="24"/>
  <c r="TQ4" i="24" s="1"/>
  <c r="UE4" i="33" l="1"/>
  <c r="UF3" i="33"/>
  <c r="UE2" i="33"/>
  <c r="UF3" i="31"/>
  <c r="UE4" i="31"/>
  <c r="UE2" i="31"/>
  <c r="UB4" i="30"/>
  <c r="UC3" i="30"/>
  <c r="UB2" i="30"/>
  <c r="UA3" i="27"/>
  <c r="TZ2" i="27"/>
  <c r="TZ4" i="27"/>
  <c r="TQ2" i="24"/>
  <c r="TR3" i="24"/>
  <c r="TR4" i="24" s="1"/>
  <c r="UG3" i="33" l="1"/>
  <c r="UF2" i="33"/>
  <c r="UF4" i="33"/>
  <c r="UF2" i="31"/>
  <c r="UF4" i="31"/>
  <c r="UG3" i="31"/>
  <c r="UC4" i="30"/>
  <c r="UC2" i="30"/>
  <c r="UD3" i="30"/>
  <c r="UB3" i="27"/>
  <c r="UA2" i="27"/>
  <c r="UA4" i="27"/>
  <c r="TS3" i="24"/>
  <c r="TS4" i="24" s="1"/>
  <c r="TR2" i="24"/>
  <c r="UG2" i="33" l="1"/>
  <c r="UH3" i="33"/>
  <c r="UG4" i="33"/>
  <c r="UH3" i="31"/>
  <c r="UG2" i="31"/>
  <c r="UG4" i="31"/>
  <c r="UE3" i="30"/>
  <c r="UD4" i="30"/>
  <c r="UD2" i="30"/>
  <c r="UB4" i="27"/>
  <c r="UC3" i="27"/>
  <c r="UB2" i="27"/>
  <c r="TT3" i="24"/>
  <c r="TT4" i="24" s="1"/>
  <c r="TS2" i="24"/>
  <c r="UI3" i="33" l="1"/>
  <c r="UH2" i="33"/>
  <c r="UH4" i="33"/>
  <c r="UH4" i="31"/>
  <c r="UI3" i="31"/>
  <c r="UH2" i="31"/>
  <c r="UE4" i="30"/>
  <c r="UE2" i="30"/>
  <c r="UF3" i="30"/>
  <c r="UC4" i="27"/>
  <c r="UC2" i="27"/>
  <c r="UD3" i="27"/>
  <c r="TT2" i="24"/>
  <c r="TU3" i="24"/>
  <c r="TU4" i="24" s="1"/>
  <c r="UJ3" i="33" l="1"/>
  <c r="UI4" i="33"/>
  <c r="UI2" i="33"/>
  <c r="UJ3" i="31"/>
  <c r="UI4" i="31"/>
  <c r="UI2" i="31"/>
  <c r="UF4" i="30"/>
  <c r="UG3" i="30"/>
  <c r="UF2" i="30"/>
  <c r="UD4" i="27"/>
  <c r="UE3" i="27"/>
  <c r="UD2" i="27"/>
  <c r="TU2" i="24"/>
  <c r="TV3" i="24"/>
  <c r="TV4" i="24" s="1"/>
  <c r="UJ4" i="33" l="1"/>
  <c r="UK3" i="33"/>
  <c r="UJ2" i="33"/>
  <c r="UK3" i="31"/>
  <c r="UJ2" i="31"/>
  <c r="UJ4" i="31"/>
  <c r="UG4" i="30"/>
  <c r="UG2" i="30"/>
  <c r="UH3" i="30"/>
  <c r="UE4" i="27"/>
  <c r="UE2" i="27"/>
  <c r="UF3" i="27"/>
  <c r="TV2" i="24"/>
  <c r="TW3" i="24"/>
  <c r="TW4" i="24" s="1"/>
  <c r="UK2" i="33" l="1"/>
  <c r="UL3" i="33"/>
  <c r="UK4" i="33"/>
  <c r="UL3" i="31"/>
  <c r="UK2" i="31"/>
  <c r="UK4" i="31"/>
  <c r="UH4" i="30"/>
  <c r="UH2" i="30"/>
  <c r="UI3" i="30"/>
  <c r="UG3" i="27"/>
  <c r="UF4" i="27"/>
  <c r="UF2" i="27"/>
  <c r="TX3" i="24"/>
  <c r="TX4" i="24" s="1"/>
  <c r="TW2" i="24"/>
  <c r="UL4" i="33" l="1"/>
  <c r="UL2" i="33"/>
  <c r="UM3" i="33"/>
  <c r="UL4" i="31"/>
  <c r="UM3" i="31"/>
  <c r="UL2" i="31"/>
  <c r="UI4" i="30"/>
  <c r="UI2" i="30"/>
  <c r="UJ3" i="30"/>
  <c r="UH3" i="27"/>
  <c r="UG2" i="27"/>
  <c r="UG4" i="27"/>
  <c r="TX2" i="24"/>
  <c r="TY3" i="24"/>
  <c r="TY4" i="24" s="1"/>
  <c r="UM2" i="33" l="1"/>
  <c r="UN3" i="33"/>
  <c r="UM4" i="33"/>
  <c r="UN3" i="31"/>
  <c r="UM2" i="31"/>
  <c r="UM4" i="31"/>
  <c r="UJ2" i="30"/>
  <c r="UJ4" i="30"/>
  <c r="UK3" i="30"/>
  <c r="UH4" i="27"/>
  <c r="UI3" i="27"/>
  <c r="UH2" i="27"/>
  <c r="TY2" i="24"/>
  <c r="TZ3" i="24"/>
  <c r="TZ4" i="24" s="1"/>
  <c r="UN4" i="33" l="1"/>
  <c r="UN2" i="33"/>
  <c r="UO3" i="33"/>
  <c r="UN2" i="31"/>
  <c r="UN4" i="31"/>
  <c r="UO3" i="31"/>
  <c r="UL3" i="30"/>
  <c r="UK4" i="30"/>
  <c r="UK2" i="30"/>
  <c r="UI2" i="27"/>
  <c r="UJ3" i="27"/>
  <c r="UI4" i="27"/>
  <c r="TZ2" i="24"/>
  <c r="UA3" i="24"/>
  <c r="UA4" i="24" s="1"/>
  <c r="UO4" i="33" l="1"/>
  <c r="UP3" i="33"/>
  <c r="UO2" i="33"/>
  <c r="UO4" i="31"/>
  <c r="UO2" i="31"/>
  <c r="UP3" i="31"/>
  <c r="UL2" i="30"/>
  <c r="UM3" i="30"/>
  <c r="UL4" i="30"/>
  <c r="UJ2" i="27"/>
  <c r="UK3" i="27"/>
  <c r="UJ4" i="27"/>
  <c r="UA2" i="24"/>
  <c r="UB3" i="24"/>
  <c r="UB4" i="24" s="1"/>
  <c r="UP4" i="33" l="1"/>
  <c r="UP2" i="33"/>
  <c r="UQ3" i="33"/>
  <c r="UP4" i="31"/>
  <c r="UP2" i="31"/>
  <c r="UQ3" i="31"/>
  <c r="UN3" i="30"/>
  <c r="UM4" i="30"/>
  <c r="UM2" i="30"/>
  <c r="UK2" i="27"/>
  <c r="UL3" i="27"/>
  <c r="UK4" i="27"/>
  <c r="UB2" i="24"/>
  <c r="UC3" i="24"/>
  <c r="UC4" i="24" s="1"/>
  <c r="UQ4" i="33" l="1"/>
  <c r="UR3" i="33"/>
  <c r="UQ2" i="33"/>
  <c r="UQ4" i="31"/>
  <c r="UQ2" i="31"/>
  <c r="UR3" i="31"/>
  <c r="UO3" i="30"/>
  <c r="UN2" i="30"/>
  <c r="UN4" i="30"/>
  <c r="UL2" i="27"/>
  <c r="UM3" i="27"/>
  <c r="UL4" i="27"/>
  <c r="UD3" i="24"/>
  <c r="UD4" i="24" s="1"/>
  <c r="UC2" i="24"/>
  <c r="UR4" i="33" l="1"/>
  <c r="US3" i="33"/>
  <c r="UR2" i="33"/>
  <c r="UR4" i="31"/>
  <c r="UR2" i="31"/>
  <c r="US3" i="31"/>
  <c r="UO4" i="30"/>
  <c r="UP3" i="30"/>
  <c r="UO2" i="30"/>
  <c r="UM2" i="27"/>
  <c r="UM4" i="27"/>
  <c r="UN3" i="27"/>
  <c r="UE3" i="24"/>
  <c r="UE4" i="24" s="1"/>
  <c r="UD2" i="24"/>
  <c r="UT3" i="33" l="1"/>
  <c r="US2" i="33"/>
  <c r="US4" i="33"/>
  <c r="UT3" i="31"/>
  <c r="US2" i="31"/>
  <c r="US4" i="31"/>
  <c r="UP4" i="30"/>
  <c r="UQ3" i="30"/>
  <c r="UP2" i="30"/>
  <c r="UN2" i="27"/>
  <c r="UO3" i="27"/>
  <c r="UN4" i="27"/>
  <c r="UE2" i="24"/>
  <c r="UF3" i="24"/>
  <c r="UF4" i="24" s="1"/>
  <c r="UU3" i="33" l="1"/>
  <c r="UT4" i="33"/>
  <c r="UT2" i="33"/>
  <c r="UU3" i="31"/>
  <c r="UT2" i="31"/>
  <c r="UT4" i="31"/>
  <c r="UR3" i="30"/>
  <c r="UQ2" i="30"/>
  <c r="UQ4" i="30"/>
  <c r="UO2" i="27"/>
  <c r="UO4" i="27"/>
  <c r="UP3" i="27"/>
  <c r="UF2" i="24"/>
  <c r="UG3" i="24"/>
  <c r="UG4" i="24" s="1"/>
  <c r="UV3" i="33" l="1"/>
  <c r="UU2" i="33"/>
  <c r="UU4" i="33"/>
  <c r="UU4" i="31"/>
  <c r="UU2" i="31"/>
  <c r="UV3" i="31"/>
  <c r="US3" i="30"/>
  <c r="UR4" i="30"/>
  <c r="UR2" i="30"/>
  <c r="UP2" i="27"/>
  <c r="UP4" i="27"/>
  <c r="UQ3" i="27"/>
  <c r="UH3" i="24"/>
  <c r="UH4" i="24" s="1"/>
  <c r="UG2" i="24"/>
  <c r="UV4" i="33" l="1"/>
  <c r="UW3" i="33"/>
  <c r="UV2" i="33"/>
  <c r="UV4" i="31"/>
  <c r="UV2" i="31"/>
  <c r="UW3" i="31"/>
  <c r="UT3" i="30"/>
  <c r="US2" i="30"/>
  <c r="US4" i="30"/>
  <c r="UQ4" i="27"/>
  <c r="UQ2" i="27"/>
  <c r="UR3" i="27"/>
  <c r="UH2" i="24"/>
  <c r="UI3" i="24"/>
  <c r="UI4" i="24" s="1"/>
  <c r="UW4" i="33" l="1"/>
  <c r="UX3" i="33"/>
  <c r="UW2" i="33"/>
  <c r="UW4" i="31"/>
  <c r="UX3" i="31"/>
  <c r="UW2" i="31"/>
  <c r="UT4" i="30"/>
  <c r="UU3" i="30"/>
  <c r="UT2" i="30"/>
  <c r="UR4" i="27"/>
  <c r="US3" i="27"/>
  <c r="UR2" i="27"/>
  <c r="UJ3" i="24"/>
  <c r="UJ4" i="24" s="1"/>
  <c r="UI2" i="24"/>
  <c r="UX4" i="33" l="1"/>
  <c r="UY3" i="33"/>
  <c r="UX2" i="33"/>
  <c r="UX4" i="31"/>
  <c r="UX2" i="31"/>
  <c r="UY3" i="31"/>
  <c r="UU4" i="30"/>
  <c r="UV3" i="30"/>
  <c r="UU2" i="30"/>
  <c r="UT3" i="27"/>
  <c r="US4" i="27"/>
  <c r="US2" i="27"/>
  <c r="UJ2" i="24"/>
  <c r="UK3" i="24"/>
  <c r="UK4" i="24" s="1"/>
  <c r="UY2" i="33" l="1"/>
  <c r="UY4" i="33"/>
  <c r="UZ3" i="33"/>
  <c r="UY2" i="31"/>
  <c r="UY4" i="31"/>
  <c r="UZ3" i="31"/>
  <c r="UW3" i="30"/>
  <c r="UV2" i="30"/>
  <c r="UV4" i="30"/>
  <c r="UU3" i="27"/>
  <c r="UT4" i="27"/>
  <c r="UT2" i="27"/>
  <c r="UK2" i="24"/>
  <c r="UL3" i="24"/>
  <c r="UL4" i="24" s="1"/>
  <c r="UZ2" i="33" l="1"/>
  <c r="UZ4" i="33"/>
  <c r="VA3" i="33"/>
  <c r="VA3" i="31"/>
  <c r="UZ4" i="31"/>
  <c r="UZ2" i="31"/>
  <c r="UW4" i="30"/>
  <c r="UW2" i="30"/>
  <c r="UX3" i="30"/>
  <c r="UU4" i="27"/>
  <c r="UV3" i="27"/>
  <c r="UU2" i="27"/>
  <c r="UL2" i="24"/>
  <c r="UM3" i="24"/>
  <c r="UM4" i="24" s="1"/>
  <c r="VA2" i="33" l="1"/>
  <c r="VB3" i="33"/>
  <c r="VA4" i="33"/>
  <c r="VB3" i="31"/>
  <c r="VA4" i="31"/>
  <c r="VA2" i="31"/>
  <c r="UX2" i="30"/>
  <c r="UX4" i="30"/>
  <c r="UY3" i="30"/>
  <c r="UW3" i="27"/>
  <c r="UV2" i="27"/>
  <c r="UV4" i="27"/>
  <c r="UN3" i="24"/>
  <c r="UN4" i="24" s="1"/>
  <c r="UM2" i="24"/>
  <c r="VC3" i="33" l="1"/>
  <c r="VB2" i="33"/>
  <c r="VB4" i="33"/>
  <c r="VC3" i="31"/>
  <c r="VB4" i="31"/>
  <c r="VB2" i="31"/>
  <c r="UY2" i="30"/>
  <c r="UY4" i="30"/>
  <c r="UZ3" i="30"/>
  <c r="UW4" i="27"/>
  <c r="UX3" i="27"/>
  <c r="UW2" i="27"/>
  <c r="UO3" i="24"/>
  <c r="UO4" i="24" s="1"/>
  <c r="UN2" i="24"/>
  <c r="VD3" i="33" l="1"/>
  <c r="VC2" i="33"/>
  <c r="VC4" i="33"/>
  <c r="VC4" i="31"/>
  <c r="VC2" i="31"/>
  <c r="VD3" i="31"/>
  <c r="UZ2" i="30"/>
  <c r="UZ4" i="30"/>
  <c r="VA3" i="30"/>
  <c r="UX2" i="27"/>
  <c r="UX4" i="27"/>
  <c r="UY3" i="27"/>
  <c r="UO2" i="24"/>
  <c r="UP3" i="24"/>
  <c r="UP4" i="24" s="1"/>
  <c r="VD4" i="33" l="1"/>
  <c r="VE3" i="33"/>
  <c r="VD2" i="33"/>
  <c r="VE3" i="31"/>
  <c r="VD4" i="31"/>
  <c r="VD2" i="31"/>
  <c r="VA2" i="30"/>
  <c r="VA4" i="30"/>
  <c r="VB3" i="30"/>
  <c r="UZ3" i="27"/>
  <c r="UY4" i="27"/>
  <c r="UY2" i="27"/>
  <c r="UQ3" i="24"/>
  <c r="UQ4" i="24" s="1"/>
  <c r="UP2" i="24"/>
  <c r="VF3" i="33" l="1"/>
  <c r="VE2" i="33"/>
  <c r="VE4" i="33"/>
  <c r="VE4" i="31"/>
  <c r="VF3" i="31"/>
  <c r="VE2" i="31"/>
  <c r="VC3" i="30"/>
  <c r="VB2" i="30"/>
  <c r="VB4" i="30"/>
  <c r="UZ2" i="27"/>
  <c r="UZ4" i="27"/>
  <c r="VA3" i="27"/>
  <c r="UQ2" i="24"/>
  <c r="UR3" i="24"/>
  <c r="UR4" i="24" s="1"/>
  <c r="VF4" i="33" l="1"/>
  <c r="VG3" i="33"/>
  <c r="VF2" i="33"/>
  <c r="VF4" i="31"/>
  <c r="VF2" i="31"/>
  <c r="VG3" i="31"/>
  <c r="VC4" i="30"/>
  <c r="VC2" i="30"/>
  <c r="VD3" i="30"/>
  <c r="VA4" i="27"/>
  <c r="VB3" i="27"/>
  <c r="VA2" i="27"/>
  <c r="UR2" i="24"/>
  <c r="US3" i="24"/>
  <c r="US4" i="24" s="1"/>
  <c r="VG4" i="33" l="1"/>
  <c r="VG2" i="33"/>
  <c r="VH3" i="33"/>
  <c r="VH3" i="31"/>
  <c r="VG4" i="31"/>
  <c r="VG2" i="31"/>
  <c r="VD4" i="30"/>
  <c r="VD2" i="30"/>
  <c r="VE3" i="30"/>
  <c r="VB4" i="27"/>
  <c r="VC3" i="27"/>
  <c r="VB2" i="27"/>
  <c r="UT3" i="24"/>
  <c r="UT4" i="24" s="1"/>
  <c r="US2" i="24"/>
  <c r="VI3" i="33" l="1"/>
  <c r="VH4" i="33"/>
  <c r="VH2" i="33"/>
  <c r="VH2" i="31"/>
  <c r="VH4" i="31"/>
  <c r="VI3" i="31"/>
  <c r="VE4" i="30"/>
  <c r="VE2" i="30"/>
  <c r="VF3" i="30"/>
  <c r="VC2" i="27"/>
  <c r="VD3" i="27"/>
  <c r="VC4" i="27"/>
  <c r="UT2" i="24"/>
  <c r="UU3" i="24"/>
  <c r="UU4" i="24" s="1"/>
  <c r="VJ3" i="33" l="1"/>
  <c r="VI4" i="33"/>
  <c r="VI2" i="33"/>
  <c r="VJ3" i="31"/>
  <c r="VI2" i="31"/>
  <c r="VI4" i="31"/>
  <c r="VG3" i="30"/>
  <c r="VF2" i="30"/>
  <c r="VF4" i="30"/>
  <c r="VE3" i="27"/>
  <c r="VD2" i="27"/>
  <c r="VD4" i="27"/>
  <c r="UV3" i="24"/>
  <c r="UV4" i="24" s="1"/>
  <c r="UU2" i="24"/>
  <c r="VJ4" i="33" l="1"/>
  <c r="VK3" i="33"/>
  <c r="VJ2" i="33"/>
  <c r="VJ2" i="31"/>
  <c r="VJ4" i="31"/>
  <c r="VK3" i="31"/>
  <c r="VH3" i="30"/>
  <c r="VG2" i="30"/>
  <c r="VG4" i="30"/>
  <c r="VF3" i="27"/>
  <c r="VE2" i="27"/>
  <c r="VE4" i="27"/>
  <c r="UW3" i="24"/>
  <c r="UW4" i="24" s="1"/>
  <c r="UV2" i="24"/>
  <c r="VK4" i="33" l="1"/>
  <c r="VL3" i="33"/>
  <c r="VK2" i="33"/>
  <c r="VK4" i="31"/>
  <c r="VL3" i="31"/>
  <c r="VK2" i="31"/>
  <c r="VI3" i="30"/>
  <c r="VH4" i="30"/>
  <c r="VH2" i="30"/>
  <c r="VF4" i="27"/>
  <c r="VF2" i="27"/>
  <c r="VG3" i="27"/>
  <c r="UW2" i="24"/>
  <c r="UX3" i="24"/>
  <c r="UX4" i="24" s="1"/>
  <c r="VL4" i="33" l="1"/>
  <c r="VM3" i="33"/>
  <c r="VL2" i="33"/>
  <c r="VM3" i="31"/>
  <c r="VL2" i="31"/>
  <c r="VL4" i="31"/>
  <c r="VJ3" i="30"/>
  <c r="VI4" i="30"/>
  <c r="VI2" i="30"/>
  <c r="VG4" i="27"/>
  <c r="VG2" i="27"/>
  <c r="VH3" i="27"/>
  <c r="UX2" i="24"/>
  <c r="UY3" i="24"/>
  <c r="UY4" i="24" s="1"/>
  <c r="VM2" i="33" l="1"/>
  <c r="VM4" i="33"/>
  <c r="VN3" i="33"/>
  <c r="VM4" i="31"/>
  <c r="VM2" i="31"/>
  <c r="VN3" i="31"/>
  <c r="VJ4" i="30"/>
  <c r="VK3" i="30"/>
  <c r="VJ2" i="30"/>
  <c r="VI3" i="27"/>
  <c r="VH2" i="27"/>
  <c r="VH4" i="27"/>
  <c r="UZ3" i="24"/>
  <c r="UZ4" i="24" s="1"/>
  <c r="UY2" i="24"/>
  <c r="VN2" i="33" l="1"/>
  <c r="VO3" i="33"/>
  <c r="VN4" i="33"/>
  <c r="VN2" i="31"/>
  <c r="VO3" i="31"/>
  <c r="VN4" i="31"/>
  <c r="VK4" i="30"/>
  <c r="VL3" i="30"/>
  <c r="VK2" i="30"/>
  <c r="VJ3" i="27"/>
  <c r="VI2" i="27"/>
  <c r="VI4" i="27"/>
  <c r="VA3" i="24"/>
  <c r="VA4" i="24" s="1"/>
  <c r="UZ2" i="24"/>
  <c r="VO2" i="33" l="1"/>
  <c r="VO4" i="33"/>
  <c r="VP3" i="33"/>
  <c r="VO4" i="31"/>
  <c r="VO2" i="31"/>
  <c r="VP3" i="31"/>
  <c r="VL4" i="30"/>
  <c r="VM3" i="30"/>
  <c r="VL2" i="30"/>
  <c r="VK3" i="27"/>
  <c r="VJ4" i="27"/>
  <c r="VJ2" i="27"/>
  <c r="VB3" i="24"/>
  <c r="VB4" i="24" s="1"/>
  <c r="VA2" i="24"/>
  <c r="VP4" i="33" l="1"/>
  <c r="VQ3" i="33"/>
  <c r="VP2" i="33"/>
  <c r="VP4" i="31"/>
  <c r="VP2" i="31"/>
  <c r="VQ3" i="31"/>
  <c r="VM4" i="30"/>
  <c r="VN3" i="30"/>
  <c r="VM2" i="30"/>
  <c r="VK4" i="27"/>
  <c r="VL3" i="27"/>
  <c r="VK2" i="27"/>
  <c r="VC3" i="24"/>
  <c r="VC4" i="24" s="1"/>
  <c r="VB2" i="24"/>
  <c r="VQ4" i="33" l="1"/>
  <c r="VR3" i="33"/>
  <c r="VQ2" i="33"/>
  <c r="VR3" i="31"/>
  <c r="VQ2" i="31"/>
  <c r="VQ4" i="31"/>
  <c r="VN2" i="30"/>
  <c r="VO3" i="30"/>
  <c r="VN4" i="30"/>
  <c r="VL2" i="27"/>
  <c r="VM3" i="27"/>
  <c r="VL4" i="27"/>
  <c r="VD3" i="24"/>
  <c r="VD4" i="24" s="1"/>
  <c r="VC2" i="24"/>
  <c r="VS3" i="33" l="1"/>
  <c r="VR4" i="33"/>
  <c r="VR2" i="33"/>
  <c r="VS3" i="31"/>
  <c r="VR2" i="31"/>
  <c r="VR4" i="31"/>
  <c r="VP3" i="30"/>
  <c r="VO4" i="30"/>
  <c r="VO2" i="30"/>
  <c r="VN3" i="27"/>
  <c r="VM4" i="27"/>
  <c r="VM2" i="27"/>
  <c r="VE3" i="24"/>
  <c r="VE4" i="24" s="1"/>
  <c r="VD2" i="24"/>
  <c r="VS4" i="33" l="1"/>
  <c r="VT3" i="33"/>
  <c r="VS2" i="33"/>
  <c r="VS4" i="31"/>
  <c r="VS2" i="31"/>
  <c r="VT3" i="31"/>
  <c r="VQ3" i="30"/>
  <c r="VP2" i="30"/>
  <c r="VP4" i="30"/>
  <c r="VN4" i="27"/>
  <c r="VO3" i="27"/>
  <c r="VN2" i="27"/>
  <c r="VE2" i="24"/>
  <c r="VF3" i="24"/>
  <c r="VF4" i="24" s="1"/>
  <c r="VT4" i="33" l="1"/>
  <c r="VU3" i="33"/>
  <c r="VT2" i="33"/>
  <c r="VU3" i="31"/>
  <c r="VT4" i="31"/>
  <c r="VT2" i="31"/>
  <c r="VQ2" i="30"/>
  <c r="VR3" i="30"/>
  <c r="VQ4" i="30"/>
  <c r="VO2" i="27"/>
  <c r="VO4" i="27"/>
  <c r="VP3" i="27"/>
  <c r="VG3" i="24"/>
  <c r="VG4" i="24" s="1"/>
  <c r="VF2" i="24"/>
  <c r="VV3" i="33" l="1"/>
  <c r="VU4" i="33"/>
  <c r="VU2" i="33"/>
  <c r="VV3" i="31"/>
  <c r="VU4" i="31"/>
  <c r="VU2" i="31"/>
  <c r="VR4" i="30"/>
  <c r="VS3" i="30"/>
  <c r="VR2" i="30"/>
  <c r="VP4" i="27"/>
  <c r="VQ3" i="27"/>
  <c r="VP2" i="27"/>
  <c r="VH3" i="24"/>
  <c r="VH4" i="24" s="1"/>
  <c r="VG2" i="24"/>
  <c r="VW3" i="33" l="1"/>
  <c r="VV4" i="33"/>
  <c r="VV2" i="33"/>
  <c r="VV4" i="31"/>
  <c r="VV2" i="31"/>
  <c r="VW3" i="31"/>
  <c r="VS2" i="30"/>
  <c r="VT3" i="30"/>
  <c r="VS4" i="30"/>
  <c r="VQ4" i="27"/>
  <c r="VR3" i="27"/>
  <c r="VQ2" i="27"/>
  <c r="VH2" i="24"/>
  <c r="VI3" i="24"/>
  <c r="VI4" i="24" s="1"/>
  <c r="VW4" i="33" l="1"/>
  <c r="VW2" i="33"/>
  <c r="VX3" i="33"/>
  <c r="VW4" i="31"/>
  <c r="VW2" i="31"/>
  <c r="VX3" i="31"/>
  <c r="VU3" i="30"/>
  <c r="VT4" i="30"/>
  <c r="VT2" i="30"/>
  <c r="VR2" i="27"/>
  <c r="VR4" i="27"/>
  <c r="VS3" i="27"/>
  <c r="VJ3" i="24"/>
  <c r="VJ4" i="24" s="1"/>
  <c r="VI2" i="24"/>
  <c r="VY3" i="33" l="1"/>
  <c r="VX4" i="33"/>
  <c r="VX2" i="33"/>
  <c r="VY3" i="31"/>
  <c r="VX4" i="31"/>
  <c r="VX2" i="31"/>
  <c r="VU2" i="30"/>
  <c r="VU4" i="30"/>
  <c r="VV3" i="30"/>
  <c r="VT3" i="27"/>
  <c r="VS4" i="27"/>
  <c r="VS2" i="27"/>
  <c r="VK3" i="24"/>
  <c r="VK4" i="24" s="1"/>
  <c r="VJ2" i="24"/>
  <c r="VY2" i="33" l="1"/>
  <c r="VY4" i="33"/>
  <c r="VZ3" i="33"/>
  <c r="VY2" i="31"/>
  <c r="VY4" i="31"/>
  <c r="VZ3" i="31"/>
  <c r="VW3" i="30"/>
  <c r="VV4" i="30"/>
  <c r="VV2" i="30"/>
  <c r="VT4" i="27"/>
  <c r="VT2" i="27"/>
  <c r="VU3" i="27"/>
  <c r="VK2" i="24"/>
  <c r="VL3" i="24"/>
  <c r="VL4" i="24" s="1"/>
  <c r="VZ4" i="33" l="1"/>
  <c r="WA3" i="33"/>
  <c r="VZ2" i="33"/>
  <c r="VZ2" i="31"/>
  <c r="WA3" i="31"/>
  <c r="VZ4" i="31"/>
  <c r="VX3" i="30"/>
  <c r="VW4" i="30"/>
  <c r="VW2" i="30"/>
  <c r="VU4" i="27"/>
  <c r="VV3" i="27"/>
  <c r="VU2" i="27"/>
  <c r="VL2" i="24"/>
  <c r="VM3" i="24"/>
  <c r="VM4" i="24" s="1"/>
  <c r="WA2" i="33" l="1"/>
  <c r="WA4" i="33"/>
  <c r="WB3" i="33"/>
  <c r="WB3" i="31"/>
  <c r="WA2" i="31"/>
  <c r="WA4" i="31"/>
  <c r="VX4" i="30"/>
  <c r="VX2" i="30"/>
  <c r="VY3" i="30"/>
  <c r="VW3" i="27"/>
  <c r="VV4" i="27"/>
  <c r="VV2" i="27"/>
  <c r="VN3" i="24"/>
  <c r="VN4" i="24" s="1"/>
  <c r="VM2" i="24"/>
  <c r="WB4" i="33" l="1"/>
  <c r="WC3" i="33"/>
  <c r="WB2" i="33"/>
  <c r="WB2" i="31"/>
  <c r="WC3" i="31"/>
  <c r="WB4" i="31"/>
  <c r="VZ3" i="30"/>
  <c r="VY4" i="30"/>
  <c r="VY2" i="30"/>
  <c r="VW2" i="27"/>
  <c r="VX3" i="27"/>
  <c r="VW4" i="27"/>
  <c r="VO3" i="24"/>
  <c r="VN2" i="24"/>
  <c r="WC2" i="33" l="1"/>
  <c r="WC4" i="33"/>
  <c r="WD3" i="33"/>
  <c r="WC2" i="31"/>
  <c r="WD3" i="31"/>
  <c r="WC4" i="31"/>
  <c r="WA3" i="30"/>
  <c r="VZ4" i="30"/>
  <c r="VZ2" i="30"/>
  <c r="VX2" i="27"/>
  <c r="VX4" i="27"/>
  <c r="VY3" i="27"/>
  <c r="VP3" i="24"/>
  <c r="VP4" i="24" s="1"/>
  <c r="VO2" i="24"/>
  <c r="VO4" i="24"/>
  <c r="WD4" i="33" l="1"/>
  <c r="WD2" i="33"/>
  <c r="WE3" i="33"/>
  <c r="WE3" i="31"/>
  <c r="WD4" i="31"/>
  <c r="WD2" i="31"/>
  <c r="WA2" i="30"/>
  <c r="WA4" i="30"/>
  <c r="WB3" i="30"/>
  <c r="VY4" i="27"/>
  <c r="VZ3" i="27"/>
  <c r="VY2" i="27"/>
  <c r="VQ3" i="24"/>
  <c r="VQ4" i="24" s="1"/>
  <c r="VP2" i="24"/>
  <c r="WE4" i="33" l="1"/>
  <c r="WE2" i="33"/>
  <c r="WF3" i="33"/>
  <c r="WE4" i="31"/>
  <c r="WF3" i="31"/>
  <c r="WE2" i="31"/>
  <c r="WB2" i="30"/>
  <c r="WB4" i="30"/>
  <c r="WC3" i="30"/>
  <c r="VZ2" i="27"/>
  <c r="WA3" i="27"/>
  <c r="VZ4" i="27"/>
  <c r="VR3" i="24"/>
  <c r="VR4" i="24" s="1"/>
  <c r="VQ2" i="24"/>
  <c r="WG3" i="33" l="1"/>
  <c r="WF4" i="33"/>
  <c r="WF2" i="33"/>
  <c r="WG3" i="31"/>
  <c r="WF4" i="31"/>
  <c r="WF2" i="31"/>
  <c r="WC4" i="30"/>
  <c r="WC2" i="30"/>
  <c r="WD3" i="30"/>
  <c r="WA4" i="27"/>
  <c r="WB3" i="27"/>
  <c r="WA2" i="27"/>
  <c r="VS3" i="24"/>
  <c r="VS4" i="24" s="1"/>
  <c r="VR2" i="24"/>
  <c r="WG2" i="33" l="1"/>
  <c r="WG4" i="33"/>
  <c r="WH3" i="33"/>
  <c r="WG4" i="31"/>
  <c r="WG2" i="31"/>
  <c r="WH3" i="31"/>
  <c r="WD4" i="30"/>
  <c r="WD2" i="30"/>
  <c r="WE3" i="30"/>
  <c r="WC3" i="27"/>
  <c r="WB4" i="27"/>
  <c r="WB2" i="27"/>
  <c r="VT3" i="24"/>
  <c r="VT4" i="24" s="1"/>
  <c r="VS2" i="24"/>
  <c r="WH4" i="33" l="1"/>
  <c r="WI3" i="33"/>
  <c r="WH2" i="33"/>
  <c r="WI3" i="31"/>
  <c r="WH4" i="31"/>
  <c r="WH2" i="31"/>
  <c r="WE4" i="30"/>
  <c r="WE2" i="30"/>
  <c r="WF3" i="30"/>
  <c r="WD3" i="27"/>
  <c r="WC4" i="27"/>
  <c r="WC2" i="27"/>
  <c r="VU3" i="24"/>
  <c r="VU4" i="24" s="1"/>
  <c r="VT2" i="24"/>
  <c r="WI4" i="33" l="1"/>
  <c r="WJ3" i="33"/>
  <c r="WI2" i="33"/>
  <c r="WJ3" i="31"/>
  <c r="WI4" i="31"/>
  <c r="WI2" i="31"/>
  <c r="WF4" i="30"/>
  <c r="WG3" i="30"/>
  <c r="WF2" i="30"/>
  <c r="WD4" i="27"/>
  <c r="WD2" i="27"/>
  <c r="WE3" i="27"/>
  <c r="VU2" i="24"/>
  <c r="VV3" i="24"/>
  <c r="VV4" i="24" s="1"/>
  <c r="WK3" i="33" l="1"/>
  <c r="WJ4" i="33"/>
  <c r="WJ2" i="33"/>
  <c r="WJ2" i="31"/>
  <c r="WJ4" i="31"/>
  <c r="WK3" i="31"/>
  <c r="WH3" i="30"/>
  <c r="WG2" i="30"/>
  <c r="WG4" i="30"/>
  <c r="WE2" i="27"/>
  <c r="WF3" i="27"/>
  <c r="WE4" i="27"/>
  <c r="VV2" i="24"/>
  <c r="VW3" i="24"/>
  <c r="VW4" i="24" s="1"/>
  <c r="WK4" i="33" l="1"/>
  <c r="WL3" i="33"/>
  <c r="WK2" i="33"/>
  <c r="WK4" i="31"/>
  <c r="WK2" i="31"/>
  <c r="WL3" i="31"/>
  <c r="WI3" i="30"/>
  <c r="WH2" i="30"/>
  <c r="WH4" i="30"/>
  <c r="WF2" i="27"/>
  <c r="WG3" i="27"/>
  <c r="WF4" i="27"/>
  <c r="VX3" i="24"/>
  <c r="VX4" i="24" s="1"/>
  <c r="VW2" i="24"/>
  <c r="WM3" i="33" l="1"/>
  <c r="WL2" i="33"/>
  <c r="WL4" i="33"/>
  <c r="WM3" i="31"/>
  <c r="WL2" i="31"/>
  <c r="WL4" i="31"/>
  <c r="WI4" i="30"/>
  <c r="WJ3" i="30"/>
  <c r="WI2" i="30"/>
  <c r="WG2" i="27"/>
  <c r="WH3" i="27"/>
  <c r="WG4" i="27"/>
  <c r="VX2" i="24"/>
  <c r="VY3" i="24"/>
  <c r="VY4" i="24" s="1"/>
  <c r="WN3" i="33" l="1"/>
  <c r="WM4" i="33"/>
  <c r="WM2" i="33"/>
  <c r="WN3" i="31"/>
  <c r="WM2" i="31"/>
  <c r="WM4" i="31"/>
  <c r="WK3" i="30"/>
  <c r="WJ2" i="30"/>
  <c r="WJ4" i="30"/>
  <c r="WH4" i="27"/>
  <c r="WI3" i="27"/>
  <c r="WH2" i="27"/>
  <c r="VZ3" i="24"/>
  <c r="VZ4" i="24" s="1"/>
  <c r="VY2" i="24"/>
  <c r="WO3" i="33" l="1"/>
  <c r="WN4" i="33"/>
  <c r="WN2" i="33"/>
  <c r="WN4" i="31"/>
  <c r="WO3" i="31"/>
  <c r="WN2" i="31"/>
  <c r="WL3" i="30"/>
  <c r="WK2" i="30"/>
  <c r="WK4" i="30"/>
  <c r="WI4" i="27"/>
  <c r="WJ3" i="27"/>
  <c r="WI2" i="27"/>
  <c r="WA3" i="24"/>
  <c r="WA4" i="24" s="1"/>
  <c r="VZ2" i="24"/>
  <c r="WO2" i="33" l="1"/>
  <c r="WP3" i="33"/>
  <c r="WO4" i="33"/>
  <c r="WO2" i="31"/>
  <c r="WO4" i="31"/>
  <c r="WP3" i="31"/>
  <c r="WL2" i="30"/>
  <c r="WM3" i="30"/>
  <c r="WL4" i="30"/>
  <c r="WK3" i="27"/>
  <c r="WJ4" i="27"/>
  <c r="WJ2" i="27"/>
  <c r="WB3" i="24"/>
  <c r="WB4" i="24" s="1"/>
  <c r="WA2" i="24"/>
  <c r="WP2" i="33" l="1"/>
  <c r="WP4" i="33"/>
  <c r="WQ3" i="33"/>
  <c r="WP2" i="31"/>
  <c r="WP4" i="31"/>
  <c r="WQ3" i="31"/>
  <c r="WN3" i="30"/>
  <c r="WM4" i="30"/>
  <c r="WM2" i="30"/>
  <c r="WK4" i="27"/>
  <c r="WK2" i="27"/>
  <c r="WL3" i="27"/>
  <c r="WC3" i="24"/>
  <c r="WC4" i="24" s="1"/>
  <c r="WB2" i="24"/>
  <c r="WQ2" i="33" l="1"/>
  <c r="WQ4" i="33"/>
  <c r="WQ4" i="31"/>
  <c r="WQ2" i="31"/>
  <c r="WO3" i="30"/>
  <c r="WN4" i="30"/>
  <c r="WN2" i="30"/>
  <c r="WM3" i="27"/>
  <c r="WL4" i="27"/>
  <c r="WL2" i="27"/>
  <c r="WC2" i="24"/>
  <c r="WD3" i="24"/>
  <c r="WD4" i="24" s="1"/>
  <c r="WO4" i="30" l="1"/>
  <c r="WP3" i="30"/>
  <c r="WO2" i="30"/>
  <c r="WM2" i="27"/>
  <c r="WN3" i="27"/>
  <c r="WM4" i="27"/>
  <c r="WE3" i="24"/>
  <c r="WE4" i="24" s="1"/>
  <c r="WD2" i="24"/>
  <c r="WP2" i="30" l="1"/>
  <c r="WQ3" i="30"/>
  <c r="WP4" i="30"/>
  <c r="WN2" i="27"/>
  <c r="WO3" i="27"/>
  <c r="WN4" i="27"/>
  <c r="WE2" i="24"/>
  <c r="WF3" i="24"/>
  <c r="WQ4" i="30" l="1"/>
  <c r="WQ2" i="30"/>
  <c r="WP3" i="27"/>
  <c r="WO2" i="27"/>
  <c r="WO4" i="27"/>
  <c r="WG3" i="24"/>
  <c r="WG4" i="24" s="1"/>
  <c r="WF2" i="24"/>
  <c r="WF4" i="24"/>
  <c r="WP2" i="27" l="1"/>
  <c r="WQ3" i="27"/>
  <c r="WP4" i="27"/>
  <c r="WG2" i="24"/>
  <c r="WH3" i="24"/>
  <c r="WH4" i="24" s="1"/>
  <c r="WQ4" i="27" l="1"/>
  <c r="WQ2" i="27"/>
  <c r="WI3" i="24"/>
  <c r="WI4" i="24" s="1"/>
  <c r="WH2" i="24"/>
  <c r="WJ3" i="24" l="1"/>
  <c r="WJ4" i="24" s="1"/>
  <c r="WI2" i="24"/>
  <c r="WK3" i="24" l="1"/>
  <c r="WK4" i="24" s="1"/>
  <c r="WJ2" i="24"/>
  <c r="WK2" i="24" l="1"/>
  <c r="WL3" i="24"/>
  <c r="WL4" i="24" s="1"/>
  <c r="WM3" i="24" l="1"/>
  <c r="WM4" i="24" s="1"/>
  <c r="WL2" i="24"/>
  <c r="WN3" i="24" l="1"/>
  <c r="WN4" i="24" s="1"/>
  <c r="WM2" i="24"/>
  <c r="WN2" i="24" l="1"/>
  <c r="WO3" i="24"/>
  <c r="WO4" i="24" s="1"/>
  <c r="WO2" i="24" l="1"/>
  <c r="WP3" i="24"/>
  <c r="WQ3" i="24" l="1"/>
  <c r="WP2" i="24"/>
  <c r="WP4" i="24"/>
  <c r="S9" i="24"/>
  <c r="S12" i="24"/>
  <c r="AE15" i="25" s="1"/>
  <c r="AF15" i="25" s="1"/>
  <c r="S6" i="24"/>
  <c r="S20" i="24"/>
  <c r="S19" i="24"/>
  <c r="T19" i="24" s="1"/>
  <c r="S13" i="24"/>
  <c r="T13" i="24" s="1"/>
  <c r="S24" i="24"/>
  <c r="S21" i="24"/>
  <c r="T21" i="24" s="1"/>
  <c r="S22" i="24"/>
  <c r="WQ2" i="24" l="1"/>
  <c r="S16" i="24"/>
  <c r="S15" i="24"/>
  <c r="S25" i="24"/>
  <c r="AE13" i="25"/>
  <c r="AF13" i="25" s="1"/>
  <c r="S14" i="24"/>
  <c r="S7" i="24"/>
  <c r="AE14" i="25"/>
  <c r="AF14" i="25" s="1"/>
  <c r="S17" i="24"/>
  <c r="T22" i="24"/>
  <c r="T9" i="24"/>
  <c r="T20" i="24"/>
  <c r="T24" i="24"/>
  <c r="T12" i="24"/>
  <c r="T6" i="24"/>
  <c r="WQ4" i="24"/>
  <c r="V9" i="24"/>
  <c r="U9" i="24"/>
  <c r="W9" i="24" s="1"/>
  <c r="V22" i="24"/>
  <c r="U22" i="24"/>
  <c r="W22" i="24" s="1"/>
  <c r="V21" i="24"/>
  <c r="U21" i="24"/>
  <c r="W21" i="24" s="1"/>
  <c r="U24" i="24"/>
  <c r="W24" i="24" s="1"/>
  <c r="V24" i="24"/>
  <c r="U12" i="24"/>
  <c r="W12" i="24" s="1"/>
  <c r="V12" i="24"/>
  <c r="V13" i="24"/>
  <c r="U13" i="24"/>
  <c r="W13" i="24" s="1"/>
  <c r="V19" i="24"/>
  <c r="U19" i="24"/>
  <c r="W19" i="24" s="1"/>
  <c r="U6" i="24"/>
  <c r="V6" i="24"/>
  <c r="U20" i="24"/>
  <c r="W20" i="24" s="1"/>
  <c r="V20" i="24"/>
  <c r="AE12" i="25" l="1"/>
  <c r="AF12" i="25" s="1"/>
  <c r="AE5" i="25"/>
  <c r="AF5" i="25" s="1"/>
  <c r="AE11" i="25"/>
  <c r="AF11" i="25" s="1"/>
  <c r="AE8" i="25"/>
  <c r="AF8" i="25" s="1"/>
  <c r="AE10" i="25"/>
  <c r="AF10" i="25" s="1"/>
  <c r="S5" i="24"/>
  <c r="AE9" i="25"/>
  <c r="AF9" i="25" s="1"/>
  <c r="AE4" i="25"/>
  <c r="AF4" i="25" s="1"/>
  <c r="T7" i="24"/>
  <c r="V7" i="24"/>
  <c r="U7" i="24"/>
  <c r="W7" i="24" s="1"/>
  <c r="AE7" i="25"/>
  <c r="AF7" i="25" s="1"/>
  <c r="T14" i="24"/>
  <c r="V14" i="24"/>
  <c r="U14" i="24"/>
  <c r="W14" i="24" s="1"/>
  <c r="T25" i="24"/>
  <c r="V25" i="24"/>
  <c r="U25" i="24"/>
  <c r="V15" i="24"/>
  <c r="T15" i="24"/>
  <c r="AE6" i="25"/>
  <c r="AF6" i="25" s="1"/>
  <c r="T16" i="24"/>
  <c r="U16" i="24"/>
  <c r="V16" i="24"/>
  <c r="T17" i="24"/>
  <c r="V17" i="24"/>
  <c r="U17" i="24"/>
  <c r="W17" i="24" s="1"/>
  <c r="W9" i="25"/>
  <c r="X9" i="25" s="1"/>
  <c r="C14" i="25" a="1"/>
  <c r="C14" i="25" s="1"/>
  <c r="M17" i="25" a="1"/>
  <c r="M17" i="25" s="1"/>
  <c r="C19" i="25" a="1"/>
  <c r="C19" i="25" s="1"/>
  <c r="Y14" i="25" a="1"/>
  <c r="Y14" i="25" s="1"/>
  <c r="Z11" i="25" a="1"/>
  <c r="Z11" i="25" s="1"/>
  <c r="Z19" i="25" a="1"/>
  <c r="Z19" i="25" s="1"/>
  <c r="D7" i="25" a="1"/>
  <c r="D7" i="25" s="1"/>
  <c r="E7" i="25" s="1"/>
  <c r="Z16" i="25" a="1"/>
  <c r="Z16" i="25" s="1"/>
  <c r="Z15" i="25" a="1"/>
  <c r="Z15" i="25" s="1"/>
  <c r="Z14" i="25" a="1"/>
  <c r="Z14" i="25" s="1"/>
  <c r="Z12" i="25" a="1"/>
  <c r="Z12" i="25" s="1"/>
  <c r="Z5" i="25" a="1"/>
  <c r="Z5" i="25" s="1"/>
  <c r="Z4" i="25" a="1"/>
  <c r="Z4" i="25" s="1"/>
  <c r="Z7" i="25" a="1"/>
  <c r="Z7" i="25" s="1"/>
  <c r="D5" i="25" a="1"/>
  <c r="D5" i="25" s="1"/>
  <c r="E5" i="25" s="1"/>
  <c r="R9" i="24"/>
  <c r="X9" i="24"/>
  <c r="X21" i="24"/>
  <c r="R21" i="24"/>
  <c r="R20" i="24"/>
  <c r="X20" i="24"/>
  <c r="X19" i="24"/>
  <c r="R19" i="24"/>
  <c r="X12" i="24"/>
  <c r="R24" i="24"/>
  <c r="X24" i="24"/>
  <c r="X13" i="24"/>
  <c r="R13" i="24"/>
  <c r="R22" i="24"/>
  <c r="X22" i="24"/>
  <c r="W6" i="24"/>
  <c r="R6" i="24"/>
  <c r="W16" i="24" l="1"/>
  <c r="I26" i="24"/>
  <c r="W25" i="24"/>
  <c r="X25" i="24" s="1"/>
  <c r="R14" i="24"/>
  <c r="R17" i="24"/>
  <c r="AE31" i="25"/>
  <c r="V5" i="24"/>
  <c r="E1" i="24" s="1"/>
  <c r="T5" i="24"/>
  <c r="R25" i="24"/>
  <c r="R16" i="24"/>
  <c r="I15" i="24"/>
  <c r="R7" i="24"/>
  <c r="X7" i="24"/>
  <c r="AF31" i="25"/>
  <c r="X6" i="24"/>
  <c r="W19" i="25"/>
  <c r="X19" i="25" s="1"/>
  <c r="Z29" i="25" a="1"/>
  <c r="Z29" i="25" s="1"/>
  <c r="D6" i="25" a="1"/>
  <c r="D6" i="25" s="1"/>
  <c r="E6" i="25" s="1"/>
  <c r="C13" i="25" a="1"/>
  <c r="C13" i="25" s="1"/>
  <c r="C18" i="25" a="1"/>
  <c r="C18" i="25" s="1"/>
  <c r="M13" i="25" a="1"/>
  <c r="M13" i="25" s="1"/>
  <c r="M10" i="25" a="1"/>
  <c r="M10" i="25" s="1"/>
  <c r="M19" i="25" a="1"/>
  <c r="M19" i="25" s="1"/>
  <c r="M12" i="25" a="1"/>
  <c r="M12" i="25" s="1"/>
  <c r="Y7" i="25" a="1"/>
  <c r="Y7" i="25" s="1"/>
  <c r="M15" i="25" a="1"/>
  <c r="M15" i="25" s="1"/>
  <c r="N13" i="25" a="1"/>
  <c r="N13" i="25" s="1"/>
  <c r="N6" i="25" a="1"/>
  <c r="N6" i="25" s="1"/>
  <c r="C17" i="25" a="1"/>
  <c r="C17" i="25" s="1"/>
  <c r="C15" i="25" a="1"/>
  <c r="C15" i="25" s="1"/>
  <c r="D4" i="25" a="1"/>
  <c r="D4" i="25" s="1"/>
  <c r="D18" i="25" a="1"/>
  <c r="D18" i="25" s="1"/>
  <c r="E18" i="25" s="1"/>
  <c r="C9" i="25" a="1"/>
  <c r="C9" i="25" s="1"/>
  <c r="Y11" i="25" a="1"/>
  <c r="Y11" i="25" s="1"/>
  <c r="C8" i="25" a="1"/>
  <c r="C8" i="25" s="1"/>
  <c r="C6" i="25" a="1"/>
  <c r="C6" i="25" s="1"/>
  <c r="N17" i="25" a="1"/>
  <c r="N17" i="25" s="1"/>
  <c r="D29" i="25" a="1"/>
  <c r="D29" i="25" s="1"/>
  <c r="E29" i="25" s="1"/>
  <c r="D9" i="25" a="1"/>
  <c r="D9" i="25" s="1"/>
  <c r="E9" i="25" s="1"/>
  <c r="Y17" i="25" a="1"/>
  <c r="Y17" i="25" s="1"/>
  <c r="N19" i="25" a="1"/>
  <c r="N19" i="25" s="1"/>
  <c r="D11" i="25" a="1"/>
  <c r="D11" i="25" s="1"/>
  <c r="E11" i="25" s="1"/>
  <c r="C5" i="25" a="1"/>
  <c r="C5" i="25" s="1"/>
  <c r="Z17" i="25" a="1"/>
  <c r="Z17" i="25" s="1"/>
  <c r="M11" i="25" a="1"/>
  <c r="M11" i="25" s="1"/>
  <c r="M16" i="25" a="1"/>
  <c r="M16" i="25" s="1"/>
  <c r="C12" i="25" a="1"/>
  <c r="C12" i="25" s="1"/>
  <c r="N7" i="25" a="1"/>
  <c r="N7" i="25" s="1"/>
  <c r="D13" i="25" a="1"/>
  <c r="D13" i="25" s="1"/>
  <c r="E13" i="25" s="1"/>
  <c r="M18" i="25" a="1"/>
  <c r="M18" i="25" s="1"/>
  <c r="M5" i="25" a="1"/>
  <c r="M5" i="25" s="1"/>
  <c r="Z18" i="25" a="1"/>
  <c r="Z18" i="25" s="1"/>
  <c r="Y18" i="25" a="1"/>
  <c r="Y18" i="25" s="1"/>
  <c r="Z9" i="25" a="1"/>
  <c r="Z9" i="25" s="1"/>
  <c r="C7" i="25" a="1"/>
  <c r="C7" i="25" s="1"/>
  <c r="C10" i="25" a="1"/>
  <c r="C10" i="25" s="1"/>
  <c r="Y29" i="25" a="1"/>
  <c r="Y29" i="25" s="1"/>
  <c r="C11" i="25" a="1"/>
  <c r="C11" i="25" s="1"/>
  <c r="N8" i="25" a="1"/>
  <c r="N8" i="25" s="1"/>
  <c r="D17" i="25" a="1"/>
  <c r="D17" i="25" s="1"/>
  <c r="E17" i="25" s="1"/>
  <c r="Y10" i="25" a="1"/>
  <c r="Y10" i="25" s="1"/>
  <c r="Y16" i="25" a="1"/>
  <c r="Y16" i="25" s="1"/>
  <c r="Y12" i="25" a="1"/>
  <c r="Y12" i="25" s="1"/>
  <c r="N15" i="25" a="1"/>
  <c r="N15" i="25" s="1"/>
  <c r="D14" i="25" a="1"/>
  <c r="D14" i="25" s="1"/>
  <c r="E14" i="25" s="1"/>
  <c r="M8" i="25" a="1"/>
  <c r="M8" i="25" s="1"/>
  <c r="M14" i="25" a="1"/>
  <c r="M14" i="25" s="1"/>
  <c r="N16" i="25" a="1"/>
  <c r="N16" i="25" s="1"/>
  <c r="D19" i="25" a="1"/>
  <c r="D19" i="25" s="1"/>
  <c r="E19" i="25" s="1"/>
  <c r="N18" i="25" a="1"/>
  <c r="N18" i="25" s="1"/>
  <c r="Y4" i="25" a="1"/>
  <c r="Y4" i="25" s="1"/>
  <c r="Y6" i="25" a="1"/>
  <c r="Y6" i="25" s="1"/>
  <c r="N5" i="25" a="1"/>
  <c r="N5" i="25" s="1"/>
  <c r="N10" i="25" a="1"/>
  <c r="N10" i="25" s="1"/>
  <c r="D10" i="25" a="1"/>
  <c r="D10" i="25" s="1"/>
  <c r="E10" i="25" s="1"/>
  <c r="C29" i="25" a="1"/>
  <c r="C29" i="25" s="1"/>
  <c r="Z6" i="25" a="1"/>
  <c r="Z6" i="25" s="1"/>
  <c r="Z10" i="25" a="1"/>
  <c r="Z10" i="25" s="1"/>
  <c r="Y15" i="25" a="1"/>
  <c r="Y15" i="25" s="1"/>
  <c r="Y13" i="25" a="1"/>
  <c r="Y13" i="25" s="1"/>
  <c r="Y19" i="25" a="1"/>
  <c r="Y19" i="25" s="1"/>
  <c r="M9" i="25" a="1"/>
  <c r="M9" i="25" s="1"/>
  <c r="M7" i="25" a="1"/>
  <c r="M7" i="25" s="1"/>
  <c r="Y5" i="25" a="1"/>
  <c r="Y5" i="25" s="1"/>
  <c r="N14" i="25" a="1"/>
  <c r="N14" i="25" s="1"/>
  <c r="N12" i="25" a="1"/>
  <c r="N12" i="25" s="1"/>
  <c r="D12" i="25" a="1"/>
  <c r="D12" i="25" s="1"/>
  <c r="E12" i="25" s="1"/>
  <c r="Z8" i="25" a="1"/>
  <c r="Z8" i="25" s="1"/>
  <c r="Z13" i="25" a="1"/>
  <c r="Z13" i="25" s="1"/>
  <c r="Y8" i="25" a="1"/>
  <c r="Y8" i="25" s="1"/>
  <c r="C4" i="25" a="1"/>
  <c r="C4" i="25" s="1"/>
  <c r="M6" i="25" a="1"/>
  <c r="M6" i="25" s="1"/>
  <c r="N9" i="25" a="1"/>
  <c r="N9" i="25" s="1"/>
  <c r="D8" i="25" a="1"/>
  <c r="D8" i="25" s="1"/>
  <c r="E8" i="25" s="1"/>
  <c r="D15" i="25" a="1"/>
  <c r="D15" i="25" s="1"/>
  <c r="E15" i="25" s="1"/>
  <c r="C16" i="25" a="1"/>
  <c r="C16" i="25" s="1"/>
  <c r="Y9" i="25" a="1"/>
  <c r="Y9" i="25" s="1"/>
  <c r="N11" i="25" a="1"/>
  <c r="N11" i="25" s="1"/>
  <c r="D16" i="25" a="1"/>
  <c r="D16" i="25" s="1"/>
  <c r="E16" i="25" s="1"/>
  <c r="I72" i="24" l="1"/>
  <c r="I73" i="24"/>
  <c r="W6" i="25"/>
  <c r="X6" i="25" s="1"/>
  <c r="I71" i="24"/>
  <c r="W4" i="25"/>
  <c r="X4" i="25" s="1"/>
  <c r="Z31" i="25"/>
  <c r="Y31" i="25"/>
  <c r="M31" i="25"/>
  <c r="C31" i="25"/>
  <c r="N31" i="25"/>
  <c r="D31" i="25"/>
  <c r="E4" i="25"/>
  <c r="E31" i="25" s="1"/>
  <c r="O15" i="24" l="1"/>
  <c r="X34" i="25"/>
  <c r="W8" i="25"/>
  <c r="X8" i="25" s="1"/>
  <c r="M15" i="24"/>
  <c r="U15" i="24"/>
  <c r="W15" i="24" l="1"/>
  <c r="M26" i="24"/>
  <c r="O26" i="24"/>
  <c r="U26" i="24"/>
  <c r="P15" i="24"/>
  <c r="R15" i="24"/>
  <c r="W26" i="24" l="1"/>
  <c r="R26" i="24"/>
  <c r="P26" i="24"/>
  <c r="M36" i="24" l="1"/>
  <c r="U36" i="24"/>
  <c r="I45" i="24" s="1"/>
  <c r="J17" i="25" s="1" a="1"/>
  <c r="J17" i="25" s="1"/>
  <c r="O36" i="24"/>
  <c r="AC13" i="25" a="1"/>
  <c r="AC13" i="25" s="1"/>
  <c r="S13" i="25" a="1"/>
  <c r="S13" i="25" s="1"/>
  <c r="S18" i="25" a="1"/>
  <c r="S18" i="25" s="1"/>
  <c r="AD13" i="25" a="1"/>
  <c r="AD13" i="25" s="1"/>
  <c r="I15" i="25" a="1"/>
  <c r="I15" i="25" s="1"/>
  <c r="AC16" i="25" a="1"/>
  <c r="AC16" i="25" s="1"/>
  <c r="R29" i="25" a="1"/>
  <c r="R29" i="25" s="1"/>
  <c r="R23" i="25" a="1"/>
  <c r="R23" i="25" s="1"/>
  <c r="AC8" i="25" a="1"/>
  <c r="AC8" i="25" s="1"/>
  <c r="R10" i="25" a="1"/>
  <c r="R10" i="25" s="1"/>
  <c r="I31" i="25" a="1"/>
  <c r="I31" i="25" s="1"/>
  <c r="AC12" i="25" a="1"/>
  <c r="AC12" i="25" s="1"/>
  <c r="I8" i="25" a="1"/>
  <c r="I8" i="25" s="1"/>
  <c r="AC15" i="25" a="1"/>
  <c r="AC15" i="25" s="1"/>
  <c r="I12" i="25" a="1"/>
  <c r="I12" i="25" s="1"/>
  <c r="AD19" i="25" a="1"/>
  <c r="AD19" i="25" s="1"/>
  <c r="AC7" i="25" a="1"/>
  <c r="AC7" i="25" s="1"/>
  <c r="AD15" i="25" a="1"/>
  <c r="AD15" i="25" s="1"/>
  <c r="AD9" i="25" a="1"/>
  <c r="AD9" i="25" s="1"/>
  <c r="R16" i="25" a="1"/>
  <c r="R16" i="25" s="1"/>
  <c r="R11" i="25" a="1"/>
  <c r="R11" i="25" s="1"/>
  <c r="J13" i="25" a="1"/>
  <c r="J13" i="25" s="1"/>
  <c r="AC10" i="25" a="1"/>
  <c r="AC10" i="25" s="1"/>
  <c r="S26" i="25" a="1"/>
  <c r="S26" i="25" s="1"/>
  <c r="R19" i="25" a="1"/>
  <c r="R19" i="25" s="1"/>
  <c r="S15" i="25" a="1"/>
  <c r="S15" i="25" s="1"/>
  <c r="S8" i="25" a="1"/>
  <c r="S8" i="25" s="1"/>
  <c r="R8" i="25" a="1"/>
  <c r="R8" i="25" s="1"/>
  <c r="I10" i="25" a="1"/>
  <c r="I10" i="25" s="1"/>
  <c r="S7" i="25" a="1"/>
  <c r="S7" i="25" s="1"/>
  <c r="R24" i="25" a="1"/>
  <c r="R24" i="25" s="1"/>
  <c r="AD16" i="25" a="1"/>
  <c r="AD16" i="25" s="1"/>
  <c r="AC4" i="25" a="1"/>
  <c r="AC4" i="25" s="1"/>
  <c r="AC19" i="25" a="1"/>
  <c r="AC19" i="25" s="1"/>
  <c r="J8" i="25" a="1"/>
  <c r="J8" i="25" s="1"/>
  <c r="S14" i="25" a="1"/>
  <c r="S14" i="25" s="1"/>
  <c r="AC11" i="25" a="1"/>
  <c r="AC11" i="25" s="1"/>
  <c r="I11" i="25" a="1"/>
  <c r="I11" i="25" s="1"/>
  <c r="R31" i="25" a="1"/>
  <c r="R31" i="25" s="1"/>
  <c r="AC31" i="25" a="1"/>
  <c r="AC31" i="25" s="1"/>
  <c r="AC5" i="25" a="1"/>
  <c r="AC5" i="25" s="1"/>
  <c r="AD6" i="25" a="1"/>
  <c r="AD6" i="25" s="1"/>
  <c r="AD7" i="25" a="1"/>
  <c r="AD7" i="25" s="1"/>
  <c r="S31" i="25" a="1"/>
  <c r="S31" i="25" s="1"/>
  <c r="S20" i="25" a="1"/>
  <c r="S20" i="25" s="1"/>
  <c r="AD31" i="25" a="1"/>
  <c r="AD31" i="25" s="1"/>
  <c r="S30" i="25" a="1"/>
  <c r="S30" i="25" s="1"/>
  <c r="R7" i="25" a="1"/>
  <c r="R7" i="25" s="1"/>
  <c r="J18" i="25" l="1" a="1"/>
  <c r="J18" i="25" s="1"/>
  <c r="J4" i="25" a="1"/>
  <c r="J4" i="25" s="1"/>
  <c r="S6" i="25" a="1"/>
  <c r="S6" i="25" s="1"/>
  <c r="S19" i="25" a="1"/>
  <c r="S19" i="25" s="1"/>
  <c r="R20" i="25" a="1"/>
  <c r="R20" i="25" s="1"/>
  <c r="J6" i="25" a="1"/>
  <c r="J6" i="25" s="1"/>
  <c r="S11" i="25" a="1"/>
  <c r="S11" i="25" s="1"/>
  <c r="AD10" i="25" a="1"/>
  <c r="AD10" i="25" s="1"/>
  <c r="I19" i="25" a="1"/>
  <c r="I19" i="25" s="1"/>
  <c r="S24" i="25" a="1"/>
  <c r="S24" i="25" s="1"/>
  <c r="R26" i="25" a="1"/>
  <c r="R26" i="25" s="1"/>
  <c r="AC17" i="25" a="1"/>
  <c r="AC17" i="25" s="1"/>
  <c r="R4" i="25" a="1"/>
  <c r="R4" i="25" s="1"/>
  <c r="I18" i="25" a="1"/>
  <c r="I18" i="25" s="1"/>
  <c r="S22" i="25" a="1"/>
  <c r="S22" i="25" s="1"/>
  <c r="R13" i="25" a="1"/>
  <c r="R13" i="25" s="1"/>
  <c r="AD4" i="25" a="1"/>
  <c r="AD4" i="25" s="1"/>
  <c r="I29" i="25" a="1"/>
  <c r="I29" i="25" s="1"/>
  <c r="I17" i="25" a="1"/>
  <c r="I17" i="25" s="1"/>
  <c r="S17" i="25" a="1"/>
  <c r="S17" i="25" s="1"/>
  <c r="J16" i="25" a="1"/>
  <c r="J16" i="25" s="1"/>
  <c r="I7" i="25" a="1"/>
  <c r="I7" i="25" s="1"/>
  <c r="S28" i="25" a="1"/>
  <c r="S28" i="25" s="1"/>
  <c r="AD14" i="25" a="1"/>
  <c r="AD14" i="25" s="1"/>
  <c r="R15" i="25" a="1"/>
  <c r="R15" i="25" s="1"/>
  <c r="S10" i="25" a="1"/>
  <c r="S10" i="25" s="1"/>
  <c r="J7" i="25" a="1"/>
  <c r="J7" i="25" s="1"/>
  <c r="S4" i="25" a="1"/>
  <c r="S4" i="25" s="1"/>
  <c r="J19" i="25" a="1"/>
  <c r="J19" i="25" s="1"/>
  <c r="J14" i="25" a="1"/>
  <c r="J14" i="25" s="1"/>
  <c r="J12" i="25" a="1"/>
  <c r="J12" i="25" s="1"/>
  <c r="S12" i="25" a="1"/>
  <c r="S12" i="25" s="1"/>
  <c r="S5" i="25" a="1"/>
  <c r="S5" i="25" s="1"/>
  <c r="J29" i="25" a="1"/>
  <c r="J29" i="25" s="1"/>
  <c r="S9" i="25" a="1"/>
  <c r="S9" i="25" s="1"/>
  <c r="I6" i="25" a="1"/>
  <c r="I6" i="25" s="1"/>
  <c r="R12" i="25" a="1"/>
  <c r="R12" i="25" s="1"/>
  <c r="AD18" i="25" a="1"/>
  <c r="AD18" i="25" s="1"/>
  <c r="R25" i="25" a="1"/>
  <c r="R25" i="25" s="1"/>
  <c r="AC29" i="25" a="1"/>
  <c r="AC29" i="25" s="1"/>
  <c r="AD12" i="25" a="1"/>
  <c r="AD12" i="25" s="1"/>
  <c r="R28" i="25" a="1"/>
  <c r="R28" i="25" s="1"/>
  <c r="S25" i="25" a="1"/>
  <c r="S25" i="25" s="1"/>
  <c r="S27" i="25" a="1"/>
  <c r="S27" i="25" s="1"/>
  <c r="I4" i="25" a="1"/>
  <c r="I4" i="25" s="1"/>
  <c r="I5" i="25" a="1"/>
  <c r="I5" i="25" s="1"/>
  <c r="I9" i="25" a="1"/>
  <c r="I9" i="25" s="1"/>
  <c r="AC6" i="25" a="1"/>
  <c r="AC6" i="25" s="1"/>
  <c r="J10" i="25" a="1"/>
  <c r="J10" i="25" s="1"/>
  <c r="AC14" i="25" a="1"/>
  <c r="AC14" i="25" s="1"/>
  <c r="AD11" i="25" a="1"/>
  <c r="AD11" i="25" s="1"/>
  <c r="R18" i="25" a="1"/>
  <c r="R18" i="25" s="1"/>
  <c r="S16" i="25" a="1"/>
  <c r="S16" i="25" s="1"/>
  <c r="J5" i="25" a="1"/>
  <c r="J5" i="25" s="1"/>
  <c r="J15" i="25" a="1"/>
  <c r="J15" i="25" s="1"/>
  <c r="J31" i="25" a="1"/>
  <c r="J31" i="25" s="1"/>
  <c r="R6" i="25" a="1"/>
  <c r="R6" i="25" s="1"/>
  <c r="AC9" i="25" a="1"/>
  <c r="AC9" i="25" s="1"/>
  <c r="AD17" i="25" a="1"/>
  <c r="AD17" i="25" s="1"/>
  <c r="R14" i="25" a="1"/>
  <c r="R14" i="25" s="1"/>
  <c r="AD5" i="25" a="1"/>
  <c r="AD5" i="25" s="1"/>
  <c r="I13" i="25" a="1"/>
  <c r="I13" i="25" s="1"/>
  <c r="I14" i="25" a="1"/>
  <c r="I14" i="25" s="1"/>
  <c r="R30" i="25" a="1"/>
  <c r="R30" i="25" s="1"/>
  <c r="S21" i="25" a="1"/>
  <c r="S21" i="25" s="1"/>
  <c r="R22" i="25" a="1"/>
  <c r="R22" i="25" s="1"/>
  <c r="R27" i="25" a="1"/>
  <c r="R27" i="25" s="1"/>
  <c r="J11" i="25" a="1"/>
  <c r="J11" i="25" s="1"/>
  <c r="AD8" i="25" a="1"/>
  <c r="AD8" i="25" s="1"/>
  <c r="S23" i="25" a="1"/>
  <c r="S23" i="25" s="1"/>
  <c r="R21" i="25" a="1"/>
  <c r="R21" i="25" s="1"/>
  <c r="R5" i="25" a="1"/>
  <c r="R5" i="25" s="1"/>
  <c r="AC18" i="25" a="1"/>
  <c r="AC18" i="25" s="1"/>
  <c r="R17" i="25" a="1"/>
  <c r="R17" i="25" s="1"/>
  <c r="I16" i="25" a="1"/>
  <c r="I16" i="25" s="1"/>
  <c r="J9" i="25" a="1"/>
  <c r="J9" i="25" s="1"/>
  <c r="AD29" i="25" a="1"/>
  <c r="AD29" i="25" s="1"/>
  <c r="R9" i="25" a="1"/>
  <c r="R9" i="25" s="1"/>
  <c r="S29" i="25" a="1"/>
  <c r="S29" i="25" s="1"/>
  <c r="O45" i="24"/>
  <c r="O5" i="24" s="1"/>
  <c r="M45" i="24"/>
  <c r="M5" i="24" s="1"/>
  <c r="C22" i="7" s="1"/>
  <c r="F9" i="25" a="1"/>
  <c r="F9" i="25" s="1"/>
  <c r="R36" i="24"/>
  <c r="O4" i="25" a="1"/>
  <c r="O4" i="25" s="1"/>
  <c r="O29" i="25" a="1"/>
  <c r="O29" i="25" s="1"/>
  <c r="AA9" i="25" a="1"/>
  <c r="AA9" i="25" s="1"/>
  <c r="O22" i="25" a="1"/>
  <c r="O22" i="25" s="1"/>
  <c r="O12" i="25" a="1"/>
  <c r="O12" i="25" s="1"/>
  <c r="F17" i="25" a="1"/>
  <c r="F17" i="25" s="1"/>
  <c r="AA21" i="25" a="1"/>
  <c r="AA21" i="25" s="1"/>
  <c r="AB21" i="25" s="1"/>
  <c r="AA13" i="25" a="1"/>
  <c r="AA13" i="25" s="1"/>
  <c r="AB13" i="25" s="1"/>
  <c r="O20" i="25" a="1"/>
  <c r="O20" i="25" s="1"/>
  <c r="O30" i="25" a="1"/>
  <c r="O30" i="25" s="1"/>
  <c r="O7" i="25" a="1"/>
  <c r="O7" i="25" s="1"/>
  <c r="AA25" i="25" a="1"/>
  <c r="AA25" i="25" s="1"/>
  <c r="AB25" i="25" s="1"/>
  <c r="O5" i="25" a="1"/>
  <c r="O5" i="25" s="1"/>
  <c r="AA19" i="25" a="1"/>
  <c r="AA19" i="25" s="1"/>
  <c r="AB19" i="25" s="1"/>
  <c r="F16" i="25" a="1"/>
  <c r="F16" i="25" s="1"/>
  <c r="AA14" i="25" a="1"/>
  <c r="AA14" i="25" s="1"/>
  <c r="AB14" i="25" s="1"/>
  <c r="O26" i="25" a="1"/>
  <c r="O26" i="25" s="1"/>
  <c r="F6" i="25" a="1"/>
  <c r="F6" i="25" s="1"/>
  <c r="F15" i="25" a="1"/>
  <c r="F15" i="25" s="1"/>
  <c r="F4" i="25" a="1"/>
  <c r="F4" i="25" s="1"/>
  <c r="O19" i="25" a="1"/>
  <c r="O19" i="25" s="1"/>
  <c r="AA11" i="25" a="1"/>
  <c r="AA11" i="25" s="1"/>
  <c r="F19" i="25" a="1"/>
  <c r="F19" i="25" s="1"/>
  <c r="AA10" i="25" a="1"/>
  <c r="AA10" i="25" s="1"/>
  <c r="O16" i="25" a="1"/>
  <c r="O16" i="25" s="1"/>
  <c r="AA24" i="25" a="1"/>
  <c r="AA24" i="25" s="1"/>
  <c r="AB24" i="25" s="1"/>
  <c r="AA17" i="25" a="1"/>
  <c r="AA17" i="25" s="1"/>
  <c r="AB17" i="25" s="1"/>
  <c r="AA26" i="25" a="1"/>
  <c r="AA26" i="25" s="1"/>
  <c r="AB26" i="25" s="1"/>
  <c r="F29" i="25" a="1"/>
  <c r="F29" i="25" s="1"/>
  <c r="AA27" i="25" a="1"/>
  <c r="AA27" i="25" s="1"/>
  <c r="AB27" i="25" s="1"/>
  <c r="O10" i="25" a="1"/>
  <c r="O10" i="25" s="1"/>
  <c r="AA22" i="25" a="1"/>
  <c r="AA22" i="25" s="1"/>
  <c r="AB22" i="25" s="1"/>
  <c r="O11" i="25" a="1"/>
  <c r="O11" i="25" s="1"/>
  <c r="O25" i="25" a="1"/>
  <c r="O25" i="25" s="1"/>
  <c r="Q25" i="25" s="1"/>
  <c r="F18" i="25" a="1"/>
  <c r="F18" i="25" s="1"/>
  <c r="AA30" i="25" a="1"/>
  <c r="AA30" i="25" s="1"/>
  <c r="AB30" i="25" s="1"/>
  <c r="O28" i="25" a="1"/>
  <c r="O28" i="25" s="1"/>
  <c r="F7" i="25" a="1"/>
  <c r="F7" i="25" s="1"/>
  <c r="F14" i="25" a="1"/>
  <c r="F14" i="25" s="1"/>
  <c r="O13" i="25" a="1"/>
  <c r="O13" i="25" s="1"/>
  <c r="AA16" i="25" a="1"/>
  <c r="AA16" i="25" s="1"/>
  <c r="AB16" i="25" s="1"/>
  <c r="O17" i="25" a="1"/>
  <c r="O17" i="25" s="1"/>
  <c r="O8" i="25" a="1"/>
  <c r="O8" i="25" s="1"/>
  <c r="AA4" i="25" a="1"/>
  <c r="AA4" i="25" s="1"/>
  <c r="AA15" i="25" a="1"/>
  <c r="AA15" i="25" s="1"/>
  <c r="AB15" i="25" s="1"/>
  <c r="F13" i="25" a="1"/>
  <c r="F13" i="25" s="1"/>
  <c r="O14" i="25" a="1"/>
  <c r="O14" i="25" s="1"/>
  <c r="O15" i="25" a="1"/>
  <c r="O15" i="25" s="1"/>
  <c r="AA29" i="25" a="1"/>
  <c r="AA29" i="25" s="1"/>
  <c r="AB29" i="25" s="1"/>
  <c r="O6" i="25" a="1"/>
  <c r="O6" i="25" s="1"/>
  <c r="U5" i="24"/>
  <c r="AA7" i="25" a="1"/>
  <c r="AA7" i="25" s="1"/>
  <c r="O21" i="25" a="1"/>
  <c r="O21" i="25" s="1"/>
  <c r="AA12" i="25" a="1"/>
  <c r="AA12" i="25" s="1"/>
  <c r="AA20" i="25" a="1"/>
  <c r="AA20" i="25" s="1"/>
  <c r="AB20" i="25" s="1"/>
  <c r="AA28" i="25" a="1"/>
  <c r="AA28" i="25" s="1"/>
  <c r="AB28" i="25" s="1"/>
  <c r="AA5" i="25" a="1"/>
  <c r="AA5" i="25" s="1"/>
  <c r="AA8" i="25" a="1"/>
  <c r="AA8" i="25" s="1"/>
  <c r="AA6" i="25" a="1"/>
  <c r="AA6" i="25" s="1"/>
  <c r="F8" i="25" a="1"/>
  <c r="F8" i="25" s="1"/>
  <c r="F10" i="25" a="1"/>
  <c r="F10" i="25" s="1"/>
  <c r="F12" i="25" a="1"/>
  <c r="F12" i="25" s="1"/>
  <c r="O9" i="25" a="1"/>
  <c r="O9" i="25" s="1"/>
  <c r="AA18" i="25" a="1"/>
  <c r="AA18" i="25" s="1"/>
  <c r="AB18" i="25" s="1"/>
  <c r="O18" i="25" a="1"/>
  <c r="O18" i="25" s="1"/>
  <c r="O24" i="25" a="1"/>
  <c r="O24" i="25" s="1"/>
  <c r="F5" i="25" a="1"/>
  <c r="F5" i="25" s="1"/>
  <c r="F11" i="25" a="1"/>
  <c r="F11" i="25" s="1"/>
  <c r="O23" i="25" a="1"/>
  <c r="O23" i="25" s="1"/>
  <c r="AA23" i="25" a="1"/>
  <c r="AA23" i="25" s="1"/>
  <c r="AB23" i="25" s="1"/>
  <c r="W36" i="24"/>
  <c r="P36" i="24"/>
  <c r="R45" i="24" l="1"/>
  <c r="W45" i="24"/>
  <c r="W5" i="24" s="1"/>
  <c r="P45" i="24"/>
  <c r="P5" i="24" s="1"/>
  <c r="P25" i="25"/>
  <c r="G13" i="25"/>
  <c r="H13" i="25"/>
  <c r="H17" i="25"/>
  <c r="G17" i="25"/>
  <c r="Q23" i="25"/>
  <c r="P23" i="25"/>
  <c r="G10" i="25"/>
  <c r="H10" i="25"/>
  <c r="Q21" i="25"/>
  <c r="P21" i="25"/>
  <c r="P28" i="25"/>
  <c r="Q28" i="25"/>
  <c r="G29" i="25"/>
  <c r="H29" i="25"/>
  <c r="Q19" i="25"/>
  <c r="P19" i="25"/>
  <c r="Q5" i="25"/>
  <c r="P5" i="25"/>
  <c r="P12" i="25"/>
  <c r="Q12" i="25"/>
  <c r="H8" i="25"/>
  <c r="G8" i="25"/>
  <c r="W37" i="25"/>
  <c r="AB7" i="25"/>
  <c r="AB4" i="25"/>
  <c r="AG5" i="25"/>
  <c r="AG10" i="25"/>
  <c r="AG11" i="25"/>
  <c r="AG9" i="25"/>
  <c r="AG6" i="25"/>
  <c r="AA31" i="25"/>
  <c r="W34" i="25"/>
  <c r="AG7" i="25"/>
  <c r="AG8" i="25"/>
  <c r="G4" i="25"/>
  <c r="F31" i="25"/>
  <c r="H4" i="25"/>
  <c r="Q22" i="25"/>
  <c r="P22" i="25"/>
  <c r="AB12" i="25"/>
  <c r="W42" i="25"/>
  <c r="G5" i="25"/>
  <c r="H5" i="25"/>
  <c r="H15" i="25"/>
  <c r="G15" i="25"/>
  <c r="AB9" i="25"/>
  <c r="W39" i="25"/>
  <c r="AB11" i="25"/>
  <c r="W41" i="25"/>
  <c r="Q8" i="25"/>
  <c r="P8" i="25"/>
  <c r="P24" i="25"/>
  <c r="Q24" i="25"/>
  <c r="AB8" i="25"/>
  <c r="AG14" i="25"/>
  <c r="AH14" i="25" s="1"/>
  <c r="AG19" i="25"/>
  <c r="AH19" i="25" s="1"/>
  <c r="W38" i="25"/>
  <c r="AG29" i="25"/>
  <c r="AH29" i="25" s="1"/>
  <c r="AG12" i="25"/>
  <c r="AH12" i="25" s="1"/>
  <c r="AG15" i="25"/>
  <c r="AH15" i="25" s="1"/>
  <c r="AG18" i="25"/>
  <c r="AH18" i="25" s="1"/>
  <c r="AG27" i="25"/>
  <c r="AH27" i="25" s="1"/>
  <c r="AG17" i="25"/>
  <c r="AH17" i="25" s="1"/>
  <c r="AG25" i="25"/>
  <c r="AH25" i="25" s="1"/>
  <c r="AG26" i="25"/>
  <c r="AH26" i="25" s="1"/>
  <c r="AG28" i="25"/>
  <c r="AH28" i="25" s="1"/>
  <c r="AG16" i="25"/>
  <c r="AH16" i="25" s="1"/>
  <c r="AG13" i="25"/>
  <c r="AH13" i="25" s="1"/>
  <c r="P6" i="25"/>
  <c r="Q6" i="25"/>
  <c r="P17" i="25"/>
  <c r="Q17" i="25"/>
  <c r="H6" i="25"/>
  <c r="G6" i="25"/>
  <c r="P30" i="25"/>
  <c r="Q30" i="25"/>
  <c r="Q29" i="25"/>
  <c r="P29" i="25"/>
  <c r="H18" i="25"/>
  <c r="G18" i="25"/>
  <c r="Q18" i="25"/>
  <c r="P18" i="25"/>
  <c r="W35" i="25"/>
  <c r="AB5" i="25"/>
  <c r="P11" i="25"/>
  <c r="Q11" i="25"/>
  <c r="P16" i="25"/>
  <c r="Q16" i="25"/>
  <c r="P26" i="25"/>
  <c r="Q26" i="25"/>
  <c r="Q20" i="25"/>
  <c r="P20" i="25"/>
  <c r="P4" i="25"/>
  <c r="Q4" i="25"/>
  <c r="G7" i="25"/>
  <c r="H7" i="25"/>
  <c r="W36" i="25"/>
  <c r="AB6" i="25"/>
  <c r="R5" i="24"/>
  <c r="P7" i="25"/>
  <c r="Q7" i="25"/>
  <c r="P15" i="25"/>
  <c r="Q15" i="25"/>
  <c r="Q13" i="25"/>
  <c r="P13" i="25"/>
  <c r="AB10" i="25"/>
  <c r="W40" i="25"/>
  <c r="G9" i="25"/>
  <c r="H9" i="25"/>
  <c r="H12" i="25"/>
  <c r="G12" i="25"/>
  <c r="H11" i="25"/>
  <c r="G11" i="25"/>
  <c r="O31" i="25"/>
  <c r="P9" i="25"/>
  <c r="Q9" i="25"/>
  <c r="P14" i="25"/>
  <c r="Q14" i="25"/>
  <c r="H14" i="25"/>
  <c r="G14" i="25"/>
  <c r="Q10" i="25"/>
  <c r="P10" i="25"/>
  <c r="G19" i="25"/>
  <c r="H19" i="25"/>
  <c r="H16" i="25"/>
  <c r="G16" i="25"/>
  <c r="F1" i="24" l="1"/>
  <c r="X5" i="24"/>
  <c r="R1" i="24"/>
  <c r="D2" i="24"/>
  <c r="P31" i="25"/>
  <c r="Q31" i="25"/>
  <c r="AJ6" i="25"/>
  <c r="AH6" i="25"/>
  <c r="H31" i="25"/>
  <c r="AH9" i="25"/>
  <c r="AJ9" i="25"/>
  <c r="AJ11" i="25"/>
  <c r="AH11" i="25"/>
  <c r="G31" i="25"/>
  <c r="AJ10" i="25"/>
  <c r="AH10" i="25"/>
  <c r="AH8" i="25"/>
  <c r="AJ8" i="25"/>
  <c r="AJ5" i="25"/>
  <c r="AG31" i="25"/>
  <c r="AH5" i="25"/>
  <c r="AH7" i="25"/>
  <c r="AJ7" i="25"/>
  <c r="AB31" i="25"/>
  <c r="AJ31" i="25" l="1"/>
  <c r="AH31"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6D378B-3E86-4706-949F-C3F369A92C84}" keepAlive="1" name="Query - Panel Names" description="Connection to the 'Panel Names' query in the workbook." type="5" refreshedVersion="8" background="1" saveData="1">
    <dbPr connection="Provider=Microsoft.Mashup.OleDb.1;Data Source=$Workbook$;Location=&quot;Panel Names&quot;;Extended Properties=&quot;&quot;" command="SELECT * FROM [Panel Names]"/>
  </connection>
  <connection id="2" xr16:uid="{44455DCF-3F88-4CD5-9062-ED411193E604}" keepAlive="1" name="Query - Panel Rates" description="Connection to the 'Panel Rates' query in the workbook." type="5" refreshedVersion="8" background="1" saveData="1">
    <dbPr connection="Provider=Microsoft.Mashup.OleDb.1;Data Source=$Workbook$;Location=&quot;Panel Rates&quot;;Extended Properties=&quot;&quot;" command="SELECT * FROM [Panel Rates]"/>
  </connection>
  <connection id="3" xr16:uid="{F4A79845-F28F-4B62-A222-9D9AEC30945E}" keepAlive="1" name="Query - Panel_List" description="Connection to the 'Panel_List' query in the workbook." type="5" refreshedVersion="8" background="1" saveData="1">
    <dbPr connection="Provider=Microsoft.Mashup.OleDb.1;Data Source=$Workbook$;Location=Panel_List;Extended Properties=&quot;&quot;" command="SELECT * FROM [Panel_List]"/>
  </connection>
  <connection id="4" xr16:uid="{3AFF1763-0B75-4026-A8A3-D46B4BD3B2F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<sst xmlns="http://schemas.openxmlformats.org/spreadsheetml/2006/main" count="6481" uniqueCount="1005">
  <si>
    <r>
      <t xml:space="preserve">REASON GROUP ENGAGEMENT JOB PLAN </t>
    </r>
    <r>
      <rPr>
        <sz val="11"/>
        <color theme="8" tint="0.79998168889431442"/>
        <rFont val="Segoe UI"/>
        <family val="2"/>
      </rPr>
      <t>(template updated 25 AUG 2025)</t>
    </r>
  </si>
  <si>
    <t>Summary of Requirement</t>
  </si>
  <si>
    <t>CLIENT INFORMATION</t>
  </si>
  <si>
    <t>The Attorney-General's Department (the department) is seeking a 12-month contract to supply, software licensing and professional services required to build a Case Management System (CMS). AGD requires a quote for both professional services to build and the software licenses required to deliver the solution (noting: unit pricing is preferred for licenses). The resulting contract will include the ability to purchase additional software licensing and additional professional services relevant to the solution as required. Date expected to place order: Monday, 03 November 2025. Expected contract duration: 12 months. Extension term: 12 months, Number of extensions: 2</t>
  </si>
  <si>
    <t>Client name</t>
  </si>
  <si>
    <t>AGD - Attorney-General's Department</t>
  </si>
  <si>
    <t>Client sponsor (buyer)</t>
  </si>
  <si>
    <t>Client sponsor email</t>
  </si>
  <si>
    <t>Client contact phone/mobile number</t>
  </si>
  <si>
    <t>End client (if different to above)</t>
  </si>
  <si>
    <t>Work location</t>
  </si>
  <si>
    <t>Canberra</t>
  </si>
  <si>
    <t>ENGAGEMENT INFORMATION</t>
  </si>
  <si>
    <t>Delivery Assumptions</t>
  </si>
  <si>
    <t>Engagement Code</t>
  </si>
  <si>
    <t>Hadas: I had a chat with Andy, the most important for this customer is to support their maturity, OCM, how to run a project and get it right etc. We will go with PSDS Pro Plus (Now Assist) on their existing instance. We will get the Servicenow response early next week. We also need to mention how we will work with the managed service provider (he doesn't know who it is yet). He also hasn't heard from Novabridge or Xmplify so maybe they aren't in.</t>
  </si>
  <si>
    <t>Engagement name</t>
  </si>
  <si>
    <t>Case Management System (CMS) Licences, Build and Development – Commonwealth Parole Board</t>
  </si>
  <si>
    <t>Account Manager (pre-populated from Time Plan)</t>
  </si>
  <si>
    <t>Engagement Manager (pre-populated from Time Plan)</t>
  </si>
  <si>
    <t>Timesheets requirement</t>
  </si>
  <si>
    <t>Signed I-Time</t>
  </si>
  <si>
    <t>Start date (pre-populated from Time Plan)</t>
  </si>
  <si>
    <t>End date</t>
  </si>
  <si>
    <t>FINANCIAL &amp; ACCOUNT INFORMATION</t>
  </si>
  <si>
    <t>Pricing Assumptions</t>
  </si>
  <si>
    <t>PO/WO Number</t>
  </si>
  <si>
    <t>ServiceNow pricing</t>
  </si>
  <si>
    <t>PO/WO Amount (ex GST)</t>
  </si>
  <si>
    <t>Project Budget Amount (ex GST) in iTimes</t>
  </si>
  <si>
    <t>Variance (Project Budget to PO ex GST)</t>
  </si>
  <si>
    <t>Variance (Project budget to total task budget ex GST)</t>
  </si>
  <si>
    <t>Accounts Contact</t>
  </si>
  <si>
    <t>Accounts Email Address</t>
  </si>
  <si>
    <t>Invoice method</t>
  </si>
  <si>
    <t>Invoice Instructions (T&amp;M/monthly; Milestones, approvals)</t>
  </si>
  <si>
    <t xml:space="preserve"> </t>
  </si>
  <si>
    <t>SYSTEM SETUP REQUIREMENT</t>
  </si>
  <si>
    <t>Identified Risks</t>
  </si>
  <si>
    <t>MS Teams DEL channel &amp; Planner required</t>
  </si>
  <si>
    <t>Yes</t>
  </si>
  <si>
    <t>-&gt; If using existing (insert engagement code)</t>
  </si>
  <si>
    <t>Legend:</t>
  </si>
  <si>
    <t>TBC by CAS</t>
  </si>
  <si>
    <t>TBC by CSD</t>
  </si>
  <si>
    <t>TBC by OPS</t>
  </si>
  <si>
    <t>Category</t>
  </si>
  <si>
    <t>By Milestone/Workstream</t>
  </si>
  <si>
    <t>By Deliverable</t>
  </si>
  <si>
    <t>By Person</t>
  </si>
  <si>
    <t>Milestone</t>
  </si>
  <si>
    <t>Start Date</t>
  </si>
  <si>
    <t>End Date</t>
  </si>
  <si>
    <t>Week Number</t>
  </si>
  <si>
    <t>$ ex GST</t>
  </si>
  <si>
    <t>$ GST</t>
  </si>
  <si>
    <t>$ inc GST</t>
  </si>
  <si>
    <t>Discount</t>
  </si>
  <si>
    <t>Margin</t>
  </si>
  <si>
    <t>Deliverable</t>
  </si>
  <si>
    <t>GST</t>
  </si>
  <si>
    <t>Resource</t>
  </si>
  <si>
    <t>Position</t>
  </si>
  <si>
    <t>Offered Hourly Rate ($ ex-GST)</t>
  </si>
  <si>
    <t>Offered Hourly Rate ($ inc-GST)</t>
  </si>
  <si>
    <t>Chargeable $ ex GST</t>
  </si>
  <si>
    <t>Chargeable $ inc GST</t>
  </si>
  <si>
    <t>Discount
%</t>
  </si>
  <si>
    <t>Margin
%</t>
  </si>
  <si>
    <t>Forecasted Hours</t>
  </si>
  <si>
    <t>Forecasted Days</t>
  </si>
  <si>
    <t>Re-apportioned Hours (distribute contingency)</t>
  </si>
  <si>
    <t>Re-apportioned Days (distribute contingency)</t>
  </si>
  <si>
    <t>% Re-allocation of contingency</t>
  </si>
  <si>
    <t>Re-allocated $ ex GST</t>
  </si>
  <si>
    <t>Engagement Summary</t>
  </si>
  <si>
    <t>Forecast Date</t>
  </si>
  <si>
    <t>Monday Commencing (Select)</t>
  </si>
  <si>
    <t>Contract Start Date</t>
  </si>
  <si>
    <t>Delivery</t>
  </si>
  <si>
    <t>Charge Out Level</t>
  </si>
  <si>
    <t>Job Role</t>
  </si>
  <si>
    <t>Panel Hourly
Rate $ ex-GST</t>
  </si>
  <si>
    <t>Discount %</t>
  </si>
  <si>
    <t>Discounted Hourly
Rate $ ex GST</t>
  </si>
  <si>
    <t>Panel Daily
Rate $ ex-GST</t>
  </si>
  <si>
    <t>Hourly
Gross Cost $</t>
  </si>
  <si>
    <t>Budget Hours</t>
  </si>
  <si>
    <t xml:space="preserve"> Budget $
ex GST</t>
  </si>
  <si>
    <t>Actual Hours
as at 20-May</t>
  </si>
  <si>
    <t>Charge
$ ex GST</t>
  </si>
  <si>
    <t>Balance $ ex GST 
(Budget - Charge)</t>
  </si>
  <si>
    <t>Gross Cost 
$ ex GST</t>
  </si>
  <si>
    <t>Gross
Margin</t>
  </si>
  <si>
    <t>Forecast
hours</t>
  </si>
  <si>
    <t>Forecast
Days</t>
  </si>
  <si>
    <t>Forecast $ 
ex GST</t>
  </si>
  <si>
    <t>Forecast Gross Cost
$ ex GST</t>
  </si>
  <si>
    <t>Variance at completion ex GST</t>
  </si>
  <si>
    <t>Variance at completion %</t>
  </si>
  <si>
    <t>Account Manager</t>
  </si>
  <si>
    <t>Aleksandar Vranesevic</t>
  </si>
  <si>
    <t>Panel</t>
  </si>
  <si>
    <t>Boston Consulting Group (BCG) - Partner Rates</t>
  </si>
  <si>
    <t/>
  </si>
  <si>
    <t>Engagement Manager</t>
  </si>
  <si>
    <t>Paul Jarah</t>
  </si>
  <si>
    <t>Standard</t>
  </si>
  <si>
    <t>Exemplar - BCG Business Case</t>
  </si>
  <si>
    <t>Leadership</t>
  </si>
  <si>
    <t>Partner</t>
  </si>
  <si>
    <t>Main Document / Engagement Lead</t>
  </si>
  <si>
    <t>Director</t>
  </si>
  <si>
    <t>Attachment A - Costings</t>
  </si>
  <si>
    <t>Hanan Asghar</t>
  </si>
  <si>
    <t>Senior Manager</t>
  </si>
  <si>
    <t>Attachment B - Project Management Plan</t>
  </si>
  <si>
    <t>Attachment C - Risk Management Approach</t>
  </si>
  <si>
    <t>Nathan Richards</t>
  </si>
  <si>
    <t>Attachment D - Risk Register</t>
  </si>
  <si>
    <t>Attachment E - Benefits Realisation Plan and Register</t>
  </si>
  <si>
    <t>Attachment F - Solution Architecture</t>
  </si>
  <si>
    <t>Phani Gollamudi</t>
  </si>
  <si>
    <t>Attachment G - Business Process Models</t>
  </si>
  <si>
    <t>Attachment H - Requirements / Benefit &amp; Process</t>
  </si>
  <si>
    <t>Attachment I - Quality Plan</t>
  </si>
  <si>
    <t>Michelle Chant</t>
  </si>
  <si>
    <t>Attachment J - Governance Plan</t>
  </si>
  <si>
    <t>Attachment K - Assurance Plan</t>
  </si>
  <si>
    <t>Attachment L - Procurement Plan</t>
  </si>
  <si>
    <t>Attachment M - Cyber Security Plan</t>
  </si>
  <si>
    <t>Akshay Gupta</t>
  </si>
  <si>
    <t>Attachment N - Change, Stakeholder, Management and Taining Plan</t>
  </si>
  <si>
    <t>Attachment O - Workforce Plan</t>
  </si>
  <si>
    <t>Project &amp; Document Coordinator</t>
  </si>
  <si>
    <t>Sian Davies</t>
  </si>
  <si>
    <t>Senior Consultant</t>
  </si>
  <si>
    <t>Exemplar - IT Review - $160k</t>
  </si>
  <si>
    <t>Client Manager</t>
  </si>
  <si>
    <t>Expert report</t>
  </si>
  <si>
    <t>Lead Consultant</t>
  </si>
  <si>
    <t>Engagement support and analysis</t>
  </si>
  <si>
    <t>Support Consultant</t>
  </si>
  <si>
    <t>Exemplar - ICT Business case: 8-12 weeks = $900K</t>
  </si>
  <si>
    <t>Narrative, Main body, roadmap</t>
  </si>
  <si>
    <t>Principal</t>
  </si>
  <si>
    <t>Engagement Mgr/Lead Consultant</t>
  </si>
  <si>
    <t>Tech design, requirements/features, arch current/future, cyber</t>
  </si>
  <si>
    <t>Tech Lead</t>
  </si>
  <si>
    <t>Reqmnts, process analysis, current/future</t>
  </si>
  <si>
    <t>Business Lead</t>
  </si>
  <si>
    <t>Costings, benefits, (squad costings based on reqmts)</t>
  </si>
  <si>
    <t>CBA analyst</t>
  </si>
  <si>
    <t>PMP, supporting docs</t>
  </si>
  <si>
    <t>Manager</t>
  </si>
  <si>
    <t>Business Analyst</t>
  </si>
  <si>
    <t>Supporting docs, engagement support, project coords</t>
  </si>
  <si>
    <t>Exemplar - Mercury team (medium) - IT build $1M</t>
  </si>
  <si>
    <t>Delivery Manager</t>
  </si>
  <si>
    <t>Architect</t>
  </si>
  <si>
    <t>Developer</t>
  </si>
  <si>
    <t>Data &amp; Cyber</t>
  </si>
  <si>
    <t>Integration</t>
  </si>
  <si>
    <t>Dashboard &amp; Viz</t>
  </si>
  <si>
    <t>Exemplar - ICT Procurement (medium): $240K</t>
  </si>
  <si>
    <t>KPIs</t>
  </si>
  <si>
    <t>INITIAL POSITION</t>
  </si>
  <si>
    <t>FINAL POSITION</t>
  </si>
  <si>
    <t>COMMENTARY</t>
  </si>
  <si>
    <t>NOTES</t>
  </si>
  <si>
    <t>CX</t>
  </si>
  <si>
    <t>N/A</t>
  </si>
  <si>
    <t>Agree on the CX value for the engagement and record any exception against any particular team member(s) at the point of closure</t>
  </si>
  <si>
    <t>Revenue Recognition</t>
  </si>
  <si>
    <t>Enter in name and percentage of people to be recognised. Total % needs to add up to 100%. Percentage should be broken down by Find, Win, Deliver (Refer to guidance material for more instructions)
Example:
John Smith - 20% Find
John Doe - 20% Win 20% Deliver
Brandon Jones - 40% - Win</t>
  </si>
  <si>
    <t>Financial:  Budget $ ex GST</t>
  </si>
  <si>
    <t>Explain any variance and the proposed treatment</t>
  </si>
  <si>
    <t>Actual $ ex GST</t>
  </si>
  <si>
    <t>Variance $ ex GST</t>
  </si>
  <si>
    <t>PO Variance $ ex GST</t>
  </si>
  <si>
    <t>INSERT FINAL POSITION (PRE-BALANCING - OPS TEAM)</t>
  </si>
  <si>
    <t>INSERT FINAL POSITION (POST-BALANCING - OPS TEAM)</t>
  </si>
  <si>
    <t>Screenshot of i-time Project Task Budget Report</t>
  </si>
  <si>
    <t>CLOSURES</t>
  </si>
  <si>
    <t>Reason for closure</t>
  </si>
  <si>
    <t>Example: All deliverables completed and accepted. Note that further improvements to deliverables have been identified and handed over to Client for further actioning.</t>
  </si>
  <si>
    <t>Key deliverables</t>
  </si>
  <si>
    <t>Insert screenshot from Engagement SharePoint content for harvest folder</t>
  </si>
  <si>
    <t>Client feedback</t>
  </si>
  <si>
    <t>(Embed evidence if possible)</t>
  </si>
  <si>
    <t>Client's Agreement to be referee</t>
  </si>
  <si>
    <t>Yes, No, Possible</t>
  </si>
  <si>
    <t>(Written evidence or provide comments) 
Comments:</t>
  </si>
  <si>
    <t>capture names and details of people, eg RAIN behaviours</t>
  </si>
  <si>
    <t>CLOSURE CHECKLIST</t>
  </si>
  <si>
    <t>Activity</t>
  </si>
  <si>
    <t>Who</t>
  </si>
  <si>
    <t>Action taken / Result</t>
  </si>
  <si>
    <t>Done</t>
  </si>
  <si>
    <t>Engagement manager</t>
  </si>
  <si>
    <t>see above</t>
  </si>
  <si>
    <t>Key deliverables for harvest</t>
  </si>
  <si>
    <t>Update profiles (EM to remind team)</t>
  </si>
  <si>
    <t>Entire team</t>
  </si>
  <si>
    <t>Conduct a lessons learnt</t>
  </si>
  <si>
    <t>Write project brief (background, what we did, outcome)</t>
  </si>
  <si>
    <t>Add follow-on opportunities to KAM sales pipeline</t>
  </si>
  <si>
    <t>Provide feedback (up, down and sideways)</t>
  </si>
  <si>
    <t xml:space="preserve">Closure meeting </t>
  </si>
  <si>
    <t>Engagement manager &amp; COO</t>
  </si>
  <si>
    <t>EXPENSES</t>
  </si>
  <si>
    <t>Date</t>
  </si>
  <si>
    <t>Description</t>
  </si>
  <si>
    <t>Amount (ex. GST)</t>
  </si>
  <si>
    <t>Recoverable from Client</t>
  </si>
  <si>
    <t>Billed to Client</t>
  </si>
  <si>
    <t>Total</t>
  </si>
  <si>
    <t>Hypercare</t>
  </si>
  <si>
    <t>Discount (%)</t>
  </si>
  <si>
    <t>Variance at completion (ex GST)</t>
  </si>
  <si>
    <t>Variance at completion (%)</t>
  </si>
  <si>
    <t>Software &amp; ERP Marketplace</t>
  </si>
  <si>
    <t>Alex Kocz</t>
  </si>
  <si>
    <t>Analysis, Design and COTS Development Services for a Software Acquisition and or Implementation</t>
  </si>
  <si>
    <t>M1 Discovery</t>
  </si>
  <si>
    <t>1.1         Detailed requirements, business process mapping complete and signed off</t>
  </si>
  <si>
    <t>Contractor-Delivery Manager/PM/Scrum Master/Scheduler</t>
  </si>
  <si>
    <t>Experienced Practitioner</t>
  </si>
  <si>
    <t>Contractor-Business/System Analyst</t>
  </si>
  <si>
    <t>Qualified Practitioner</t>
  </si>
  <si>
    <t>Contractor-Senior Architect</t>
  </si>
  <si>
    <t>ServiceNow architect</t>
  </si>
  <si>
    <t>Contractor-Developer</t>
  </si>
  <si>
    <t>Junior Practitioner</t>
  </si>
  <si>
    <t>ServiceNow developer</t>
  </si>
  <si>
    <t>1.3         Detailed delivery plan and RACI of build and delivery meeting AGD Operating Model requirements</t>
  </si>
  <si>
    <t xml:space="preserve">M2A Build and delivery </t>
  </si>
  <si>
    <t>2.1         Build and data migration</t>
  </si>
  <si>
    <t>Contractor-Change Manager</t>
  </si>
  <si>
    <t>Contractor-Test Manager</t>
  </si>
  <si>
    <t>2.2. Training</t>
  </si>
  <si>
    <t>2.3 Testing</t>
  </si>
  <si>
    <t>2.4 Go Live</t>
  </si>
  <si>
    <t>2.5      Hypercare &amp; 2.9 Handover</t>
  </si>
  <si>
    <t>2.5       Hypercare &amp; 2.9 Handover</t>
  </si>
  <si>
    <t>2.5        Hypercare &amp; 2.9 Handover</t>
  </si>
  <si>
    <t>M2B AI Proof of Concept</t>
  </si>
  <si>
    <t>2.6      Detailed requirements, business process mapping complete and signed off</t>
  </si>
  <si>
    <t>2.7      Proof of Concept - including the delivery of an accuracy, return on investment, delivery plan to production and model upgrade plan</t>
  </si>
  <si>
    <t>2.8      Detailed evaluation report and delivery plan</t>
  </si>
  <si>
    <t xml:space="preserve">M2C Self-service portal </t>
  </si>
  <si>
    <t>2.9      Detailed requirements, business process mapping complete and signed off</t>
  </si>
  <si>
    <t>2.10      Build/delivery of self-service portal</t>
  </si>
  <si>
    <t>2.11 Training</t>
  </si>
  <si>
    <t>2.12       Testing: including testing plan and UAT requirements</t>
  </si>
  <si>
    <t>M3 Implementation of AI</t>
  </si>
  <si>
    <t>3.1    AI Build</t>
  </si>
  <si>
    <t>3.2 Training</t>
  </si>
  <si>
    <t>3.3      Testing: including testing plan and UAT requirements</t>
  </si>
  <si>
    <t>Client Name</t>
  </si>
  <si>
    <t>VAT</t>
  </si>
  <si>
    <t>VAT Lead</t>
  </si>
  <si>
    <t>Names</t>
  </si>
  <si>
    <t>Name</t>
  </si>
  <si>
    <t>Gross Cost</t>
  </si>
  <si>
    <t>JID</t>
  </si>
  <si>
    <t>Schedule Start</t>
  </si>
  <si>
    <t>Schedule End</t>
  </si>
  <si>
    <t>Team</t>
  </si>
  <si>
    <t>Comments</t>
  </si>
  <si>
    <t>Location</t>
  </si>
  <si>
    <t>1</t>
  </si>
  <si>
    <t>2</t>
  </si>
  <si>
    <t>3</t>
  </si>
  <si>
    <t>4</t>
  </si>
  <si>
    <t>5</t>
  </si>
  <si>
    <t>6</t>
  </si>
  <si>
    <t>7</t>
  </si>
  <si>
    <t>8</t>
  </si>
  <si>
    <t>9</t>
  </si>
  <si>
    <t>10</t>
  </si>
  <si>
    <t>11</t>
  </si>
  <si>
    <t>12</t>
  </si>
  <si>
    <t>Mondays</t>
  </si>
  <si>
    <t>ACT Public Holidays</t>
  </si>
  <si>
    <t>Category List</t>
  </si>
  <si>
    <t>Level_List</t>
  </si>
  <si>
    <t xml:space="preserve">AAT - Administrative Appeals Tribunal </t>
  </si>
  <si>
    <t>Growth</t>
  </si>
  <si>
    <t>Aaron Riddell</t>
  </si>
  <si>
    <t>CO2</t>
  </si>
  <si>
    <t>CSD</t>
  </si>
  <si>
    <t>Reason Group - Standard Rates</t>
  </si>
  <si>
    <t>Market Rates</t>
  </si>
  <si>
    <t>Consultant</t>
  </si>
  <si>
    <t>ACT Govt - Professional and Consulting Services Panel</t>
  </si>
  <si>
    <t>ABC - Australian Broadcasting Corporation</t>
  </si>
  <si>
    <t>Aaron Yang</t>
  </si>
  <si>
    <t>EN3</t>
  </si>
  <si>
    <t>Digital Marketplace</t>
  </si>
  <si>
    <t>Strategy and Policy</t>
  </si>
  <si>
    <t>Associate</t>
  </si>
  <si>
    <t>Principal Consultant</t>
  </si>
  <si>
    <t>Senior Partner</t>
  </si>
  <si>
    <t>Alex Kocz - Custom Rates</t>
  </si>
  <si>
    <t>ABS - Australian Bureau of Statistics</t>
  </si>
  <si>
    <t>Anil Kinagi</t>
  </si>
  <si>
    <t>Abdul Mohammad</t>
  </si>
  <si>
    <t>Change and Transformation</t>
  </si>
  <si>
    <t>Boston Consulting Group (BCG) - teaming rates</t>
  </si>
  <si>
    <t>ACC - Australia Competition and Consumer Commission</t>
  </si>
  <si>
    <t>Arjun Wariar</t>
  </si>
  <si>
    <t>Abhinav Arya</t>
  </si>
  <si>
    <t>Agile delivery and Governance</t>
  </si>
  <si>
    <t>DAFF DBD DM-26233 - Contractor micropanel</t>
  </si>
  <si>
    <t>ACI - Australian Criminal Intelligence Commission</t>
  </si>
  <si>
    <t>Scott Foley</t>
  </si>
  <si>
    <t>Hadas Yehezkel</t>
  </si>
  <si>
    <t>Adam Harris</t>
  </si>
  <si>
    <t>Digital sourcing and ICT procurement</t>
  </si>
  <si>
    <t>DAFF STEPS - Advisory micropanel</t>
  </si>
  <si>
    <t>ACM - Australian Communications and Media Authority</t>
  </si>
  <si>
    <t>Joelle Blake</t>
  </si>
  <si>
    <t>Adeel Rtiaz Qadri</t>
  </si>
  <si>
    <t>ICT risk management and audit activities</t>
  </si>
  <si>
    <t>Defence - ICT Provider Arrangement (ICTPA)</t>
  </si>
  <si>
    <t>ACR - Accenture</t>
  </si>
  <si>
    <t>Lacy Pejcinovic</t>
  </si>
  <si>
    <t>Adi Mukherjee</t>
  </si>
  <si>
    <t>User research and Design</t>
  </si>
  <si>
    <t>Department of Finance - Management Advisory Services</t>
  </si>
  <si>
    <t>ACS - Australian Commission on Safety and Quality in Health Care</t>
  </si>
  <si>
    <t>Mark Volpato</t>
  </si>
  <si>
    <t>Ahmed Shaikh</t>
  </si>
  <si>
    <t>Software engineering and Development</t>
  </si>
  <si>
    <t>ACT - ACT Government</t>
  </si>
  <si>
    <t>Ajay Peddu</t>
  </si>
  <si>
    <t>Marketing, Communications and Engagement</t>
  </si>
  <si>
    <t>Digital Marketplace 2</t>
  </si>
  <si>
    <t>ADE - Australian Diabetes Educators Association</t>
  </si>
  <si>
    <t>Ajit Thomas</t>
  </si>
  <si>
    <t>EN4</t>
  </si>
  <si>
    <t>Support and Operations</t>
  </si>
  <si>
    <t>DOH SME Supplementary Teams Arrangement (STA) - micropanel</t>
  </si>
  <si>
    <t>ADH - Australian Digital Health Agency</t>
  </si>
  <si>
    <t>Akash Goyal</t>
  </si>
  <si>
    <t>XPT</t>
  </si>
  <si>
    <t>Data science</t>
  </si>
  <si>
    <t>Infosys - teaming rates</t>
  </si>
  <si>
    <t>AEC - Australian Electoral Commission</t>
  </si>
  <si>
    <t>Richard Ryan</t>
  </si>
  <si>
    <t>SAU has a lower rate of $162.5, rest is at $192.33</t>
  </si>
  <si>
    <t>Platforms integration</t>
  </si>
  <si>
    <t>Lab3 x AFMA DM-26175 micropanel - teaming rates</t>
  </si>
  <si>
    <t>AFM - Australian Fisheries Management Authority</t>
  </si>
  <si>
    <t>BD7</t>
  </si>
  <si>
    <t>CAS</t>
  </si>
  <si>
    <t>Service Integration and Management</t>
  </si>
  <si>
    <t>AFP - Australian Federal Police</t>
  </si>
  <si>
    <t>DM7</t>
  </si>
  <si>
    <t>Cyber security</t>
  </si>
  <si>
    <t>Research and Evaluation Services Panel (RES)</t>
  </si>
  <si>
    <t>AFS - Australian Financial Security Authority</t>
  </si>
  <si>
    <t>Siddhartha Sengupta</t>
  </si>
  <si>
    <t>Alicia Lillington</t>
  </si>
  <si>
    <t>Emerging technologies</t>
  </si>
  <si>
    <t>SAP Professional Services Standing Offer Arrangement</t>
  </si>
  <si>
    <t>Stacy Bosel</t>
  </si>
  <si>
    <t>Alison Kidd</t>
  </si>
  <si>
    <t>ICT systems integration</t>
  </si>
  <si>
    <t>AGS - Australian Government Solicitor</t>
  </si>
  <si>
    <t>Tim Kreukniet</t>
  </si>
  <si>
    <t>Amarnath Rasineni</t>
  </si>
  <si>
    <t>Discipline Specialist</t>
  </si>
  <si>
    <t>Discipline Expert</t>
  </si>
  <si>
    <t>Tech Mahindra - teaming rates</t>
  </si>
  <si>
    <t>AHR - Australian Human Rights Commission</t>
  </si>
  <si>
    <t>William Scheer</t>
  </si>
  <si>
    <t>Amit Chawla</t>
  </si>
  <si>
    <t>ACT</t>
  </si>
  <si>
    <t>Software Integration, Implementation, Change Management and Training</t>
  </si>
  <si>
    <t>AIH - Australian Institute of Health and Welfare</t>
  </si>
  <si>
    <t>Zoe Haseler</t>
  </si>
  <si>
    <t>Amit Pratap</t>
  </si>
  <si>
    <t>New rates updated for Jan 2026 onwards</t>
  </si>
  <si>
    <t>Data Migration and Conversion</t>
  </si>
  <si>
    <t>AIR - Airservices Australia</t>
  </si>
  <si>
    <t>Andrea Milutinovic</t>
  </si>
  <si>
    <t>DM4</t>
  </si>
  <si>
    <t>Software and System Testing</t>
  </si>
  <si>
    <t>AMS - Australian Maritime Safety Authority</t>
  </si>
  <si>
    <t>Andrew Watts</t>
  </si>
  <si>
    <t>EN5</t>
  </si>
  <si>
    <t>Software and System Maintenance and Support</t>
  </si>
  <si>
    <t>ANA - Australian National Audit Office</t>
  </si>
  <si>
    <t>Aniket Edakhe</t>
  </si>
  <si>
    <t>25/6: Base cost updated for 1 July 2025 for SAU, $182.95 for SRO.</t>
  </si>
  <si>
    <t>Cyber Security</t>
  </si>
  <si>
    <t>ANS  - Australian Nuclear Science and Technology Organisation</t>
  </si>
  <si>
    <t>DM6</t>
  </si>
  <si>
    <t>Corporate</t>
  </si>
  <si>
    <t>Partner / Associate Partner</t>
  </si>
  <si>
    <t>APO - Australian Passport Office</t>
  </si>
  <si>
    <t>Anita Wong</t>
  </si>
  <si>
    <t>Commercial</t>
  </si>
  <si>
    <t>APR - Australian Prudential Regulation Authority</t>
  </si>
  <si>
    <t>Ankit Jain</t>
  </si>
  <si>
    <t>Evaluation Services</t>
  </si>
  <si>
    <t>Manager/ Senior Consultant</t>
  </si>
  <si>
    <t xml:space="preserve">Principal </t>
  </si>
  <si>
    <t>Partner/Associate Partner</t>
  </si>
  <si>
    <t>APS - Australian Public Service Commission</t>
  </si>
  <si>
    <t>Ankit Srivastava</t>
  </si>
  <si>
    <t>25/6: Base cost updated for 1 July 2025</t>
  </si>
  <si>
    <t>User-Centred Design Services</t>
  </si>
  <si>
    <t>APV - Australian Pesticides and Veterinary Medicines Authority</t>
  </si>
  <si>
    <t>Arinjay Singh</t>
  </si>
  <si>
    <t>Strategic Business Advice</t>
  </si>
  <si>
    <t>ARC - Australian Research Council</t>
  </si>
  <si>
    <t>Human Resources Services</t>
  </si>
  <si>
    <t>ARE - Australian Renewable Energy Agency</t>
  </si>
  <si>
    <t>Arthur Rodos</t>
  </si>
  <si>
    <t>Enterprise IT Governance</t>
  </si>
  <si>
    <t>SFIA Level 1</t>
  </si>
  <si>
    <t>SFIA Level 2</t>
  </si>
  <si>
    <t>SFIA Level 3</t>
  </si>
  <si>
    <t>SFIA Level 4</t>
  </si>
  <si>
    <t>SFIA Level 5</t>
  </si>
  <si>
    <t>SFIA Level 6</t>
  </si>
  <si>
    <t>SFIA Level 7</t>
  </si>
  <si>
    <t>ARP - Australian Radiation Protection and Nuclear Safety Agency (ARPANSA)</t>
  </si>
  <si>
    <t>Ash Beauman</t>
  </si>
  <si>
    <t>Strategic Planning</t>
  </si>
  <si>
    <t>ASD - Australian Signals Directorate</t>
  </si>
  <si>
    <t>Asit Deshpande</t>
  </si>
  <si>
    <t>27/6: Rates increased for 1 July 2025</t>
  </si>
  <si>
    <t>Information Governance</t>
  </si>
  <si>
    <t>ASI - Australian Securities and Investments Commission</t>
  </si>
  <si>
    <t>Balachandar Mohan</t>
  </si>
  <si>
    <t>Information System Coordination</t>
  </si>
  <si>
    <t>ASQ - Australian Skills Quality Authority (National VET Regulator)</t>
  </si>
  <si>
    <t>Ben Cairns</t>
  </si>
  <si>
    <t>Information Security</t>
  </si>
  <si>
    <t>ATI - Australian Trade and Investment Commission</t>
  </si>
  <si>
    <t>Benjamin Wolyan</t>
  </si>
  <si>
    <t>Information Assurance</t>
  </si>
  <si>
    <t>ATO - Australian Taxation Office</t>
  </si>
  <si>
    <t>Bradley Burge</t>
  </si>
  <si>
    <t>Analytics</t>
  </si>
  <si>
    <t>ATS - Australian Transport Safety Bureau</t>
  </si>
  <si>
    <t>Brett Azzopardi</t>
  </si>
  <si>
    <t>Data Visualisation</t>
  </si>
  <si>
    <t>BCG - Boston Consulting Group</t>
  </si>
  <si>
    <t>Chimere Elele</t>
  </si>
  <si>
    <t>OP5</t>
  </si>
  <si>
    <t>OPS</t>
  </si>
  <si>
    <t>Information Content Publishing</t>
  </si>
  <si>
    <t>BOM - Bureau of Meteorology</t>
  </si>
  <si>
    <t>Chris Lu</t>
  </si>
  <si>
    <t>Consultancy</t>
  </si>
  <si>
    <t>CAS - Civil Aviation Safety Authority (CASA)</t>
  </si>
  <si>
    <t>Colton Goodear</t>
  </si>
  <si>
    <t>PS2</t>
  </si>
  <si>
    <t>Specialist Advice</t>
  </si>
  <si>
    <t>CER - Clean Energy Regulator</t>
  </si>
  <si>
    <t>Contingency</t>
  </si>
  <si>
    <t>IT Management</t>
  </si>
  <si>
    <t>CMI - Coal Mining industry (Long Service Leave Funding) Corporation</t>
  </si>
  <si>
    <t>Contractor-Architect</t>
  </si>
  <si>
    <t>Financial Management</t>
  </si>
  <si>
    <t>COS - ConceptSix</t>
  </si>
  <si>
    <t>Contractor-Architect-Guru</t>
  </si>
  <si>
    <t>Innovation</t>
  </si>
  <si>
    <t>CRI - Crimtrac Agency</t>
  </si>
  <si>
    <t>Contractor-Architect-Lead</t>
  </si>
  <si>
    <t>Business Process Improvement</t>
  </si>
  <si>
    <t>CSC - Commonwealth Superannuation Corporation</t>
  </si>
  <si>
    <t>Contractor-Architect-Mid</t>
  </si>
  <si>
    <t>Enterprise &amp; Business Architecture</t>
  </si>
  <si>
    <t>CSI - Commonwealth Scientific and Industrial Research Organisation</t>
  </si>
  <si>
    <t>Contractor-Architect-Senior</t>
  </si>
  <si>
    <t>Business Risk Management</t>
  </si>
  <si>
    <t>DAF - Department of Agriculture, Fisheries and Forestry</t>
  </si>
  <si>
    <t>DAFF</t>
  </si>
  <si>
    <t>Contractor-Business/System Analyst-Junior</t>
  </si>
  <si>
    <t>Sustainability</t>
  </si>
  <si>
    <t>DAU - Dairy Australia</t>
  </si>
  <si>
    <t>Contractor-Business/System Analyst-Lead</t>
  </si>
  <si>
    <t>Knowledge Management</t>
  </si>
  <si>
    <t>DCC - Department of Climate Change, Energy, the Environment and Water</t>
  </si>
  <si>
    <t>Contractor-Business/System Analyst-Mid</t>
  </si>
  <si>
    <t>Demand Management</t>
  </si>
  <si>
    <t>DFA - Department of Foreign Affairs and Trade</t>
  </si>
  <si>
    <t>Contractor-Business/System Analyst-Senior</t>
  </si>
  <si>
    <t>Emerging Technology Monitoring</t>
  </si>
  <si>
    <t>DHA - Department of Home Affairs</t>
  </si>
  <si>
    <t>Contractor-Change Manager-Junior/Analyst</t>
  </si>
  <si>
    <t>Continuity Management</t>
  </si>
  <si>
    <t>DoD - Department of Defence</t>
  </si>
  <si>
    <t>Contractor-Change Manager-Lead</t>
  </si>
  <si>
    <t>Network Planning</t>
  </si>
  <si>
    <t>DOF - Department of Finance</t>
  </si>
  <si>
    <t>Contractor-Change Manager-Mid</t>
  </si>
  <si>
    <t>Solution Architecture</t>
  </si>
  <si>
    <t>DOH - Department of Health, Disability and Ageing</t>
  </si>
  <si>
    <t>Other</t>
  </si>
  <si>
    <t>Contractor-Change Manager-Senior</t>
  </si>
  <si>
    <t>Data Management</t>
  </si>
  <si>
    <t>DPS - Department of Parliamentary Services</t>
  </si>
  <si>
    <t>Contractor-Cost/Benefit/Financial Analyst-Lead/Manager</t>
  </si>
  <si>
    <t>Methods &amp; Tools</t>
  </si>
  <si>
    <t>DSS - Department of Social Services</t>
  </si>
  <si>
    <t>Contractor-Cost/Benefit/Financial Analyst-Mid</t>
  </si>
  <si>
    <t>Portfolio Management</t>
  </si>
  <si>
    <t>DTA - Digital Transformation Agency</t>
  </si>
  <si>
    <t>Contractor-Cost/Benefit/Financial Analyst-Senior</t>
  </si>
  <si>
    <t>Programme Management</t>
  </si>
  <si>
    <t>DVA - Department of Veterans' Affairs</t>
  </si>
  <si>
    <t>Contractor-Cyber-Analyst</t>
  </si>
  <si>
    <t>Project Management</t>
  </si>
  <si>
    <t>EDU - Department of Education</t>
  </si>
  <si>
    <t>Contractor-Cyber-Engineer</t>
  </si>
  <si>
    <t>Portfolio, Programme and Project Support</t>
  </si>
  <si>
    <t>EMP - Department of Employment</t>
  </si>
  <si>
    <t>Contractor-Cyber-Lead Engineer</t>
  </si>
  <si>
    <t>Business Analysis</t>
  </si>
  <si>
    <t>EPI - Epicon</t>
  </si>
  <si>
    <t>Contractor-Cyber-Senior Engineer</t>
  </si>
  <si>
    <t>Requirements Definition and Management</t>
  </si>
  <si>
    <t>EUS - Epi-use</t>
  </si>
  <si>
    <t>Contractor-Data Analyst-Lead</t>
  </si>
  <si>
    <t>Business Process Testing</t>
  </si>
  <si>
    <t>EYA - Ernst &amp; Young</t>
  </si>
  <si>
    <t>Contractor-Data Analyst-Mid</t>
  </si>
  <si>
    <t>Change Implementation Planning and Management</t>
  </si>
  <si>
    <t>FCA - Federal Court of Australia</t>
  </si>
  <si>
    <t>Contractor-Data Analyst-Senior</t>
  </si>
  <si>
    <t>Organisational Design and Implementation</t>
  </si>
  <si>
    <t>FWC - Fair Work Commission</t>
  </si>
  <si>
    <t>Contractor-Data Engineer/Data Scientist-Mid</t>
  </si>
  <si>
    <t>Benefits Management</t>
  </si>
  <si>
    <t>FWO - Office of the Fair Work Ombudsman</t>
  </si>
  <si>
    <t>Contractor-Data Engineering/Scientist-Senior</t>
  </si>
  <si>
    <t>Business Modelling</t>
  </si>
  <si>
    <t xml:space="preserve">GBR - Great Barrier Reef Marine Park Authority </t>
  </si>
  <si>
    <t>Contractor-Data Modeller</t>
  </si>
  <si>
    <t>Organisational Capability Development</t>
  </si>
  <si>
    <t>GEO - Geoscience Australia</t>
  </si>
  <si>
    <t>Contractor-Delivery Manager/PM-Mid</t>
  </si>
  <si>
    <t>Systems Development Management</t>
  </si>
  <si>
    <t>HAU - Hearing Australia</t>
  </si>
  <si>
    <t>Contractor-Delivery Manager/PM-Senior</t>
  </si>
  <si>
    <t>Data Modelling &amp; Design</t>
  </si>
  <si>
    <t>IBA - Indigenous Business Australia</t>
  </si>
  <si>
    <t>Contractor-Developer-Junior</t>
  </si>
  <si>
    <t>Systems Design</t>
  </si>
  <si>
    <t>IHA - Independent Health and Aged Care Pricing Authority</t>
  </si>
  <si>
    <t>Contractor-Developer-Lead/Technical Lead</t>
  </si>
  <si>
    <t>Network Design</t>
  </si>
  <si>
    <t>IND - Department of Industry, Innovation and Science</t>
  </si>
  <si>
    <t>Contractor-Developer-Mid</t>
  </si>
  <si>
    <t>Database Design</t>
  </si>
  <si>
    <t>INF - Department of Infrastructure, Transport, Regional Development, Communications and the Arts</t>
  </si>
  <si>
    <t>Contractor-Developer-Senior</t>
  </si>
  <si>
    <t>Programming/Software Development</t>
  </si>
  <si>
    <t>IPA - IP Australia</t>
  </si>
  <si>
    <t>Contractor-DevOps Engineer-Mid</t>
  </si>
  <si>
    <t>Real-time/Embedded Systems Development</t>
  </si>
  <si>
    <t>ISY - Infosys</t>
  </si>
  <si>
    <t>VIC</t>
  </si>
  <si>
    <t>Contractor-DevOps Engineer-Senior</t>
  </si>
  <si>
    <t>Animation Development</t>
  </si>
  <si>
    <t>LAB - LAB3</t>
  </si>
  <si>
    <t>Contractor-Program/Delivery Director</t>
  </si>
  <si>
    <t>Safety Engineering</t>
  </si>
  <si>
    <t>MDB - Murray-Darling Basin Authority</t>
  </si>
  <si>
    <t>Contractor-Project Support/Coordinator-Junior</t>
  </si>
  <si>
    <t>Software Design</t>
  </si>
  <si>
    <t>MED - MedPass</t>
  </si>
  <si>
    <t>Contractor-Project Support/Coordinator-Mid</t>
  </si>
  <si>
    <t>Information Content Authoring</t>
  </si>
  <si>
    <t>NAA - National Archives of Australia</t>
  </si>
  <si>
    <t>Contractor-Project Support/Coordinator-Senior</t>
  </si>
  <si>
    <t>Testing</t>
  </si>
  <si>
    <t>NAF - Northern Australia Infrastructure Facility</t>
  </si>
  <si>
    <t>Contractor-Scrum Master-Junior</t>
  </si>
  <si>
    <t>User Research</t>
  </si>
  <si>
    <t>NAI - National Accreditation Authority for Translators and Interpreters</t>
  </si>
  <si>
    <t>Contractor-Scrum Master-Mid</t>
  </si>
  <si>
    <t>User Experience Analysis</t>
  </si>
  <si>
    <t>NBA - National Blood Authority</t>
  </si>
  <si>
    <t>Contractor-Scrum Master-Senior</t>
  </si>
  <si>
    <t>User Experience Design</t>
  </si>
  <si>
    <t>NCA - National Capital Authority</t>
  </si>
  <si>
    <t>Contractor-Service Designer/UI/UX-Lead</t>
  </si>
  <si>
    <t>User Experience Evaluation</t>
  </si>
  <si>
    <t>NDI - National Disability Insurance Agency</t>
  </si>
  <si>
    <t>Contractor-Service Designer/UI/UX-Mid</t>
  </si>
  <si>
    <t>Systems Integration &amp; Build</t>
  </si>
  <si>
    <t>NEM - National Emergency Management Agency</t>
  </si>
  <si>
    <t>Contractor-Service Designer/UI/UX-Senior</t>
  </si>
  <si>
    <t>Porting/Software Configuration</t>
  </si>
  <si>
    <t>NFS - National Film and Sound Archive of Australia</t>
  </si>
  <si>
    <t>Contractor-Tester-Lead</t>
  </si>
  <si>
    <t>Hardware Design</t>
  </si>
  <si>
    <t>NGA - National Gallery of Australia</t>
  </si>
  <si>
    <t>Contractor-Tester-Manager</t>
  </si>
  <si>
    <t>Systems Installation / Decommissioning</t>
  </si>
  <si>
    <t>NHF - National Health Funding Body</t>
  </si>
  <si>
    <t>Contractor-Tester-Mid</t>
  </si>
  <si>
    <t>Availability Management</t>
  </si>
  <si>
    <t xml:space="preserve">NHM - National Health and Medical Research Council </t>
  </si>
  <si>
    <t>Contractor-Tester-Senior</t>
  </si>
  <si>
    <t>Service Lead Management</t>
  </si>
  <si>
    <t>NIA - National Indigenous Australians Agency​</t>
  </si>
  <si>
    <t>Courtney Barnes</t>
  </si>
  <si>
    <t>Service Acceptance</t>
  </si>
  <si>
    <t>NLA - National Library of Australia</t>
  </si>
  <si>
    <t>Daniel Harris</t>
  </si>
  <si>
    <t>Configuration Management</t>
  </si>
  <si>
    <t>NMA - National Musuem of Australia</t>
  </si>
  <si>
    <t>Darren Krause</t>
  </si>
  <si>
    <t>Asset Management</t>
  </si>
  <si>
    <t>NMI - National Measurement Institute</t>
  </si>
  <si>
    <t>David Smith</t>
  </si>
  <si>
    <t>Change Management</t>
  </si>
  <si>
    <t>NOP - National Offshore Petroleum Safety and Environmental Management Authority</t>
  </si>
  <si>
    <t>Deepak Kumar Mandya</t>
  </si>
  <si>
    <t>Release &amp; Deployment</t>
  </si>
  <si>
    <t>NPA - National Parks</t>
  </si>
  <si>
    <t>Deependra Singh</t>
  </si>
  <si>
    <t>System Software</t>
  </si>
  <si>
    <t>NQS - NDIS Quality and Safeguards Commission</t>
  </si>
  <si>
    <t>Eddie Harris</t>
  </si>
  <si>
    <t>Capacity Management</t>
  </si>
  <si>
    <t>NSW - NSW Government</t>
  </si>
  <si>
    <t>Elena Bimbilovski</t>
  </si>
  <si>
    <t>MA4</t>
  </si>
  <si>
    <t>Security Administration</t>
  </si>
  <si>
    <t>OAI - Office of the Australian Information Commissioner</t>
  </si>
  <si>
    <t>Faran Muzaffar</t>
  </si>
  <si>
    <t>Penetration Testing</t>
  </si>
  <si>
    <t>OCO - Office of Commonwealth Ombudsman</t>
  </si>
  <si>
    <t>Gaurav Raghav</t>
  </si>
  <si>
    <t>Radio Frequency Engineering</t>
  </si>
  <si>
    <t>ONA - Office of National Assessments</t>
  </si>
  <si>
    <t>Giribabu Paruchuri</t>
  </si>
  <si>
    <t>Application Support</t>
  </si>
  <si>
    <t xml:space="preserve">ONI - Office of National Intelligence </t>
  </si>
  <si>
    <t>EN6</t>
  </si>
  <si>
    <t>IT Infrastructure</t>
  </si>
  <si>
    <t>OPC - Office of Parliamentary Counsel</t>
  </si>
  <si>
    <t>Haider Raza</t>
  </si>
  <si>
    <t>Database Administration</t>
  </si>
  <si>
    <t>OPH - Old Parliament House</t>
  </si>
  <si>
    <t>Storage Management</t>
  </si>
  <si>
    <t>PAR - Parbery Consulting</t>
  </si>
  <si>
    <t>Harkulwant Singh</t>
  </si>
  <si>
    <t>Network Support</t>
  </si>
  <si>
    <t>PMC - Department of the Prime Minister and Cabinet</t>
  </si>
  <si>
    <t>Harrison Riepon</t>
  </si>
  <si>
    <t>Problem Management</t>
  </si>
  <si>
    <t>PSR - Professional Services Review Scheme</t>
  </si>
  <si>
    <t>Himanshu Mohan</t>
  </si>
  <si>
    <t>Incident Management</t>
  </si>
  <si>
    <t>QLD - Queensland Government</t>
  </si>
  <si>
    <t>Hisham Saber</t>
  </si>
  <si>
    <t>Facilities Management</t>
  </si>
  <si>
    <t>RBA - Reserve Bank of Australia</t>
  </si>
  <si>
    <t>Husain Syed</t>
  </si>
  <si>
    <t>Learning &amp; Development Management</t>
  </si>
  <si>
    <t>SAG - South Australia Government</t>
  </si>
  <si>
    <t>Ian Hepples</t>
  </si>
  <si>
    <t>Competency Assessment</t>
  </si>
  <si>
    <t>SAP - SAP</t>
  </si>
  <si>
    <t>Ilyas Wajid</t>
  </si>
  <si>
    <t>OP4</t>
  </si>
  <si>
    <t>Learning, Design &amp; Development</t>
  </si>
  <si>
    <t>SAU - Services Australia</t>
  </si>
  <si>
    <t>SAU</t>
  </si>
  <si>
    <t>Imran Saeed</t>
  </si>
  <si>
    <t>CO5</t>
  </si>
  <si>
    <t>Learning Delivery</t>
  </si>
  <si>
    <t>SFO - Salesforce</t>
  </si>
  <si>
    <t>Indraneel Dhavala</t>
  </si>
  <si>
    <t>Teaching &amp; Subject Formation</t>
  </si>
  <si>
    <t>SHF - Sydney Harbour Federation Trust</t>
  </si>
  <si>
    <t>Intizar Hassan</t>
  </si>
  <si>
    <t>Performance Management</t>
  </si>
  <si>
    <t>SIA - Sport Integrity Australia</t>
  </si>
  <si>
    <t>Jayprakash Hegde</t>
  </si>
  <si>
    <t>Resourcing</t>
  </si>
  <si>
    <t>SNO - ServiceNow</t>
  </si>
  <si>
    <t>Jeffrey Wilkinson</t>
  </si>
  <si>
    <t>Professional Development</t>
  </si>
  <si>
    <t>SYP - SYPAQ</t>
  </si>
  <si>
    <t>Jinghan Zhang</t>
  </si>
  <si>
    <t>Quality Mnagement</t>
  </si>
  <si>
    <t>TAL - Talent International</t>
  </si>
  <si>
    <t>Quality Assurance</t>
  </si>
  <si>
    <t>TEC - TechnologyOne</t>
  </si>
  <si>
    <t>Josh Wright</t>
  </si>
  <si>
    <t>Measurement</t>
  </si>
  <si>
    <t>TEM - TechMahindra</t>
  </si>
  <si>
    <t>Junaid Ahmed</t>
  </si>
  <si>
    <t>Conformance Review</t>
  </si>
  <si>
    <t>TEQ - Tertiary Education Quality and Standards Agency</t>
  </si>
  <si>
    <t>Kanishk Mallick</t>
  </si>
  <si>
    <t>Safety Assessment</t>
  </si>
  <si>
    <t>TSY - Department of the Treasury</t>
  </si>
  <si>
    <t>Karan Kella</t>
  </si>
  <si>
    <t>25/6: Gross cost updated for 1 July 2025</t>
  </si>
  <si>
    <t>Digital Forensics</t>
  </si>
  <si>
    <t>UPT - Uptec</t>
  </si>
  <si>
    <t>Karthik Shivashankar</t>
  </si>
  <si>
    <t>VAU - Vault Cloud</t>
  </si>
  <si>
    <t>Keerthana Senthilkumar</t>
  </si>
  <si>
    <t>Digital</t>
  </si>
  <si>
    <t>VIC - Victoria Government</t>
  </si>
  <si>
    <t>Kev Alexander</t>
  </si>
  <si>
    <t>Business</t>
  </si>
  <si>
    <t>WAG - Western Australian Government</t>
  </si>
  <si>
    <t>Kevin Ho</t>
  </si>
  <si>
    <t>OP7</t>
  </si>
  <si>
    <t>Managed Service / Digital</t>
  </si>
  <si>
    <t>WGE - Workplace Gender Equality Agency</t>
  </si>
  <si>
    <t>Kevin Stephens</t>
  </si>
  <si>
    <t>Application Development Services </t>
  </si>
  <si>
    <t>Intermediate</t>
  </si>
  <si>
    <t>Senior</t>
  </si>
  <si>
    <t>WOR - Workday</t>
  </si>
  <si>
    <t>Kosta Walker-Laskos</t>
  </si>
  <si>
    <t>Solution Design/Enterprise Architect Services </t>
  </si>
  <si>
    <t>Kristina Coyne</t>
  </si>
  <si>
    <t>Systems Testing Services </t>
  </si>
  <si>
    <t>Business Analysis Services </t>
  </si>
  <si>
    <t>Lindemour Vicencio</t>
  </si>
  <si>
    <t>Commercial Contract and Procurement Services </t>
  </si>
  <si>
    <t>Lino Schildenfeld</t>
  </si>
  <si>
    <t>Cost Modelling </t>
  </si>
  <si>
    <t>Lynne Hunt</t>
  </si>
  <si>
    <t>OP2</t>
  </si>
  <si>
    <t>Junior</t>
  </si>
  <si>
    <t>Intermediate - Low</t>
  </si>
  <si>
    <t>Intermediate - High</t>
  </si>
  <si>
    <t>Expert</t>
  </si>
  <si>
    <t>Lynne Sutherland</t>
  </si>
  <si>
    <t>CO3</t>
  </si>
  <si>
    <t>Madhavi Pothunuru</t>
  </si>
  <si>
    <t>Maximum Rates - Application, software engineering and development services</t>
  </si>
  <si>
    <t>Level 1</t>
  </si>
  <si>
    <t>Level 2</t>
  </si>
  <si>
    <t>Level 3</t>
  </si>
  <si>
    <t>Level 4</t>
  </si>
  <si>
    <t>Level 5</t>
  </si>
  <si>
    <t>Level 6</t>
  </si>
  <si>
    <t>Mahesh Vemegal</t>
  </si>
  <si>
    <t>Maximum Rates - Architecture services</t>
  </si>
  <si>
    <t>PS6</t>
  </si>
  <si>
    <t>Maximum Rates - Business, systems and process analysis services</t>
  </si>
  <si>
    <t>Meenal Kaul</t>
  </si>
  <si>
    <t>Maximum Rates - Content and publishing services</t>
  </si>
  <si>
    <t>Mehran Muzaffar</t>
  </si>
  <si>
    <t>Maximum Rates - Cybersecurity Services</t>
  </si>
  <si>
    <t>Michael Castleman</t>
  </si>
  <si>
    <t>Maximum Rates - Data analytics and business intelligence services</t>
  </si>
  <si>
    <t>Maximum Rates - Digital sourcing, procurement and contract management services</t>
  </si>
  <si>
    <t>Miles Johnson</t>
  </si>
  <si>
    <t>Maximum Rates - Market research and advisory services</t>
  </si>
  <si>
    <t>Mir Atif Ali</t>
  </si>
  <si>
    <t>Maximum Rates - Marketing, advertising communications and engagement services</t>
  </si>
  <si>
    <t>Mona Khimani</t>
  </si>
  <si>
    <t>Maximum Rates - Program, project and change management services</t>
  </si>
  <si>
    <t>Nadh Yandamuri</t>
  </si>
  <si>
    <t>Maximum Rates - Risk management, benchmarking and audit services</t>
  </si>
  <si>
    <t>Naomi Andrae</t>
  </si>
  <si>
    <t>8/12/205</t>
  </si>
  <si>
    <t>Maximum Rates - Solutions implementation services</t>
  </si>
  <si>
    <t>Maximum Rates - Strategy, policy and governance services</t>
  </si>
  <si>
    <t>Navdeep Singh</t>
  </si>
  <si>
    <t>Maximum Rates - Support and operations services</t>
  </si>
  <si>
    <t>Naveen Renukuntla</t>
  </si>
  <si>
    <t>Maximum Rates - Training, learning and development services</t>
  </si>
  <si>
    <t>Naveen Roy</t>
  </si>
  <si>
    <t>Maximum Rates - User research and design services</t>
  </si>
  <si>
    <t>Nisar Khan</t>
  </si>
  <si>
    <t>Market Rates - Application, software engineering and development services</t>
  </si>
  <si>
    <t>Paul Clark</t>
  </si>
  <si>
    <t>Market Rates - Architecture services</t>
  </si>
  <si>
    <t>Perm-Consultant</t>
  </si>
  <si>
    <t>Market Rates - Business, systems and process analysis services</t>
  </si>
  <si>
    <t>Perm-Consulting Partner</t>
  </si>
  <si>
    <t>CO7</t>
  </si>
  <si>
    <t>Market Rates - Content and publishing services</t>
  </si>
  <si>
    <t>Perm-Delivery Director</t>
  </si>
  <si>
    <t>Market Rates - Cybersecurity Services</t>
  </si>
  <si>
    <t>Perm-Delivery Manager</t>
  </si>
  <si>
    <t>Market Rates - Data analytics and business intelligence services</t>
  </si>
  <si>
    <t>Perm-Delivery Partner</t>
  </si>
  <si>
    <t>Market Rates - Digital sourcing, procurement and contract management services</t>
  </si>
  <si>
    <t>Perm-Director</t>
  </si>
  <si>
    <t>CO6</t>
  </si>
  <si>
    <t>Market Rates - Market research and advisory services</t>
  </si>
  <si>
    <t>Perm-Engineer</t>
  </si>
  <si>
    <t>Market Rates - Marketing, advertising communications and engagement services</t>
  </si>
  <si>
    <t>Perm-Junior Engineer</t>
  </si>
  <si>
    <t>EN2</t>
  </si>
  <si>
    <t>Market Rates - Program, project and change management services</t>
  </si>
  <si>
    <t>Perm-Lead Engineer</t>
  </si>
  <si>
    <t>Market Rates - Risk management, benchmarking and audit services</t>
  </si>
  <si>
    <t>Perm-Manager</t>
  </si>
  <si>
    <t>CO4</t>
  </si>
  <si>
    <t>Market Rates - Solutions implementation services</t>
  </si>
  <si>
    <t>Perm-Principal Engineer</t>
  </si>
  <si>
    <t>Market Rates - Strategy, policy and governance services</t>
  </si>
  <si>
    <t>Perm-Project Administrator</t>
  </si>
  <si>
    <t>DM2</t>
  </si>
  <si>
    <t>Market Rates - Support and operations services</t>
  </si>
  <si>
    <t>Perm-Project Officer</t>
  </si>
  <si>
    <t>DM3</t>
  </si>
  <si>
    <t>Market Rates - Training, learning and development services</t>
  </si>
  <si>
    <t>Perm-Snr Consultant</t>
  </si>
  <si>
    <t>Market Rates - User research and design services</t>
  </si>
  <si>
    <t>Perm-Snr Delivery Manager</t>
  </si>
  <si>
    <t>DM5</t>
  </si>
  <si>
    <t>Advisory &lt; 3 months</t>
  </si>
  <si>
    <t>Perm-Snr Engineer</t>
  </si>
  <si>
    <t>Advisory &gt; 3 months</t>
  </si>
  <si>
    <t>Perm-Snr Manager</t>
  </si>
  <si>
    <t>Developers</t>
  </si>
  <si>
    <t>Foundation SFIA Level 4</t>
  </si>
  <si>
    <t>Intermediate SFIA Level 5</t>
  </si>
  <si>
    <t>Senior SFIA Level 6</t>
  </si>
  <si>
    <t>Expert SFIA Level 7</t>
  </si>
  <si>
    <t>Service Designers</t>
  </si>
  <si>
    <t>Pip Naka</t>
  </si>
  <si>
    <t>Interaction Designers</t>
  </si>
  <si>
    <t>Praveena Akuthota</t>
  </si>
  <si>
    <t>Business Analysts</t>
  </si>
  <si>
    <t>Raheem Baig</t>
  </si>
  <si>
    <t>User Researchers</t>
  </si>
  <si>
    <t>Rajasekhara Lankela</t>
  </si>
  <si>
    <t>Delivery Managers</t>
  </si>
  <si>
    <t>Rakesh Bommineni</t>
  </si>
  <si>
    <t>Product Managers</t>
  </si>
  <si>
    <t>Rakkhi Joy</t>
  </si>
  <si>
    <t>Technical Leads</t>
  </si>
  <si>
    <t>Ram Paramasamy</t>
  </si>
  <si>
    <t>Testers</t>
  </si>
  <si>
    <t>Ranganath Barthur</t>
  </si>
  <si>
    <t>Techncial Architects</t>
  </si>
  <si>
    <t>Ravi Singh</t>
  </si>
  <si>
    <t>Change Manager</t>
  </si>
  <si>
    <t>Rehan Asghar</t>
  </si>
  <si>
    <t>Content Designer</t>
  </si>
  <si>
    <t>Digital Strategy</t>
  </si>
  <si>
    <t>Junior SFIA Level 4</t>
  </si>
  <si>
    <t>Roshan Menon</t>
  </si>
  <si>
    <t>Enterprise Architecture</t>
  </si>
  <si>
    <t>Saad Rashid</t>
  </si>
  <si>
    <t>Sai Rakesh</t>
  </si>
  <si>
    <t>Technical Leadership</t>
  </si>
  <si>
    <t>Sam Muzaffar</t>
  </si>
  <si>
    <t>Dev/SecOps</t>
  </si>
  <si>
    <t>Samuel Penumaka</t>
  </si>
  <si>
    <t>Functional Consultancy</t>
  </si>
  <si>
    <t>Sankar Kumar Chellam</t>
  </si>
  <si>
    <t>Integration Surge Support</t>
  </si>
  <si>
    <t>Sankari Kalaiselvan</t>
  </si>
  <si>
    <t>Cyber Surge Support</t>
  </si>
  <si>
    <t>Satyendra Bhojendra</t>
  </si>
  <si>
    <t>Data Architecture</t>
  </si>
  <si>
    <t>Sazzad Khandakar</t>
  </si>
  <si>
    <t>Project/Product/Delivery Management</t>
  </si>
  <si>
    <t>SAP Solution Technical Architect</t>
  </si>
  <si>
    <t>Essentials (1-3yrs)</t>
  </si>
  <si>
    <t>Advanced (4-7yrs)</t>
  </si>
  <si>
    <t>Expert (8yrs+)</t>
  </si>
  <si>
    <t>Senthurvasan Ganeshwaran</t>
  </si>
  <si>
    <t>SAP Functional Domain Architect</t>
  </si>
  <si>
    <t>Sheelesh Kumar</t>
  </si>
  <si>
    <t>SAP Developer</t>
  </si>
  <si>
    <t>Shefali Middha</t>
  </si>
  <si>
    <t>SAP Functional Consultant</t>
  </si>
  <si>
    <t>SAP Integration Specialist</t>
  </si>
  <si>
    <t>SAP Security Consultant</t>
  </si>
  <si>
    <t>Sridhar Guda</t>
  </si>
  <si>
    <t>SAP Project Manager</t>
  </si>
  <si>
    <t>SAP Software Tester</t>
  </si>
  <si>
    <t>Stephen Boulton</t>
  </si>
  <si>
    <t>SAP Basis Consultant</t>
  </si>
  <si>
    <t>Stephen Kamal</t>
  </si>
  <si>
    <t>SAP Release Manager</t>
  </si>
  <si>
    <t>Stirling Butcher</t>
  </si>
  <si>
    <t>Cloud Marketplace</t>
  </si>
  <si>
    <t>AI Machine Learning</t>
  </si>
  <si>
    <t>Associate Consultant</t>
  </si>
  <si>
    <t>Managing Consultant</t>
  </si>
  <si>
    <t>Sujith Sasankan Leela</t>
  </si>
  <si>
    <t>Analytics Forecasting Reporting</t>
  </si>
  <si>
    <t>Surya Ratakumtla</t>
  </si>
  <si>
    <t>App Integration Middleware</t>
  </si>
  <si>
    <t>Swati Dhelia</t>
  </si>
  <si>
    <t>PS4</t>
  </si>
  <si>
    <t>Corporate Applications</t>
  </si>
  <si>
    <t>Swetha Komma</t>
  </si>
  <si>
    <t>Customer Support Engagement</t>
  </si>
  <si>
    <t>Tejas Joshi</t>
  </si>
  <si>
    <t>27/6: Base cost updated for 1 July 2025</t>
  </si>
  <si>
    <t>Data Migration Transformation</t>
  </si>
  <si>
    <t>Data Warehousing</t>
  </si>
  <si>
    <t>Vikas Jayaram</t>
  </si>
  <si>
    <t>Database</t>
  </si>
  <si>
    <t>Vinnie Tumukunta</t>
  </si>
  <si>
    <t>Old cost rate of $149.59 till 6th Jan. New rate from 7th Jan 2026</t>
  </si>
  <si>
    <t>Developer Tools</t>
  </si>
  <si>
    <t>Vivek Shah</t>
  </si>
  <si>
    <t>Edge Computing</t>
  </si>
  <si>
    <t>CE7</t>
  </si>
  <si>
    <t>Risk Compliance</t>
  </si>
  <si>
    <t>Witner Haway</t>
  </si>
  <si>
    <t>Storage Backup Recovery</t>
  </si>
  <si>
    <t>Yara Yangot</t>
  </si>
  <si>
    <t>Virtualised Computing</t>
  </si>
  <si>
    <t>Zahid Khan</t>
  </si>
  <si>
    <t>Discounted Daily
Rate $ ex-GST</t>
  </si>
  <si>
    <t>M1 - Discovery Completion</t>
  </si>
  <si>
    <t>1.1 Detailed requirements, business process mapping</t>
  </si>
  <si>
    <t>Project Manager</t>
  </si>
  <si>
    <t>ServiceNow Architect</t>
  </si>
  <si>
    <t>Lead ServiceNow Developer</t>
  </si>
  <si>
    <t>ServiceNow Developer</t>
  </si>
  <si>
    <t>1.3 Detailed delivery plan, RACI of build/delivery meeting AGD Operating Model requirements</t>
  </si>
  <si>
    <t>1.4 Acceptance certificate</t>
  </si>
  <si>
    <t>M2 - Sprint 1 and 2 completion</t>
  </si>
  <si>
    <t>2.1 Project management and compliance documentation</t>
  </si>
  <si>
    <t>2.2 Build</t>
  </si>
  <si>
    <t>Senior Tester</t>
  </si>
  <si>
    <t>M3 - Sprint 2 and 3 completion</t>
  </si>
  <si>
    <t xml:space="preserve">M4 - Sprint 5 and 6 completion </t>
  </si>
  <si>
    <t>M5 - Test Completion &amp; Go-live</t>
  </si>
  <si>
    <t>M6 - Hypercare completion</t>
  </si>
  <si>
    <t>RESOURCE LOADING</t>
  </si>
  <si>
    <t xml:space="preserve">Milestone </t>
  </si>
  <si>
    <t>deliverable</t>
  </si>
  <si>
    <t>start 3 NOV 2025</t>
  </si>
  <si>
    <t>end 12 motnhs</t>
  </si>
  <si>
    <t>1.2         License costs</t>
  </si>
  <si>
    <t>1.4         Acceptance certificate</t>
  </si>
  <si>
    <t>4 weeks</t>
  </si>
  <si>
    <t>2.0         Supply of required software licenses to cover year 1, including support and maintenance</t>
  </si>
  <si>
    <t>To be specified by vendor at phase 1</t>
  </si>
  <si>
    <t xml:space="preserve">(Conditional of satisfactory discovery sign off) </t>
  </si>
  <si>
    <t>2.1         Project management/compliance</t>
  </si>
  <si>
    <t>2.2         Build</t>
  </si>
  <si>
    <t>2.3         Testing: including testing plan and UAT requirements</t>
  </si>
  <si>
    <t>2.4         Data migration</t>
  </si>
  <si>
    <t>2.5         Business Continuity and user guides</t>
  </si>
  <si>
    <t>2.6         Acceptance certificate</t>
  </si>
  <si>
    <t>2.7         Go Live</t>
  </si>
  <si>
    <t>2.8         Hypercare</t>
  </si>
  <si>
    <t>Minimum 4 weeks</t>
  </si>
  <si>
    <t>2.9         Handover</t>
  </si>
  <si>
    <t>2.10      Detailed requirements, business process mapping complete and signed off</t>
  </si>
  <si>
    <t>Parallel to phase 1</t>
  </si>
  <si>
    <t>2.11      Integration into relevant project and guidance documents</t>
  </si>
  <si>
    <t>Desirable to be parallel to phase 2A</t>
  </si>
  <si>
    <t>2.12      Proof of Concept - including the delivery of an accuracy, return on investment, delivery plan to production and model upgrade plan</t>
  </si>
  <si>
    <t>2.13      Detailed evaluation report and delivery plan</t>
  </si>
  <si>
    <t>2.14      Acceptance certificate</t>
  </si>
  <si>
    <t>(parallel to phase 1 and 2A)</t>
  </si>
  <si>
    <t>2.15      Detailed requirements, business process mapping complete and signed off</t>
  </si>
  <si>
    <t>2.16      Integration into relevant project and guidance documents</t>
  </si>
  <si>
    <t>2.17      Build/delivery of self-service portal</t>
  </si>
  <si>
    <t>2.18      Acceptance certificate</t>
  </si>
  <si>
    <t>3.1         Integration into relevant project and guidance documents</t>
  </si>
  <si>
    <t>As per 2B: AI Proof of Concept delivery plan</t>
  </si>
  <si>
    <t xml:space="preserve">3.2         Implementation and release of the AI capability in POC into Production </t>
  </si>
  <si>
    <t>3.3         Completion of Commonwealth responsible AI use and relevant assessments, IRAP assessment (if applicable) and Privacy Impact Assessment (PIA)</t>
  </si>
  <si>
    <t>Tester Manager</t>
  </si>
  <si>
    <t>M3 - Sprint 3 and 4 completion</t>
  </si>
  <si>
    <t>M7 - AI and Self-Service Portal</t>
  </si>
  <si>
    <t>Actuals</t>
  </si>
  <si>
    <t>#</t>
  </si>
  <si>
    <t>Milestone Title</t>
  </si>
  <si>
    <t>Acceptance Criteria</t>
  </si>
  <si>
    <t>Amount</t>
  </si>
  <si>
    <t>M1</t>
  </si>
  <si>
    <t>Discovery Completion</t>
  </si>
  <si>
    <t>1. Delivery of Detailed Delivery plan
2. Test Strategy
3. Change Management Plan Training Strategy
4. High-level Solution Design
5. Business Requirements and Process Maps</t>
  </si>
  <si>
    <t>M2</t>
  </si>
  <si>
    <t>Sprint 1 and 2 completion</t>
  </si>
  <si>
    <t>1. Data Migration Plan
2. Acceptance of Sprint 1 and 2 user stories
3. System Information Management Plan
4. Test Plan
5. Privacy Impact Assessment</t>
  </si>
  <si>
    <t>M3</t>
  </si>
  <si>
    <t>Sprint 2 and 3 completion</t>
  </si>
  <si>
    <t>1. System Risk Assessment Plan
2. Acceptance of Sprint 3 and 4 user stories
3. Business Continuity Plan
4. AI Evaluation Report</t>
  </si>
  <si>
    <t>M4</t>
  </si>
  <si>
    <t xml:space="preserve">Sprint 5 and 6 completion </t>
  </si>
  <si>
    <t>1. As-built documentation
2. Acceptance of Sprint 5 and 6 user stories
3. Authority to Operate - Application</t>
  </si>
  <si>
    <t>M5</t>
  </si>
  <si>
    <t>Test Completion &amp; Go-live</t>
  </si>
  <si>
    <t>1. SIT Test Closure Report
2. Test Progress reports
3. UAT Test Closure
4. Deployment Plan</t>
  </si>
  <si>
    <t>M6</t>
  </si>
  <si>
    <t>Hypercare completion</t>
  </si>
  <si>
    <t>1. Standard Operating Procedures (SOPs)
2. Training instructions reviewed and approved
3. Disaster Recovery Plan – Application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</si>
</sst>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quot;$&quot;#,##0.00"/>
    <numFmt numFmtId="8" formatCode="&quot;$&quot;#,##0.00;[Red]\-&quot;$&quot;#,##0.00"/>
    <numFmt numFmtId="44" formatCode="_-&quot;$&quot;* #,##0.00_-;\-&quot;$&quot;* #,##0.00_-;_-&quot;$&quot;* &quot;-&quot;??_-;_-@_-"/>
    <numFmt numFmtId="43" formatCode="_-* #,##0.00_-;\-* #,##0.00_-;_-* &quot;-&quot;??_-;_-@_-"/>
    <numFmt numFmtId="164" formatCode="[$-F800]dddd\,\ mmmm\ dd\,\ yyyy"/>
    <numFmt numFmtId="165" formatCode="&quot;$&quot;#,##0.00"/>
    <numFmt numFmtId="166" formatCode="[$-C09]dd\-mmm\-yy;@"/>
    <numFmt numFmtId="167" formatCode="0.0%"/>
    <numFmt numFmtId="168" formatCode="0.0"/>
    <numFmt numFmtId="169" formatCode="_-* #,##0_-;\-* #,##0_-;_-* &quot;-&quot;??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Segoe UI"/>
      <family val="2"/>
    </font>
    <font>
      <b/>
      <sz val="10"/>
      <color theme="1"/>
      <name val="Segoe UI"/>
      <family val="2"/>
    </font>
    <font>
      <sz val="8"/>
      <name val="Calibri"/>
      <family val="2"/>
      <scheme val="minor"/>
    </font>
    <font>
      <sz val="11"/>
      <color theme="1"/>
      <name val="Segoe UI"/>
      <family val="2"/>
    </font>
    <font>
      <b/>
      <sz val="11"/>
      <color theme="1"/>
      <name val="Segoe UI"/>
      <family val="2"/>
    </font>
    <font>
      <b/>
      <sz val="12"/>
      <color theme="1"/>
      <name val="Segoe UI"/>
      <family val="2"/>
    </font>
    <font>
      <sz val="12"/>
      <color theme="1"/>
      <name val="Segoe UI"/>
      <family val="2"/>
    </font>
    <font>
      <b/>
      <sz val="11"/>
      <color theme="0"/>
      <name val="Segoe UI"/>
      <family val="2"/>
    </font>
    <font>
      <sz val="11"/>
      <color theme="0"/>
      <name val="Segoe UI"/>
      <family val="2"/>
    </font>
    <font>
      <sz val="11"/>
      <name val="Segoe UI"/>
      <family val="2"/>
    </font>
    <font>
      <b/>
      <sz val="11"/>
      <color theme="0"/>
      <name val="Segoe UI"/>
      <family val="2"/>
      <scheme val="major"/>
    </font>
    <font>
      <sz val="11"/>
      <color theme="1"/>
      <name val="Segoe UI"/>
      <family val="2"/>
      <scheme val="major"/>
    </font>
    <font>
      <b/>
      <sz val="11"/>
      <name val="Segoe UI"/>
      <family val="2"/>
      <scheme val="major"/>
    </font>
    <font>
      <sz val="11"/>
      <name val="Segoe UI"/>
      <family val="2"/>
      <scheme val="major"/>
    </font>
    <font>
      <b/>
      <sz val="10"/>
      <color theme="1"/>
      <name val="Segoe UI Semibold"/>
      <family val="2"/>
    </font>
    <font>
      <b/>
      <sz val="10"/>
      <color theme="1"/>
      <name val="Segoe UI"/>
      <family val="2"/>
      <scheme val="major"/>
    </font>
    <font>
      <b/>
      <sz val="8"/>
      <color theme="1"/>
      <name val="Segoe UI Semibold"/>
      <family val="2"/>
    </font>
    <font>
      <sz val="11"/>
      <color theme="1"/>
      <name val="Segoe UI Semibold"/>
      <family val="2"/>
    </font>
    <font>
      <sz val="11"/>
      <color theme="0"/>
      <name val="Segoe UI Semibold"/>
      <family val="2"/>
    </font>
    <font>
      <b/>
      <sz val="11"/>
      <name val="Segoe UI"/>
      <family val="2"/>
    </font>
    <font>
      <b/>
      <sz val="11"/>
      <color theme="1"/>
      <name val="Segoe UI"/>
      <family val="2"/>
      <scheme val="major"/>
    </font>
    <font>
      <b/>
      <sz val="11"/>
      <color theme="5"/>
      <name val="Segoe UI"/>
      <family val="2"/>
      <scheme val="major"/>
    </font>
    <font>
      <b/>
      <sz val="10"/>
      <color theme="0"/>
      <name val="Segoe UI"/>
      <family val="2"/>
      <scheme val="major"/>
    </font>
    <font>
      <b/>
      <sz val="11"/>
      <color theme="8" tint="0.79998168889431442"/>
      <name val="Segoe UI"/>
      <family val="2"/>
    </font>
    <font>
      <sz val="11"/>
      <color theme="8" tint="0.79998168889431442"/>
      <name val="Segoe UI"/>
      <family val="2"/>
    </font>
    <font>
      <b/>
      <sz val="11"/>
      <color rgb="FFC00000"/>
      <name val="Calibri"/>
      <family val="2"/>
      <scheme val="minor"/>
    </font>
    <font>
      <b/>
      <sz val="10"/>
      <color rgb="FFC00000"/>
      <name val="Segoe UI"/>
      <family val="2"/>
    </font>
    <font>
      <b/>
      <sz val="9"/>
      <color theme="1"/>
      <name val="Segoe UI"/>
      <family val="2"/>
    </font>
    <font>
      <sz val="9"/>
      <color theme="1"/>
      <name val="Segoe UI"/>
      <family val="2"/>
    </font>
  </fonts>
  <fills count="2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2F2F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theme="1"/>
        <bgColor theme="4"/>
      </patternFill>
    </fill>
    <fill>
      <patternFill patternType="solid">
        <fgColor theme="3"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s>
  <borders count="49">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rgb="FF808080"/>
      </top>
      <bottom style="thick">
        <color rgb="FF51C9E1"/>
      </bottom>
      <diagonal/>
    </border>
    <border>
      <left/>
      <right/>
      <top/>
      <bottom style="medium">
        <color rgb="FF808080"/>
      </bottom>
      <diagonal/>
    </border>
    <border>
      <left/>
      <right/>
      <top/>
      <bottom style="thin">
        <color rgb="FF000000"/>
      </bottom>
      <diagonal/>
    </border>
    <border>
      <left style="thin">
        <color auto="1"/>
      </left>
      <right style="thin">
        <color auto="1"/>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55">
    <xf numFmtId="0" fontId="0" fillId="0" borderId="0" xfId="0"/>
    <xf numFmtId="0" fontId="2" fillId="0" borderId="0" xfId="0" applyFont="1"/>
    <xf numFmtId="9" fontId="0" fillId="0" borderId="0" xfId="2" applyFont="1"/>
    <xf numFmtId="166" fontId="0" fillId="0" borderId="0" xfId="0" applyNumberFormat="1"/>
    <xf numFmtId="0" fontId="0" fillId="3" borderId="6" xfId="0" applyFill="1" applyBorder="1"/>
    <xf numFmtId="0" fontId="0" fillId="0" borderId="16" xfId="0" applyBorder="1"/>
    <xf numFmtId="0" fontId="6" fillId="0" borderId="0" xfId="0" applyFont="1"/>
    <xf numFmtId="0" fontId="6" fillId="0" borderId="8" xfId="0" applyFont="1" applyBorder="1"/>
    <xf numFmtId="165" fontId="6" fillId="0" borderId="8" xfId="0" applyNumberFormat="1" applyFont="1" applyBorder="1"/>
    <xf numFmtId="0" fontId="12" fillId="0" borderId="5" xfId="0" applyFont="1" applyBorder="1" applyAlignment="1">
      <alignment vertical="top"/>
    </xf>
    <xf numFmtId="0" fontId="12" fillId="4" borderId="5" xfId="0" applyFont="1" applyFill="1" applyBorder="1" applyAlignment="1">
      <alignment vertical="top"/>
    </xf>
    <xf numFmtId="7" fontId="6" fillId="0" borderId="0" xfId="0" applyNumberFormat="1" applyFont="1"/>
    <xf numFmtId="0" fontId="6" fillId="0" borderId="0" xfId="0" applyFont="1" applyAlignment="1">
      <alignment horizontal="left"/>
    </xf>
    <xf numFmtId="0" fontId="12" fillId="7" borderId="5" xfId="0" applyFont="1" applyFill="1" applyBorder="1" applyAlignment="1">
      <alignment vertical="top"/>
    </xf>
    <xf numFmtId="164" fontId="12" fillId="7" borderId="5" xfId="0" applyNumberFormat="1" applyFont="1" applyFill="1" applyBorder="1" applyAlignment="1">
      <alignment horizontal="left" vertical="top"/>
    </xf>
    <xf numFmtId="0" fontId="3" fillId="0" borderId="0" xfId="0" applyFont="1"/>
    <xf numFmtId="0" fontId="14" fillId="0" borderId="0" xfId="0" applyFont="1"/>
    <xf numFmtId="0" fontId="16" fillId="0" borderId="1" xfId="0" applyFont="1" applyBorder="1" applyAlignment="1">
      <alignment horizontal="left" vertical="top"/>
    </xf>
    <xf numFmtId="0" fontId="16" fillId="0" borderId="1" xfId="0" applyFont="1" applyBorder="1" applyAlignment="1">
      <alignment horizontal="left" vertical="top" wrapText="1"/>
    </xf>
    <xf numFmtId="0" fontId="3" fillId="0" borderId="8" xfId="0" applyFont="1" applyBorder="1"/>
    <xf numFmtId="0" fontId="3" fillId="0" borderId="12" xfId="0" applyFont="1" applyBorder="1"/>
    <xf numFmtId="0" fontId="3" fillId="0" borderId="13" xfId="0" applyFont="1" applyBorder="1"/>
    <xf numFmtId="0" fontId="3" fillId="3" borderId="12" xfId="0" applyFont="1" applyFill="1" applyBorder="1"/>
    <xf numFmtId="0" fontId="3" fillId="8" borderId="16" xfId="0" applyFont="1" applyFill="1" applyBorder="1"/>
    <xf numFmtId="165" fontId="3" fillId="3" borderId="13" xfId="0" applyNumberFormat="1" applyFont="1" applyFill="1" applyBorder="1"/>
    <xf numFmtId="9" fontId="3" fillId="0" borderId="0" xfId="2" applyFont="1" applyAlignment="1">
      <alignment horizontal="center" vertical="center"/>
    </xf>
    <xf numFmtId="0" fontId="3" fillId="0" borderId="14" xfId="0" applyFont="1" applyBorder="1"/>
    <xf numFmtId="0" fontId="3" fillId="0" borderId="15" xfId="0" applyFont="1" applyBorder="1"/>
    <xf numFmtId="0" fontId="3" fillId="3" borderId="14" xfId="0" applyFont="1" applyFill="1" applyBorder="1"/>
    <xf numFmtId="165" fontId="3" fillId="3" borderId="8" xfId="0" applyNumberFormat="1" applyFont="1" applyFill="1" applyBorder="1"/>
    <xf numFmtId="0" fontId="3" fillId="8" borderId="7" xfId="0" applyFont="1" applyFill="1" applyBorder="1"/>
    <xf numFmtId="165" fontId="3" fillId="3" borderId="15" xfId="0" applyNumberFormat="1" applyFont="1" applyFill="1" applyBorder="1"/>
    <xf numFmtId="0" fontId="17" fillId="0" borderId="0" xfId="0" applyFont="1"/>
    <xf numFmtId="0" fontId="17" fillId="2" borderId="9"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11" xfId="0" applyFont="1" applyFill="1" applyBorder="1" applyAlignment="1">
      <alignment horizontal="left" vertical="center" wrapText="1"/>
    </xf>
    <xf numFmtId="0" fontId="17" fillId="2" borderId="10"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18" fillId="3" borderId="14" xfId="0" applyFont="1" applyFill="1" applyBorder="1" applyAlignment="1">
      <alignment horizontal="center" vertical="center" wrapText="1"/>
    </xf>
    <xf numFmtId="165" fontId="18" fillId="3" borderId="8" xfId="0" applyNumberFormat="1" applyFont="1" applyFill="1" applyBorder="1" applyAlignment="1">
      <alignment horizontal="center" vertical="center" wrapText="1"/>
    </xf>
    <xf numFmtId="0" fontId="18" fillId="8" borderId="7" xfId="0" applyFont="1" applyFill="1" applyBorder="1" applyAlignment="1">
      <alignment horizontal="center" vertical="center" wrapText="1"/>
    </xf>
    <xf numFmtId="165" fontId="18" fillId="3" borderId="15" xfId="0" applyNumberFormat="1" applyFont="1" applyFill="1" applyBorder="1" applyAlignment="1">
      <alignment horizontal="center" vertical="center" wrapText="1"/>
    </xf>
    <xf numFmtId="167" fontId="18" fillId="4" borderId="14" xfId="2" applyNumberFormat="1" applyFont="1" applyFill="1" applyBorder="1" applyAlignment="1">
      <alignment horizontal="center" vertical="center" wrapText="1"/>
    </xf>
    <xf numFmtId="167" fontId="18" fillId="3" borderId="15" xfId="2" applyNumberFormat="1" applyFont="1" applyFill="1" applyBorder="1" applyAlignment="1">
      <alignment horizontal="center" vertical="center" wrapText="1"/>
    </xf>
    <xf numFmtId="9" fontId="18" fillId="3" borderId="8" xfId="2" applyFont="1" applyFill="1" applyBorder="1" applyAlignment="1">
      <alignment horizontal="center" vertical="center"/>
    </xf>
    <xf numFmtId="0" fontId="18" fillId="3" borderId="8" xfId="0" applyFont="1" applyFill="1" applyBorder="1"/>
    <xf numFmtId="0" fontId="17" fillId="3" borderId="0" xfId="0" applyFont="1" applyFill="1"/>
    <xf numFmtId="0" fontId="7" fillId="0" borderId="0" xfId="0" applyFont="1"/>
    <xf numFmtId="0" fontId="20" fillId="0" borderId="0" xfId="0" applyFont="1"/>
    <xf numFmtId="0" fontId="6" fillId="0" borderId="8" xfId="0" applyFont="1" applyBorder="1" applyAlignment="1">
      <alignment horizontal="left"/>
    </xf>
    <xf numFmtId="166" fontId="6" fillId="0" borderId="8" xfId="0" applyNumberFormat="1" applyFont="1" applyBorder="1" applyAlignment="1">
      <alignment horizontal="center"/>
    </xf>
    <xf numFmtId="0" fontId="10" fillId="9" borderId="5" xfId="0" applyFont="1" applyFill="1" applyBorder="1" applyAlignment="1">
      <alignment horizontal="left" vertical="top"/>
    </xf>
    <xf numFmtId="0" fontId="11" fillId="9" borderId="5" xfId="0" applyFont="1" applyFill="1" applyBorder="1" applyAlignment="1">
      <alignment vertical="top"/>
    </xf>
    <xf numFmtId="0" fontId="12" fillId="6" borderId="5" xfId="0" applyFont="1" applyFill="1" applyBorder="1" applyAlignment="1">
      <alignment horizontal="left" vertical="top"/>
    </xf>
    <xf numFmtId="0" fontId="12" fillId="9" borderId="5" xfId="0" applyFont="1" applyFill="1" applyBorder="1" applyAlignment="1">
      <alignment vertical="top"/>
    </xf>
    <xf numFmtId="0" fontId="12" fillId="0" borderId="5" xfId="0" applyFont="1" applyBorder="1" applyAlignment="1">
      <alignment horizontal="left" vertical="top"/>
    </xf>
    <xf numFmtId="0" fontId="12" fillId="0" borderId="5" xfId="0" applyFont="1" applyBorder="1" applyAlignment="1">
      <alignment horizontal="left" vertical="top" wrapText="1"/>
    </xf>
    <xf numFmtId="0" fontId="22" fillId="9" borderId="5" xfId="0" applyFont="1" applyFill="1" applyBorder="1" applyAlignment="1">
      <alignment vertical="top"/>
    </xf>
    <xf numFmtId="0" fontId="12" fillId="0" borderId="5" xfId="0" quotePrefix="1" applyFont="1" applyBorder="1" applyAlignment="1">
      <alignment horizontal="left" vertical="top" wrapText="1"/>
    </xf>
    <xf numFmtId="0" fontId="13" fillId="10" borderId="1" xfId="0" applyFont="1" applyFill="1" applyBorder="1" applyAlignment="1">
      <alignment horizontal="center"/>
    </xf>
    <xf numFmtId="0" fontId="13" fillId="10" borderId="1" xfId="0" applyFont="1" applyFill="1" applyBorder="1" applyAlignment="1">
      <alignment horizontal="left"/>
    </xf>
    <xf numFmtId="0" fontId="14" fillId="0" borderId="0" xfId="0" applyFont="1" applyAlignment="1">
      <alignment horizontal="left" vertical="center"/>
    </xf>
    <xf numFmtId="14" fontId="14" fillId="0" borderId="0" xfId="0" applyNumberFormat="1" applyFont="1" applyAlignment="1">
      <alignment horizontal="left" vertical="center"/>
    </xf>
    <xf numFmtId="44" fontId="14" fillId="0" borderId="0" xfId="1" applyFont="1" applyAlignment="1">
      <alignment horizontal="left" vertical="center"/>
    </xf>
    <xf numFmtId="44" fontId="14" fillId="0" borderId="0" xfId="0" applyNumberFormat="1" applyFont="1" applyAlignment="1">
      <alignment horizontal="left" vertical="center"/>
    </xf>
    <xf numFmtId="0" fontId="23" fillId="0" borderId="0" xfId="0" applyFont="1"/>
    <xf numFmtId="0" fontId="14" fillId="0" borderId="0" xfId="0" applyFont="1" applyAlignment="1">
      <alignment horizontal="left" vertical="top"/>
    </xf>
    <xf numFmtId="0" fontId="13" fillId="9" borderId="0" xfId="0" applyFont="1" applyFill="1"/>
    <xf numFmtId="0" fontId="14" fillId="0" borderId="0" xfId="0" applyFont="1" applyAlignment="1">
      <alignment vertical="top"/>
    </xf>
    <xf numFmtId="0" fontId="14" fillId="0" borderId="5" xfId="0" applyFont="1" applyBorder="1" applyAlignment="1">
      <alignment horizontal="left" vertical="top"/>
    </xf>
    <xf numFmtId="0" fontId="14" fillId="0" borderId="5" xfId="0" applyFont="1" applyBorder="1" applyAlignment="1">
      <alignment vertical="top"/>
    </xf>
    <xf numFmtId="0" fontId="14" fillId="0" borderId="5" xfId="0" applyFont="1" applyBorder="1" applyAlignment="1">
      <alignment vertical="top" wrapText="1"/>
    </xf>
    <xf numFmtId="0" fontId="14" fillId="0" borderId="6" xfId="0" applyFont="1" applyBorder="1" applyAlignment="1">
      <alignment horizontal="left" vertical="top"/>
    </xf>
    <xf numFmtId="0" fontId="14" fillId="0" borderId="5" xfId="0" applyFont="1" applyBorder="1"/>
    <xf numFmtId="0" fontId="23" fillId="3" borderId="5" xfId="0" applyFont="1" applyFill="1" applyBorder="1" applyAlignment="1">
      <alignment vertical="top"/>
    </xf>
    <xf numFmtId="0" fontId="13" fillId="9" borderId="5" xfId="0" applyFont="1" applyFill="1" applyBorder="1"/>
    <xf numFmtId="0" fontId="13" fillId="9" borderId="5" xfId="0" applyFont="1" applyFill="1" applyBorder="1" applyAlignment="1">
      <alignment horizontal="center"/>
    </xf>
    <xf numFmtId="0" fontId="23" fillId="3" borderId="0" xfId="0" applyFont="1" applyFill="1" applyAlignment="1">
      <alignment horizontal="left" vertical="top"/>
    </xf>
    <xf numFmtId="0" fontId="14" fillId="0" borderId="0" xfId="0" applyFont="1" applyAlignment="1">
      <alignment horizontal="left" vertical="top" wrapText="1"/>
    </xf>
    <xf numFmtId="0" fontId="24" fillId="3" borderId="0" xfId="0" applyFont="1" applyFill="1" applyAlignment="1">
      <alignment horizontal="left" vertical="top"/>
    </xf>
    <xf numFmtId="165" fontId="3" fillId="3" borderId="0" xfId="0" applyNumberFormat="1" applyFont="1" applyFill="1"/>
    <xf numFmtId="0" fontId="18" fillId="3" borderId="7" xfId="0" applyFont="1" applyFill="1" applyBorder="1" applyAlignment="1">
      <alignment horizontal="center" vertical="center" wrapText="1"/>
    </xf>
    <xf numFmtId="167" fontId="3" fillId="3" borderId="13" xfId="2" applyNumberFormat="1" applyFont="1" applyFill="1" applyBorder="1" applyAlignment="1">
      <alignment horizontal="center" vertical="center"/>
    </xf>
    <xf numFmtId="165" fontId="3" fillId="3" borderId="8" xfId="0" applyNumberFormat="1" applyFont="1" applyFill="1" applyBorder="1" applyAlignment="1">
      <alignment horizontal="center" vertical="center"/>
    </xf>
    <xf numFmtId="167" fontId="3" fillId="3" borderId="15" xfId="2" applyNumberFormat="1" applyFont="1" applyFill="1" applyBorder="1" applyAlignment="1">
      <alignment horizontal="center" vertical="center"/>
    </xf>
    <xf numFmtId="165" fontId="3" fillId="3" borderId="12" xfId="0" applyNumberFormat="1" applyFont="1" applyFill="1" applyBorder="1" applyAlignment="1">
      <alignment horizontal="center" vertical="center"/>
    </xf>
    <xf numFmtId="167" fontId="3" fillId="4" borderId="0" xfId="2" applyNumberFormat="1" applyFont="1" applyFill="1" applyBorder="1" applyAlignment="1">
      <alignment horizontal="center" vertical="center"/>
    </xf>
    <xf numFmtId="165" fontId="3" fillId="3" borderId="13" xfId="0" applyNumberFormat="1" applyFont="1" applyFill="1" applyBorder="1" applyAlignment="1">
      <alignment horizontal="center" vertical="center"/>
    </xf>
    <xf numFmtId="165" fontId="3" fillId="3" borderId="0" xfId="0" applyNumberFormat="1" applyFont="1" applyFill="1" applyAlignment="1">
      <alignment horizontal="center" vertical="center"/>
    </xf>
    <xf numFmtId="165" fontId="4" fillId="3" borderId="16" xfId="0" applyNumberFormat="1" applyFont="1" applyFill="1" applyBorder="1" applyAlignment="1">
      <alignment horizontal="center" vertical="center"/>
    </xf>
    <xf numFmtId="165" fontId="3" fillId="3" borderId="16" xfId="0" applyNumberFormat="1" applyFont="1" applyFill="1" applyBorder="1" applyAlignment="1">
      <alignment horizontal="center" vertical="center"/>
    </xf>
    <xf numFmtId="9" fontId="3" fillId="4" borderId="0" xfId="2" applyFont="1" applyFill="1" applyBorder="1" applyAlignment="1">
      <alignment horizontal="center" vertical="center"/>
    </xf>
    <xf numFmtId="165" fontId="3" fillId="3" borderId="14" xfId="0" applyNumberFormat="1" applyFont="1" applyFill="1" applyBorder="1" applyAlignment="1">
      <alignment horizontal="center" vertical="center"/>
    </xf>
    <xf numFmtId="9" fontId="3" fillId="4" borderId="8" xfId="2" applyFont="1" applyFill="1" applyBorder="1" applyAlignment="1">
      <alignment horizontal="center" vertical="center"/>
    </xf>
    <xf numFmtId="165" fontId="3" fillId="3" borderId="15"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165" fontId="18" fillId="4" borderId="8" xfId="0" applyNumberFormat="1" applyFont="1" applyFill="1" applyBorder="1" applyAlignment="1">
      <alignment horizontal="right" vertical="center" wrapText="1"/>
    </xf>
    <xf numFmtId="165" fontId="18" fillId="3" borderId="8" xfId="0" applyNumberFormat="1" applyFont="1" applyFill="1" applyBorder="1" applyAlignment="1">
      <alignment horizontal="right" vertical="center" wrapText="1"/>
    </xf>
    <xf numFmtId="165" fontId="3" fillId="4" borderId="0" xfId="0" applyNumberFormat="1" applyFont="1" applyFill="1" applyAlignment="1">
      <alignment horizontal="right" vertical="center"/>
    </xf>
    <xf numFmtId="165" fontId="3" fillId="3" borderId="0" xfId="0" applyNumberFormat="1" applyFont="1" applyFill="1" applyAlignment="1">
      <alignment horizontal="right" vertical="center"/>
    </xf>
    <xf numFmtId="165" fontId="3" fillId="4" borderId="8" xfId="0" applyNumberFormat="1" applyFont="1" applyFill="1" applyBorder="1" applyAlignment="1">
      <alignment horizontal="right" vertical="center"/>
    </xf>
    <xf numFmtId="165" fontId="3" fillId="3" borderId="8" xfId="0" applyNumberFormat="1" applyFont="1" applyFill="1" applyBorder="1" applyAlignment="1">
      <alignment horizontal="right" vertical="center"/>
    </xf>
    <xf numFmtId="0" fontId="17" fillId="3" borderId="0" xfId="0" applyFont="1" applyFill="1" applyAlignment="1">
      <alignment horizontal="center"/>
    </xf>
    <xf numFmtId="0" fontId="3" fillId="0" borderId="0" xfId="0" applyFont="1" applyAlignment="1">
      <alignment horizontal="center"/>
    </xf>
    <xf numFmtId="0" fontId="17" fillId="4" borderId="19" xfId="0" applyFont="1" applyFill="1" applyBorder="1" applyAlignment="1" applyProtection="1">
      <alignment horizontal="left" vertical="center"/>
      <protection locked="0"/>
    </xf>
    <xf numFmtId="0" fontId="17" fillId="7" borderId="21" xfId="0" applyFont="1" applyFill="1" applyBorder="1" applyAlignment="1" applyProtection="1">
      <alignment horizontal="left" vertical="center"/>
      <protection locked="0"/>
    </xf>
    <xf numFmtId="0" fontId="18" fillId="2" borderId="14" xfId="0" applyFont="1" applyFill="1" applyBorder="1" applyAlignment="1">
      <alignment horizontal="left" vertical="center" wrapText="1"/>
    </xf>
    <xf numFmtId="0" fontId="17" fillId="2" borderId="18" xfId="0" applyFont="1" applyFill="1" applyBorder="1" applyAlignment="1">
      <alignment horizontal="left" vertical="center" wrapText="1"/>
    </xf>
    <xf numFmtId="165" fontId="18" fillId="4" borderId="15" xfId="0" applyNumberFormat="1" applyFont="1" applyFill="1" applyBorder="1" applyAlignment="1">
      <alignment horizontal="right" vertical="center" wrapText="1"/>
    </xf>
    <xf numFmtId="167" fontId="3" fillId="3" borderId="12" xfId="2" applyNumberFormat="1" applyFont="1" applyFill="1" applyBorder="1" applyAlignment="1">
      <alignment horizontal="center" vertical="center"/>
    </xf>
    <xf numFmtId="167" fontId="3" fillId="3" borderId="14" xfId="2" applyNumberFormat="1" applyFont="1" applyFill="1" applyBorder="1" applyAlignment="1">
      <alignment horizontal="center" vertical="center"/>
    </xf>
    <xf numFmtId="167" fontId="18" fillId="3" borderId="14" xfId="2" applyNumberFormat="1" applyFont="1" applyFill="1" applyBorder="1" applyAlignment="1">
      <alignment horizontal="center" vertical="center" wrapText="1"/>
    </xf>
    <xf numFmtId="165" fontId="18" fillId="3" borderId="15" xfId="0" applyNumberFormat="1" applyFont="1" applyFill="1" applyBorder="1" applyAlignment="1">
      <alignment horizontal="right" vertical="center" wrapText="1"/>
    </xf>
    <xf numFmtId="0" fontId="3" fillId="3" borderId="0" xfId="0" applyFont="1" applyFill="1" applyAlignment="1">
      <alignment horizontal="center" vertical="center"/>
    </xf>
    <xf numFmtId="168" fontId="3" fillId="3" borderId="0" xfId="0" applyNumberFormat="1" applyFont="1" applyFill="1" applyAlignment="1">
      <alignment horizontal="center" vertical="center"/>
    </xf>
    <xf numFmtId="165" fontId="3" fillId="3" borderId="13" xfId="0" applyNumberFormat="1" applyFont="1" applyFill="1" applyBorder="1" applyAlignment="1">
      <alignment horizontal="right" vertical="center"/>
    </xf>
    <xf numFmtId="0" fontId="3" fillId="3" borderId="8" xfId="0" applyFont="1" applyFill="1" applyBorder="1" applyAlignment="1">
      <alignment horizontal="center" vertical="center"/>
    </xf>
    <xf numFmtId="168" fontId="3" fillId="3" borderId="8" xfId="0" applyNumberFormat="1" applyFont="1" applyFill="1" applyBorder="1" applyAlignment="1">
      <alignment horizontal="center" vertical="center"/>
    </xf>
    <xf numFmtId="165" fontId="3" fillId="3" borderId="15" xfId="0" applyNumberFormat="1" applyFont="1" applyFill="1" applyBorder="1" applyAlignment="1">
      <alignment horizontal="right" vertical="center"/>
    </xf>
    <xf numFmtId="0" fontId="17" fillId="8" borderId="17" xfId="0" applyFont="1" applyFill="1" applyBorder="1"/>
    <xf numFmtId="0" fontId="17" fillId="2" borderId="22"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6" fillId="0" borderId="8" xfId="0" applyFont="1" applyBorder="1" applyAlignment="1">
      <alignment horizontal="center"/>
    </xf>
    <xf numFmtId="0" fontId="25" fillId="9" borderId="0" xfId="0" applyFont="1" applyFill="1" applyAlignment="1">
      <alignment horizontal="right" vertical="center" wrapText="1"/>
    </xf>
    <xf numFmtId="0" fontId="12" fillId="7" borderId="5" xfId="0" applyFont="1" applyFill="1" applyBorder="1" applyAlignment="1">
      <alignment horizontal="left" vertical="top"/>
    </xf>
    <xf numFmtId="0" fontId="11" fillId="9" borderId="0" xfId="0" applyFont="1" applyFill="1" applyAlignment="1">
      <alignment horizontal="right"/>
    </xf>
    <xf numFmtId="0" fontId="12" fillId="11" borderId="5" xfId="0" applyFont="1" applyFill="1" applyBorder="1" applyAlignment="1">
      <alignment vertical="top"/>
    </xf>
    <xf numFmtId="0" fontId="12" fillId="11" borderId="5" xfId="1" applyNumberFormat="1" applyFont="1" applyFill="1" applyBorder="1" applyAlignment="1">
      <alignment horizontal="left" vertical="top"/>
    </xf>
    <xf numFmtId="44" fontId="12" fillId="11" borderId="5" xfId="1" applyFont="1" applyFill="1" applyBorder="1" applyAlignment="1">
      <alignment horizontal="left" vertical="top"/>
    </xf>
    <xf numFmtId="0" fontId="26" fillId="9" borderId="5" xfId="0" applyFont="1" applyFill="1" applyBorder="1" applyAlignment="1">
      <alignment horizontal="left" vertical="top"/>
    </xf>
    <xf numFmtId="0" fontId="20" fillId="11" borderId="17" xfId="0" applyFont="1" applyFill="1" applyBorder="1" applyAlignment="1">
      <alignment vertical="center"/>
    </xf>
    <xf numFmtId="0" fontId="20" fillId="11" borderId="17" xfId="0" applyFont="1" applyFill="1" applyBorder="1" applyAlignment="1">
      <alignment horizontal="center" vertical="center"/>
    </xf>
    <xf numFmtId="0" fontId="20" fillId="11" borderId="17" xfId="0" applyFont="1" applyFill="1" applyBorder="1" applyAlignment="1">
      <alignment horizontal="right" vertical="center" wrapText="1"/>
    </xf>
    <xf numFmtId="0" fontId="20" fillId="11" borderId="17" xfId="0" applyFont="1" applyFill="1" applyBorder="1" applyAlignment="1">
      <alignment horizontal="center" vertical="center" wrapText="1"/>
    </xf>
    <xf numFmtId="0" fontId="21" fillId="9" borderId="17" xfId="0" applyFont="1" applyFill="1" applyBorder="1" applyAlignment="1">
      <alignment horizontal="left" vertical="center"/>
    </xf>
    <xf numFmtId="0" fontId="6" fillId="0" borderId="0" xfId="0" applyFont="1" applyAlignment="1">
      <alignment horizontal="left" vertical="center"/>
    </xf>
    <xf numFmtId="167" fontId="6" fillId="3" borderId="8" xfId="2" applyNumberFormat="1" applyFont="1" applyFill="1" applyBorder="1" applyAlignment="1">
      <alignment horizontal="center"/>
    </xf>
    <xf numFmtId="0" fontId="20" fillId="2" borderId="17" xfId="0" applyFont="1" applyFill="1" applyBorder="1" applyAlignment="1">
      <alignment horizontal="center" vertical="center" wrapText="1"/>
    </xf>
    <xf numFmtId="0" fontId="20" fillId="11" borderId="17" xfId="0" applyFont="1" applyFill="1" applyBorder="1" applyAlignment="1">
      <alignment vertical="center" wrapText="1"/>
    </xf>
    <xf numFmtId="0" fontId="17" fillId="4" borderId="12" xfId="0" applyFont="1" applyFill="1" applyBorder="1" applyAlignment="1" applyProtection="1">
      <alignment vertical="center"/>
      <protection locked="0"/>
    </xf>
    <xf numFmtId="0" fontId="7" fillId="4" borderId="0" xfId="0" applyFont="1" applyFill="1"/>
    <xf numFmtId="0" fontId="20" fillId="2" borderId="5" xfId="0" applyFont="1" applyFill="1" applyBorder="1" applyAlignment="1">
      <alignment vertical="center"/>
    </xf>
    <xf numFmtId="0" fontId="9" fillId="0" borderId="0" xfId="0" applyFont="1" applyAlignment="1">
      <alignment vertical="center"/>
    </xf>
    <xf numFmtId="0" fontId="6" fillId="0" borderId="0" xfId="0" applyFont="1" applyAlignment="1">
      <alignment vertical="center"/>
    </xf>
    <xf numFmtId="0" fontId="8" fillId="0" borderId="24" xfId="0" applyFont="1" applyBorder="1" applyAlignment="1">
      <alignment vertical="center"/>
    </xf>
    <xf numFmtId="166" fontId="8" fillId="0" borderId="24" xfId="0" applyNumberFormat="1" applyFont="1" applyBorder="1" applyAlignment="1">
      <alignment horizontal="center" vertical="center"/>
    </xf>
    <xf numFmtId="165" fontId="8" fillId="0" borderId="24" xfId="0" applyNumberFormat="1" applyFont="1" applyBorder="1" applyAlignment="1">
      <alignment vertical="center"/>
    </xf>
    <xf numFmtId="167" fontId="8" fillId="3" borderId="24" xfId="2" applyNumberFormat="1" applyFont="1" applyFill="1" applyBorder="1" applyAlignment="1">
      <alignment horizontal="center" vertical="center"/>
    </xf>
    <xf numFmtId="164" fontId="18" fillId="11" borderId="0" xfId="0" applyNumberFormat="1" applyFont="1" applyFill="1" applyAlignment="1" applyProtection="1">
      <alignment horizontal="left" vertical="center"/>
      <protection locked="0"/>
    </xf>
    <xf numFmtId="167" fontId="18" fillId="3" borderId="8" xfId="2" applyNumberFormat="1" applyFont="1" applyFill="1" applyBorder="1" applyAlignment="1">
      <alignment horizontal="center" vertical="center" wrapText="1"/>
    </xf>
    <xf numFmtId="0" fontId="19" fillId="4" borderId="5" xfId="0" applyFont="1" applyFill="1" applyBorder="1" applyAlignment="1">
      <alignment horizontal="center" vertical="center" wrapText="1"/>
    </xf>
    <xf numFmtId="166" fontId="17" fillId="4" borderId="5" xfId="0" applyNumberFormat="1" applyFont="1" applyFill="1" applyBorder="1" applyAlignment="1" applyProtection="1">
      <alignment horizontal="center" vertical="center"/>
      <protection locked="0"/>
    </xf>
    <xf numFmtId="166" fontId="17" fillId="4" borderId="5" xfId="0" applyNumberFormat="1" applyFont="1" applyFill="1" applyBorder="1" applyAlignment="1">
      <alignment horizontal="center" vertical="center"/>
    </xf>
    <xf numFmtId="9" fontId="17" fillId="8" borderId="5" xfId="2" applyFont="1" applyFill="1" applyBorder="1" applyAlignment="1">
      <alignment horizontal="center" vertical="center"/>
    </xf>
    <xf numFmtId="0" fontId="19" fillId="3" borderId="6" xfId="0" applyFont="1" applyFill="1" applyBorder="1" applyAlignment="1">
      <alignment horizontal="left" vertical="center"/>
    </xf>
    <xf numFmtId="0" fontId="17" fillId="3" borderId="6" xfId="0" applyFont="1" applyFill="1" applyBorder="1"/>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5" fillId="3" borderId="1" xfId="0" applyFont="1" applyFill="1" applyBorder="1" applyAlignment="1">
      <alignment horizontal="right" vertical="top"/>
    </xf>
    <xf numFmtId="165" fontId="16" fillId="11" borderId="1" xfId="0" applyNumberFormat="1" applyFont="1" applyFill="1" applyBorder="1" applyAlignment="1">
      <alignment horizontal="right" vertical="top"/>
    </xf>
    <xf numFmtId="165" fontId="16" fillId="11" borderId="1" xfId="0" applyNumberFormat="1" applyFont="1" applyFill="1" applyBorder="1" applyAlignment="1">
      <alignment horizontal="right" vertical="top" wrapText="1"/>
    </xf>
    <xf numFmtId="0" fontId="16" fillId="11" borderId="1" xfId="0" applyFont="1" applyFill="1" applyBorder="1" applyAlignment="1">
      <alignment horizontal="right" vertical="top"/>
    </xf>
    <xf numFmtId="0" fontId="16" fillId="7" borderId="1" xfId="0" applyFont="1" applyFill="1" applyBorder="1" applyAlignment="1">
      <alignment horizontal="left" vertical="top"/>
    </xf>
    <xf numFmtId="0" fontId="16" fillId="4" borderId="1" xfId="0" applyFont="1" applyFill="1" applyBorder="1" applyAlignment="1">
      <alignment horizontal="left" vertical="top" wrapText="1"/>
    </xf>
    <xf numFmtId="7" fontId="16" fillId="0" borderId="1" xfId="0" applyNumberFormat="1" applyFont="1" applyBorder="1" applyAlignment="1">
      <alignment horizontal="left" vertical="top" wrapText="1"/>
    </xf>
    <xf numFmtId="0" fontId="18" fillId="2" borderId="12" xfId="0" applyFont="1" applyFill="1" applyBorder="1" applyAlignment="1">
      <alignment horizontal="left" vertical="center" wrapText="1"/>
    </xf>
    <xf numFmtId="0" fontId="17" fillId="2" borderId="25" xfId="0" applyFont="1" applyFill="1" applyBorder="1" applyAlignment="1">
      <alignment horizontal="left" vertical="center" wrapText="1"/>
    </xf>
    <xf numFmtId="0" fontId="17" fillId="7" borderId="26" xfId="0" applyFont="1" applyFill="1" applyBorder="1" applyAlignment="1" applyProtection="1">
      <alignment horizontal="left" vertical="center"/>
      <protection locked="0"/>
    </xf>
    <xf numFmtId="0" fontId="17" fillId="4" borderId="26" xfId="0" applyFont="1" applyFill="1" applyBorder="1" applyAlignment="1" applyProtection="1">
      <alignment horizontal="left" vertical="center"/>
      <protection locked="0"/>
    </xf>
    <xf numFmtId="0" fontId="18" fillId="3" borderId="12"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3" xfId="0" applyFont="1" applyFill="1" applyBorder="1" applyAlignment="1">
      <alignment horizontal="center" vertical="center" wrapText="1"/>
    </xf>
    <xf numFmtId="0" fontId="18" fillId="3" borderId="16" xfId="0" applyFont="1" applyFill="1" applyBorder="1" applyAlignment="1">
      <alignment horizontal="center" vertical="center" wrapText="1"/>
    </xf>
    <xf numFmtId="165" fontId="18" fillId="3" borderId="0" xfId="0" applyNumberFormat="1" applyFont="1" applyFill="1" applyAlignment="1">
      <alignment horizontal="center" vertical="center" wrapText="1"/>
    </xf>
    <xf numFmtId="0" fontId="18" fillId="8" borderId="16" xfId="0" applyFont="1" applyFill="1" applyBorder="1" applyAlignment="1">
      <alignment horizontal="center" vertical="center" wrapText="1"/>
    </xf>
    <xf numFmtId="165" fontId="18" fillId="3" borderId="13" xfId="0" applyNumberFormat="1" applyFont="1" applyFill="1" applyBorder="1" applyAlignment="1">
      <alignment horizontal="center" vertical="center" wrapText="1"/>
    </xf>
    <xf numFmtId="167" fontId="18" fillId="4" borderId="12" xfId="2" applyNumberFormat="1" applyFont="1" applyFill="1" applyBorder="1" applyAlignment="1">
      <alignment horizontal="center" vertical="center" wrapText="1"/>
    </xf>
    <xf numFmtId="165" fontId="18" fillId="4" borderId="13" xfId="0" applyNumberFormat="1" applyFont="1" applyFill="1" applyBorder="1" applyAlignment="1">
      <alignment horizontal="right" vertical="center" wrapText="1"/>
    </xf>
    <xf numFmtId="165" fontId="18" fillId="4" borderId="0" xfId="0" applyNumberFormat="1" applyFont="1" applyFill="1" applyAlignment="1">
      <alignment horizontal="right" vertical="center" wrapText="1"/>
    </xf>
    <xf numFmtId="165" fontId="18" fillId="3" borderId="0" xfId="0" applyNumberFormat="1" applyFont="1" applyFill="1" applyAlignment="1">
      <alignment horizontal="right" vertical="center" wrapText="1"/>
    </xf>
    <xf numFmtId="167" fontId="18" fillId="3" borderId="13" xfId="2" applyNumberFormat="1" applyFont="1" applyFill="1" applyBorder="1" applyAlignment="1">
      <alignment horizontal="center" vertical="center" wrapText="1"/>
    </xf>
    <xf numFmtId="0" fontId="3" fillId="0" borderId="28" xfId="0" applyFont="1" applyBorder="1"/>
    <xf numFmtId="0" fontId="3" fillId="0" borderId="29" xfId="0" applyFont="1" applyBorder="1"/>
    <xf numFmtId="165" fontId="3" fillId="3" borderId="30" xfId="0" applyNumberFormat="1" applyFont="1" applyFill="1" applyBorder="1" applyAlignment="1">
      <alignment horizontal="center" vertical="center"/>
    </xf>
    <xf numFmtId="167" fontId="3" fillId="4" borderId="28" xfId="2" applyNumberFormat="1" applyFont="1" applyFill="1" applyBorder="1" applyAlignment="1">
      <alignment horizontal="center" vertical="center"/>
    </xf>
    <xf numFmtId="165" fontId="3" fillId="3" borderId="29" xfId="0" applyNumberFormat="1" applyFont="1" applyFill="1" applyBorder="1" applyAlignment="1">
      <alignment horizontal="center" vertical="center"/>
    </xf>
    <xf numFmtId="165" fontId="3" fillId="3" borderId="28" xfId="0" applyNumberFormat="1" applyFont="1" applyFill="1" applyBorder="1" applyAlignment="1">
      <alignment horizontal="center" vertical="center"/>
    </xf>
    <xf numFmtId="165" fontId="4" fillId="3" borderId="31" xfId="0" applyNumberFormat="1" applyFont="1" applyFill="1" applyBorder="1" applyAlignment="1">
      <alignment horizontal="center" vertical="center"/>
    </xf>
    <xf numFmtId="0" fontId="3" fillId="3" borderId="30" xfId="0" applyFont="1" applyFill="1" applyBorder="1"/>
    <xf numFmtId="165" fontId="3" fillId="3" borderId="28" xfId="0" applyNumberFormat="1" applyFont="1" applyFill="1" applyBorder="1"/>
    <xf numFmtId="0" fontId="3" fillId="8" borderId="31" xfId="0" applyFont="1" applyFill="1" applyBorder="1"/>
    <xf numFmtId="165" fontId="3" fillId="3" borderId="29" xfId="0" applyNumberFormat="1" applyFont="1" applyFill="1" applyBorder="1"/>
    <xf numFmtId="167" fontId="3" fillId="3" borderId="30" xfId="2" applyNumberFormat="1" applyFont="1" applyFill="1" applyBorder="1" applyAlignment="1">
      <alignment horizontal="center" vertical="center"/>
    </xf>
    <xf numFmtId="0" fontId="3" fillId="3" borderId="28" xfId="0" applyFont="1" applyFill="1" applyBorder="1" applyAlignment="1">
      <alignment horizontal="center" vertical="center"/>
    </xf>
    <xf numFmtId="168" fontId="3" fillId="3" borderId="28" xfId="0" applyNumberFormat="1" applyFont="1" applyFill="1" applyBorder="1" applyAlignment="1">
      <alignment horizontal="center" vertical="center"/>
    </xf>
    <xf numFmtId="165" fontId="3" fillId="3" borderId="29" xfId="0" applyNumberFormat="1" applyFont="1" applyFill="1" applyBorder="1" applyAlignment="1">
      <alignment horizontal="right" vertical="center"/>
    </xf>
    <xf numFmtId="165" fontId="3" fillId="4" borderId="28" xfId="0" applyNumberFormat="1" applyFont="1" applyFill="1" applyBorder="1" applyAlignment="1">
      <alignment horizontal="right" vertical="center"/>
    </xf>
    <xf numFmtId="165" fontId="3" fillId="3" borderId="28" xfId="0" applyNumberFormat="1" applyFont="1" applyFill="1" applyBorder="1" applyAlignment="1">
      <alignment horizontal="right" vertical="center"/>
    </xf>
    <xf numFmtId="167" fontId="3" fillId="3" borderId="29" xfId="2" applyNumberFormat="1" applyFont="1" applyFill="1" applyBorder="1" applyAlignment="1">
      <alignment horizontal="center" vertical="center"/>
    </xf>
    <xf numFmtId="9" fontId="3" fillId="0" borderId="28" xfId="2" applyFont="1" applyBorder="1" applyAlignment="1">
      <alignment horizontal="center" vertical="center"/>
    </xf>
    <xf numFmtId="9" fontId="3" fillId="0" borderId="32" xfId="2" applyFont="1" applyBorder="1" applyAlignment="1">
      <alignment horizontal="center" vertical="center"/>
    </xf>
    <xf numFmtId="0" fontId="3" fillId="0" borderId="33" xfId="0" applyFont="1" applyBorder="1"/>
    <xf numFmtId="9" fontId="3" fillId="0" borderId="0" xfId="2" applyFont="1" applyBorder="1" applyAlignment="1">
      <alignment horizontal="center" vertical="center"/>
    </xf>
    <xf numFmtId="9" fontId="3" fillId="0" borderId="34" xfId="2" applyFont="1" applyBorder="1" applyAlignment="1">
      <alignment horizontal="center" vertical="center"/>
    </xf>
    <xf numFmtId="0" fontId="3" fillId="0" borderId="35" xfId="0" applyFont="1" applyBorder="1"/>
    <xf numFmtId="0" fontId="3" fillId="0" borderId="36" xfId="0" applyFont="1" applyBorder="1"/>
    <xf numFmtId="165" fontId="3" fillId="3" borderId="37" xfId="0" applyNumberFormat="1" applyFont="1" applyFill="1" applyBorder="1" applyAlignment="1">
      <alignment horizontal="center" vertical="center"/>
    </xf>
    <xf numFmtId="167" fontId="3" fillId="4" borderId="36" xfId="2" applyNumberFormat="1" applyFont="1" applyFill="1" applyBorder="1" applyAlignment="1">
      <alignment horizontal="center" vertical="center"/>
    </xf>
    <xf numFmtId="165" fontId="3" fillId="3" borderId="38" xfId="0" applyNumberFormat="1" applyFont="1" applyFill="1" applyBorder="1" applyAlignment="1">
      <alignment horizontal="center" vertical="center"/>
    </xf>
    <xf numFmtId="165" fontId="3" fillId="3" borderId="36" xfId="0" applyNumberFormat="1" applyFont="1" applyFill="1" applyBorder="1" applyAlignment="1">
      <alignment horizontal="center" vertical="center"/>
    </xf>
    <xf numFmtId="165" fontId="3" fillId="3" borderId="39" xfId="0" applyNumberFormat="1" applyFont="1" applyFill="1" applyBorder="1" applyAlignment="1">
      <alignment horizontal="center" vertical="center"/>
    </xf>
    <xf numFmtId="0" fontId="3" fillId="3" borderId="37" xfId="0" applyFont="1" applyFill="1" applyBorder="1"/>
    <xf numFmtId="165" fontId="3" fillId="3" borderId="36" xfId="0" applyNumberFormat="1" applyFont="1" applyFill="1" applyBorder="1"/>
    <xf numFmtId="0" fontId="3" fillId="8" borderId="39" xfId="0" applyFont="1" applyFill="1" applyBorder="1"/>
    <xf numFmtId="165" fontId="3" fillId="3" borderId="38" xfId="0" applyNumberFormat="1" applyFont="1" applyFill="1" applyBorder="1"/>
    <xf numFmtId="167" fontId="3" fillId="3" borderId="37" xfId="2" applyNumberFormat="1" applyFont="1" applyFill="1" applyBorder="1" applyAlignment="1">
      <alignment horizontal="center" vertical="center"/>
    </xf>
    <xf numFmtId="0" fontId="3" fillId="3" borderId="36" xfId="0" applyFont="1" applyFill="1" applyBorder="1" applyAlignment="1">
      <alignment horizontal="center" vertical="center"/>
    </xf>
    <xf numFmtId="168" fontId="3" fillId="3" borderId="36" xfId="0" applyNumberFormat="1" applyFont="1" applyFill="1" applyBorder="1" applyAlignment="1">
      <alignment horizontal="center" vertical="center"/>
    </xf>
    <xf numFmtId="165" fontId="3" fillId="3" borderId="38" xfId="0" applyNumberFormat="1" applyFont="1" applyFill="1" applyBorder="1" applyAlignment="1">
      <alignment horizontal="right" vertical="center"/>
    </xf>
    <xf numFmtId="165" fontId="3" fillId="4" borderId="36" xfId="0" applyNumberFormat="1" applyFont="1" applyFill="1" applyBorder="1" applyAlignment="1">
      <alignment horizontal="right" vertical="center"/>
    </xf>
    <xf numFmtId="165" fontId="3" fillId="3" borderId="36" xfId="0" applyNumberFormat="1" applyFont="1" applyFill="1" applyBorder="1" applyAlignment="1">
      <alignment horizontal="right" vertical="center"/>
    </xf>
    <xf numFmtId="167" fontId="3" fillId="3" borderId="38" xfId="2" applyNumberFormat="1" applyFont="1" applyFill="1" applyBorder="1" applyAlignment="1">
      <alignment horizontal="center" vertical="center"/>
    </xf>
    <xf numFmtId="9" fontId="3" fillId="0" borderId="36" xfId="2" applyFont="1" applyBorder="1" applyAlignment="1">
      <alignment horizontal="center" vertical="center"/>
    </xf>
    <xf numFmtId="9" fontId="3" fillId="0" borderId="40" xfId="2" applyFont="1" applyBorder="1" applyAlignment="1">
      <alignment horizontal="center" vertical="center"/>
    </xf>
    <xf numFmtId="0" fontId="3" fillId="0" borderId="38" xfId="0" applyFont="1" applyBorder="1"/>
    <xf numFmtId="165" fontId="3" fillId="3" borderId="31" xfId="0" applyNumberFormat="1" applyFont="1" applyFill="1" applyBorder="1" applyAlignment="1">
      <alignment horizontal="center" vertical="center"/>
    </xf>
    <xf numFmtId="0" fontId="4" fillId="0" borderId="27" xfId="0" applyFont="1" applyBorder="1"/>
    <xf numFmtId="0" fontId="0" fillId="0" borderId="0" xfId="0" applyAlignment="1">
      <alignment horizontal="center"/>
    </xf>
    <xf numFmtId="0" fontId="17" fillId="3" borderId="18" xfId="0" applyFont="1" applyFill="1" applyBorder="1" applyAlignment="1">
      <alignment horizontal="left" vertical="center" wrapText="1"/>
    </xf>
    <xf numFmtId="0" fontId="17" fillId="3" borderId="20" xfId="0" applyFont="1" applyFill="1" applyBorder="1" applyAlignment="1">
      <alignment horizontal="left" vertical="center" wrapText="1"/>
    </xf>
    <xf numFmtId="165" fontId="6" fillId="0" borderId="8" xfId="0" applyNumberFormat="1" applyFont="1" applyBorder="1" applyAlignment="1">
      <alignment horizontal="center"/>
    </xf>
    <xf numFmtId="0" fontId="8" fillId="0" borderId="24" xfId="0" applyFont="1" applyBorder="1" applyAlignment="1">
      <alignment horizontal="center" vertical="center"/>
    </xf>
    <xf numFmtId="164" fontId="11" fillId="12" borderId="5" xfId="0" applyNumberFormat="1" applyFont="1" applyFill="1" applyBorder="1" applyAlignment="1">
      <alignment horizontal="left" vertical="top"/>
    </xf>
    <xf numFmtId="166" fontId="17" fillId="13" borderId="5" xfId="0" applyNumberFormat="1" applyFont="1" applyFill="1" applyBorder="1" applyAlignment="1" applyProtection="1">
      <alignment horizontal="center" vertical="center"/>
      <protection locked="0"/>
    </xf>
    <xf numFmtId="0" fontId="17" fillId="4" borderId="21" xfId="0" applyFont="1" applyFill="1" applyBorder="1" applyAlignment="1" applyProtection="1">
      <alignment horizontal="left" vertical="center" wrapText="1"/>
      <protection locked="0"/>
    </xf>
    <xf numFmtId="0" fontId="0" fillId="4" borderId="0" xfId="0" applyFill="1"/>
    <xf numFmtId="0" fontId="0" fillId="14" borderId="0" xfId="0" applyFill="1"/>
    <xf numFmtId="0" fontId="0" fillId="7" borderId="0" xfId="0" applyFill="1"/>
    <xf numFmtId="0" fontId="0" fillId="15" borderId="0" xfId="0" applyFill="1"/>
    <xf numFmtId="0" fontId="19" fillId="4" borderId="6" xfId="0" applyFont="1" applyFill="1" applyBorder="1" applyAlignment="1">
      <alignment horizontal="left" vertical="center"/>
    </xf>
    <xf numFmtId="0" fontId="17" fillId="4" borderId="6" xfId="0" applyFont="1" applyFill="1" applyBorder="1"/>
    <xf numFmtId="0" fontId="0" fillId="3" borderId="0" xfId="0" applyFill="1"/>
    <xf numFmtId="0" fontId="17" fillId="14" borderId="0" xfId="0" applyFont="1" applyFill="1"/>
    <xf numFmtId="0" fontId="17" fillId="16" borderId="0" xfId="0" applyFont="1" applyFill="1"/>
    <xf numFmtId="9" fontId="3" fillId="0" borderId="0" xfId="2" applyFont="1" applyFill="1" applyAlignment="1">
      <alignment horizontal="center" vertical="center"/>
    </xf>
    <xf numFmtId="15" fontId="2" fillId="0" borderId="0" xfId="0" applyNumberFormat="1" applyFont="1"/>
    <xf numFmtId="0" fontId="0" fillId="12" borderId="0" xfId="0" applyFill="1"/>
    <xf numFmtId="0" fontId="12" fillId="4" borderId="5" xfId="0" applyFont="1" applyFill="1" applyBorder="1" applyAlignment="1">
      <alignment vertical="top" wrapText="1"/>
    </xf>
    <xf numFmtId="0" fontId="30" fillId="0" borderId="41" xfId="0" applyFont="1" applyBorder="1" applyAlignment="1">
      <alignment horizontal="center" vertical="center" wrapText="1"/>
    </xf>
    <xf numFmtId="0" fontId="31" fillId="0" borderId="42" xfId="0" applyFont="1" applyBorder="1" applyAlignment="1">
      <alignment horizontal="center" vertical="center" wrapText="1"/>
    </xf>
    <xf numFmtId="169" fontId="6" fillId="0" borderId="0" xfId="0" applyNumberFormat="1" applyFont="1"/>
    <xf numFmtId="166" fontId="6" fillId="0" borderId="0" xfId="0" applyNumberFormat="1" applyFont="1" applyAlignment="1">
      <alignment horizontal="center"/>
    </xf>
    <xf numFmtId="0" fontId="6" fillId="0" borderId="0" xfId="0" applyFont="1" applyAlignment="1">
      <alignment horizontal="center"/>
    </xf>
    <xf numFmtId="165" fontId="6" fillId="0" borderId="0" xfId="0" applyNumberFormat="1" applyFont="1"/>
    <xf numFmtId="167" fontId="6" fillId="3" borderId="0" xfId="2" applyNumberFormat="1" applyFont="1" applyFill="1" applyBorder="1" applyAlignment="1">
      <alignment horizontal="center"/>
    </xf>
    <xf numFmtId="165" fontId="6" fillId="0" borderId="0" xfId="0" applyNumberFormat="1" applyFont="1" applyAlignment="1">
      <alignment horizontal="center"/>
    </xf>
    <xf numFmtId="169" fontId="6" fillId="0" borderId="8" xfId="4" applyNumberFormat="1" applyFont="1" applyBorder="1"/>
    <xf numFmtId="9" fontId="6" fillId="13" borderId="8" xfId="2" applyFont="1" applyFill="1" applyBorder="1"/>
    <xf numFmtId="169" fontId="6" fillId="0" borderId="0" xfId="4" applyNumberFormat="1" applyFont="1" applyBorder="1"/>
    <xf numFmtId="9" fontId="6" fillId="13" borderId="0" xfId="2" applyFont="1" applyFill="1" applyBorder="1"/>
    <xf numFmtId="169" fontId="8" fillId="0" borderId="24" xfId="4" applyNumberFormat="1" applyFont="1" applyBorder="1" applyAlignment="1">
      <alignment vertical="center"/>
    </xf>
    <xf numFmtId="9" fontId="8" fillId="0" borderId="24" xfId="2" applyFont="1" applyBorder="1" applyAlignment="1">
      <alignment vertical="center"/>
    </xf>
    <xf numFmtId="166" fontId="6" fillId="13" borderId="8" xfId="0" applyNumberFormat="1" applyFont="1" applyFill="1" applyBorder="1" applyAlignment="1">
      <alignment horizontal="center"/>
    </xf>
    <xf numFmtId="0" fontId="17" fillId="0" borderId="0" xfId="0" applyFont="1" applyAlignment="1">
      <alignment vertical="top"/>
    </xf>
    <xf numFmtId="0" fontId="25" fillId="9" borderId="0" xfId="0" applyFont="1" applyFill="1" applyAlignment="1">
      <alignment horizontal="right" vertical="top" wrapText="1"/>
    </xf>
    <xf numFmtId="164" fontId="18" fillId="11" borderId="0" xfId="0" applyNumberFormat="1" applyFont="1" applyFill="1" applyAlignment="1" applyProtection="1">
      <alignment horizontal="left" vertical="top"/>
      <protection locked="0"/>
    </xf>
    <xf numFmtId="0" fontId="17" fillId="3" borderId="0" xfId="0" applyFont="1" applyFill="1" applyAlignment="1">
      <alignment vertical="top"/>
    </xf>
    <xf numFmtId="0" fontId="17" fillId="3" borderId="0" xfId="0" applyFont="1" applyFill="1" applyAlignment="1">
      <alignment horizontal="center" vertical="top"/>
    </xf>
    <xf numFmtId="165" fontId="17" fillId="3" borderId="0" xfId="0" applyNumberFormat="1" applyFont="1" applyFill="1" applyAlignment="1">
      <alignment vertical="top"/>
    </xf>
    <xf numFmtId="0" fontId="19" fillId="4" borderId="6" xfId="0" applyFont="1" applyFill="1" applyBorder="1" applyAlignment="1">
      <alignment horizontal="left" vertical="top"/>
    </xf>
    <xf numFmtId="0" fontId="17" fillId="4" borderId="6" xfId="0" applyFont="1" applyFill="1" applyBorder="1" applyAlignment="1">
      <alignment vertical="top"/>
    </xf>
    <xf numFmtId="0" fontId="17" fillId="14" borderId="0" xfId="0" applyFont="1" applyFill="1" applyAlignment="1">
      <alignment vertical="top"/>
    </xf>
    <xf numFmtId="0" fontId="17" fillId="16" borderId="0" xfId="0" applyFont="1" applyFill="1" applyAlignment="1">
      <alignment vertical="top"/>
    </xf>
    <xf numFmtId="0" fontId="19" fillId="4" borderId="5" xfId="0" applyFont="1" applyFill="1" applyBorder="1" applyAlignment="1">
      <alignment horizontal="center" vertical="top" wrapText="1"/>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22"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7" fillId="2" borderId="23"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5" borderId="22" xfId="0" applyFont="1" applyFill="1" applyBorder="1" applyAlignment="1">
      <alignment horizontal="center" vertical="top" wrapText="1"/>
    </xf>
    <xf numFmtId="0" fontId="17" fillId="5" borderId="17" xfId="0" applyFont="1" applyFill="1" applyBorder="1" applyAlignment="1">
      <alignment horizontal="center" vertical="top" wrapText="1"/>
    </xf>
    <xf numFmtId="0" fontId="17" fillId="5" borderId="5" xfId="0" applyFont="1" applyFill="1" applyBorder="1" applyAlignment="1">
      <alignment horizontal="center" vertical="top" wrapText="1"/>
    </xf>
    <xf numFmtId="0" fontId="17" fillId="5" borderId="23" xfId="0" applyFont="1" applyFill="1" applyBorder="1" applyAlignment="1">
      <alignment horizontal="center" vertical="top" wrapText="1"/>
    </xf>
    <xf numFmtId="0" fontId="17" fillId="2" borderId="10" xfId="0" applyFont="1" applyFill="1" applyBorder="1" applyAlignment="1">
      <alignment horizontal="center" vertical="top" wrapText="1"/>
    </xf>
    <xf numFmtId="166" fontId="17" fillId="17" borderId="5" xfId="0" applyNumberFormat="1" applyFont="1" applyFill="1" applyBorder="1" applyAlignment="1" applyProtection="1">
      <alignment horizontal="center" vertical="top"/>
      <protection locked="0"/>
    </xf>
    <xf numFmtId="166" fontId="17" fillId="4" borderId="5" xfId="0" applyNumberFormat="1" applyFont="1" applyFill="1" applyBorder="1" applyAlignment="1">
      <alignment horizontal="center" vertical="top"/>
    </xf>
    <xf numFmtId="0" fontId="17" fillId="3" borderId="18" xfId="0" applyFont="1" applyFill="1" applyBorder="1" applyAlignment="1">
      <alignment horizontal="left" vertical="top" wrapText="1"/>
    </xf>
    <xf numFmtId="0" fontId="17" fillId="4" borderId="19" xfId="0" applyFont="1" applyFill="1" applyBorder="1" applyAlignment="1" applyProtection="1">
      <alignment horizontal="left" vertical="top"/>
      <protection locked="0"/>
    </xf>
    <xf numFmtId="0" fontId="18" fillId="3" borderId="14" xfId="0" applyFont="1" applyFill="1" applyBorder="1" applyAlignment="1">
      <alignment horizontal="center" vertical="top" wrapText="1"/>
    </xf>
    <xf numFmtId="0" fontId="18" fillId="3" borderId="8" xfId="0" applyFont="1" applyFill="1" applyBorder="1" applyAlignment="1">
      <alignment horizontal="center" vertical="top" wrapText="1"/>
    </xf>
    <xf numFmtId="0" fontId="18" fillId="3" borderId="15" xfId="0" applyFont="1" applyFill="1" applyBorder="1" applyAlignment="1">
      <alignment horizontal="center" vertical="top" wrapText="1"/>
    </xf>
    <xf numFmtId="0" fontId="18" fillId="3" borderId="7" xfId="0" applyFont="1" applyFill="1" applyBorder="1" applyAlignment="1">
      <alignment horizontal="center" vertical="top" wrapText="1"/>
    </xf>
    <xf numFmtId="165" fontId="18" fillId="3" borderId="8" xfId="0" applyNumberFormat="1" applyFont="1" applyFill="1" applyBorder="1" applyAlignment="1">
      <alignment horizontal="center" vertical="top" wrapText="1"/>
    </xf>
    <xf numFmtId="0" fontId="18" fillId="8" borderId="7" xfId="0" applyFont="1" applyFill="1" applyBorder="1" applyAlignment="1">
      <alignment horizontal="center" vertical="top" wrapText="1"/>
    </xf>
    <xf numFmtId="165" fontId="18" fillId="3" borderId="15" xfId="0" applyNumberFormat="1" applyFont="1" applyFill="1" applyBorder="1" applyAlignment="1">
      <alignment horizontal="center" vertical="top" wrapText="1"/>
    </xf>
    <xf numFmtId="167" fontId="18" fillId="3" borderId="14" xfId="2" applyNumberFormat="1" applyFont="1" applyFill="1" applyBorder="1" applyAlignment="1">
      <alignment horizontal="center" vertical="top" wrapText="1"/>
    </xf>
    <xf numFmtId="165" fontId="18" fillId="3" borderId="15" xfId="0" applyNumberFormat="1" applyFont="1" applyFill="1" applyBorder="1" applyAlignment="1">
      <alignment horizontal="right" vertical="top" wrapText="1"/>
    </xf>
    <xf numFmtId="165" fontId="18" fillId="4" borderId="8" xfId="0" applyNumberFormat="1" applyFont="1" applyFill="1" applyBorder="1" applyAlignment="1">
      <alignment horizontal="right" vertical="top" wrapText="1"/>
    </xf>
    <xf numFmtId="165" fontId="18" fillId="3" borderId="8" xfId="0" applyNumberFormat="1" applyFont="1" applyFill="1" applyBorder="1" applyAlignment="1">
      <alignment horizontal="right" vertical="top" wrapText="1"/>
    </xf>
    <xf numFmtId="167" fontId="18" fillId="3" borderId="8" xfId="2" applyNumberFormat="1" applyFont="1" applyFill="1" applyBorder="1" applyAlignment="1">
      <alignment horizontal="center" vertical="top" wrapText="1"/>
    </xf>
    <xf numFmtId="9" fontId="17" fillId="8" borderId="5" xfId="2" applyFont="1" applyFill="1" applyBorder="1" applyAlignment="1">
      <alignment horizontal="center" vertical="top"/>
    </xf>
    <xf numFmtId="0" fontId="17" fillId="8" borderId="17" xfId="0" applyFont="1" applyFill="1" applyBorder="1" applyAlignment="1">
      <alignment vertical="top"/>
    </xf>
    <xf numFmtId="0" fontId="18" fillId="2" borderId="14" xfId="0" applyFont="1" applyFill="1" applyBorder="1" applyAlignment="1">
      <alignment horizontal="left" vertical="top" wrapText="1"/>
    </xf>
    <xf numFmtId="0" fontId="17" fillId="3" borderId="20" xfId="0" applyFont="1" applyFill="1" applyBorder="1" applyAlignment="1">
      <alignment horizontal="left" vertical="top" wrapText="1"/>
    </xf>
    <xf numFmtId="0" fontId="17" fillId="7" borderId="21" xfId="0" applyFont="1" applyFill="1" applyBorder="1" applyAlignment="1" applyProtection="1">
      <alignment horizontal="left" vertical="top"/>
      <protection locked="0"/>
    </xf>
    <xf numFmtId="0" fontId="17" fillId="4" borderId="21" xfId="0" applyFont="1" applyFill="1" applyBorder="1" applyAlignment="1" applyProtection="1">
      <alignment horizontal="left" vertical="top" wrapText="1"/>
      <protection locked="0"/>
    </xf>
    <xf numFmtId="167" fontId="18" fillId="4" borderId="14" xfId="2" applyNumberFormat="1" applyFont="1" applyFill="1" applyBorder="1" applyAlignment="1">
      <alignment horizontal="center" vertical="top" wrapText="1"/>
    </xf>
    <xf numFmtId="168" fontId="18" fillId="3" borderId="8" xfId="0" applyNumberFormat="1" applyFont="1" applyFill="1" applyBorder="1" applyAlignment="1">
      <alignment horizontal="center" vertical="top" wrapText="1"/>
    </xf>
    <xf numFmtId="165" fontId="18" fillId="4" borderId="15" xfId="0" applyNumberFormat="1" applyFont="1" applyFill="1" applyBorder="1" applyAlignment="1">
      <alignment horizontal="right" vertical="top" wrapText="1"/>
    </xf>
    <xf numFmtId="167" fontId="18" fillId="3" borderId="15" xfId="2" applyNumberFormat="1" applyFont="1" applyFill="1" applyBorder="1" applyAlignment="1">
      <alignment horizontal="center" vertical="top" wrapText="1"/>
    </xf>
    <xf numFmtId="9" fontId="18" fillId="3" borderId="8" xfId="2" applyFont="1" applyFill="1" applyBorder="1" applyAlignment="1">
      <alignment horizontal="center" vertical="top"/>
    </xf>
    <xf numFmtId="0" fontId="18" fillId="3" borderId="8" xfId="0" applyFont="1" applyFill="1" applyBorder="1" applyAlignment="1">
      <alignment vertical="top"/>
    </xf>
    <xf numFmtId="0" fontId="3" fillId="0" borderId="0" xfId="0" applyFont="1" applyAlignment="1">
      <alignment vertical="top"/>
    </xf>
    <xf numFmtId="0" fontId="0" fillId="4" borderId="0" xfId="0" applyFill="1" applyAlignment="1">
      <alignment vertical="top"/>
    </xf>
    <xf numFmtId="0" fontId="0" fillId="0" borderId="0" xfId="0" applyAlignment="1">
      <alignment vertical="top"/>
    </xf>
    <xf numFmtId="0" fontId="3" fillId="0" borderId="13" xfId="0" applyFont="1" applyBorder="1" applyAlignment="1">
      <alignment vertical="top"/>
    </xf>
    <xf numFmtId="165" fontId="3" fillId="3" borderId="12" xfId="0" applyNumberFormat="1" applyFont="1" applyFill="1" applyBorder="1" applyAlignment="1">
      <alignment horizontal="center" vertical="top"/>
    </xf>
    <xf numFmtId="167" fontId="3" fillId="4" borderId="0" xfId="2" applyNumberFormat="1" applyFont="1" applyFill="1" applyBorder="1" applyAlignment="1">
      <alignment horizontal="center" vertical="top"/>
    </xf>
    <xf numFmtId="165" fontId="3" fillId="3" borderId="13" xfId="0" applyNumberFormat="1" applyFont="1" applyFill="1" applyBorder="1" applyAlignment="1">
      <alignment horizontal="center" vertical="top"/>
    </xf>
    <xf numFmtId="165" fontId="3" fillId="3" borderId="0" xfId="0" applyNumberFormat="1" applyFont="1" applyFill="1" applyAlignment="1">
      <alignment horizontal="center" vertical="top"/>
    </xf>
    <xf numFmtId="165" fontId="3" fillId="3" borderId="16" xfId="0" applyNumberFormat="1" applyFont="1" applyFill="1" applyBorder="1" applyAlignment="1">
      <alignment horizontal="center" vertical="top"/>
    </xf>
    <xf numFmtId="0" fontId="3" fillId="3" borderId="12" xfId="0" applyFont="1" applyFill="1" applyBorder="1" applyAlignment="1">
      <alignment horizontal="center" vertical="top"/>
    </xf>
    <xf numFmtId="165" fontId="3" fillId="3" borderId="0" xfId="0" applyNumberFormat="1" applyFont="1" applyFill="1" applyAlignment="1">
      <alignment vertical="top"/>
    </xf>
    <xf numFmtId="0" fontId="3" fillId="8" borderId="16" xfId="0" applyFont="1" applyFill="1" applyBorder="1" applyAlignment="1">
      <alignment vertical="top"/>
    </xf>
    <xf numFmtId="165" fontId="3" fillId="3" borderId="13" xfId="0" applyNumberFormat="1" applyFont="1" applyFill="1" applyBorder="1" applyAlignment="1">
      <alignment vertical="top"/>
    </xf>
    <xf numFmtId="167" fontId="3" fillId="3" borderId="12" xfId="2" applyNumberFormat="1" applyFont="1" applyFill="1" applyBorder="1" applyAlignment="1">
      <alignment horizontal="center" vertical="top"/>
    </xf>
    <xf numFmtId="0" fontId="3" fillId="3" borderId="0" xfId="0" applyFont="1" applyFill="1" applyAlignment="1">
      <alignment horizontal="center" vertical="top"/>
    </xf>
    <xf numFmtId="168" fontId="3" fillId="3" borderId="0" xfId="0" applyNumberFormat="1" applyFont="1" applyFill="1" applyAlignment="1">
      <alignment horizontal="center" vertical="top"/>
    </xf>
    <xf numFmtId="165" fontId="3" fillId="3" borderId="13" xfId="0" applyNumberFormat="1" applyFont="1" applyFill="1" applyBorder="1" applyAlignment="1">
      <alignment horizontal="right" vertical="top"/>
    </xf>
    <xf numFmtId="165" fontId="3" fillId="4" borderId="0" xfId="0" applyNumberFormat="1" applyFont="1" applyFill="1" applyAlignment="1">
      <alignment horizontal="right" vertical="top"/>
    </xf>
    <xf numFmtId="165" fontId="3" fillId="3" borderId="0" xfId="0" applyNumberFormat="1" applyFont="1" applyFill="1" applyAlignment="1">
      <alignment horizontal="right" vertical="top"/>
    </xf>
    <xf numFmtId="167" fontId="3" fillId="3" borderId="13" xfId="2" applyNumberFormat="1" applyFont="1" applyFill="1" applyBorder="1" applyAlignment="1">
      <alignment horizontal="center" vertical="top"/>
    </xf>
    <xf numFmtId="9" fontId="3" fillId="0" borderId="0" xfId="2" applyFont="1" applyAlignment="1">
      <alignment horizontal="center" vertical="top"/>
    </xf>
    <xf numFmtId="0" fontId="3" fillId="8" borderId="0" xfId="0" applyFont="1" applyFill="1" applyAlignment="1">
      <alignment vertical="top"/>
    </xf>
    <xf numFmtId="167" fontId="3" fillId="3" borderId="0" xfId="2" applyNumberFormat="1" applyFont="1" applyFill="1" applyBorder="1" applyAlignment="1">
      <alignment horizontal="center" vertical="top"/>
    </xf>
    <xf numFmtId="9" fontId="3" fillId="0" borderId="0" xfId="2" applyFont="1" applyBorder="1" applyAlignment="1">
      <alignment horizontal="center" vertical="top"/>
    </xf>
    <xf numFmtId="0" fontId="3" fillId="0" borderId="8" xfId="0" applyFont="1" applyBorder="1" applyAlignment="1">
      <alignment vertical="top"/>
    </xf>
    <xf numFmtId="0" fontId="0" fillId="4" borderId="43" xfId="0" applyFill="1" applyBorder="1" applyAlignment="1">
      <alignment vertical="top"/>
    </xf>
    <xf numFmtId="0" fontId="28" fillId="0" borderId="43" xfId="0" applyFont="1" applyBorder="1" applyAlignment="1">
      <alignment vertical="top"/>
    </xf>
    <xf numFmtId="0" fontId="29" fillId="0" borderId="43" xfId="0" applyFont="1" applyBorder="1" applyAlignment="1">
      <alignment vertical="top"/>
    </xf>
    <xf numFmtId="0" fontId="4" fillId="0" borderId="43" xfId="0" applyFont="1" applyBorder="1" applyAlignment="1">
      <alignment vertical="top"/>
    </xf>
    <xf numFmtId="165" fontId="3" fillId="3" borderId="43" xfId="0" applyNumberFormat="1" applyFont="1" applyFill="1" applyBorder="1" applyAlignment="1">
      <alignment horizontal="center" vertical="top"/>
    </xf>
    <xf numFmtId="167" fontId="3" fillId="13" borderId="43" xfId="2" applyNumberFormat="1" applyFont="1" applyFill="1" applyBorder="1" applyAlignment="1">
      <alignment horizontal="center" vertical="top"/>
    </xf>
    <xf numFmtId="0" fontId="3" fillId="3" borderId="43" xfId="0" applyFont="1" applyFill="1" applyBorder="1" applyAlignment="1">
      <alignment horizontal="center" vertical="top"/>
    </xf>
    <xf numFmtId="165" fontId="3" fillId="3" borderId="43" xfId="0" applyNumberFormat="1" applyFont="1" applyFill="1" applyBorder="1" applyAlignment="1">
      <alignment vertical="top"/>
    </xf>
    <xf numFmtId="0" fontId="3" fillId="8" borderId="43" xfId="0" applyFont="1" applyFill="1" applyBorder="1" applyAlignment="1">
      <alignment vertical="top"/>
    </xf>
    <xf numFmtId="167" fontId="3" fillId="3" borderId="43" xfId="2" applyNumberFormat="1" applyFont="1" applyFill="1" applyBorder="1" applyAlignment="1">
      <alignment horizontal="center" vertical="top"/>
    </xf>
    <xf numFmtId="168" fontId="3" fillId="3" borderId="43" xfId="0" applyNumberFormat="1" applyFont="1" applyFill="1" applyBorder="1" applyAlignment="1">
      <alignment horizontal="center" vertical="top"/>
    </xf>
    <xf numFmtId="165" fontId="3" fillId="3" borderId="43" xfId="0" applyNumberFormat="1" applyFont="1" applyFill="1" applyBorder="1" applyAlignment="1">
      <alignment horizontal="right" vertical="top"/>
    </xf>
    <xf numFmtId="165" fontId="3" fillId="4" borderId="8" xfId="0" applyNumberFormat="1" applyFont="1" applyFill="1" applyBorder="1" applyAlignment="1">
      <alignment horizontal="right" vertical="top"/>
    </xf>
    <xf numFmtId="9" fontId="3" fillId="0" borderId="43" xfId="2" applyFont="1" applyBorder="1" applyAlignment="1">
      <alignment horizontal="center" vertical="top"/>
    </xf>
    <xf numFmtId="0" fontId="0" fillId="14" borderId="0" xfId="0" applyFill="1" applyAlignment="1">
      <alignment vertical="top"/>
    </xf>
    <xf numFmtId="0" fontId="0" fillId="14" borderId="8" xfId="0" applyFill="1" applyBorder="1" applyAlignment="1">
      <alignment vertical="top"/>
    </xf>
    <xf numFmtId="0" fontId="0" fillId="0" borderId="8" xfId="0" applyBorder="1" applyAlignment="1">
      <alignment vertical="top"/>
    </xf>
    <xf numFmtId="0" fontId="3" fillId="0" borderId="15" xfId="0" applyFont="1" applyBorder="1" applyAlignment="1">
      <alignment vertical="top"/>
    </xf>
    <xf numFmtId="165" fontId="3" fillId="3" borderId="14" xfId="0" applyNumberFormat="1" applyFont="1" applyFill="1" applyBorder="1" applyAlignment="1">
      <alignment horizontal="center" vertical="top"/>
    </xf>
    <xf numFmtId="165" fontId="3" fillId="3" borderId="15" xfId="0" applyNumberFormat="1" applyFont="1" applyFill="1" applyBorder="1" applyAlignment="1">
      <alignment horizontal="center" vertical="top"/>
    </xf>
    <xf numFmtId="165" fontId="3" fillId="3" borderId="7" xfId="0" applyNumberFormat="1" applyFont="1" applyFill="1" applyBorder="1" applyAlignment="1">
      <alignment horizontal="center" vertical="top"/>
    </xf>
    <xf numFmtId="0" fontId="3" fillId="3" borderId="14" xfId="0" applyFont="1" applyFill="1" applyBorder="1" applyAlignment="1">
      <alignment horizontal="center" vertical="top"/>
    </xf>
    <xf numFmtId="165" fontId="3" fillId="3" borderId="8" xfId="0" applyNumberFormat="1" applyFont="1" applyFill="1" applyBorder="1" applyAlignment="1">
      <alignment vertical="top"/>
    </xf>
    <xf numFmtId="0" fontId="3" fillId="8" borderId="7" xfId="0" applyFont="1" applyFill="1" applyBorder="1" applyAlignment="1">
      <alignment vertical="top"/>
    </xf>
    <xf numFmtId="165" fontId="3" fillId="3" borderId="15" xfId="0" applyNumberFormat="1" applyFont="1" applyFill="1" applyBorder="1" applyAlignment="1">
      <alignment vertical="top"/>
    </xf>
    <xf numFmtId="167" fontId="3" fillId="3" borderId="14" xfId="2" applyNumberFormat="1" applyFont="1" applyFill="1" applyBorder="1" applyAlignment="1">
      <alignment horizontal="center" vertical="top"/>
    </xf>
    <xf numFmtId="168" fontId="3" fillId="3" borderId="8" xfId="0" applyNumberFormat="1" applyFont="1" applyFill="1" applyBorder="1" applyAlignment="1">
      <alignment horizontal="center" vertical="top"/>
    </xf>
    <xf numFmtId="165" fontId="3" fillId="3" borderId="15" xfId="0" applyNumberFormat="1" applyFont="1" applyFill="1" applyBorder="1" applyAlignment="1">
      <alignment horizontal="right" vertical="top"/>
    </xf>
    <xf numFmtId="165" fontId="3" fillId="3" borderId="8" xfId="0" applyNumberFormat="1" applyFont="1" applyFill="1" applyBorder="1" applyAlignment="1">
      <alignment horizontal="right" vertical="top"/>
    </xf>
    <xf numFmtId="167" fontId="3" fillId="3" borderId="15" xfId="2" applyNumberFormat="1" applyFont="1" applyFill="1" applyBorder="1" applyAlignment="1">
      <alignment horizontal="center" vertical="top"/>
    </xf>
    <xf numFmtId="9" fontId="3" fillId="0" borderId="8" xfId="2" applyFont="1" applyBorder="1" applyAlignment="1">
      <alignment horizontal="center" vertical="top"/>
    </xf>
    <xf numFmtId="0" fontId="4" fillId="13" borderId="0" xfId="0" applyFont="1" applyFill="1" applyAlignment="1">
      <alignment vertical="top"/>
    </xf>
    <xf numFmtId="0" fontId="3" fillId="13" borderId="0" xfId="0" applyFont="1" applyFill="1" applyAlignment="1">
      <alignment vertical="top"/>
    </xf>
    <xf numFmtId="165" fontId="3" fillId="0" borderId="0" xfId="0" applyNumberFormat="1" applyFont="1" applyAlignment="1">
      <alignment vertical="top"/>
    </xf>
    <xf numFmtId="0" fontId="3" fillId="0" borderId="0" xfId="0" applyFont="1" applyAlignment="1">
      <alignment horizontal="center" vertical="top"/>
    </xf>
    <xf numFmtId="9" fontId="3" fillId="0" borderId="17" xfId="2" applyFont="1" applyBorder="1" applyAlignment="1">
      <alignment horizontal="center" vertical="top"/>
    </xf>
    <xf numFmtId="165" fontId="3" fillId="0" borderId="0" xfId="4" applyNumberFormat="1" applyFont="1" applyAlignment="1">
      <alignment vertical="top"/>
    </xf>
    <xf numFmtId="169" fontId="3" fillId="0" borderId="0" xfId="0" applyNumberFormat="1" applyFont="1" applyAlignment="1">
      <alignment vertical="top"/>
    </xf>
    <xf numFmtId="0" fontId="0" fillId="18" borderId="0" xfId="0" applyFill="1" applyAlignment="1">
      <alignment vertical="top"/>
    </xf>
    <xf numFmtId="0" fontId="3" fillId="18" borderId="0" xfId="0" applyFont="1" applyFill="1" applyAlignment="1">
      <alignment vertical="top"/>
    </xf>
    <xf numFmtId="167" fontId="17" fillId="3" borderId="0" xfId="0" applyNumberFormat="1" applyFont="1" applyFill="1" applyAlignment="1">
      <alignment horizontal="center" vertical="top"/>
    </xf>
    <xf numFmtId="0" fontId="0" fillId="14" borderId="10" xfId="0" applyFill="1" applyBorder="1" applyAlignment="1">
      <alignment vertical="top"/>
    </xf>
    <xf numFmtId="0" fontId="29" fillId="0" borderId="0" xfId="0" applyFont="1" applyAlignment="1">
      <alignment vertical="top"/>
    </xf>
    <xf numFmtId="0" fontId="4" fillId="0" borderId="0" xfId="0" applyFont="1" applyAlignment="1">
      <alignment vertical="top"/>
    </xf>
    <xf numFmtId="167" fontId="3" fillId="13" borderId="0" xfId="2" applyNumberFormat="1" applyFont="1" applyFill="1" applyBorder="1" applyAlignment="1">
      <alignment horizontal="center" vertical="top"/>
    </xf>
    <xf numFmtId="165" fontId="3" fillId="3" borderId="8" xfId="0" applyNumberFormat="1" applyFont="1" applyFill="1" applyBorder="1" applyAlignment="1">
      <alignment horizontal="center" vertical="top"/>
    </xf>
    <xf numFmtId="0" fontId="29" fillId="0" borderId="8" xfId="0" applyFont="1" applyBorder="1" applyAlignment="1">
      <alignment vertical="top"/>
    </xf>
    <xf numFmtId="0" fontId="4" fillId="0" borderId="8" xfId="0" applyFont="1" applyBorder="1" applyAlignment="1">
      <alignment vertical="top"/>
    </xf>
    <xf numFmtId="167" fontId="3" fillId="13" borderId="8" xfId="2" applyNumberFormat="1" applyFont="1" applyFill="1" applyBorder="1" applyAlignment="1">
      <alignment horizontal="center" vertical="top"/>
    </xf>
    <xf numFmtId="0" fontId="3" fillId="3" borderId="8" xfId="0" applyFont="1" applyFill="1" applyBorder="1" applyAlignment="1">
      <alignment horizontal="center" vertical="top"/>
    </xf>
    <xf numFmtId="167" fontId="3" fillId="3" borderId="8" xfId="2" applyNumberFormat="1" applyFont="1" applyFill="1" applyBorder="1" applyAlignment="1">
      <alignment horizontal="center" vertical="top"/>
    </xf>
    <xf numFmtId="0" fontId="17" fillId="3" borderId="16" xfId="0" applyFont="1" applyFill="1" applyBorder="1" applyAlignment="1">
      <alignment vertical="top"/>
    </xf>
    <xf numFmtId="165" fontId="3" fillId="3" borderId="44" xfId="0" applyNumberFormat="1" applyFont="1" applyFill="1" applyBorder="1" applyAlignment="1">
      <alignment horizontal="center" vertical="top"/>
    </xf>
    <xf numFmtId="0" fontId="3" fillId="0" borderId="16" xfId="0" applyFont="1" applyBorder="1" applyAlignment="1">
      <alignment vertical="top"/>
    </xf>
    <xf numFmtId="167" fontId="18" fillId="4" borderId="8" xfId="2" applyNumberFormat="1" applyFont="1" applyFill="1" applyBorder="1" applyAlignment="1">
      <alignment horizontal="center" vertical="top" wrapText="1"/>
    </xf>
    <xf numFmtId="0" fontId="17" fillId="3" borderId="12" xfId="0" applyFont="1" applyFill="1" applyBorder="1" applyAlignment="1">
      <alignment horizontal="center" vertical="top"/>
    </xf>
    <xf numFmtId="0" fontId="17" fillId="3" borderId="13" xfId="0" applyFont="1" applyFill="1" applyBorder="1" applyAlignment="1">
      <alignment vertical="top"/>
    </xf>
    <xf numFmtId="0" fontId="3" fillId="3" borderId="45" xfId="0" applyFont="1" applyFill="1" applyBorder="1" applyAlignment="1">
      <alignment horizontal="center" vertical="top"/>
    </xf>
    <xf numFmtId="165" fontId="3" fillId="3" borderId="46" xfId="0" applyNumberFormat="1" applyFont="1" applyFill="1" applyBorder="1" applyAlignment="1">
      <alignment vertical="top"/>
    </xf>
    <xf numFmtId="0" fontId="3" fillId="0" borderId="12" xfId="0" applyFont="1" applyBorder="1" applyAlignment="1">
      <alignment horizontal="center" vertical="top"/>
    </xf>
    <xf numFmtId="0" fontId="3" fillId="8" borderId="48" xfId="0" applyFont="1" applyFill="1" applyBorder="1" applyAlignment="1">
      <alignment vertical="top"/>
    </xf>
    <xf numFmtId="0" fontId="3" fillId="8" borderId="47" xfId="0" applyFont="1" applyFill="1" applyBorder="1" applyAlignment="1">
      <alignment vertical="top"/>
    </xf>
    <xf numFmtId="165" fontId="3" fillId="4" borderId="12" xfId="0" applyNumberFormat="1" applyFont="1" applyFill="1" applyBorder="1" applyAlignment="1">
      <alignment horizontal="right" vertical="top"/>
    </xf>
    <xf numFmtId="165" fontId="3" fillId="4" borderId="14" xfId="0" applyNumberFormat="1" applyFont="1" applyFill="1" applyBorder="1" applyAlignment="1">
      <alignment horizontal="right" vertical="top"/>
    </xf>
    <xf numFmtId="0" fontId="6" fillId="7" borderId="6" xfId="0" applyFont="1" applyFill="1" applyBorder="1" applyAlignment="1">
      <alignment horizontal="left" vertical="top" wrapText="1"/>
    </xf>
    <xf numFmtId="0" fontId="6" fillId="7" borderId="16" xfId="0" applyFont="1" applyFill="1" applyBorder="1" applyAlignment="1">
      <alignment horizontal="left" vertical="top" wrapText="1"/>
    </xf>
    <xf numFmtId="0" fontId="6" fillId="7" borderId="7"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3" fillId="4" borderId="6" xfId="0" applyFont="1" applyFill="1" applyBorder="1" applyAlignment="1">
      <alignment vertical="center" wrapText="1"/>
    </xf>
    <xf numFmtId="0" fontId="3" fillId="4" borderId="16" xfId="0" applyFont="1" applyFill="1" applyBorder="1" applyAlignment="1">
      <alignment vertical="center" wrapText="1"/>
    </xf>
    <xf numFmtId="0" fontId="3" fillId="4" borderId="7" xfId="0" applyFont="1" applyFill="1" applyBorder="1" applyAlignment="1">
      <alignment vertical="center" wrapText="1"/>
    </xf>
    <xf numFmtId="0" fontId="17" fillId="8" borderId="8" xfId="0" applyFont="1" applyFill="1" applyBorder="1" applyAlignment="1">
      <alignment horizontal="center" vertical="center"/>
    </xf>
    <xf numFmtId="0" fontId="16" fillId="0" borderId="1" xfId="0" applyFont="1" applyBorder="1" applyAlignment="1">
      <alignment horizontal="left" vertical="top" wrapText="1"/>
    </xf>
    <xf numFmtId="0" fontId="16" fillId="0" borderId="2" xfId="0" applyFont="1" applyBorder="1" applyAlignment="1">
      <alignment horizontal="left" vertical="top"/>
    </xf>
    <xf numFmtId="0" fontId="16" fillId="0" borderId="3" xfId="0" applyFont="1" applyBorder="1" applyAlignment="1">
      <alignment horizontal="left" vertical="top"/>
    </xf>
    <xf numFmtId="0" fontId="16" fillId="0" borderId="4" xfId="0" applyFont="1" applyBorder="1" applyAlignment="1">
      <alignment horizontal="left" vertical="top"/>
    </xf>
    <xf numFmtId="0" fontId="14" fillId="0" borderId="5" xfId="0" applyFont="1" applyBorder="1" applyAlignment="1">
      <alignment horizontal="left" vertical="top"/>
    </xf>
    <xf numFmtId="0" fontId="14" fillId="0" borderId="5" xfId="0" applyFont="1" applyBorder="1" applyAlignment="1">
      <alignment horizontal="left" vertical="top" wrapText="1"/>
    </xf>
    <xf numFmtId="0" fontId="13" fillId="9" borderId="0" xfId="0" applyFont="1" applyFill="1" applyAlignment="1">
      <alignment horizontal="left" vertical="top"/>
    </xf>
    <xf numFmtId="0" fontId="13" fillId="9" borderId="8" xfId="0" applyFont="1" applyFill="1" applyBorder="1" applyAlignment="1">
      <alignment horizontal="left" vertical="top"/>
    </xf>
    <xf numFmtId="0" fontId="23" fillId="3" borderId="6" xfId="0" applyFont="1" applyFill="1" applyBorder="1" applyAlignment="1">
      <alignment horizontal="left" vertical="top"/>
    </xf>
    <xf numFmtId="0" fontId="23" fillId="3" borderId="7" xfId="0" applyFont="1" applyFill="1" applyBorder="1" applyAlignment="1">
      <alignment horizontal="left" vertical="top"/>
    </xf>
    <xf numFmtId="0" fontId="17" fillId="8" borderId="14" xfId="0" applyFont="1" applyFill="1" applyBorder="1" applyAlignment="1">
      <alignment horizontal="center" vertical="top"/>
    </xf>
    <xf numFmtId="0" fontId="17" fillId="8" borderId="8" xfId="0" applyFont="1" applyFill="1" applyBorder="1" applyAlignment="1">
      <alignment horizontal="center" vertical="top"/>
    </xf>
    <xf numFmtId="0" fontId="17" fillId="8" borderId="15" xfId="0" applyFont="1" applyFill="1" applyBorder="1" applyAlignment="1">
      <alignment horizontal="center" vertical="top"/>
    </xf>
    <xf numFmtId="8" fontId="17" fillId="3" borderId="0" xfId="0" applyNumberFormat="1" applyFont="1" applyFill="1" applyAlignment="1">
      <alignment vertical="top"/>
    </xf>
    <xf numFmtId="167" fontId="17" fillId="3" borderId="0" xfId="0" applyNumberFormat="1" applyFont="1" applyFill="1" applyAlignment="1">
      <alignment vertical="top"/>
    </xf>
    <xf numFmtId="9" fontId="17" fillId="3" borderId="0" xfId="2" applyFont="1" applyFill="1" applyAlignment="1">
      <alignment vertical="top"/>
    </xf>
    <xf numFmtId="9" fontId="3" fillId="7" borderId="0" xfId="2" applyFont="1" applyFill="1" applyBorder="1" applyAlignment="1">
      <alignment horizontal="center" vertical="top"/>
    </xf>
    <xf numFmtId="9" fontId="3" fillId="7" borderId="0" xfId="2" applyFont="1" applyFill="1" applyAlignment="1">
      <alignment horizontal="center" vertical="top"/>
    </xf>
    <xf numFmtId="9" fontId="3" fillId="7" borderId="8" xfId="2" applyFont="1" applyFill="1" applyBorder="1" applyAlignment="1">
      <alignment horizontal="center" vertical="top"/>
    </xf>
    <xf numFmtId="0" fontId="3" fillId="19" borderId="0" xfId="0" applyFont="1" applyFill="1" applyAlignment="1">
      <alignment vertical="top"/>
    </xf>
    <xf numFmtId="0" fontId="4" fillId="19" borderId="0" xfId="0" applyFont="1" applyFill="1" applyAlignment="1">
      <alignment vertical="top"/>
    </xf>
    <xf numFmtId="9" fontId="3" fillId="0" borderId="0" xfId="2" applyFont="1" applyFill="1" applyBorder="1" applyAlignment="1">
      <alignment horizontal="center" vertical="top"/>
    </xf>
    <xf numFmtId="9" fontId="3" fillId="0" borderId="0" xfId="2" applyFont="1" applyFill="1" applyAlignment="1">
      <alignment horizontal="center" vertical="top"/>
    </xf>
    <xf numFmtId="0" fontId="2" fillId="0" borderId="0" xfId="0" applyFont="1" applyAlignment="1">
      <alignment horizontal="center" vertical="center"/>
    </xf>
    <xf numFmtId="0" fontId="2" fillId="0" borderId="0" xfId="0" applyFont="1" applyAlignment="1">
      <alignment horizontal="center"/>
    </xf>
    <xf numFmtId="0" fontId="0" fillId="0" borderId="0" xfId="0" applyAlignment="1">
      <alignment horizontal="center" vertical="center"/>
    </xf>
    <xf numFmtId="0" fontId="0" fillId="0" borderId="0" xfId="0" applyAlignment="1">
      <alignment wrapText="1"/>
    </xf>
    <xf numFmtId="8"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wrapText="1"/>
    </xf>
    <xf numFmtId="8" fontId="0" fillId="0" borderId="0" xfId="0" applyNumberFormat="1" applyAlignment="1">
      <alignment horizontal="center"/>
    </xf>
    <xf numFmtId="0" fontId="0" fillId="0" borderId="0" xfId="0" applyAlignment="1">
      <alignment horizontal="left"/>
    </xf>
    <xf numFmtId="8" fontId="0" fillId="0" borderId="0" xfId="0" applyNumberFormat="1"/>
    <xf numFmtId="9" fontId="0" fillId="0" borderId="0" xfId="2" applyFont="1" applyAlignment="1">
      <alignment horizontal="center"/>
    </xf>
    <xf numFmtId="165" fontId="18" fillId="13" borderId="8" xfId="0" applyNumberFormat="1" applyFont="1" applyFill="1" applyBorder="1" applyAlignment="1">
      <alignment horizontal="right" vertical="top" wrapText="1"/>
    </xf>
  </cellXfs>
  <cellStyles count="5">
    <cellStyle name="Comma" xfId="4" builtinId="3"/>
    <cellStyle name="Currency" xfId="1" builtinId="4"/>
    <cellStyle name="Currency 2" xfId="3" xr:uid="{00000000-0005-0000-0000-00002F000000}"/>
    <cellStyle name="Normal" xfId="0" builtinId="0"/>
    <cellStyle name="Percent" xfId="2" builtinId="5"/>
  </cellStyles>
  <dxfs count="22">
    <dxf>
      <font>
        <color rgb="FF006100"/>
      </font>
      <fill>
        <patternFill>
          <bgColor rgb="FFC6EFCE"/>
        </patternFill>
      </fill>
    </dxf>
    <dxf>
      <numFmt numFmtId="0" formatCode="General"/>
    </dxf>
    <dxf>
      <numFmt numFmtId="166" formatCode="[$-C09]dd\-mmm\-yy;@"/>
    </dxf>
    <dxf>
      <alignment horizontal="center" vertical="bottom" textRotation="0" wrapText="0"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numFmt numFmtId="34" formatCode="_-&quot;$&quot;* #,##0.00_-;\-&quot;$&quot;* #,##0.00_-;_-&quot;$&quot;* &quot;-&quot;??_-;_-@_-"/>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numFmt numFmtId="19" formatCode="d/mm/yyyy"/>
      <alignment horizontal="left" vertical="center" textRotation="0" wrapText="0" indent="0" justifyLastLine="0" shrinkToFit="0" readingOrder="0"/>
    </dxf>
    <dxf>
      <font>
        <strike val="0"/>
        <outline val="0"/>
        <shadow val="0"/>
        <u val="none"/>
        <vertAlign val="baseline"/>
        <sz val="11"/>
        <name val="Segoe UI"/>
        <family val="2"/>
        <scheme val="major"/>
      </font>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s>
  <tableStyles count="0" defaultTableStyle="TableStyleMedium2" defaultPivotStyle="PivotStyleLight16"/>
  <colors>
    <mruColors>
      <color rgb="FF205860"/>
      <color rgb="FFF9FBFD"/>
      <color rgb="FF6EB0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E0603E45-E2CB-4828-B848-91BB100A9A2B}" autoFormatId="16" applyNumberFormats="0" applyBorderFormats="0" applyFontFormats="0" applyPatternFormats="0" applyAlignmentFormats="0" applyWidthHeightFormats="0">
  <queryTableRefresh nextId="18">
    <queryTableFields count="8">
      <queryTableField id="1" name="Name" tableColumnId="1"/>
      <queryTableField id="11" name="Gross Cost" tableColumnId="2"/>
      <queryTableField id="12" name="JID" tableColumnId="3"/>
      <queryTableField id="13" name="Schedule Start" tableColumnId="4"/>
      <queryTableField id="14" name="Schedule End" tableColumnId="5"/>
      <queryTableField id="15" name="Team" tableColumnId="6"/>
      <queryTableField id="16" name="Comments" tableColumnId="7"/>
      <queryTableField id="17" name="Loc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BAB5A62-A116-45B4-9101-8ED71B910A16}" autoFormatId="16" applyNumberFormats="0" applyBorderFormats="0" applyFontFormats="0" applyPatternFormats="0" applyAlignmentFormats="0" applyWidthHeightFormats="0">
  <queryTableRefresh nextId="15">
    <queryTableFields count="14">
      <queryTableField id="1" name="Panel" tableColumnId="1"/>
      <queryTableField id="2" name="Category" tableColumnId="2"/>
      <queryTableField id="3" name="1" tableColumnId="3"/>
      <queryTableField id="4" name="2" tableColumnId="4"/>
      <queryTableField id="5" name="3" tableColumnId="5"/>
      <queryTableField id="6" name="4" tableColumnId="6"/>
      <queryTableField id="7" name="5" tableColumnId="7"/>
      <queryTableField id="8" name="6" tableColumnId="8"/>
      <queryTableField id="9" name="7" tableColumnId="9"/>
      <queryTableField id="10" name="8" tableColumnId="10"/>
      <queryTableField id="11" name="9" tableColumnId="11"/>
      <queryTableField id="12" name="10" tableColumnId="12"/>
      <queryTableField id="13" name="11" tableColumnId="13"/>
      <queryTableField id="14" name="1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78C12387-691B-46DD-9778-7B53B7850AAE}" autoFormatId="16" applyNumberFormats="0" applyBorderFormats="0" applyFontFormats="0" applyPatternFormats="0" applyAlignmentFormats="0" applyWidthHeightFormats="0">
  <queryTableRefresh nextId="13">
    <queryTableFields count="12">
      <queryTableField id="1" name="1" tableColumnId="1"/>
      <queryTableField id="2" name="2" tableColumnId="2"/>
      <queryTableField id="3" name="3" tableColumnId="3"/>
      <queryTableField id="4" name="4" tableColumnId="4"/>
      <queryTableField id="5" name="5" tableColumnId="5"/>
      <queryTableField id="6" name="6" tableColumnId="6"/>
      <queryTableField id="7" name="7" tableColumnId="7"/>
      <queryTableField id="8" name="8" tableColumnId="8"/>
      <queryTableField id="9" name="9" tableColumnId="9"/>
      <queryTableField id="10" name="10" tableColumnId="10"/>
      <queryTableField id="11" name="11" tableColumnId="11"/>
      <queryTableField id="12" name="12"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541D1680-E9AA-470E-BDD4-8EA84180CAA2}" autoFormatId="16" applyNumberFormats="0" applyBorderFormats="0" applyFontFormats="0" applyPatternFormats="0" applyAlignmentFormats="0" applyWidthHeightFormats="0">
  <queryTableRefresh nextId="2">
    <queryTableFields count="1">
      <queryTableField id="1" name="Panel"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EB8CF0-9101-4EC1-96D4-3B28555A5960}" name="Table3" displayName="Table3" ref="B2:F12" totalsRowCount="1" headerRowDxfId="21" dataDxfId="20" totalsRowDxfId="19">
  <autoFilter ref="B2:F11" xr:uid="{DEEB8CF0-9101-4EC1-96D4-3B28555A5960}"/>
  <tableColumns count="5">
    <tableColumn id="1" xr3:uid="{C986F403-923F-453A-838B-AFC76C87D128}" name="Date" totalsRowLabel="Total" dataDxfId="18" totalsRowDxfId="17"/>
    <tableColumn id="2" xr3:uid="{DD9B9A0A-221D-43B8-9CAF-4FA39CB4E895}" name="Description" dataDxfId="16" totalsRowDxfId="15"/>
    <tableColumn id="3" xr3:uid="{C52DE2C8-95D6-4837-B67E-B994174DCE4D}" name="Amount (ex. GST)" totalsRowFunction="sum" dataDxfId="14" totalsRowDxfId="13" dataCellStyle="Currency"/>
    <tableColumn id="4" xr3:uid="{1A46F895-04D1-485B-A0E9-E8BEE534D4E1}" name="Recoverable from Client" dataDxfId="12" totalsRowDxfId="11"/>
    <tableColumn id="5" xr3:uid="{40938C88-F64D-412D-9D7A-7B253A2094F6}" name="Billed to Client" dataDxfId="10"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09B16-8743-4593-9676-789798FA817C}" name="CMEMList" displayName="CMEMList" ref="F1:F20" totalsRowShown="0" headerRowDxfId="8">
  <autoFilter ref="F1:F20" xr:uid="{0D209B16-8743-4593-9676-789798FA817C}"/>
  <sortState xmlns:xlrd2="http://schemas.microsoft.com/office/spreadsheetml/2017/richdata2" ref="F2:F20">
    <sortCondition ref="F1:F20"/>
  </sortState>
  <tableColumns count="1">
    <tableColumn id="1" xr3:uid="{D88D2FEA-E822-4144-9AE7-1D68468CEDDB}" name="Nam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647ED-5F33-4887-904D-24B5D2D1C247}" name="Table2" displayName="Table2" ref="B1:D127" totalsRowShown="0" headerRowDxfId="7">
  <autoFilter ref="B1:D127" xr:uid="{D85647ED-5F33-4887-904D-24B5D2D1C247}"/>
  <sortState xmlns:xlrd2="http://schemas.microsoft.com/office/spreadsheetml/2017/richdata2" ref="B2:D127">
    <sortCondition ref="B1:B127"/>
  </sortState>
  <tableColumns count="3">
    <tableColumn id="1" xr3:uid="{04CEAA52-84E4-4B0E-AB14-D2545EA47C0B}" name="Client Name"/>
    <tableColumn id="2" xr3:uid="{11EF475B-9B9B-4348-9CBD-B5A590D59A01}" name="VAT"/>
    <tableColumn id="3" xr3:uid="{54A478C6-22BE-422B-B99B-5F6B9E1F4523}" name="VAT Lea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638C62-86B1-4F94-A73A-46A03235D108}" name="CostTableLookup" displayName="CostTableLookup" ref="H1:O214" tableType="queryTable" totalsRowShown="0">
  <autoFilter ref="H1:O214" xr:uid="{52638C62-86B1-4F94-A73A-46A03235D108}"/>
  <sortState xmlns:xlrd2="http://schemas.microsoft.com/office/spreadsheetml/2017/richdata2" ref="H2:O214">
    <sortCondition ref="H1:H214"/>
  </sortState>
  <tableColumns count="8">
    <tableColumn id="1" xr3:uid="{FCDF1D20-803A-4169-A38B-896BA0F12424}" uniqueName="1" name="Name" queryTableFieldId="1" dataDxfId="6"/>
    <tableColumn id="2" xr3:uid="{0771F4C0-317C-4828-B331-2D770A27A8C2}" uniqueName="2" name="Gross Cost" queryTableFieldId="11"/>
    <tableColumn id="3" xr3:uid="{737438B0-B65A-438B-B032-BCA887465F1A}" uniqueName="3" name="JID" queryTableFieldId="12"/>
    <tableColumn id="4" xr3:uid="{18AB5F4A-89DB-435F-93B0-A65AA6A875C8}" uniqueName="4" name="Schedule Start" queryTableFieldId="13"/>
    <tableColumn id="5" xr3:uid="{0E49053D-A121-4A7D-BBE2-BC2B3010F69C}" uniqueName="5" name="Schedule End" queryTableFieldId="14"/>
    <tableColumn id="6" xr3:uid="{00B46A0D-BE17-4984-B93A-499E8CD14453}" uniqueName="6" name="Team" queryTableFieldId="15"/>
    <tableColumn id="7" xr3:uid="{36D38BC5-2970-4389-AF4C-BA3F0B2EA2F1}" uniqueName="7" name="Comments" queryTableFieldId="16"/>
    <tableColumn id="8" xr3:uid="{E779763B-82C3-4F4E-B59C-C150D11F9707}" uniqueName="8" name="Location"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E29508-FD68-449B-84CF-52AD4D1BC9CE}" name="Panel_Rates" displayName="Panel_Rates" ref="Q1:AD212" tableType="queryTable" totalsRowShown="0">
  <autoFilter ref="Q1:AD212" xr:uid="{B8E29508-FD68-449B-84CF-52AD4D1BC9CE}"/>
  <tableColumns count="14">
    <tableColumn id="1" xr3:uid="{47258527-6661-472F-974E-7DFBFCA81186}" uniqueName="1" name="Panel" queryTableFieldId="1" dataDxfId="5"/>
    <tableColumn id="2" xr3:uid="{E4F44BE2-D670-410E-99DC-8105BC7637F6}" uniqueName="2" name="Category" queryTableFieldId="2" dataDxfId="4"/>
    <tableColumn id="3" xr3:uid="{97D55B16-7244-4009-840F-09F8DE5B209E}" uniqueName="3" name="1" queryTableFieldId="3"/>
    <tableColumn id="4" xr3:uid="{4115D948-B52C-4D2D-9AB5-EC4C3390F7FD}" uniqueName="4" name="2" queryTableFieldId="4"/>
    <tableColumn id="5" xr3:uid="{8E82CC12-28E0-4A79-9A8D-76DB0487A0E2}" uniqueName="5" name="3" queryTableFieldId="5"/>
    <tableColumn id="6" xr3:uid="{940D6327-4734-4A8C-94B4-B0D571C691C8}" uniqueName="6" name="4" queryTableFieldId="6"/>
    <tableColumn id="7" xr3:uid="{D1A3EF26-76FE-4748-8417-852B34DDA84D}" uniqueName="7" name="5" queryTableFieldId="7"/>
    <tableColumn id="8" xr3:uid="{D0B06BE1-2217-49A6-B64A-914EE7666507}" uniqueName="8" name="6" queryTableFieldId="8"/>
    <tableColumn id="9" xr3:uid="{43A42091-A341-4479-BC8E-8BD57750805A}" uniqueName="9" name="7" queryTableFieldId="9"/>
    <tableColumn id="10" xr3:uid="{117187E3-0572-4652-B8AD-B69622F19C14}" uniqueName="10" name="8" queryTableFieldId="10"/>
    <tableColumn id="11" xr3:uid="{9F28661D-6905-429B-81E8-CC9B23E58FC3}" uniqueName="11" name="9" queryTableFieldId="11"/>
    <tableColumn id="12" xr3:uid="{D58127F7-37AC-4602-92F7-E3D61309E609}" uniqueName="12" name="10" queryTableFieldId="12"/>
    <tableColumn id="13" xr3:uid="{8D8FD401-2E5E-4E9B-BE0A-D4619361D723}" uniqueName="13" name="11" queryTableFieldId="13"/>
    <tableColumn id="14" xr3:uid="{4BE03200-312F-4641-AA97-1A94C184DFCE}" uniqueName="14" name="12"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E583B5-1C64-4D4F-A6E3-551909437F69}" name="Panel_Names" displayName="Panel_Names" ref="AF1:AQ212" tableType="queryTable" totalsRowShown="0">
  <autoFilter ref="AF1:AQ212" xr:uid="{F2E583B5-1C64-4D4F-A6E3-551909437F69}"/>
  <tableColumns count="12">
    <tableColumn id="1" xr3:uid="{19EC28CA-6BC4-4777-A8AB-F1AA8DECA3B4}" uniqueName="1" name="1" queryTableFieldId="1"/>
    <tableColumn id="2" xr3:uid="{8DD7B531-67B9-435A-A4EA-88E9677468C2}" uniqueName="2" name="2" queryTableFieldId="2"/>
    <tableColumn id="3" xr3:uid="{9CC4CDE8-AF15-4D56-9162-621606B1D1CB}" uniqueName="3" name="3" queryTableFieldId="3"/>
    <tableColumn id="4" xr3:uid="{90DEAEB0-5169-4D32-9985-354308132065}" uniqueName="4" name="4" queryTableFieldId="4"/>
    <tableColumn id="5" xr3:uid="{1BB45E8C-E542-4AAA-9BEF-8A4CB363D5E3}" uniqueName="5" name="5" queryTableFieldId="5"/>
    <tableColumn id="6" xr3:uid="{D73E3BCA-596F-4322-B639-0D55029E5CF4}" uniqueName="6" name="6" queryTableFieldId="6"/>
    <tableColumn id="7" xr3:uid="{8E3A0F5E-6AF4-444D-8229-3A1C372C6A5C}" uniqueName="7" name="7" queryTableFieldId="7"/>
    <tableColumn id="8" xr3:uid="{9D149B2A-28D5-4FA4-A109-6F18FF6C0DD1}" uniqueName="8" name="8" queryTableFieldId="8"/>
    <tableColumn id="9" xr3:uid="{5398C72B-6D74-466D-8191-B0B7ECE0D575}" uniqueName="9" name="9" queryTableFieldId="9"/>
    <tableColumn id="10" xr3:uid="{14DCBCB7-AB47-434E-8075-E41863BEBBA1}" uniqueName="10" name="10" queryTableFieldId="10"/>
    <tableColumn id="11" xr3:uid="{109B161A-88B5-4280-8ACF-A5E7EBACEBDF}" uniqueName="11" name="11" queryTableFieldId="11"/>
    <tableColumn id="12" xr3:uid="{F04CA9EF-B415-4CA8-8F7D-8B0F944B66D7}" uniqueName="12" name="12"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3C9642-E915-4706-A7D8-9BC5122E5317}" name="Table9" displayName="Table9" ref="AS1:AT246" totalsRowShown="0" headerRowDxfId="3">
  <autoFilter ref="AS1:AT246" xr:uid="{853C9642-E915-4706-A7D8-9BC5122E5317}"/>
  <tableColumns count="2">
    <tableColumn id="1" xr3:uid="{56CD6F78-A9CA-4F8D-9A35-23E1A6CEB059}" name="Mondays" dataDxfId="2">
      <calculatedColumnFormula>AS1+7</calculatedColumnFormula>
    </tableColumn>
    <tableColumn id="2" xr3:uid="{8601F551-C330-414F-8599-4ED4CD04AE8C}" name="ACT Public Holiday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4FAA1D5-9FC6-4693-BEB4-27C91B0DE1C3}" name="Panel_List" displayName="Panel_List" ref="AV1:AV18" tableType="queryTable" totalsRowShown="0">
  <autoFilter ref="AV1:AV18" xr:uid="{D4FAA1D5-9FC6-4693-BEB4-27C91B0DE1C3}"/>
  <sortState xmlns:xlrd2="http://schemas.microsoft.com/office/spreadsheetml/2017/richdata2" ref="AV2:AV18">
    <sortCondition ref="AV1:AV18"/>
  </sortState>
  <tableColumns count="1">
    <tableColumn id="1" xr3:uid="{39DE2173-7008-462E-BACF-E091C223D8AE}" uniqueName="1" name="Panel" queryTableFieldId="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ason Group">
      <a:dk1>
        <a:srgbClr val="333333"/>
      </a:dk1>
      <a:lt1>
        <a:sysClr val="window" lastClr="FFFFFF"/>
      </a:lt1>
      <a:dk2>
        <a:srgbClr val="2D9DB1"/>
      </a:dk2>
      <a:lt2>
        <a:srgbClr val="76787A"/>
      </a:lt2>
      <a:accent1>
        <a:srgbClr val="197F93"/>
      </a:accent1>
      <a:accent2>
        <a:srgbClr val="EB6900"/>
      </a:accent2>
      <a:accent3>
        <a:srgbClr val="573C6B"/>
      </a:accent3>
      <a:accent4>
        <a:srgbClr val="DC1E14"/>
      </a:accent4>
      <a:accent5>
        <a:srgbClr val="FFC000"/>
      </a:accent5>
      <a:accent6>
        <a:srgbClr val="70AD47"/>
      </a:accent6>
      <a:hlink>
        <a:srgbClr val="157C8D"/>
      </a:hlink>
      <a:folHlink>
        <a:srgbClr val="573C6B"/>
      </a:folHlink>
    </a:clrScheme>
    <a:fontScheme name="Custom 1">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5.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F33"/>
  <sheetViews>
    <sheetView zoomScale="85" zoomScaleNormal="85" workbookViewId="0">
      <selection activeCell="B35" sqref="B35"/>
    </sheetView>
  </sheetViews>
  <sheetFormatPr defaultColWidth="8.85546875" defaultRowHeight="18" customHeight="1" x14ac:dyDescent="0.3"/>
  <cols>
    <col min="1" max="1" width="2.5703125" style="6" customWidth="1"/>
    <col min="2" max="2" width="50" style="12" customWidth="1"/>
    <col min="3" max="3" width="37.140625" style="6" customWidth="1"/>
    <col min="4" max="4" width="3.140625" style="6" customWidth="1"/>
    <col min="5" max="5" width="130.140625" style="6" customWidth="1"/>
    <col min="6" max="6" width="3" style="6" customWidth="1"/>
    <col min="7" max="7" width="40.7109375" style="6" customWidth="1"/>
    <col min="8" max="16384" width="8.85546875" style="6"/>
  </cols>
  <sheetData>
    <row r="1" spans="2:5" ht="18" customHeight="1" x14ac:dyDescent="0.3">
      <c r="B1" s="136" t="s">
        <v>0</v>
      </c>
      <c r="C1" s="53"/>
      <c r="E1" s="52" t="s">
        <v>1</v>
      </c>
    </row>
    <row r="2" spans="2:5" ht="18" customHeight="1" x14ac:dyDescent="0.3">
      <c r="B2" s="52" t="s">
        <v>2</v>
      </c>
      <c r="C2" s="53"/>
      <c r="E2" s="415" t="s">
        <v>3</v>
      </c>
    </row>
    <row r="3" spans="2:5" ht="18" customHeight="1" x14ac:dyDescent="0.3">
      <c r="B3" s="54" t="s">
        <v>4</v>
      </c>
      <c r="C3" s="10" t="s">
        <v>5</v>
      </c>
      <c r="E3" s="416"/>
    </row>
    <row r="4" spans="2:5" ht="18" customHeight="1" x14ac:dyDescent="0.3">
      <c r="B4" s="54" t="s">
        <v>6</v>
      </c>
      <c r="C4" s="10"/>
      <c r="E4" s="416"/>
    </row>
    <row r="5" spans="2:5" ht="18" customHeight="1" x14ac:dyDescent="0.3">
      <c r="B5" s="54" t="s">
        <v>7</v>
      </c>
      <c r="C5" s="10"/>
      <c r="E5" s="416"/>
    </row>
    <row r="6" spans="2:5" ht="18" customHeight="1" x14ac:dyDescent="0.3">
      <c r="B6" s="54" t="s">
        <v>8</v>
      </c>
      <c r="C6" s="10"/>
      <c r="E6" s="416"/>
    </row>
    <row r="7" spans="2:5" ht="18" customHeight="1" x14ac:dyDescent="0.3">
      <c r="B7" s="54" t="s">
        <v>9</v>
      </c>
      <c r="C7" s="10"/>
      <c r="E7" s="416"/>
    </row>
    <row r="8" spans="2:5" ht="18" customHeight="1" x14ac:dyDescent="0.3">
      <c r="B8" s="54" t="s">
        <v>10</v>
      </c>
      <c r="C8" s="10" t="s">
        <v>11</v>
      </c>
      <c r="E8" s="417"/>
    </row>
    <row r="9" spans="2:5" ht="18" customHeight="1" x14ac:dyDescent="0.3">
      <c r="B9" s="52" t="s">
        <v>12</v>
      </c>
      <c r="C9" s="55"/>
      <c r="E9" s="52" t="s">
        <v>13</v>
      </c>
    </row>
    <row r="10" spans="2:5" ht="18" customHeight="1" x14ac:dyDescent="0.3">
      <c r="B10" s="56" t="s">
        <v>14</v>
      </c>
      <c r="C10" s="133"/>
      <c r="E10" s="410" t="s">
        <v>15</v>
      </c>
    </row>
    <row r="11" spans="2:5" ht="49.5" x14ac:dyDescent="0.3">
      <c r="B11" s="56" t="s">
        <v>16</v>
      </c>
      <c r="C11" s="254" t="s">
        <v>17</v>
      </c>
      <c r="E11" s="411"/>
    </row>
    <row r="12" spans="2:5" ht="18" customHeight="1" x14ac:dyDescent="0.3">
      <c r="B12" s="56" t="s">
        <v>18</v>
      </c>
      <c r="C12" s="239" t="str">
        <f>'Time Plan (Single Release)'!D4</f>
        <v>Aleksandar Vranesevic</v>
      </c>
      <c r="E12" s="411"/>
    </row>
    <row r="13" spans="2:5" ht="18" customHeight="1" x14ac:dyDescent="0.3">
      <c r="B13" s="56" t="s">
        <v>19</v>
      </c>
      <c r="C13" s="239" t="str">
        <f>'Time Plan (Single Release)'!D5</f>
        <v>Hadas Yehezkel</v>
      </c>
      <c r="E13" s="411"/>
    </row>
    <row r="14" spans="2:5" ht="18" customHeight="1" x14ac:dyDescent="0.3">
      <c r="B14" s="57" t="s">
        <v>20</v>
      </c>
      <c r="C14" s="13" t="s">
        <v>21</v>
      </c>
      <c r="E14" s="411"/>
    </row>
    <row r="15" spans="2:5" ht="18" customHeight="1" x14ac:dyDescent="0.3">
      <c r="B15" s="56" t="s">
        <v>22</v>
      </c>
      <c r="C15" s="239">
        <f>'Time Plan (Single Release)'!C2</f>
        <v>46062</v>
      </c>
      <c r="E15" s="411"/>
    </row>
    <row r="16" spans="2:5" ht="18" customHeight="1" x14ac:dyDescent="0.3">
      <c r="B16" s="56" t="s">
        <v>23</v>
      </c>
      <c r="C16" s="14">
        <v>46328</v>
      </c>
      <c r="E16" s="412"/>
    </row>
    <row r="17" spans="2:6" ht="18" customHeight="1" x14ac:dyDescent="0.3">
      <c r="B17" s="52" t="s">
        <v>24</v>
      </c>
      <c r="C17" s="58"/>
      <c r="E17" s="52" t="s">
        <v>25</v>
      </c>
    </row>
    <row r="18" spans="2:6" ht="18" customHeight="1" x14ac:dyDescent="0.3">
      <c r="B18" s="56" t="s">
        <v>26</v>
      </c>
      <c r="C18" s="134"/>
      <c r="E18" s="410" t="s">
        <v>27</v>
      </c>
    </row>
    <row r="19" spans="2:6" ht="18" customHeight="1" x14ac:dyDescent="0.3">
      <c r="B19" s="56" t="s">
        <v>28</v>
      </c>
      <c r="C19" s="135"/>
      <c r="E19" s="411"/>
      <c r="F19" s="11"/>
    </row>
    <row r="20" spans="2:6" ht="18" customHeight="1" x14ac:dyDescent="0.3">
      <c r="B20" s="56" t="s">
        <v>29</v>
      </c>
      <c r="C20" s="135"/>
      <c r="E20" s="411"/>
      <c r="F20" s="11"/>
    </row>
    <row r="21" spans="2:6" ht="18" customHeight="1" x14ac:dyDescent="0.3">
      <c r="B21" s="56" t="s">
        <v>30</v>
      </c>
      <c r="C21" s="135">
        <f>C20-C19</f>
        <v>0</v>
      </c>
      <c r="E21" s="411"/>
      <c r="F21" s="11"/>
    </row>
    <row r="22" spans="2:6" ht="18" customHeight="1" x14ac:dyDescent="0.3">
      <c r="B22" s="56" t="s">
        <v>31</v>
      </c>
      <c r="C22" s="135">
        <f ca="1">Coversheet!C20-'Time Plan (Single Release)'!M5</f>
        <v>0</v>
      </c>
      <c r="E22" s="411"/>
    </row>
    <row r="23" spans="2:6" ht="18" customHeight="1" x14ac:dyDescent="0.3">
      <c r="B23" s="56" t="s">
        <v>32</v>
      </c>
      <c r="C23" s="13"/>
      <c r="E23" s="411"/>
    </row>
    <row r="24" spans="2:6" ht="18" customHeight="1" x14ac:dyDescent="0.3">
      <c r="B24" s="56" t="s">
        <v>33</v>
      </c>
      <c r="C24" s="13"/>
      <c r="E24" s="411"/>
    </row>
    <row r="25" spans="2:6" ht="18" customHeight="1" x14ac:dyDescent="0.3">
      <c r="B25" s="57" t="s">
        <v>34</v>
      </c>
      <c r="C25" s="13"/>
      <c r="E25" s="411"/>
    </row>
    <row r="26" spans="2:6" ht="18" customHeight="1" x14ac:dyDescent="0.3">
      <c r="B26" s="57" t="s">
        <v>35</v>
      </c>
      <c r="C26" s="13" t="s">
        <v>36</v>
      </c>
      <c r="E26" s="412"/>
    </row>
    <row r="27" spans="2:6" ht="18" customHeight="1" x14ac:dyDescent="0.3">
      <c r="B27" s="52" t="s">
        <v>37</v>
      </c>
      <c r="C27" s="58"/>
      <c r="E27" s="52" t="s">
        <v>38</v>
      </c>
      <c r="F27" s="11"/>
    </row>
    <row r="28" spans="2:6" ht="18" customHeight="1" x14ac:dyDescent="0.3">
      <c r="B28" s="57" t="s">
        <v>39</v>
      </c>
      <c r="C28" s="13" t="s">
        <v>40</v>
      </c>
      <c r="E28" s="413"/>
    </row>
    <row r="29" spans="2:6" ht="18" customHeight="1" x14ac:dyDescent="0.3">
      <c r="B29" s="59" t="s">
        <v>41</v>
      </c>
      <c r="C29" s="9"/>
      <c r="E29" s="414"/>
    </row>
    <row r="31" spans="2:6" ht="18" customHeight="1" x14ac:dyDescent="0.3">
      <c r="B31" s="132" t="s">
        <v>42</v>
      </c>
      <c r="C31" s="10" t="s">
        <v>43</v>
      </c>
    </row>
    <row r="32" spans="2:6" ht="18" customHeight="1" x14ac:dyDescent="0.3">
      <c r="B32" s="12" t="s">
        <v>36</v>
      </c>
      <c r="C32" s="131" t="s">
        <v>44</v>
      </c>
    </row>
    <row r="33" spans="3:3" ht="18" customHeight="1" x14ac:dyDescent="0.3">
      <c r="C33" s="133" t="s">
        <v>45</v>
      </c>
    </row>
  </sheetData>
  <mergeCells count="4">
    <mergeCell ref="E10:E16"/>
    <mergeCell ref="E18:E26"/>
    <mergeCell ref="E28:E29"/>
    <mergeCell ref="E2:E8"/>
  </mergeCells>
  <dataValidations count="6">
    <dataValidation type="textLength" allowBlank="1" showInputMessage="1" showErrorMessage="1" sqref="C21" xr:uid="{48B8E5CE-54A0-4C78-9F8E-4FAF83190421}">
      <formula1>0</formula1>
      <formula2>0</formula2>
    </dataValidation>
    <dataValidation type="textLength" allowBlank="1" showInputMessage="1" showErrorMessage="1" sqref="C22" xr:uid="{2DA84DE2-CF2E-42FD-9474-346B5EA07B74}">
      <formula1>0</formula1>
      <formula2>100</formula2>
    </dataValidation>
    <dataValidation type="list" allowBlank="1" showInputMessage="1" showErrorMessage="1" sqref="C25" xr:uid="{0BC4638F-2A12-4E1C-BD29-5128D69CE6C0}">
      <formula1>"Ops, Client Issue"</formula1>
    </dataValidation>
    <dataValidation type="list" allowBlank="1" showInputMessage="1" showErrorMessage="1" sqref="C14" xr:uid="{350548DC-30FD-4EC8-B48A-80145DAF99A3}">
      <formula1>"Signed I-Time, Client Timesheet, None"</formula1>
    </dataValidation>
    <dataValidation type="list" allowBlank="1" showInputMessage="1" showErrorMessage="1" sqref="C28" xr:uid="{BFA18CAB-C2F4-4497-8174-33EDB807194A}">
      <formula1>"Yes, None, Use Existing"</formula1>
    </dataValidation>
    <dataValidation type="list" allowBlank="1" showInputMessage="1" showErrorMessage="1" sqref="C3" xr:uid="{B21B9FDC-502B-451F-8C4E-40560076640B}">
      <formula1>ClientList</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806238B5-20C3-454A-8DFC-DACD1F7402A0}">
          <x14:formula1>
            <xm:f>Variable!$F$2:$F$16</xm:f>
          </x14:formula1>
          <xm:sqref>C14</xm:sqref>
        </x14:dataValidation>
        <x14:dataValidation type="list" allowBlank="1" showInputMessage="1" showErrorMessage="1" xr:uid="{492D39B9-9754-4628-8CB6-2F7CD2FF0DC0}">
          <x14:formula1>
            <xm:f>Variable!$B$2:$B$66</xm:f>
          </x14:formula1>
          <xm:sqref>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E8E2-26A8-42BB-A47D-382A8446EA42}">
  <sheetPr>
    <tabColor rgb="FF205860"/>
  </sheetPr>
  <dimension ref="B1:AJ53"/>
  <sheetViews>
    <sheetView zoomScale="80" zoomScaleNormal="80" workbookViewId="0">
      <selection activeCell="F4" sqref="F4:F9"/>
    </sheetView>
  </sheetViews>
  <sheetFormatPr defaultColWidth="9" defaultRowHeight="16.5" x14ac:dyDescent="0.3"/>
  <cols>
    <col min="1" max="1" width="1.85546875" style="6" customWidth="1"/>
    <col min="2" max="2" width="44" style="6" customWidth="1"/>
    <col min="3" max="3" width="15" style="6" customWidth="1"/>
    <col min="4" max="4" width="16.5703125" style="6" customWidth="1"/>
    <col min="5" max="5" width="12.140625" style="6" customWidth="1"/>
    <col min="6" max="6" width="16" style="6" customWidth="1"/>
    <col min="7" max="7" width="14.7109375" style="6" customWidth="1"/>
    <col min="8" max="8" width="18.5703125" style="6" customWidth="1"/>
    <col min="9" max="9" width="10.5703125" style="6" customWidth="1"/>
    <col min="10" max="10" width="9" style="6" customWidth="1"/>
    <col min="11" max="11" width="6" style="6" customWidth="1"/>
    <col min="12" max="12" width="95.5703125" style="6" customWidth="1"/>
    <col min="13" max="13" width="14.5703125" style="6" customWidth="1"/>
    <col min="14" max="14" width="16" style="6" customWidth="1"/>
    <col min="15" max="15" width="16.7109375" style="6" customWidth="1"/>
    <col min="16" max="16" width="14.5703125" style="6" customWidth="1"/>
    <col min="17" max="17" width="17.5703125" style="6" customWidth="1"/>
    <col min="18" max="18" width="10.7109375" style="6" customWidth="1"/>
    <col min="19" max="19" width="9.85546875" style="6" customWidth="1"/>
    <col min="20" max="20" width="4.7109375" style="6" customWidth="1"/>
    <col min="21" max="21" width="38.140625" style="6" customWidth="1"/>
    <col min="22" max="22" width="20.5703125" style="6" customWidth="1"/>
    <col min="23" max="23" width="18.42578125" style="6" customWidth="1"/>
    <col min="24" max="24" width="17.140625" style="6" customWidth="1"/>
    <col min="25" max="25" width="14.140625" style="6" customWidth="1"/>
    <col min="26" max="26" width="15.7109375" style="6" customWidth="1"/>
    <col min="27" max="27" width="16.5703125" style="6" customWidth="1"/>
    <col min="28" max="28" width="16" style="6" customWidth="1"/>
    <col min="29" max="29" width="10.7109375" style="6" customWidth="1"/>
    <col min="30" max="30" width="10.42578125" style="6" customWidth="1"/>
    <col min="31" max="32" width="15.5703125" style="6" customWidth="1"/>
    <col min="33" max="34" width="22" style="6" customWidth="1"/>
    <col min="35" max="35" width="15.85546875" style="6" customWidth="1"/>
    <col min="36" max="36" width="20" style="6" customWidth="1"/>
    <col min="37" max="16384" width="9" style="6"/>
  </cols>
  <sheetData>
    <row r="1" spans="2:36" x14ac:dyDescent="0.3">
      <c r="U1" s="148" t="s">
        <v>46</v>
      </c>
      <c r="V1" s="146" t="str">
        <f>Category_New</f>
        <v>Market Rates - Solutions implementation services</v>
      </c>
      <c r="W1" s="147"/>
      <c r="X1" s="48"/>
      <c r="Y1" s="48"/>
      <c r="Z1" s="48"/>
    </row>
    <row r="2" spans="2:36" s="142" customFormat="1" ht="21" customHeight="1" x14ac:dyDescent="0.25">
      <c r="B2" s="141" t="s">
        <v>47</v>
      </c>
      <c r="C2" s="141"/>
      <c r="D2" s="141"/>
      <c r="E2" s="141"/>
      <c r="F2" s="141"/>
      <c r="G2" s="141"/>
      <c r="H2" s="141"/>
      <c r="I2" s="141"/>
      <c r="J2" s="141"/>
      <c r="L2" s="141" t="s">
        <v>48</v>
      </c>
      <c r="M2" s="141"/>
      <c r="N2" s="141"/>
      <c r="O2" s="141"/>
      <c r="P2" s="141"/>
      <c r="Q2" s="141"/>
      <c r="R2" s="141"/>
      <c r="S2" s="141"/>
      <c r="U2" s="141" t="s">
        <v>49</v>
      </c>
      <c r="V2" s="141"/>
      <c r="W2" s="141"/>
      <c r="X2" s="141"/>
      <c r="Y2" s="141"/>
      <c r="Z2" s="141"/>
      <c r="AA2" s="141"/>
      <c r="AB2" s="141"/>
      <c r="AC2" s="141"/>
      <c r="AD2" s="141"/>
    </row>
    <row r="3" spans="2:36" s="49" customFormat="1" ht="37.5" customHeight="1" x14ac:dyDescent="0.3">
      <c r="B3" s="137" t="s">
        <v>50</v>
      </c>
      <c r="C3" s="138" t="s">
        <v>51</v>
      </c>
      <c r="D3" s="138" t="s">
        <v>52</v>
      </c>
      <c r="E3" s="140" t="s">
        <v>53</v>
      </c>
      <c r="F3" s="139" t="s">
        <v>54</v>
      </c>
      <c r="G3" s="139" t="s">
        <v>55</v>
      </c>
      <c r="H3" s="139" t="s">
        <v>56</v>
      </c>
      <c r="I3" s="144" t="s">
        <v>57</v>
      </c>
      <c r="J3" s="144" t="s">
        <v>58</v>
      </c>
      <c r="L3" s="137" t="s">
        <v>59</v>
      </c>
      <c r="M3" s="138" t="s">
        <v>51</v>
      </c>
      <c r="N3" s="138" t="s">
        <v>52</v>
      </c>
      <c r="O3" s="139" t="s">
        <v>54</v>
      </c>
      <c r="P3" s="139" t="s">
        <v>60</v>
      </c>
      <c r="Q3" s="139" t="s">
        <v>56</v>
      </c>
      <c r="R3" s="144" t="s">
        <v>57</v>
      </c>
      <c r="S3" s="144" t="s">
        <v>58</v>
      </c>
      <c r="U3" s="137" t="s">
        <v>61</v>
      </c>
      <c r="V3" s="145" t="s">
        <v>62</v>
      </c>
      <c r="W3" s="140" t="s">
        <v>63</v>
      </c>
      <c r="X3" s="140" t="s">
        <v>64</v>
      </c>
      <c r="Y3" s="138" t="s">
        <v>51</v>
      </c>
      <c r="Z3" s="138" t="s">
        <v>52</v>
      </c>
      <c r="AA3" s="139" t="s">
        <v>65</v>
      </c>
      <c r="AB3" s="139" t="s">
        <v>66</v>
      </c>
      <c r="AC3" s="144" t="s">
        <v>67</v>
      </c>
      <c r="AD3" s="144" t="s">
        <v>68</v>
      </c>
      <c r="AE3" s="139" t="s">
        <v>69</v>
      </c>
      <c r="AF3" s="139" t="s">
        <v>70</v>
      </c>
      <c r="AG3" s="139" t="s">
        <v>71</v>
      </c>
      <c r="AH3" s="139" t="s">
        <v>72</v>
      </c>
      <c r="AI3" s="139" t="s">
        <v>73</v>
      </c>
      <c r="AJ3" s="139" t="s">
        <v>74</v>
      </c>
    </row>
    <row r="4" spans="2:36" ht="20.25" customHeight="1" x14ac:dyDescent="0.3">
      <c r="B4" s="50" t="str" cm="1">
        <f t="array" ref="B4:B9">IFERROR(_xlfn._xlws.SORT(_xlfn.UNIQUE(_xlfn._xlws.FILTER('Time Plan (Single Release)'!B6:B64, 'Time Plan (Single Release)'!B6:B64 &lt;&gt; ""))),"")</f>
        <v>M1 - Discovery Completion</v>
      </c>
      <c r="C4" s="51" cm="1">
        <f t="array" ref="C4">IFERROR(INDEX('Time Plan (Single Release)'!$Y$3:$JN$3, 1, _xlfn.XMATCH(TRUE, _xlfn.BYCOL(('Time Plan (Single Release)'!$Y$6:$JN$64)*('Time Plan (Single Release)'!$B$6:$B$64=$B4), _xlfn.LAMBDA(_xlpm.col, SUM(_xlpm.col)&gt;0)), 0, 1)),"")</f>
        <v>46062</v>
      </c>
      <c r="D4" s="51" cm="1">
        <f t="array" ref="D4">IFERROR(INDEX('Time Plan (Single Release)'!$Y$3:$JN$3, 1, _xlfn.XMATCH(TRUE, _xlfn.BYCOL(('Time Plan (Single Release)'!$Y$6:$JN$64)*('Time Plan (Single Release)'!$B$6:$B$64=$B4), _xlfn.LAMBDA(_xlpm.col, SUM(_xlpm.col)&gt;0)), 0,-1))+4,"")</f>
        <v>46087</v>
      </c>
      <c r="E4" s="129">
        <f>IFERROR(DATEDIF('Time Plan (Single Release)'!$Y$3,$D4+3,"d")/7,"")</f>
        <v>4</v>
      </c>
      <c r="F4" s="8" cm="1">
        <f t="array" aca="1" ref="F4" ca="1">SUM(IFERROR(('Time Plan (Single Release)'!$U$6:$U$64*('Time Plan (Single Release)'!$B$6:$B$64=Pricing!$B4)),0))</f>
        <v>28773.200000000001</v>
      </c>
      <c r="G4" s="8">
        <f ca="1">$F4*0.1</f>
        <v>2877.32</v>
      </c>
      <c r="H4" s="8">
        <f t="shared" ref="H4:H29" ca="1" si="0">$F4*1.1</f>
        <v>31650.520000000004</v>
      </c>
      <c r="I4" s="143" cm="1">
        <f t="array" aca="1" ref="I4" ca="1" xml:space="preserve">
IFERROR(
(SUM('Time Plan (Single Release)'!$Y$6:$JN$64*(IFERROR('Time Plan (Single Release)'!$G$6:$G$64*40,0))*('Time Plan (Single Release)'!$B$6:$B$64=Pricing!$B4))
-
SUM('Time Plan (Single Release)'!$Y$6:$JN$64*(IFERROR('Time Plan (Single Release)'!$I$6:$I$64*40,0))*('Time Plan (Single Release)'!$B$6:$B$64=Pricing!$B4)))
/
SUM('Time Plan (Single Release)'!$Y$6:$JN$64*(IFERROR('Time Plan (Single Release)'!$G$6:$G$64*40,0))*('Time Plan (Single Release)'!$B$6:$B$64=Pricing!$B4)),"")</f>
        <v>0.41381916393567558</v>
      </c>
      <c r="J4" s="143" cm="1">
        <f t="array" aca="1" ref="J4" ca="1" xml:space="preserve">
IFERROR(
(SUM('Time Plan (Single Release)'!$Y$6:$JN$64*(IFERROR('Time Plan (Single Release)'!$I$6:$I$64*40,0))*('Time Plan (Single Release)'!$B$6:$B$64=Pricing!$B4))
-
SUM('Time Plan (Single Release)'!$Y$6:$JN$64*(IFERROR('Time Plan (Single Release)'!$K$6:$K$64*40,0))*('Time Plan (Single Release)'!$B$6:$B$64=Pricing!$B4)))
/
SUM('Time Plan (Single Release)'!$Y$6:$JN$64*(IFERROR('Time Plan (Single Release)'!$I$6:$I$64*40,0))*('Time Plan (Single Release)'!$B$6:$B$64=Pricing!$B4)),"")</f>
        <v>-6.7441646163193909E-3</v>
      </c>
      <c r="L4" s="7" t="str" cm="1">
        <f t="array" ref="L4:L8">IFERROR(_xlfn._xlws.SORT(_xlfn.UNIQUE(_xlfn._xlws.FILTER('Time Plan (Single Release)'!C6:C64, 'Time Plan (Single Release)'!C6:C64 &lt;&gt; ""))),"")</f>
        <v>1.1 Detailed requirements, business process mapping</v>
      </c>
      <c r="M4" s="51" cm="1">
        <f t="array" ref="M4">IFERROR(INDEX('Time Plan (Single Release)'!$Y$3:$JN$3, 1, _xlfn.XMATCH(TRUE, _xlfn.BYCOL(('Time Plan (Single Release)'!$Y$6:$JN$64)*('Time Plan (Single Release)'!$C$6:$C$64=$L4), _xlfn.LAMBDA(_xlpm.col, SUM(_xlpm.col)&gt;0)), 0, 1)),"")</f>
        <v>46062</v>
      </c>
      <c r="N4" s="51" cm="1">
        <f t="array" ref="N4">IFERROR(INDEX('Time Plan (Single Release)'!$Y$3:$JN$3, 1, _xlfn.XMATCH(TRUE, _xlfn.BYCOL(('Time Plan (Single Release)'!$Y$6:$JN$64)*('Time Plan (Single Release)'!$C$6:$C$64=$L4), _xlfn.LAMBDA(_xlpm.col, SUM(_xlpm.col)&gt;0)), 0,-1))+4,"")</f>
        <v>46087</v>
      </c>
      <c r="O4" s="8" cm="1">
        <f t="array" aca="1" ref="O4" ca="1">SUM(IFERROR(('Time Plan (Single Release)'!$U$6:$U$64*('Time Plan (Single Release)'!$C$6:$C$64=$L4)),0))</f>
        <v>28773.200000000001</v>
      </c>
      <c r="P4" s="8">
        <f ca="1">IFERROR(O4*0.1,"")</f>
        <v>2877.32</v>
      </c>
      <c r="Q4" s="8">
        <f ca="1">O4*1.1</f>
        <v>31650.520000000004</v>
      </c>
      <c r="R4" s="143" cm="1">
        <f t="array" aca="1" ref="R4" ca="1" xml:space="preserve">
IFERROR(
(SUM('Time Plan (Single Release)'!$Y$6:$JN$64*(IFERROR('Time Plan (Single Release)'!$G$6:$G$64*40,0))*('Time Plan (Single Release)'!$C$6:$C$64=$L4))
-
SUM('Time Plan (Single Release)'!$Y$6:$JN$64*(IFERROR('Time Plan (Single Release)'!$I$6:$I$64*40,0))*('Time Plan (Single Release)'!$C$6:$C$64=$L4)))
/
SUM('Time Plan (Single Release)'!$Y$6:$JN$64*(IFERROR('Time Plan (Single Release)'!$G$6:$G$64*40,0))*('Time Plan (Single Release)'!$C$6:$C$64=$L4)),"")</f>
        <v>0.41381916393567558</v>
      </c>
      <c r="S4" s="143" cm="1">
        <f t="array" aca="1" ref="S4" ca="1" xml:space="preserve">
IFERROR(
(SUM('Time Plan (Single Release)'!$Y$6:$JN$64*(IFERROR('Time Plan (Single Release)'!$I$6:$I$64*40,0))*('Time Plan (Single Release)'!$C$6:$C$64=$L4))
-
SUM('Time Plan (Single Release)'!$Y$6:$JN$64*(IFERROR('Time Plan (Single Release)'!$K$6:$K$64*40,0))*('Time Plan (Single Release)'!$C$6:$C$64=$L4)))
/
SUM('Time Plan (Single Release)'!$Y$6:$JN$64*(IFERROR('Time Plan (Single Release)'!$I$6:$I$64*40,0))*('Time Plan (Single Release)'!$C$6:$C$64=$L4)),"")</f>
        <v>-6.7441646163193909E-3</v>
      </c>
      <c r="U4" s="7" t="str" cm="1">
        <f t="array" ref="U4:U14">IFERROR(_xlfn._xlws.SORT(_xlfn.UNIQUE(_xlfn._xlws.FILTER('Time Plan (Single Release)'!D6:D64, 'Time Plan (Single Release)'!D6:D64 &lt;&gt; ""))),"")</f>
        <v>Anil Kinagi</v>
      </c>
      <c r="V4" s="7" t="str" cm="1">
        <f t="array" ref="V4">IFERROR(_xlfn.XLOOKUP($U4,'Time Plan (Single Release)'!$D$6:$D$194,'Time Plan (Single Release)'!$E$6:$E$194&amp;" - "&amp;'Time Plan (Single Release)'!$F$6:$F$194),"")</f>
        <v>Level 4 - Project Manager</v>
      </c>
      <c r="W4" s="237">
        <f ca="1">IFERROR(_xlfn.XLOOKUP($U4,'Time Plan (Single Release)'!$D$6:$D$64,'Time Plan (Single Release)'!$I$6:$I$64),"")</f>
        <v>207.39999999999998</v>
      </c>
      <c r="X4" s="237">
        <f ca="1">IFERROR(W4*1.1,"")</f>
        <v>228.14</v>
      </c>
      <c r="Y4" s="51" cm="1">
        <f t="array" ref="Y4">IFERROR(INDEX('Time Plan (Single Release)'!$Y$3:$JN$3, 1, _xlfn.XMATCH(TRUE, _xlfn.BYCOL(('Time Plan (Single Release)'!$Y$6:$JN$64)*('Time Plan (Single Release)'!$D$6:$D$64=$U4), _xlfn.LAMBDA(_xlpm.col, SUM(_xlpm.col)&gt;0)), 0, 1)),"")</f>
        <v>46062</v>
      </c>
      <c r="Z4" s="51" cm="1">
        <f t="array" ref="Z4">IFERROR(INDEX('Time Plan (Single Release)'!$Y$3:$JN$3, 1, _xlfn.XMATCH(TRUE, _xlfn.BYCOL(('Time Plan (Single Release)'!$Y$6:$JN$64)*('Time Plan (Single Release)'!$D$6:$D$64=$U4), _xlfn.LAMBDA(_xlpm.col, SUM(_xlpm.col)&gt;0)), 0,-1))+4,"")</f>
        <v>46220</v>
      </c>
      <c r="AA4" s="8" cm="1">
        <f t="array" aca="1" ref="AA4" ca="1">SUM(IFERROR(('Time Plan (Single Release)'!$U$6:$U$64*('Time Plan (Single Release)'!$D$6:$D$64=$U4)),0))</f>
        <v>146839.19999999998</v>
      </c>
      <c r="AB4" s="8">
        <f ca="1">AA4*1.1</f>
        <v>161523.12</v>
      </c>
      <c r="AC4" s="143" cm="1">
        <f t="array" aca="1" ref="AC4" ca="1" xml:space="preserve">
IFERROR(
(SUM('Time Plan (Single Release)'!$Y$6:$JN$64*(IFERROR('Time Plan (Single Release)'!$G$6:$G$64*40,0))*('Time Plan (Single Release)'!$D$6:$D$64=$U4))
-
SUM('Time Plan (Single Release)'!$Y$6:$JN$64*(IFERROR('Time Plan (Single Release)'!$I$6:$I$64*40,0))*('Time Plan (Single Release)'!$D$6:$D$64=$U4)))
/
SUM('Time Plan (Single Release)'!$Y$6:$JN$64*(IFERROR('Time Plan (Single Release)'!$G$6:$G$64*40,0))*('Time Plan (Single Release)'!$D$6:$D$64=$U4)),"")</f>
        <v>0.32000000000000006</v>
      </c>
      <c r="AD4" s="143" cm="1">
        <f t="array" aca="1" ref="AD4" ca="1" xml:space="preserve">
IFERROR(
(SUM('Time Plan (Single Release)'!$Y$6:$JN$64*(IFERROR('Time Plan (Single Release)'!$I$6:$I$64*40,0))*('Time Plan (Single Release)'!$D$6:$D$64=$U4))
-
SUM('Time Plan (Single Release)'!$Y$6:$JN$64*(IFERROR('Time Plan (Single Release)'!$K$6:$K$64*40,0))*('Time Plan (Single Release)'!$D$6:$D$64=$U4)))
/
SUM('Time Plan (Single Release)'!$Y$6:$JN$64*(IFERROR('Time Plan (Single Release)'!$I$6:$I$64*40,0))*('Time Plan (Single Release)'!$D$6:$D$64=$U4)),"")</f>
        <v>-0.18129218900675037</v>
      </c>
      <c r="AE4" s="263">
        <f ca="1">SUMIF('Time Plan (Single Release)'!D$6:D$64,Pricing!U4,'Time Plan (Single Release)'!S$6:S$64)</f>
        <v>708</v>
      </c>
      <c r="AF4" s="263">
        <f t="shared" ref="AF4:AF29" ca="1" si="1">AE4/8</f>
        <v>88.5</v>
      </c>
      <c r="AG4" s="263"/>
      <c r="AH4" s="263"/>
      <c r="AI4" s="264"/>
      <c r="AJ4" s="8"/>
    </row>
    <row r="5" spans="2:36" ht="20.25" customHeight="1" x14ac:dyDescent="0.3">
      <c r="B5" s="50" t="str">
        <v>M2 - Sprint 1 and 2 completion</v>
      </c>
      <c r="C5" s="51" cm="1">
        <f t="array" ref="C5">IFERROR(INDEX('Time Plan (Single Release)'!$Y$3:$JN$3, 1, _xlfn.XMATCH(TRUE, _xlfn.BYCOL(('Time Plan (Single Release)'!$Y$6:$JN$64)*('Time Plan (Single Release)'!$B$6:$B$64=$B5), _xlfn.LAMBDA(_xlpm.col, SUM(_xlpm.col)&gt;0)), 0, 1)),"")</f>
        <v>46076</v>
      </c>
      <c r="D5" s="51" cm="1">
        <f t="array" ref="D5">IFERROR(INDEX('Time Plan (Single Release)'!$Y$3:$JN$3, 1, _xlfn.XMATCH(TRUE, _xlfn.BYCOL(('Time Plan (Single Release)'!$Y$6:$JN$64)*('Time Plan (Single Release)'!$B$6:$B$64=$B5), _xlfn.LAMBDA(_xlpm.col, SUM(_xlpm.col)&gt;0)), 0,-1))+4,"")</f>
        <v>46108</v>
      </c>
      <c r="E5" s="129">
        <f>IFERROR(DATEDIF('Time Plan (Single Release)'!$Y$3,$D5+3,"d")/7,"")</f>
        <v>7</v>
      </c>
      <c r="F5" s="8" cm="1">
        <f t="array" aca="1" ref="F5" ca="1">SUM(IFERROR(('Time Plan (Single Release)'!$U$6:$U$64*('Time Plan (Single Release)'!$B$6:$B$64=Pricing!$B5)),0))</f>
        <v>166496.4</v>
      </c>
      <c r="G5" s="8">
        <f t="shared" ref="G5:G29" ca="1" si="2">$F5*0.1</f>
        <v>16649.64</v>
      </c>
      <c r="H5" s="8">
        <f t="shared" ca="1" si="0"/>
        <v>183146.04</v>
      </c>
      <c r="I5" s="143" cm="1">
        <f t="array" aca="1" ref="I5" ca="1" xml:space="preserve">
IFERROR(
(SUM('Time Plan (Single Release)'!$Y$6:$JN$64*(IFERROR('Time Plan (Single Release)'!$G$6:$G$64*40,0))*('Time Plan (Single Release)'!$B$6:$B$64=Pricing!$B5))
-
SUM('Time Plan (Single Release)'!$Y$6:$JN$64*(IFERROR('Time Plan (Single Release)'!$I$6:$I$64*40,0))*('Time Plan (Single Release)'!$B$6:$B$64=Pricing!$B5)))
/
SUM('Time Plan (Single Release)'!$Y$6:$JN$64*(IFERROR('Time Plan (Single Release)'!$G$6:$G$64*40,0))*('Time Plan (Single Release)'!$B$6:$B$64=Pricing!$B5)),"")</f>
        <v>0.41922342807924207</v>
      </c>
      <c r="J5" s="143" cm="1">
        <f t="array" aca="1" ref="J5" ca="1" xml:space="preserve">
IFERROR(
(SUM('Time Plan (Single Release)'!$Y$6:$JN$64*(IFERROR('Time Plan (Single Release)'!$I$6:$I$64*40,0))*('Time Plan (Single Release)'!$B$6:$B$64=Pricing!$B5))
-
SUM('Time Plan (Single Release)'!$Y$6:$JN$64*(IFERROR('Time Plan (Single Release)'!$K$6:$K$64*40,0))*('Time Plan (Single Release)'!$B$6:$B$64=Pricing!$B5)))
/
SUM('Time Plan (Single Release)'!$Y$6:$JN$64*(IFERROR('Time Plan (Single Release)'!$I$6:$I$64*40,0))*('Time Plan (Single Release)'!$B$6:$B$64=Pricing!$B5)),"")</f>
        <v>-4.5165699316131458E-2</v>
      </c>
      <c r="L5" s="7" t="str">
        <v>1.3 Detailed delivery plan, RACI of build/delivery meeting AGD Operating Model requirements</v>
      </c>
      <c r="M5" s="51" t="str" cm="1">
        <f t="array" ref="M5">IFERROR(INDEX('Time Plan (Single Release)'!$Y$3:$JN$3, 1, _xlfn.XMATCH(TRUE, _xlfn.BYCOL(('Time Plan (Single Release)'!$Y$6:$JN$64)*('Time Plan (Single Release)'!$C$6:$C$64=$L5), _xlfn.LAMBDA(_xlpm.col, SUM(_xlpm.col)&gt;0)), 0, 1)),"")</f>
        <v/>
      </c>
      <c r="N5" s="51" t="str" cm="1">
        <f t="array" ref="N5">IFERROR(INDEX('Time Plan (Single Release)'!$Y$3:$JN$3, 1, _xlfn.XMATCH(TRUE, _xlfn.BYCOL(('Time Plan (Single Release)'!$Y$6:$JN$64)*('Time Plan (Single Release)'!$C$6:$C$64=$L5), _xlfn.LAMBDA(_xlpm.col, SUM(_xlpm.col)&gt;0)), 0,-1))+4,"")</f>
        <v/>
      </c>
      <c r="O5" s="8" cm="1">
        <f t="array" aca="1" ref="O5" ca="1">SUM(IFERROR(('Time Plan (Single Release)'!$U$6:$U$64*('Time Plan (Single Release)'!$C$6:$C$64=$L5)),0))</f>
        <v>0</v>
      </c>
      <c r="P5" s="8">
        <f t="shared" ref="P5:P19" ca="1" si="3">IFERROR(O5*0.1,"")</f>
        <v>0</v>
      </c>
      <c r="Q5" s="8">
        <f t="shared" ref="Q5:Q19" ca="1" si="4">O5*1.1</f>
        <v>0</v>
      </c>
      <c r="R5" s="143" t="str" cm="1">
        <f t="array" aca="1" ref="R5" ca="1" xml:space="preserve">
IFERROR(
(SUM('Time Plan (Single Release)'!$Y$6:$JN$64*(IFERROR('Time Plan (Single Release)'!$G$6:$G$64*40,0))*('Time Plan (Single Release)'!$C$6:$C$64=$L5))
-
SUM('Time Plan (Single Release)'!$Y$6:$JN$64*(IFERROR('Time Plan (Single Release)'!$I$6:$I$64*40,0))*('Time Plan (Single Release)'!$C$6:$C$64=$L5)))
/
SUM('Time Plan (Single Release)'!$Y$6:$JN$64*(IFERROR('Time Plan (Single Release)'!$G$6:$G$64*40,0))*('Time Plan (Single Release)'!$C$6:$C$64=$L5)),"")</f>
        <v/>
      </c>
      <c r="S5" s="143" t="str" cm="1">
        <f t="array" aca="1" ref="S5" ca="1" xml:space="preserve">
IFERROR(
(SUM('Time Plan (Single Release)'!$Y$6:$JN$64*(IFERROR('Time Plan (Single Release)'!$I$6:$I$64*40,0))*('Time Plan (Single Release)'!$C$6:$C$64=$L5))
-
SUM('Time Plan (Single Release)'!$Y$6:$JN$64*(IFERROR('Time Plan (Single Release)'!$K$6:$K$64*40,0))*('Time Plan (Single Release)'!$C$6:$C$64=$L5)))
/
SUM('Time Plan (Single Release)'!$Y$6:$JN$64*(IFERROR('Time Plan (Single Release)'!$I$6:$I$64*40,0))*('Time Plan (Single Release)'!$C$6:$C$64=$L5)),"")</f>
        <v/>
      </c>
      <c r="U5" s="7" t="str">
        <v>Bradley Burge</v>
      </c>
      <c r="V5" s="7" t="str" cm="1">
        <f t="array" ref="V5">IFERROR(_xlfn.XLOOKUP($U5,'Time Plan (Single Release)'!$D$6:$D$194,'Time Plan (Single Release)'!$E$6:$E$194&amp;" - "&amp;'Time Plan (Single Release)'!$F$6:$F$194),"")</f>
        <v>Level 4 - Lead ServiceNow Developer</v>
      </c>
      <c r="W5" s="237">
        <f ca="1">IFERROR(_xlfn.XLOOKUP($U5,'Time Plan (Single Release)'!$D$6:$D$64,'Time Plan (Single Release)'!$I$6:$I$64),"")</f>
        <v>207.39999999999998</v>
      </c>
      <c r="X5" s="237">
        <f t="shared" ref="X5:X29" ca="1" si="5">IFERROR(W5*1.1,"")</f>
        <v>228.14</v>
      </c>
      <c r="Y5" s="51" cm="1">
        <f t="array" ref="Y5">IFERROR(INDEX('Time Plan (Single Release)'!$Y$3:$JN$3, 1, _xlfn.XMATCH(TRUE, _xlfn.BYCOL(('Time Plan (Single Release)'!$Y$6:$JN$64)*('Time Plan (Single Release)'!$D$6:$D$64=$U5), _xlfn.LAMBDA(_xlpm.col, SUM(_xlpm.col)&gt;0)), 0, 1)),"")</f>
        <v>46076</v>
      </c>
      <c r="Z5" s="51" cm="1">
        <f t="array" ref="Z5">IFERROR(INDEX('Time Plan (Single Release)'!$Y$3:$JN$3, 1, _xlfn.XMATCH(TRUE, _xlfn.BYCOL(('Time Plan (Single Release)'!$Y$6:$JN$64)*('Time Plan (Single Release)'!$D$6:$D$64=$U5), _xlfn.LAMBDA(_xlpm.col, SUM(_xlpm.col)&gt;0)), 0,-1))+4,"")</f>
        <v>46220</v>
      </c>
      <c r="AA5" s="8" cm="1">
        <f t="array" aca="1" ref="AA5" ca="1">SUM(IFERROR(('Time Plan (Single Release)'!$U$6:$U$64*('Time Plan (Single Release)'!$D$6:$D$64=$U5)),0))</f>
        <v>155428</v>
      </c>
      <c r="AB5" s="8">
        <f t="shared" ref="AB5:AB19" ca="1" si="6">AA5*1.1</f>
        <v>170970.80000000002</v>
      </c>
      <c r="AC5" s="143" cm="1">
        <f t="array" aca="1" ref="AC5" ca="1" xml:space="preserve">
IFERROR(
(SUM('Time Plan (Single Release)'!$Y$6:$JN$64*(IFERROR('Time Plan (Single Release)'!$G$6:$G$64*40,0))*('Time Plan (Single Release)'!$D$6:$D$64=$U5))
-
SUM('Time Plan (Single Release)'!$Y$6:$JN$64*(IFERROR('Time Plan (Single Release)'!$I$6:$I$64*40,0))*('Time Plan (Single Release)'!$D$6:$D$64=$U5)))
/
SUM('Time Plan (Single Release)'!$Y$6:$JN$64*(IFERROR('Time Plan (Single Release)'!$G$6:$G$64*40,0))*('Time Plan (Single Release)'!$D$6:$D$64=$U5)),"")</f>
        <v>0.37714285714285717</v>
      </c>
      <c r="AD5" s="143" cm="1">
        <f t="array" aca="1" ref="AD5" ca="1" xml:space="preserve">
IFERROR(
(SUM('Time Plan (Single Release)'!$Y$6:$JN$64*(IFERROR('Time Plan (Single Release)'!$I$6:$I$64*40,0))*('Time Plan (Single Release)'!$D$6:$D$64=$U5))
-
SUM('Time Plan (Single Release)'!$Y$6:$JN$64*(IFERROR('Time Plan (Single Release)'!$K$6:$K$64*40,0))*('Time Plan (Single Release)'!$D$6:$D$64=$U5)))
/
SUM('Time Plan (Single Release)'!$Y$6:$JN$64*(IFERROR('Time Plan (Single Release)'!$I$6:$I$64*40,0))*('Time Plan (Single Release)'!$D$6:$D$64=$U5)),"")</f>
        <v>0.20514363062114604</v>
      </c>
      <c r="AE5" s="263">
        <f ca="1">SUMIF('Time Plan (Single Release)'!D$6:D$64,Pricing!U5,'Time Plan (Single Release)'!S$6:S$64)</f>
        <v>820</v>
      </c>
      <c r="AF5" s="263">
        <f t="shared" ca="1" si="1"/>
        <v>102.5</v>
      </c>
      <c r="AG5" s="263">
        <f t="shared" ref="AG5:AG11" ca="1" si="7">IFERROR(AE5+(AA$4*AI5/W5),"")</f>
        <v>820</v>
      </c>
      <c r="AH5" s="263">
        <f t="shared" ref="AH5:AH29" ca="1" si="8">IFERROR(AG5/8,"")</f>
        <v>102.5</v>
      </c>
      <c r="AI5" s="264">
        <v>0</v>
      </c>
      <c r="AJ5" s="8">
        <f t="shared" ref="AJ5:AJ11" ca="1" si="9">AG5*W5</f>
        <v>170067.99999999997</v>
      </c>
    </row>
    <row r="6" spans="2:36" ht="20.25" customHeight="1" x14ac:dyDescent="0.3">
      <c r="B6" s="50" t="str">
        <v>M3 - Sprint 3 and 4 completion</v>
      </c>
      <c r="C6" s="51" cm="1">
        <f t="array" ref="C6">IFERROR(INDEX('Time Plan (Single Release)'!$Y$3:$JN$3, 1, _xlfn.XMATCH(TRUE, _xlfn.BYCOL(('Time Plan (Single Release)'!$Y$6:$JN$64)*('Time Plan (Single Release)'!$B$6:$B$64=$B6), _xlfn.LAMBDA(_xlpm.col, SUM(_xlpm.col)&gt;0)), 0, 1)),"")</f>
        <v>46111</v>
      </c>
      <c r="D6" s="51" cm="1">
        <f t="array" ref="D6">IFERROR(INDEX('Time Plan (Single Release)'!$Y$3:$JN$3, 1, _xlfn.XMATCH(TRUE, _xlfn.BYCOL(('Time Plan (Single Release)'!$Y$6:$JN$64)*('Time Plan (Single Release)'!$B$6:$B$64=$B6), _xlfn.LAMBDA(_xlpm.col, SUM(_xlpm.col)&gt;0)), 0,-1))+4,"")</f>
        <v>46136</v>
      </c>
      <c r="E6" s="129">
        <f>IFERROR(DATEDIF('Time Plan (Single Release)'!$Y$3,$D6+3,"d")/7,"")</f>
        <v>11</v>
      </c>
      <c r="F6" s="8" cm="1">
        <f t="array" aca="1" ref="F6" ca="1">SUM(IFERROR(('Time Plan (Single Release)'!$U$6:$U$64*('Time Plan (Single Release)'!$B$6:$B$64=Pricing!$B6)),0))</f>
        <v>202558.44</v>
      </c>
      <c r="G6" s="8">
        <f t="shared" ca="1" si="2"/>
        <v>20255.844000000001</v>
      </c>
      <c r="H6" s="8">
        <f t="shared" ca="1" si="0"/>
        <v>222814.28400000001</v>
      </c>
      <c r="I6" s="143" cm="1">
        <f t="array" aca="1" ref="I6" ca="1" xml:space="preserve">
IFERROR(
(SUM('Time Plan (Single Release)'!$Y$6:$JN$64*(IFERROR('Time Plan (Single Release)'!$G$6:$G$64*40,0))*('Time Plan (Single Release)'!$B$6:$B$64=Pricing!$B6))
-
SUM('Time Plan (Single Release)'!$Y$6:$JN$64*(IFERROR('Time Plan (Single Release)'!$I$6:$I$64*40,0))*('Time Plan (Single Release)'!$B$6:$B$64=Pricing!$B6)))
/
SUM('Time Plan (Single Release)'!$Y$6:$JN$64*(IFERROR('Time Plan (Single Release)'!$G$6:$G$64*40,0))*('Time Plan (Single Release)'!$B$6:$B$64=Pricing!$B6)),"")</f>
        <v>0.37904628828618192</v>
      </c>
      <c r="J6" s="143" cm="1">
        <f t="array" aca="1" ref="J6" ca="1" xml:space="preserve">
IFERROR(
(SUM('Time Plan (Single Release)'!$Y$6:$JN$64*(IFERROR('Time Plan (Single Release)'!$I$6:$I$64*40,0))*('Time Plan (Single Release)'!$B$6:$B$64=Pricing!$B6))
-
SUM('Time Plan (Single Release)'!$Y$6:$JN$64*(IFERROR('Time Plan (Single Release)'!$K$6:$K$64*40,0))*('Time Plan (Single Release)'!$B$6:$B$64=Pricing!$B6)))
/
SUM('Time Plan (Single Release)'!$Y$6:$JN$64*(IFERROR('Time Plan (Single Release)'!$I$6:$I$64*40,0))*('Time Plan (Single Release)'!$B$6:$B$64=Pricing!$B6)),"")</f>
        <v>3.4038096778827111E-2</v>
      </c>
      <c r="L6" s="7" t="str">
        <v>1.4 Acceptance certificate</v>
      </c>
      <c r="M6" s="51" t="str" cm="1">
        <f t="array" ref="M6">IFERROR(INDEX('Time Plan (Single Release)'!$Y$3:$JN$3, 1, _xlfn.XMATCH(TRUE, _xlfn.BYCOL(('Time Plan (Single Release)'!$Y$6:$JN$64)*('Time Plan (Single Release)'!$C$6:$C$64=$L6), _xlfn.LAMBDA(_xlpm.col, SUM(_xlpm.col)&gt;0)), 0, 1)),"")</f>
        <v/>
      </c>
      <c r="N6" s="51" t="str" cm="1">
        <f t="array" ref="N6">IFERROR(INDEX('Time Plan (Single Release)'!$Y$3:$JN$3, 1, _xlfn.XMATCH(TRUE, _xlfn.BYCOL(('Time Plan (Single Release)'!$Y$6:$JN$64)*('Time Plan (Single Release)'!$C$6:$C$64=$L6), _xlfn.LAMBDA(_xlpm.col, SUM(_xlpm.col)&gt;0)), 0,-1))+4,"")</f>
        <v/>
      </c>
      <c r="O6" s="8" cm="1">
        <f t="array" aca="1" ref="O6" ca="1">SUM(IFERROR(('Time Plan (Single Release)'!$U$6:$U$64*('Time Plan (Single Release)'!$C$6:$C$64=$L6)),0))</f>
        <v>0</v>
      </c>
      <c r="P6" s="8">
        <f t="shared" ca="1" si="3"/>
        <v>0</v>
      </c>
      <c r="Q6" s="8">
        <f t="shared" ca="1" si="4"/>
        <v>0</v>
      </c>
      <c r="R6" s="143" t="str" cm="1">
        <f t="array" aca="1" ref="R6" ca="1" xml:space="preserve">
IFERROR(
(SUM('Time Plan (Single Release)'!$Y$6:$JN$64*(IFERROR('Time Plan (Single Release)'!$G$6:$G$64*40,0))*('Time Plan (Single Release)'!$C$6:$C$64=$L6))
-
SUM('Time Plan (Single Release)'!$Y$6:$JN$64*(IFERROR('Time Plan (Single Release)'!$I$6:$I$64*40,0))*('Time Plan (Single Release)'!$C$6:$C$64=$L6)))
/
SUM('Time Plan (Single Release)'!$Y$6:$JN$64*(IFERROR('Time Plan (Single Release)'!$G$6:$G$64*40,0))*('Time Plan (Single Release)'!$C$6:$C$64=$L6)),"")</f>
        <v/>
      </c>
      <c r="S6" s="143" t="str" cm="1">
        <f t="array" aca="1" ref="S6" ca="1" xml:space="preserve">
IFERROR(
(SUM('Time Plan (Single Release)'!$Y$6:$JN$64*(IFERROR('Time Plan (Single Release)'!$I$6:$I$64*40,0))*('Time Plan (Single Release)'!$C$6:$C$64=$L6))
-
SUM('Time Plan (Single Release)'!$Y$6:$JN$64*(IFERROR('Time Plan (Single Release)'!$K$6:$K$64*40,0))*('Time Plan (Single Release)'!$C$6:$C$64=$L6)))
/
SUM('Time Plan (Single Release)'!$Y$6:$JN$64*(IFERROR('Time Plan (Single Release)'!$I$6:$I$64*40,0))*('Time Plan (Single Release)'!$C$6:$C$64=$L6)),"")</f>
        <v/>
      </c>
      <c r="U6" s="7" t="str">
        <v>Contingency</v>
      </c>
      <c r="V6" s="7" t="str" cm="1">
        <f t="array" ref="V6">IFERROR(_xlfn.XLOOKUP($U6,'Time Plan (Single Release)'!$D$6:$D$194,'Time Plan (Single Release)'!$E$6:$E$194&amp;" - "&amp;'Time Plan (Single Release)'!$F$6:$F$194),"")</f>
        <v xml:space="preserve"> - </v>
      </c>
      <c r="W6" s="237">
        <f ca="1">IFERROR(_xlfn.XLOOKUP($U6,'Time Plan (Single Release)'!$D$6:$D$64,'Time Plan (Single Release)'!$I$6:$I$64),"")</f>
        <v>1438.66</v>
      </c>
      <c r="X6" s="237">
        <f t="shared" ca="1" si="5"/>
        <v>1582.5260000000003</v>
      </c>
      <c r="Y6" s="51" cm="1">
        <f t="array" ref="Y6">IFERROR(INDEX('Time Plan (Single Release)'!$Y$3:$JN$3, 1, _xlfn.XMATCH(TRUE, _xlfn.BYCOL(('Time Plan (Single Release)'!$Y$6:$JN$64)*('Time Plan (Single Release)'!$D$6:$D$64=$U6), _xlfn.LAMBDA(_xlpm.col, SUM(_xlpm.col)&gt;0)), 0, 1)),"")</f>
        <v>46069</v>
      </c>
      <c r="Z6" s="51" cm="1">
        <f t="array" ref="Z6">IFERROR(INDEX('Time Plan (Single Release)'!$Y$3:$JN$3, 1, _xlfn.XMATCH(TRUE, _xlfn.BYCOL(('Time Plan (Single Release)'!$Y$6:$JN$64)*('Time Plan (Single Release)'!$D$6:$D$64=$U6), _xlfn.LAMBDA(_xlpm.col, SUM(_xlpm.col)&gt;0)), 0,-1))+4,"")</f>
        <v>46136</v>
      </c>
      <c r="AA6" s="8" cm="1">
        <f t="array" aca="1" ref="AA6" ca="1">SUM(IFERROR(('Time Plan (Single Release)'!$U$6:$U$64*('Time Plan (Single Release)'!$D$6:$D$64=$U6)),0))</f>
        <v>17574.04</v>
      </c>
      <c r="AB6" s="8">
        <f t="shared" ca="1" si="6"/>
        <v>19331.444000000003</v>
      </c>
      <c r="AC6" s="143" t="str" cm="1">
        <f t="array" aca="1" ref="AC6" ca="1" xml:space="preserve">
IFERROR(
(SUM('Time Plan (Single Release)'!$Y$6:$JN$64*(IFERROR('Time Plan (Single Release)'!$G$6:$G$64*40,0))*('Time Plan (Single Release)'!$D$6:$D$64=$U6))
-
SUM('Time Plan (Single Release)'!$Y$6:$JN$64*(IFERROR('Time Plan (Single Release)'!$I$6:$I$64*40,0))*('Time Plan (Single Release)'!$D$6:$D$64=$U6)))
/
SUM('Time Plan (Single Release)'!$Y$6:$JN$64*(IFERROR('Time Plan (Single Release)'!$G$6:$G$64*40,0))*('Time Plan (Single Release)'!$D$6:$D$64=$U6)),"")</f>
        <v/>
      </c>
      <c r="AD6" s="143" cm="1">
        <f t="array" aca="1" ref="AD6" ca="1" xml:space="preserve">
IFERROR(
(SUM('Time Plan (Single Release)'!$Y$6:$JN$64*(IFERROR('Time Plan (Single Release)'!$I$6:$I$64*40,0))*('Time Plan (Single Release)'!$D$6:$D$64=$U6))
-
SUM('Time Plan (Single Release)'!$Y$6:$JN$64*(IFERROR('Time Plan (Single Release)'!$K$6:$K$64*40,0))*('Time Plan (Single Release)'!$D$6:$D$64=$U6)))
/
SUM('Time Plan (Single Release)'!$Y$6:$JN$64*(IFERROR('Time Plan (Single Release)'!$I$6:$I$64*40,0))*('Time Plan (Single Release)'!$D$6:$D$64=$U6)),"")</f>
        <v>1</v>
      </c>
      <c r="AE6" s="263">
        <f ca="1">SUMIF('Time Plan (Single Release)'!D$6:D$64,Pricing!U6,'Time Plan (Single Release)'!S$6:S$64)</f>
        <v>3</v>
      </c>
      <c r="AF6" s="263">
        <f t="shared" ca="1" si="1"/>
        <v>0.375</v>
      </c>
      <c r="AG6" s="263">
        <f t="shared" ca="1" si="7"/>
        <v>3</v>
      </c>
      <c r="AH6" s="263">
        <f t="shared" ca="1" si="8"/>
        <v>0.375</v>
      </c>
      <c r="AI6" s="264">
        <v>0</v>
      </c>
      <c r="AJ6" s="8">
        <f t="shared" ca="1" si="9"/>
        <v>4315.9800000000005</v>
      </c>
    </row>
    <row r="7" spans="2:36" ht="20.25" customHeight="1" x14ac:dyDescent="0.3">
      <c r="B7" s="50" t="str">
        <v xml:space="preserve">M4 - Sprint 5 and 6 completion </v>
      </c>
      <c r="C7" s="51" cm="1">
        <f t="array" ref="C7">IFERROR(INDEX('Time Plan (Single Release)'!$Y$3:$JN$3, 1, _xlfn.XMATCH(TRUE, _xlfn.BYCOL(('Time Plan (Single Release)'!$Y$6:$JN$64)*('Time Plan (Single Release)'!$B$6:$B$64=$B7), _xlfn.LAMBDA(_xlpm.col, SUM(_xlpm.col)&gt;0)), 0, 1)),"")</f>
        <v>46139</v>
      </c>
      <c r="D7" s="51" cm="1">
        <f t="array" ref="D7">IFERROR(INDEX('Time Plan (Single Release)'!$Y$3:$JN$3, 1, _xlfn.XMATCH(TRUE, _xlfn.BYCOL(('Time Plan (Single Release)'!$Y$6:$JN$64)*('Time Plan (Single Release)'!$B$6:$B$64=$B7), _xlfn.LAMBDA(_xlpm.col, SUM(_xlpm.col)&gt;0)), 0,-1))+4,"")</f>
        <v>46164</v>
      </c>
      <c r="E7" s="129">
        <f>IFERROR(DATEDIF('Time Plan (Single Release)'!$Y$3,$D7+3,"d")/7,"")</f>
        <v>15</v>
      </c>
      <c r="F7" s="8" cm="1">
        <f t="array" aca="1" ref="F7" ca="1">SUM(IFERROR(('Time Plan (Single Release)'!$U$6:$U$64*('Time Plan (Single Release)'!$B$6:$B$64=Pricing!$B7)),0))</f>
        <v>212800</v>
      </c>
      <c r="G7" s="8">
        <f t="shared" ca="1" si="2"/>
        <v>21280</v>
      </c>
      <c r="H7" s="8">
        <f t="shared" ca="1" si="0"/>
        <v>234080.00000000003</v>
      </c>
      <c r="I7" s="143" cm="1">
        <f t="array" aca="1" ref="I7" ca="1" xml:space="preserve">
IFERROR(
(SUM('Time Plan (Single Release)'!$Y$6:$JN$64*(IFERROR('Time Plan (Single Release)'!$G$6:$G$64*40,0))*('Time Plan (Single Release)'!$B$6:$B$64=Pricing!$B7))
-
SUM('Time Plan (Single Release)'!$Y$6:$JN$64*(IFERROR('Time Plan (Single Release)'!$I$6:$I$64*40,0))*('Time Plan (Single Release)'!$B$6:$B$64=Pricing!$B7)))
/
SUM('Time Plan (Single Release)'!$Y$6:$JN$64*(IFERROR('Time Plan (Single Release)'!$G$6:$G$64*40,0))*('Time Plan (Single Release)'!$B$6:$B$64=Pricing!$B7)),"")</f>
        <v>0.43101604278074868</v>
      </c>
      <c r="J7" s="143" cm="1">
        <f t="array" aca="1" ref="J7" ca="1" xml:space="preserve">
IFERROR(
(SUM('Time Plan (Single Release)'!$Y$6:$JN$64*(IFERROR('Time Plan (Single Release)'!$I$6:$I$64*40,0))*('Time Plan (Single Release)'!$B$6:$B$64=Pricing!$B7))
-
SUM('Time Plan (Single Release)'!$Y$6:$JN$64*(IFERROR('Time Plan (Single Release)'!$K$6:$K$64*40,0))*('Time Plan (Single Release)'!$B$6:$B$64=Pricing!$B7)))
/
SUM('Time Plan (Single Release)'!$Y$6:$JN$64*(IFERROR('Time Plan (Single Release)'!$I$6:$I$64*40,0))*('Time Plan (Single Release)'!$B$6:$B$64=Pricing!$B7)),"")</f>
        <v>-6.1624060150375831E-2</v>
      </c>
      <c r="L7" s="7" t="str">
        <v>2.1 Project management and compliance documentation</v>
      </c>
      <c r="M7" s="51" cm="1">
        <f t="array" ref="M7">IFERROR(INDEX('Time Plan (Single Release)'!$Y$3:$JN$3, 1, _xlfn.XMATCH(TRUE, _xlfn.BYCOL(('Time Plan (Single Release)'!$Y$6:$JN$64)*('Time Plan (Single Release)'!$C$6:$C$64=$L7), _xlfn.LAMBDA(_xlpm.col, SUM(_xlpm.col)&gt;0)), 0, 1)),"")</f>
        <v>46083</v>
      </c>
      <c r="N7" s="51" cm="1">
        <f t="array" ref="N7">IFERROR(INDEX('Time Plan (Single Release)'!$Y$3:$JN$3, 1, _xlfn.XMATCH(TRUE, _xlfn.BYCOL(('Time Plan (Single Release)'!$Y$6:$JN$64)*('Time Plan (Single Release)'!$C$6:$C$64=$L7), _xlfn.LAMBDA(_xlpm.col, SUM(_xlpm.col)&gt;0)), 0,-1))+4,"")</f>
        <v>46220</v>
      </c>
      <c r="O7" s="8" cm="1">
        <f t="array" aca="1" ref="O7" ca="1">SUM(IFERROR(('Time Plan (Single Release)'!$U$6:$U$64*('Time Plan (Single Release)'!$C$6:$C$64=$L7)),0))</f>
        <v>227755.19999999998</v>
      </c>
      <c r="P7" s="8">
        <f t="shared" ca="1" si="3"/>
        <v>22775.52</v>
      </c>
      <c r="Q7" s="8">
        <f t="shared" ca="1" si="4"/>
        <v>250530.72</v>
      </c>
      <c r="R7" s="143" cm="1">
        <f t="array" aca="1" ref="R7" ca="1" xml:space="preserve">
IFERROR(
(SUM('Time Plan (Single Release)'!$Y$6:$JN$64*(IFERROR('Time Plan (Single Release)'!$G$6:$G$64*40,0))*('Time Plan (Single Release)'!$C$6:$C$64=$L7))
-
SUM('Time Plan (Single Release)'!$Y$6:$JN$64*(IFERROR('Time Plan (Single Release)'!$I$6:$I$64*40,0))*('Time Plan (Single Release)'!$C$6:$C$64=$L7)))
/
SUM('Time Plan (Single Release)'!$Y$6:$JN$64*(IFERROR('Time Plan (Single Release)'!$G$6:$G$64*40,0))*('Time Plan (Single Release)'!$C$6:$C$64=$L7)),"")</f>
        <v>0.34372060857538039</v>
      </c>
      <c r="S7" s="143" cm="1">
        <f t="array" aca="1" ref="S7" ca="1" xml:space="preserve">
IFERROR(
(SUM('Time Plan (Single Release)'!$Y$6:$JN$64*(IFERROR('Time Plan (Single Release)'!$I$6:$I$64*40,0))*('Time Plan (Single Release)'!$C$6:$C$64=$L7))
-
SUM('Time Plan (Single Release)'!$Y$6:$JN$64*(IFERROR('Time Plan (Single Release)'!$K$6:$K$64*40,0))*('Time Plan (Single Release)'!$C$6:$C$64=$L7)))
/
SUM('Time Plan (Single Release)'!$Y$6:$JN$64*(IFERROR('Time Plan (Single Release)'!$I$6:$I$64*40,0))*('Time Plan (Single Release)'!$C$6:$C$64=$L7)),"")</f>
        <v>9.1115372996971433E-3</v>
      </c>
      <c r="U7" s="7" t="str">
        <v>Contractor-Tester-Manager</v>
      </c>
      <c r="V7" s="7" t="str" cm="1">
        <f t="array" ref="V7">IFERROR(_xlfn.XLOOKUP($U7,'Time Plan (Single Release)'!$D$6:$D$194,'Time Plan (Single Release)'!$E$6:$E$194&amp;" - "&amp;'Time Plan (Single Release)'!$F$6:$F$194),"")</f>
        <v>Level 3 - Senior Tester</v>
      </c>
      <c r="W7" s="237">
        <f ca="1">IFERROR(_xlfn.XLOOKUP($U7,'Time Plan (Single Release)'!$D$6:$D$64,'Time Plan (Single Release)'!$I$6:$I$64),"")</f>
        <v>151.9</v>
      </c>
      <c r="X7" s="237">
        <f t="shared" ca="1" si="5"/>
        <v>167.09000000000003</v>
      </c>
      <c r="Y7" s="51" cm="1">
        <f t="array" ref="Y7">IFERROR(INDEX('Time Plan (Single Release)'!$Y$3:$JN$3, 1, _xlfn.XMATCH(TRUE, _xlfn.BYCOL(('Time Plan (Single Release)'!$Y$6:$JN$64)*('Time Plan (Single Release)'!$D$6:$D$64=$U7), _xlfn.LAMBDA(_xlpm.col, SUM(_xlpm.col)&gt;0)), 0, 1)),"")</f>
        <v>46125</v>
      </c>
      <c r="Z7" s="51" cm="1">
        <f t="array" ref="Z7">IFERROR(INDEX('Time Plan (Single Release)'!$Y$3:$JN$3, 1, _xlfn.XMATCH(TRUE, _xlfn.BYCOL(('Time Plan (Single Release)'!$Y$6:$JN$64)*('Time Plan (Single Release)'!$D$6:$D$64=$U7), _xlfn.LAMBDA(_xlpm.col, SUM(_xlpm.col)&gt;0)), 0,-1))+4,"")</f>
        <v>46192</v>
      </c>
      <c r="AA7" s="8" cm="1">
        <f t="array" aca="1" ref="AA7" ca="1">SUM(IFERROR(('Time Plan (Single Release)'!$U$6:$U$64*('Time Plan (Single Release)'!$D$6:$D$64=$U7)),0))</f>
        <v>60760</v>
      </c>
      <c r="AB7" s="8">
        <f t="shared" ca="1" si="6"/>
        <v>66836</v>
      </c>
      <c r="AC7" s="143" cm="1">
        <f t="array" aca="1" ref="AC7" ca="1" xml:space="preserve">
IFERROR(
(SUM('Time Plan (Single Release)'!$Y$6:$JN$64*(IFERROR('Time Plan (Single Release)'!$G$6:$G$64*40,0))*('Time Plan (Single Release)'!$D$6:$D$64=$U7))
-
SUM('Time Plan (Single Release)'!$Y$6:$JN$64*(IFERROR('Time Plan (Single Release)'!$I$6:$I$64*40,0))*('Time Plan (Single Release)'!$D$6:$D$64=$U7)))
/
SUM('Time Plan (Single Release)'!$Y$6:$JN$64*(IFERROR('Time Plan (Single Release)'!$G$6:$G$64*40,0))*('Time Plan (Single Release)'!$D$6:$D$64=$U7)),"")</f>
        <v>0.38</v>
      </c>
      <c r="AD7" s="143" cm="1">
        <f t="array" aca="1" ref="AD7" ca="1" xml:space="preserve">
IFERROR(
(SUM('Time Plan (Single Release)'!$Y$6:$JN$64*(IFERROR('Time Plan (Single Release)'!$I$6:$I$64*40,0))*('Time Plan (Single Release)'!$D$6:$D$64=$U7))
-
SUM('Time Plan (Single Release)'!$Y$6:$JN$64*(IFERROR('Time Plan (Single Release)'!$K$6:$K$64*40,0))*('Time Plan (Single Release)'!$D$6:$D$64=$U7)))
/
SUM('Time Plan (Single Release)'!$Y$6:$JN$64*(IFERROR('Time Plan (Single Release)'!$I$6:$I$64*40,0))*('Time Plan (Single Release)'!$D$6:$D$64=$U7)),"")</f>
        <v>-5.9907834101382486E-2</v>
      </c>
      <c r="AE7" s="263">
        <f ca="1">SUMIF('Time Plan (Single Release)'!D$6:D$64,Pricing!U7,'Time Plan (Single Release)'!S$6:S$64)</f>
        <v>400</v>
      </c>
      <c r="AF7" s="263">
        <f t="shared" ca="1" si="1"/>
        <v>50</v>
      </c>
      <c r="AG7" s="263">
        <f t="shared" ca="1" si="7"/>
        <v>883.34167215273192</v>
      </c>
      <c r="AH7" s="263">
        <f t="shared" ca="1" si="8"/>
        <v>110.41770901909149</v>
      </c>
      <c r="AI7" s="264">
        <v>0.5</v>
      </c>
      <c r="AJ7" s="8">
        <f t="shared" ca="1" si="9"/>
        <v>134179.59999999998</v>
      </c>
    </row>
    <row r="8" spans="2:36" ht="20.25" customHeight="1" x14ac:dyDescent="0.3">
      <c r="B8" s="50" t="str">
        <v>M5 - Test Completion &amp; Go-live</v>
      </c>
      <c r="C8" s="51" cm="1">
        <f t="array" ref="C8">IFERROR(INDEX('Time Plan (Single Release)'!$Y$3:$JN$3, 1, _xlfn.XMATCH(TRUE, _xlfn.BYCOL(('Time Plan (Single Release)'!$Y$6:$JN$64)*('Time Plan (Single Release)'!$B$6:$B$64=$B8), _xlfn.LAMBDA(_xlpm.col, SUM(_xlpm.col)&gt;0)), 0, 1)),"")</f>
        <v>46167</v>
      </c>
      <c r="D8" s="51" cm="1">
        <f t="array" ref="D8">IFERROR(INDEX('Time Plan (Single Release)'!$Y$3:$JN$3, 1, _xlfn.XMATCH(TRUE, _xlfn.BYCOL(('Time Plan (Single Release)'!$Y$6:$JN$64)*('Time Plan (Single Release)'!$B$6:$B$64=$B8), _xlfn.LAMBDA(_xlpm.col, SUM(_xlpm.col)&gt;0)), 0,-1))+4,"")</f>
        <v>46192</v>
      </c>
      <c r="E8" s="129">
        <f>IFERROR(DATEDIF('Time Plan (Single Release)'!$Y$3,$D8+3,"d")/7,"")</f>
        <v>19</v>
      </c>
      <c r="F8" s="8" cm="1">
        <f t="array" aca="1" ref="F8" ca="1">SUM(IFERROR(('Time Plan (Single Release)'!$U$6:$U$64*('Time Plan (Single Release)'!$B$6:$B$64=Pricing!$B8)),0))</f>
        <v>112048</v>
      </c>
      <c r="G8" s="8">
        <f t="shared" ca="1" si="2"/>
        <v>11204.800000000001</v>
      </c>
      <c r="H8" s="8">
        <f t="shared" ca="1" si="0"/>
        <v>123252.8</v>
      </c>
      <c r="I8" s="143" cm="1">
        <f t="array" aca="1" ref="I8" ca="1" xml:space="preserve">
IFERROR(
(SUM('Time Plan (Single Release)'!$Y$6:$JN$64*(IFERROR('Time Plan (Single Release)'!$G$6:$G$64*40,0))*('Time Plan (Single Release)'!$B$6:$B$64=Pricing!$B8))
-
SUM('Time Plan (Single Release)'!$Y$6:$JN$64*(IFERROR('Time Plan (Single Release)'!$I$6:$I$64*40,0))*('Time Plan (Single Release)'!$B$6:$B$64=Pricing!$B8)))
/
SUM('Time Plan (Single Release)'!$Y$6:$JN$64*(IFERROR('Time Plan (Single Release)'!$G$6:$G$64*40,0))*('Time Plan (Single Release)'!$B$6:$B$64=Pricing!$B8)),"")</f>
        <v>0.45448880233690359</v>
      </c>
      <c r="J8" s="143" cm="1">
        <f t="array" aca="1" ref="J8" ca="1" xml:space="preserve">
IFERROR(
(SUM('Time Plan (Single Release)'!$Y$6:$JN$64*(IFERROR('Time Plan (Single Release)'!$I$6:$I$64*40,0))*('Time Plan (Single Release)'!$B$6:$B$64=Pricing!$B8))
-
SUM('Time Plan (Single Release)'!$Y$6:$JN$64*(IFERROR('Time Plan (Single Release)'!$K$6:$K$64*40,0))*('Time Plan (Single Release)'!$B$6:$B$64=Pricing!$B8)))
/
SUM('Time Plan (Single Release)'!$Y$6:$JN$64*(IFERROR('Time Plan (Single Release)'!$I$6:$I$64*40,0))*('Time Plan (Single Release)'!$B$6:$B$64=Pricing!$B8)),"")</f>
        <v>-0.21947736684278166</v>
      </c>
      <c r="L8" s="7" t="str">
        <v>2.2 Build</v>
      </c>
      <c r="M8" s="51" cm="1">
        <f t="array" ref="M8">IFERROR(INDEX('Time Plan (Single Release)'!$Y$3:$JN$3, 1, _xlfn.XMATCH(TRUE, _xlfn.BYCOL(('Time Plan (Single Release)'!$Y$6:$JN$64)*('Time Plan (Single Release)'!$C$6:$C$64=$L8), _xlfn.LAMBDA(_xlpm.col, SUM(_xlpm.col)&gt;0)), 0, 1)),"")</f>
        <v>46076</v>
      </c>
      <c r="N8" s="51" cm="1">
        <f t="array" ref="N8">IFERROR(INDEX('Time Plan (Single Release)'!$Y$3:$JN$3, 1, _xlfn.XMATCH(TRUE, _xlfn.BYCOL(('Time Plan (Single Release)'!$Y$6:$JN$64)*('Time Plan (Single Release)'!$C$6:$C$64=$L8), _xlfn.LAMBDA(_xlpm.col, SUM(_xlpm.col)&gt;0)), 0,-1))+4,"")</f>
        <v>46220</v>
      </c>
      <c r="O8" s="8" cm="1">
        <f t="array" aca="1" ref="O8" ca="1">SUM(IFERROR(('Time Plan (Single Release)'!$U$6:$U$64*('Time Plan (Single Release)'!$C$6:$C$64=$L8)),0))</f>
        <v>518242.04</v>
      </c>
      <c r="P8" s="8">
        <f t="shared" ca="1" si="3"/>
        <v>51824.203999999998</v>
      </c>
      <c r="Q8" s="8">
        <f t="shared" ca="1" si="4"/>
        <v>570066.24400000006</v>
      </c>
      <c r="R8" s="143" cm="1">
        <f t="array" aca="1" ref="R8" ca="1" xml:space="preserve">
IFERROR(
(SUM('Time Plan (Single Release)'!$Y$6:$JN$64*(IFERROR('Time Plan (Single Release)'!$G$6:$G$64*40,0))*('Time Plan (Single Release)'!$C$6:$C$64=$L8))
-
SUM('Time Plan (Single Release)'!$Y$6:$JN$64*(IFERROR('Time Plan (Single Release)'!$I$6:$I$64*40,0))*('Time Plan (Single Release)'!$C$6:$C$64=$L8)))
/
SUM('Time Plan (Single Release)'!$Y$6:$JN$64*(IFERROR('Time Plan (Single Release)'!$G$6:$G$64*40,0))*('Time Plan (Single Release)'!$C$6:$C$64=$L8)),"")</f>
        <v>0.4455762827416741</v>
      </c>
      <c r="S8" s="143" cm="1">
        <f t="array" aca="1" ref="S8" ca="1" xml:space="preserve">
IFERROR(
(SUM('Time Plan (Single Release)'!$Y$6:$JN$64*(IFERROR('Time Plan (Single Release)'!$I$6:$I$64*40,0))*('Time Plan (Single Release)'!$C$6:$C$64=$L8))
-
SUM('Time Plan (Single Release)'!$Y$6:$JN$64*(IFERROR('Time Plan (Single Release)'!$K$6:$K$64*40,0))*('Time Plan (Single Release)'!$C$6:$C$64=$L8)))
/
SUM('Time Plan (Single Release)'!$Y$6:$JN$64*(IFERROR('Time Plan (Single Release)'!$I$6:$I$64*40,0))*('Time Plan (Single Release)'!$C$6:$C$64=$L8)),"")</f>
        <v>-8.4507966817788258E-2</v>
      </c>
      <c r="U8" s="7" t="str">
        <v>Hadas Yehezkel</v>
      </c>
      <c r="V8" s="7" t="str" cm="1">
        <f t="array" ref="V8">IFERROR(_xlfn.XLOOKUP($U8,'Time Plan (Single Release)'!$D$6:$D$194,'Time Plan (Single Release)'!$E$6:$E$194&amp;" - "&amp;'Time Plan (Single Release)'!$F$6:$F$194),"")</f>
        <v>Level 5 - ServiceNow Architect</v>
      </c>
      <c r="W8" s="237">
        <f ca="1">IFERROR(_xlfn.XLOOKUP($U8,'Time Plan (Single Release)'!$D$6:$D$64,'Time Plan (Single Release)'!$I$6:$I$64),"")</f>
        <v>237</v>
      </c>
      <c r="X8" s="237">
        <f t="shared" ca="1" si="5"/>
        <v>260.70000000000005</v>
      </c>
      <c r="Y8" s="51" cm="1">
        <f t="array" ref="Y8">IFERROR(INDEX('Time Plan (Single Release)'!$Y$3:$JN$3, 1, _xlfn.XMATCH(TRUE, _xlfn.BYCOL(('Time Plan (Single Release)'!$Y$6:$JN$64)*('Time Plan (Single Release)'!$D$6:$D$64=$U8), _xlfn.LAMBDA(_xlpm.col, SUM(_xlpm.col)&gt;0)), 0, 1)),"")</f>
        <v>46062</v>
      </c>
      <c r="Z8" s="51" cm="1">
        <f t="array" ref="Z8">IFERROR(INDEX('Time Plan (Single Release)'!$Y$3:$JN$3, 1, _xlfn.XMATCH(TRUE, _xlfn.BYCOL(('Time Plan (Single Release)'!$Y$6:$JN$64)*('Time Plan (Single Release)'!$D$6:$D$64=$U8), _xlfn.LAMBDA(_xlpm.col, SUM(_xlpm.col)&gt;0)), 0,-1))+4,"")</f>
        <v>46164</v>
      </c>
      <c r="AA8" s="8" cm="1">
        <f t="array" aca="1" ref="AA8" ca="1">SUM(IFERROR(('Time Plan (Single Release)'!$U$6:$U$64*('Time Plan (Single Release)'!$D$6:$D$64=$U8)),0))</f>
        <v>54510</v>
      </c>
      <c r="AB8" s="8">
        <f t="shared" ca="1" si="6"/>
        <v>59961.000000000007</v>
      </c>
      <c r="AC8" s="143" cm="1">
        <f t="array" aca="1" ref="AC8" ca="1" xml:space="preserve">
IFERROR(
(SUM('Time Plan (Single Release)'!$Y$6:$JN$64*(IFERROR('Time Plan (Single Release)'!$G$6:$G$64*40,0))*('Time Plan (Single Release)'!$D$6:$D$64=$U8))
-
SUM('Time Plan (Single Release)'!$Y$6:$JN$64*(IFERROR('Time Plan (Single Release)'!$I$6:$I$64*40,0))*('Time Plan (Single Release)'!$D$6:$D$64=$U8)))
/
SUM('Time Plan (Single Release)'!$Y$6:$JN$64*(IFERROR('Time Plan (Single Release)'!$G$6:$G$64*40,0))*('Time Plan (Single Release)'!$D$6:$D$64=$U8)),"")</f>
        <v>0.4</v>
      </c>
      <c r="AD8" s="143" cm="1">
        <f t="array" aca="1" ref="AD8" ca="1" xml:space="preserve">
IFERROR(
(SUM('Time Plan (Single Release)'!$Y$6:$JN$64*(IFERROR('Time Plan (Single Release)'!$I$6:$I$64*40,0))*('Time Plan (Single Release)'!$D$6:$D$64=$U8))
-
SUM('Time Plan (Single Release)'!$Y$6:$JN$64*(IFERROR('Time Plan (Single Release)'!$K$6:$K$64*40,0))*('Time Plan (Single Release)'!$D$6:$D$64=$U8)))
/
SUM('Time Plan (Single Release)'!$Y$6:$JN$64*(IFERROR('Time Plan (Single Release)'!$I$6:$I$64*40,0))*('Time Plan (Single Release)'!$D$6:$D$64=$U8)),"")</f>
        <v>0.16455696202531644</v>
      </c>
      <c r="AE8" s="263">
        <f ca="1">SUMIF('Time Plan (Single Release)'!D$6:D$64,Pricing!U8,'Time Plan (Single Release)'!S$6:S$64)</f>
        <v>230</v>
      </c>
      <c r="AF8" s="263">
        <f t="shared" ca="1" si="1"/>
        <v>28.75</v>
      </c>
      <c r="AG8" s="263">
        <f t="shared" ca="1" si="7"/>
        <v>539.78734177215188</v>
      </c>
      <c r="AH8" s="263">
        <f t="shared" ca="1" si="8"/>
        <v>67.473417721518985</v>
      </c>
      <c r="AI8" s="264">
        <v>0.5</v>
      </c>
      <c r="AJ8" s="8">
        <f t="shared" ca="1" si="9"/>
        <v>127929.59999999999</v>
      </c>
    </row>
    <row r="9" spans="2:36" ht="20.25" customHeight="1" x14ac:dyDescent="0.3">
      <c r="B9" s="50" t="str">
        <v>M6 - Hypercare completion</v>
      </c>
      <c r="C9" s="51" cm="1">
        <f t="array" ref="C9">IFERROR(INDEX('Time Plan (Single Release)'!$Y$3:$JN$3, 1, _xlfn.XMATCH(TRUE, _xlfn.BYCOL(('Time Plan (Single Release)'!$Y$6:$JN$64)*('Time Plan (Single Release)'!$B$6:$B$64=$B9), _xlfn.LAMBDA(_xlpm.col, SUM(_xlpm.col)&gt;0)), 0, 1)),"")</f>
        <v>46195</v>
      </c>
      <c r="D9" s="51" cm="1">
        <f t="array" ref="D9">IFERROR(INDEX('Time Plan (Single Release)'!$Y$3:$JN$3, 1, _xlfn.XMATCH(TRUE, _xlfn.BYCOL(('Time Plan (Single Release)'!$Y$6:$JN$64)*('Time Plan (Single Release)'!$B$6:$B$64=$B9), _xlfn.LAMBDA(_xlpm.col, SUM(_xlpm.col)&gt;0)), 0,-1))+4,"")</f>
        <v>46220</v>
      </c>
      <c r="E9" s="129">
        <f>IFERROR(DATEDIF('Time Plan (Single Release)'!$Y$3,$D9+3,"d")/7,"")</f>
        <v>23</v>
      </c>
      <c r="F9" s="8" cm="1">
        <f t="array" aca="1" ref="F9" ca="1">SUM(IFERROR(('Time Plan (Single Release)'!$U$6:$U$64*('Time Plan (Single Release)'!$B$6:$B$64=Pricing!$B9)),0))</f>
        <v>52094.399999999994</v>
      </c>
      <c r="G9" s="8">
        <f t="shared" ca="1" si="2"/>
        <v>5209.4399999999996</v>
      </c>
      <c r="H9" s="8">
        <f t="shared" ca="1" si="0"/>
        <v>57303.839999999997</v>
      </c>
      <c r="I9" s="143" cm="1">
        <f t="array" aca="1" ref="I9" ca="1" xml:space="preserve">
IFERROR(
(SUM('Time Plan (Single Release)'!$Y$6:$JN$64*(IFERROR('Time Plan (Single Release)'!$G$6:$G$64*40,0))*('Time Plan (Single Release)'!$B$6:$B$64=Pricing!$B9))
-
SUM('Time Plan (Single Release)'!$Y$6:$JN$64*(IFERROR('Time Plan (Single Release)'!$I$6:$I$64*40,0))*('Time Plan (Single Release)'!$B$6:$B$64=Pricing!$B9)))
/
SUM('Time Plan (Single Release)'!$Y$6:$JN$64*(IFERROR('Time Plan (Single Release)'!$G$6:$G$64*40,0))*('Time Plan (Single Release)'!$B$6:$B$64=Pricing!$B9)),"")</f>
        <v>0.43115964184319716</v>
      </c>
      <c r="J9" s="143" cm="1">
        <f t="array" aca="1" ref="J9" ca="1" xml:space="preserve">
IFERROR(
(SUM('Time Plan (Single Release)'!$Y$6:$JN$64*(IFERROR('Time Plan (Single Release)'!$I$6:$I$64*40,0))*('Time Plan (Single Release)'!$B$6:$B$64=Pricing!$B9))
-
SUM('Time Plan (Single Release)'!$Y$6:$JN$64*(IFERROR('Time Plan (Single Release)'!$K$6:$K$64*40,0))*('Time Plan (Single Release)'!$B$6:$B$64=Pricing!$B9)))
/
SUM('Time Plan (Single Release)'!$Y$6:$JN$64*(IFERROR('Time Plan (Single Release)'!$I$6:$I$64*40,0))*('Time Plan (Single Release)'!$B$6:$B$64=Pricing!$B9)),"")</f>
        <v>-8.9176571762031975E-2</v>
      </c>
      <c r="L9" s="7"/>
      <c r="M9" s="51" t="str" cm="1">
        <f t="array" ref="M9">IFERROR(INDEX('Time Plan (Single Release)'!$Y$3:$JN$3, 1, _xlfn.XMATCH(TRUE, _xlfn.BYCOL(('Time Plan (Single Release)'!$Y$6:$JN$64)*('Time Plan (Single Release)'!$C$6:$C$64=$L9), _xlfn.LAMBDA(_xlpm.col, SUM(_xlpm.col)&gt;0)), 0, 1)),"")</f>
        <v/>
      </c>
      <c r="N9" s="51" t="str" cm="1">
        <f t="array" ref="N9">IFERROR(INDEX('Time Plan (Single Release)'!$Y$3:$JN$3, 1, _xlfn.XMATCH(TRUE, _xlfn.BYCOL(('Time Plan (Single Release)'!$Y$6:$JN$64)*('Time Plan (Single Release)'!$C$6:$C$64=$L9), _xlfn.LAMBDA(_xlpm.col, SUM(_xlpm.col)&gt;0)), 0,-1))+4,"")</f>
        <v/>
      </c>
      <c r="O9" s="8" cm="1">
        <f t="array" aca="1" ref="O9" ca="1">SUM(IFERROR(('Time Plan (Single Release)'!$U$6:$U$64*('Time Plan (Single Release)'!$C$6:$C$64=$L9)),0))</f>
        <v>0</v>
      </c>
      <c r="P9" s="8">
        <f t="shared" ca="1" si="3"/>
        <v>0</v>
      </c>
      <c r="Q9" s="8">
        <f t="shared" ca="1" si="4"/>
        <v>0</v>
      </c>
      <c r="R9" s="143" t="str" cm="1">
        <f t="array" aca="1" ref="R9" ca="1" xml:space="preserve">
IFERROR(
(SUM('Time Plan (Single Release)'!$Y$6:$JN$64*(IFERROR('Time Plan (Single Release)'!$G$6:$G$64*40,0))*('Time Plan (Single Release)'!$C$6:$C$64=$L9))
-
SUM('Time Plan (Single Release)'!$Y$6:$JN$64*(IFERROR('Time Plan (Single Release)'!$I$6:$I$64*40,0))*('Time Plan (Single Release)'!$C$6:$C$64=$L9)))
/
SUM('Time Plan (Single Release)'!$Y$6:$JN$64*(IFERROR('Time Plan (Single Release)'!$G$6:$G$64*40,0))*('Time Plan (Single Release)'!$C$6:$C$64=$L9)),"")</f>
        <v/>
      </c>
      <c r="S9" s="143" t="str" cm="1">
        <f t="array" aca="1" ref="S9" ca="1" xml:space="preserve">
IFERROR(
(SUM('Time Plan (Single Release)'!$Y$6:$JN$64*(IFERROR('Time Plan (Single Release)'!$I$6:$I$64*40,0))*('Time Plan (Single Release)'!$C$6:$C$64=$L9))
-
SUM('Time Plan (Single Release)'!$Y$6:$JN$64*(IFERROR('Time Plan (Single Release)'!$K$6:$K$64*40,0))*('Time Plan (Single Release)'!$C$6:$C$64=$L9)))
/
SUM('Time Plan (Single Release)'!$Y$6:$JN$64*(IFERROR('Time Plan (Single Release)'!$I$6:$I$64*40,0))*('Time Plan (Single Release)'!$C$6:$C$64=$L9)),"")</f>
        <v/>
      </c>
      <c r="U9" s="7" t="str">
        <v>Kosta Walker-Laskos</v>
      </c>
      <c r="V9" s="7" t="str" cm="1">
        <f t="array" ref="V9">IFERROR(_xlfn.XLOOKUP($U9,'Time Plan (Single Release)'!$D$6:$D$194,'Time Plan (Single Release)'!$E$6:$E$194&amp;" - "&amp;'Time Plan (Single Release)'!$F$6:$F$194),"")</f>
        <v>Level 3 - ServiceNow Developer</v>
      </c>
      <c r="W9" s="237">
        <f ca="1">IFERROR(_xlfn.XLOOKUP($U9,'Time Plan (Single Release)'!$D$6:$D$64,'Time Plan (Single Release)'!$I$6:$I$64),"")</f>
        <v>151.9</v>
      </c>
      <c r="X9" s="237">
        <f t="shared" ca="1" si="5"/>
        <v>167.09000000000003</v>
      </c>
      <c r="Y9" s="51" cm="1">
        <f t="array" ref="Y9">IFERROR(INDEX('Time Plan (Single Release)'!$Y$3:$JN$3, 1, _xlfn.XMATCH(TRUE, _xlfn.BYCOL(('Time Plan (Single Release)'!$Y$6:$JN$64)*('Time Plan (Single Release)'!$D$6:$D$64=$U9), _xlfn.LAMBDA(_xlpm.col, SUM(_xlpm.col)&gt;0)), 0, 1)),"")</f>
        <v>46083</v>
      </c>
      <c r="Z9" s="51" cm="1">
        <f t="array" ref="Z9">IFERROR(INDEX('Time Plan (Single Release)'!$Y$3:$JN$3, 1, _xlfn.XMATCH(TRUE, _xlfn.BYCOL(('Time Plan (Single Release)'!$Y$6:$JN$64)*('Time Plan (Single Release)'!$D$6:$D$64=$U9), _xlfn.LAMBDA(_xlpm.col, SUM(_xlpm.col)&gt;0)), 0,-1))+4,"")</f>
        <v>46206</v>
      </c>
      <c r="AA9" s="8" cm="1">
        <f t="array" aca="1" ref="AA9" ca="1">SUM(IFERROR(('Time Plan (Single Release)'!$U$6:$U$64*('Time Plan (Single Release)'!$D$6:$D$64=$U9)),0))</f>
        <v>91140</v>
      </c>
      <c r="AB9" s="8">
        <f t="shared" ca="1" si="6"/>
        <v>100254.00000000001</v>
      </c>
      <c r="AC9" s="143" cm="1">
        <f t="array" aca="1" ref="AC9" ca="1" xml:space="preserve">
IFERROR(
(SUM('Time Plan (Single Release)'!$Y$6:$JN$64*(IFERROR('Time Plan (Single Release)'!$G$6:$G$64*40,0))*('Time Plan (Single Release)'!$D$6:$D$64=$U9))
-
SUM('Time Plan (Single Release)'!$Y$6:$JN$64*(IFERROR('Time Plan (Single Release)'!$I$6:$I$64*40,0))*('Time Plan (Single Release)'!$D$6:$D$64=$U9)))
/
SUM('Time Plan (Single Release)'!$Y$6:$JN$64*(IFERROR('Time Plan (Single Release)'!$G$6:$G$64*40,0))*('Time Plan (Single Release)'!$D$6:$D$64=$U9)),"")</f>
        <v>0.38</v>
      </c>
      <c r="AD9" s="143" cm="1">
        <f t="array" aca="1" ref="AD9" ca="1" xml:space="preserve">
IFERROR(
(SUM('Time Plan (Single Release)'!$Y$6:$JN$64*(IFERROR('Time Plan (Single Release)'!$I$6:$I$64*40,0))*('Time Plan (Single Release)'!$D$6:$D$64=$U9))
-
SUM('Time Plan (Single Release)'!$Y$6:$JN$64*(IFERROR('Time Plan (Single Release)'!$K$6:$K$64*40,0))*('Time Plan (Single Release)'!$D$6:$D$64=$U9)))
/
SUM('Time Plan (Single Release)'!$Y$6:$JN$64*(IFERROR('Time Plan (Single Release)'!$I$6:$I$64*40,0))*('Time Plan (Single Release)'!$D$6:$D$64=$U9)),"")</f>
        <v>5.9249506254114553E-3</v>
      </c>
      <c r="AE9" s="263">
        <f ca="1">SUMIF('Time Plan (Single Release)'!D$6:D$64,Pricing!U9,'Time Plan (Single Release)'!S$6:S$64)</f>
        <v>600</v>
      </c>
      <c r="AF9" s="263">
        <f t="shared" ca="1" si="1"/>
        <v>75</v>
      </c>
      <c r="AG9" s="263">
        <f t="shared" ca="1" si="7"/>
        <v>600</v>
      </c>
      <c r="AH9" s="263">
        <f t="shared" ca="1" si="8"/>
        <v>75</v>
      </c>
      <c r="AI9" s="264">
        <v>0</v>
      </c>
      <c r="AJ9" s="8">
        <f t="shared" ca="1" si="9"/>
        <v>91140</v>
      </c>
    </row>
    <row r="10" spans="2:36" ht="20.25" customHeight="1" x14ac:dyDescent="0.3">
      <c r="B10" s="50"/>
      <c r="C10" s="51" t="str" cm="1">
        <f t="array" ref="C10">IFERROR(INDEX('Time Plan (Single Release)'!$Y$3:$JN$3, 1, _xlfn.XMATCH(TRUE, _xlfn.BYCOL(('Time Plan (Single Release)'!$Y$6:$JN$64)*('Time Plan (Single Release)'!$B$6:$B$64=$B10), _xlfn.LAMBDA(_xlpm.col, SUM(_xlpm.col)&gt;0)), 0, 1)),"")</f>
        <v/>
      </c>
      <c r="D10" s="51" t="str" cm="1">
        <f t="array" ref="D10">IFERROR(INDEX('Time Plan (Single Release)'!$Y$3:$JN$3, 1, _xlfn.XMATCH(TRUE, _xlfn.BYCOL(('Time Plan (Single Release)'!$Y$6:$JN$64)*('Time Plan (Single Release)'!$B$6:$B$64=$B10), _xlfn.LAMBDA(_xlpm.col, SUM(_xlpm.col)&gt;0)), 0,-1))+4,"")</f>
        <v/>
      </c>
      <c r="E10" s="129" t="str">
        <f>IFERROR(DATEDIF('Time Plan (Single Release)'!$Y$3,$D10+3,"d")/7,"")</f>
        <v/>
      </c>
      <c r="F10" s="8" cm="1">
        <f t="array" aca="1" ref="F10" ca="1">SUM(IFERROR(('Time Plan (Single Release)'!$U$6:$U$64*('Time Plan (Single Release)'!$B$6:$B$64=Pricing!$B10)),0))</f>
        <v>0</v>
      </c>
      <c r="G10" s="8">
        <f t="shared" ca="1" si="2"/>
        <v>0</v>
      </c>
      <c r="H10" s="8">
        <f t="shared" ca="1" si="0"/>
        <v>0</v>
      </c>
      <c r="I10" s="143" t="str" cm="1">
        <f t="array" aca="1" ref="I10" ca="1" xml:space="preserve">
IFERROR(
(SUM('Time Plan (Single Release)'!$Y$6:$JN$64*(IFERROR('Time Plan (Single Release)'!$G$6:$G$64*40,0))*('Time Plan (Single Release)'!$B$6:$B$64=Pricing!$B10))
-
SUM('Time Plan (Single Release)'!$Y$6:$JN$64*(IFERROR('Time Plan (Single Release)'!$I$6:$I$64*40,0))*('Time Plan (Single Release)'!$B$6:$B$64=Pricing!$B10)))
/
SUM('Time Plan (Single Release)'!$Y$6:$JN$64*(IFERROR('Time Plan (Single Release)'!$G$6:$G$64*40,0))*('Time Plan (Single Release)'!$B$6:$B$64=Pricing!$B10)),"")</f>
        <v/>
      </c>
      <c r="J10" s="143" t="str" cm="1">
        <f t="array" aca="1" ref="J10" ca="1" xml:space="preserve">
IFERROR(
(SUM('Time Plan (Single Release)'!$Y$6:$JN$64*(IFERROR('Time Plan (Single Release)'!$I$6:$I$64*40,0))*('Time Plan (Single Release)'!$B$6:$B$64=Pricing!$B10))
-
SUM('Time Plan (Single Release)'!$Y$6:$JN$64*(IFERROR('Time Plan (Single Release)'!$K$6:$K$64*40,0))*('Time Plan (Single Release)'!$B$6:$B$64=Pricing!$B10)))
/
SUM('Time Plan (Single Release)'!$Y$6:$JN$64*(IFERROR('Time Plan (Single Release)'!$I$6:$I$64*40,0))*('Time Plan (Single Release)'!$B$6:$B$64=Pricing!$B10)),"")</f>
        <v/>
      </c>
      <c r="L10" s="7"/>
      <c r="M10" s="51" t="str" cm="1">
        <f t="array" ref="M10">IFERROR(INDEX('Time Plan (Single Release)'!$Y$3:$JN$3, 1, _xlfn.XMATCH(TRUE, _xlfn.BYCOL(('Time Plan (Single Release)'!$Y$6:$JN$64)*('Time Plan (Single Release)'!$C$6:$C$64=$L10), _xlfn.LAMBDA(_xlpm.col, SUM(_xlpm.col)&gt;0)), 0, 1)),"")</f>
        <v/>
      </c>
      <c r="N10" s="51" t="str" cm="1">
        <f t="array" ref="N10">IFERROR(INDEX('Time Plan (Single Release)'!$Y$3:$JN$3, 1, _xlfn.XMATCH(TRUE, _xlfn.BYCOL(('Time Plan (Single Release)'!$Y$6:$JN$64)*('Time Plan (Single Release)'!$C$6:$C$64=$L10), _xlfn.LAMBDA(_xlpm.col, SUM(_xlpm.col)&gt;0)), 0,-1))+4,"")</f>
        <v/>
      </c>
      <c r="O10" s="8" cm="1">
        <f t="array" aca="1" ref="O10" ca="1">SUM(IFERROR(('Time Plan (Single Release)'!$U$6:$U$64*('Time Plan (Single Release)'!$C$6:$C$64=$L10)),0))</f>
        <v>0</v>
      </c>
      <c r="P10" s="8">
        <f t="shared" ca="1" si="3"/>
        <v>0</v>
      </c>
      <c r="Q10" s="8">
        <f t="shared" ca="1" si="4"/>
        <v>0</v>
      </c>
      <c r="R10" s="143" t="str" cm="1">
        <f t="array" aca="1" ref="R10" ca="1" xml:space="preserve">
IFERROR(
(SUM('Time Plan (Single Release)'!$Y$6:$JN$64*(IFERROR('Time Plan (Single Release)'!$G$6:$G$64*40,0))*('Time Plan (Single Release)'!$C$6:$C$64=$L10))
-
SUM('Time Plan (Single Release)'!$Y$6:$JN$64*(IFERROR('Time Plan (Single Release)'!$I$6:$I$64*40,0))*('Time Plan (Single Release)'!$C$6:$C$64=$L10)))
/
SUM('Time Plan (Single Release)'!$Y$6:$JN$64*(IFERROR('Time Plan (Single Release)'!$G$6:$G$64*40,0))*('Time Plan (Single Release)'!$C$6:$C$64=$L10)),"")</f>
        <v/>
      </c>
      <c r="S10" s="143" t="str" cm="1">
        <f t="array" aca="1" ref="S10" ca="1" xml:space="preserve">
IFERROR(
(SUM('Time Plan (Single Release)'!$Y$6:$JN$64*(IFERROR('Time Plan (Single Release)'!$I$6:$I$64*40,0))*('Time Plan (Single Release)'!$C$6:$C$64=$L10))
-
SUM('Time Plan (Single Release)'!$Y$6:$JN$64*(IFERROR('Time Plan (Single Release)'!$K$6:$K$64*40,0))*('Time Plan (Single Release)'!$C$6:$C$64=$L10)))
/
SUM('Time Plan (Single Release)'!$Y$6:$JN$64*(IFERROR('Time Plan (Single Release)'!$I$6:$I$64*40,0))*('Time Plan (Single Release)'!$C$6:$C$64=$L10)),"")</f>
        <v/>
      </c>
      <c r="U10" s="7" t="str">
        <v>Lacy Pejcinovic</v>
      </c>
      <c r="V10" s="7" t="str" cm="1">
        <f t="array" ref="V10">IFERROR(_xlfn.XLOOKUP($U10,'Time Plan (Single Release)'!$D$6:$D$194,'Time Plan (Single Release)'!$E$6:$E$194&amp;" - "&amp;'Time Plan (Single Release)'!$F$6:$F$194),"")</f>
        <v>Level 3 - Business Analyst</v>
      </c>
      <c r="W10" s="237">
        <f ca="1">IFERROR(_xlfn.XLOOKUP($U10,'Time Plan (Single Release)'!$D$6:$D$64,'Time Plan (Single Release)'!$I$6:$I$64),"")</f>
        <v>151.9</v>
      </c>
      <c r="X10" s="237">
        <f t="shared" ca="1" si="5"/>
        <v>167.09000000000003</v>
      </c>
      <c r="Y10" s="51" cm="1">
        <f t="array" ref="Y10">IFERROR(INDEX('Time Plan (Single Release)'!$Y$3:$JN$3, 1, _xlfn.XMATCH(TRUE, _xlfn.BYCOL(('Time Plan (Single Release)'!$Y$6:$JN$64)*('Time Plan (Single Release)'!$D$6:$D$64=$U10), _xlfn.LAMBDA(_xlpm.col, SUM(_xlpm.col)&gt;0)), 0, 1)),"")</f>
        <v>46062</v>
      </c>
      <c r="Z10" s="51" cm="1">
        <f t="array" ref="Z10">IFERROR(INDEX('Time Plan (Single Release)'!$Y$3:$JN$3, 1, _xlfn.XMATCH(TRUE, _xlfn.BYCOL(('Time Plan (Single Release)'!$Y$6:$JN$64)*('Time Plan (Single Release)'!$D$6:$D$64=$U10), _xlfn.LAMBDA(_xlpm.col, SUM(_xlpm.col)&gt;0)), 0,-1))+4,"")</f>
        <v>46108</v>
      </c>
      <c r="AA10" s="8" cm="1">
        <f t="array" aca="1" ref="AA10" ca="1">SUM(IFERROR(('Time Plan (Single Release)'!$U$6:$U$64*('Time Plan (Single Release)'!$D$6:$D$64=$U10)),0))</f>
        <v>24304</v>
      </c>
      <c r="AB10" s="8">
        <f t="shared" ca="1" si="6"/>
        <v>26734.400000000001</v>
      </c>
      <c r="AC10" s="143" cm="1">
        <f t="array" aca="1" ref="AC10" ca="1" xml:space="preserve">
IFERROR(
(SUM('Time Plan (Single Release)'!$Y$6:$JN$64*(IFERROR('Time Plan (Single Release)'!$G$6:$G$64*40,0))*('Time Plan (Single Release)'!$D$6:$D$64=$U10))
-
SUM('Time Plan (Single Release)'!$Y$6:$JN$64*(IFERROR('Time Plan (Single Release)'!$I$6:$I$64*40,0))*('Time Plan (Single Release)'!$D$6:$D$64=$U10)))
/
SUM('Time Plan (Single Release)'!$Y$6:$JN$64*(IFERROR('Time Plan (Single Release)'!$G$6:$G$64*40,0))*('Time Plan (Single Release)'!$D$6:$D$64=$U10)),"")</f>
        <v>0.38</v>
      </c>
      <c r="AD10" s="143" cm="1">
        <f t="array" aca="1" ref="AD10" ca="1" xml:space="preserve">
IFERROR(
(SUM('Time Plan (Single Release)'!$Y$6:$JN$64*(IFERROR('Time Plan (Single Release)'!$I$6:$I$64*40,0))*('Time Plan (Single Release)'!$D$6:$D$64=$U10))
-
SUM('Time Plan (Single Release)'!$Y$6:$JN$64*(IFERROR('Time Plan (Single Release)'!$K$6:$K$64*40,0))*('Time Plan (Single Release)'!$D$6:$D$64=$U10)))
/
SUM('Time Plan (Single Release)'!$Y$6:$JN$64*(IFERROR('Time Plan (Single Release)'!$I$6:$I$64*40,0))*('Time Plan (Single Release)'!$D$6:$D$64=$U10)),"")</f>
        <v>3.8841342988808425E-2</v>
      </c>
      <c r="AE10" s="263">
        <f ca="1">SUMIF('Time Plan (Single Release)'!D$6:D$64,Pricing!U10,'Time Plan (Single Release)'!S$6:S$64)</f>
        <v>160</v>
      </c>
      <c r="AF10" s="263">
        <f t="shared" ca="1" si="1"/>
        <v>20</v>
      </c>
      <c r="AG10" s="263">
        <f t="shared" ca="1" si="7"/>
        <v>160</v>
      </c>
      <c r="AH10" s="263">
        <f t="shared" ca="1" si="8"/>
        <v>20</v>
      </c>
      <c r="AI10" s="264">
        <v>0</v>
      </c>
      <c r="AJ10" s="8">
        <f t="shared" ca="1" si="9"/>
        <v>24304</v>
      </c>
    </row>
    <row r="11" spans="2:36" ht="20.25" customHeight="1" x14ac:dyDescent="0.3">
      <c r="B11" s="50"/>
      <c r="C11" s="51" t="str" cm="1">
        <f t="array" ref="C11">IFERROR(INDEX('Time Plan (Single Release)'!$Y$3:$JN$3, 1, _xlfn.XMATCH(TRUE, _xlfn.BYCOL(('Time Plan (Single Release)'!$Y$6:$JN$64)*('Time Plan (Single Release)'!$B$6:$B$64=$B11), _xlfn.LAMBDA(_xlpm.col, SUM(_xlpm.col)&gt;0)), 0, 1)),"")</f>
        <v/>
      </c>
      <c r="D11" s="51" t="str" cm="1">
        <f t="array" ref="D11">IFERROR(INDEX('Time Plan (Single Release)'!$Y$3:$JN$3, 1, _xlfn.XMATCH(TRUE, _xlfn.BYCOL(('Time Plan (Single Release)'!$Y$6:$JN$64)*('Time Plan (Single Release)'!$B$6:$B$64=$B11), _xlfn.LAMBDA(_xlpm.col, SUM(_xlpm.col)&gt;0)), 0,-1))+4,"")</f>
        <v/>
      </c>
      <c r="E11" s="129" t="str">
        <f>IFERROR(DATEDIF('Time Plan (Single Release)'!$Y$3,$D11+3,"d")/7,"")</f>
        <v/>
      </c>
      <c r="F11" s="8" cm="1">
        <f t="array" aca="1" ref="F11" ca="1">SUM(IFERROR(('Time Plan (Single Release)'!$U$6:$U$64*('Time Plan (Single Release)'!$B$6:$B$64=Pricing!$B11)),0))</f>
        <v>0</v>
      </c>
      <c r="G11" s="8">
        <f t="shared" ca="1" si="2"/>
        <v>0</v>
      </c>
      <c r="H11" s="8">
        <f t="shared" ca="1" si="0"/>
        <v>0</v>
      </c>
      <c r="I11" s="143" t="str" cm="1">
        <f t="array" aca="1" ref="I11" ca="1" xml:space="preserve">
IFERROR(
(SUM('Time Plan (Single Release)'!$Y$6:$JN$64*(IFERROR('Time Plan (Single Release)'!$G$6:$G$64*40,0))*('Time Plan (Single Release)'!$B$6:$B$64=Pricing!$B11))
-
SUM('Time Plan (Single Release)'!$Y$6:$JN$64*(IFERROR('Time Plan (Single Release)'!$I$6:$I$64*40,0))*('Time Plan (Single Release)'!$B$6:$B$64=Pricing!$B11)))
/
SUM('Time Plan (Single Release)'!$Y$6:$JN$64*(IFERROR('Time Plan (Single Release)'!$G$6:$G$64*40,0))*('Time Plan (Single Release)'!$B$6:$B$64=Pricing!$B11)),"")</f>
        <v/>
      </c>
      <c r="J11" s="143" t="str" cm="1">
        <f t="array" aca="1" ref="J11" ca="1" xml:space="preserve">
IFERROR(
(SUM('Time Plan (Single Release)'!$Y$6:$JN$64*(IFERROR('Time Plan (Single Release)'!$I$6:$I$64*40,0))*('Time Plan (Single Release)'!$B$6:$B$64=Pricing!$B11))
-
SUM('Time Plan (Single Release)'!$Y$6:$JN$64*(IFERROR('Time Plan (Single Release)'!$K$6:$K$64*40,0))*('Time Plan (Single Release)'!$B$6:$B$64=Pricing!$B11)))
/
SUM('Time Plan (Single Release)'!$Y$6:$JN$64*(IFERROR('Time Plan (Single Release)'!$I$6:$I$64*40,0))*('Time Plan (Single Release)'!$B$6:$B$64=Pricing!$B11)),"")</f>
        <v/>
      </c>
      <c r="L11" s="7"/>
      <c r="M11" s="51" t="str" cm="1">
        <f t="array" ref="M11">IFERROR(INDEX('Time Plan (Single Release)'!$Y$3:$JN$3, 1, _xlfn.XMATCH(TRUE, _xlfn.BYCOL(('Time Plan (Single Release)'!$Y$6:$JN$64)*('Time Plan (Single Release)'!$C$6:$C$64=$L11), _xlfn.LAMBDA(_xlpm.col, SUM(_xlpm.col)&gt;0)), 0, 1)),"")</f>
        <v/>
      </c>
      <c r="N11" s="51" t="str" cm="1">
        <f t="array" ref="N11">IFERROR(INDEX('Time Plan (Single Release)'!$Y$3:$JN$3, 1, _xlfn.XMATCH(TRUE, _xlfn.BYCOL(('Time Plan (Single Release)'!$Y$6:$JN$64)*('Time Plan (Single Release)'!$C$6:$C$64=$L11), _xlfn.LAMBDA(_xlpm.col, SUM(_xlpm.col)&gt;0)), 0,-1))+4,"")</f>
        <v/>
      </c>
      <c r="O11" s="8" cm="1">
        <f t="array" aca="1" ref="O11" ca="1">SUM(IFERROR(('Time Plan (Single Release)'!$U$6:$U$64*('Time Plan (Single Release)'!$C$6:$C$64=$L11)),0))</f>
        <v>0</v>
      </c>
      <c r="P11" s="8">
        <f t="shared" ca="1" si="3"/>
        <v>0</v>
      </c>
      <c r="Q11" s="8">
        <f t="shared" ca="1" si="4"/>
        <v>0</v>
      </c>
      <c r="R11" s="143" t="str" cm="1">
        <f t="array" aca="1" ref="R11" ca="1" xml:space="preserve">
IFERROR(
(SUM('Time Plan (Single Release)'!$Y$6:$JN$64*(IFERROR('Time Plan (Single Release)'!$G$6:$G$64*40,0))*('Time Plan (Single Release)'!$C$6:$C$64=$L11))
-
SUM('Time Plan (Single Release)'!$Y$6:$JN$64*(IFERROR('Time Plan (Single Release)'!$I$6:$I$64*40,0))*('Time Plan (Single Release)'!$C$6:$C$64=$L11)))
/
SUM('Time Plan (Single Release)'!$Y$6:$JN$64*(IFERROR('Time Plan (Single Release)'!$G$6:$G$64*40,0))*('Time Plan (Single Release)'!$C$6:$C$64=$L11)),"")</f>
        <v/>
      </c>
      <c r="S11" s="143" t="str" cm="1">
        <f t="array" aca="1" ref="S11" ca="1" xml:space="preserve">
IFERROR(
(SUM('Time Plan (Single Release)'!$Y$6:$JN$64*(IFERROR('Time Plan (Single Release)'!$I$6:$I$64*40,0))*('Time Plan (Single Release)'!$C$6:$C$64=$L11))
-
SUM('Time Plan (Single Release)'!$Y$6:$JN$64*(IFERROR('Time Plan (Single Release)'!$K$6:$K$64*40,0))*('Time Plan (Single Release)'!$C$6:$C$64=$L11)))
/
SUM('Time Plan (Single Release)'!$Y$6:$JN$64*(IFERROR('Time Plan (Single Release)'!$I$6:$I$64*40,0))*('Time Plan (Single Release)'!$C$6:$C$64=$L11)),"")</f>
        <v/>
      </c>
      <c r="U11" s="7" t="str">
        <v>Lynne Sutherland</v>
      </c>
      <c r="V11" s="7" t="str" cm="1">
        <f t="array" ref="V11">IFERROR(_xlfn.XLOOKUP($U11,'Time Plan (Single Release)'!$D$6:$D$194,'Time Plan (Single Release)'!$E$6:$E$194&amp;" - "&amp;'Time Plan (Single Release)'!$F$6:$F$194),"")</f>
        <v>Level 3 - Business Analyst</v>
      </c>
      <c r="W11" s="237">
        <f ca="1">IFERROR(_xlfn.XLOOKUP($U11,'Time Plan (Single Release)'!$D$6:$D$64,'Time Plan (Single Release)'!$I$6:$I$64),"")</f>
        <v>151.9</v>
      </c>
      <c r="X11" s="237">
        <f t="shared" ca="1" si="5"/>
        <v>167.09000000000003</v>
      </c>
      <c r="Y11" s="51" cm="1">
        <f t="array" ref="Y11">IFERROR(INDEX('Time Plan (Single Release)'!$Y$3:$JN$3, 1, _xlfn.XMATCH(TRUE, _xlfn.BYCOL(('Time Plan (Single Release)'!$Y$6:$JN$64)*('Time Plan (Single Release)'!$D$6:$D$64=$U11), _xlfn.LAMBDA(_xlpm.col, SUM(_xlpm.col)&gt;0)), 0, 1)),"")</f>
        <v>46062</v>
      </c>
      <c r="Z11" s="51" cm="1">
        <f t="array" ref="Z11">IFERROR(INDEX('Time Plan (Single Release)'!$Y$3:$JN$3, 1, _xlfn.XMATCH(TRUE, _xlfn.BYCOL(('Time Plan (Single Release)'!$Y$6:$JN$64)*('Time Plan (Single Release)'!$D$6:$D$64=$U11), _xlfn.LAMBDA(_xlpm.col, SUM(_xlpm.col)&gt;0)), 0,-1))+4,"")</f>
        <v>46164</v>
      </c>
      <c r="AA11" s="8" cm="1">
        <f t="array" aca="1" ref="AA11" ca="1">SUM(IFERROR(('Time Plan (Single Release)'!$U$6:$U$64*('Time Plan (Single Release)'!$D$6:$D$64=$U11)),0))</f>
        <v>72912</v>
      </c>
      <c r="AB11" s="8">
        <f t="shared" ca="1" si="6"/>
        <v>80203.200000000012</v>
      </c>
      <c r="AC11" s="143" cm="1">
        <f t="array" aca="1" ref="AC11" ca="1" xml:space="preserve">
IFERROR(
(SUM('Time Plan (Single Release)'!$Y$6:$JN$64*(IFERROR('Time Plan (Single Release)'!$G$6:$G$64*40,0))*('Time Plan (Single Release)'!$D$6:$D$64=$U11))
-
SUM('Time Plan (Single Release)'!$Y$6:$JN$64*(IFERROR('Time Plan (Single Release)'!$I$6:$I$64*40,0))*('Time Plan (Single Release)'!$D$6:$D$64=$U11)))
/
SUM('Time Plan (Single Release)'!$Y$6:$JN$64*(IFERROR('Time Plan (Single Release)'!$G$6:$G$64*40,0))*('Time Plan (Single Release)'!$D$6:$D$64=$U11)),"")</f>
        <v>0.38</v>
      </c>
      <c r="AD11" s="143" cm="1">
        <f t="array" aca="1" ref="AD11" ca="1" xml:space="preserve">
IFERROR(
(SUM('Time Plan (Single Release)'!$Y$6:$JN$64*(IFERROR('Time Plan (Single Release)'!$I$6:$I$64*40,0))*('Time Plan (Single Release)'!$D$6:$D$64=$U11))
-
SUM('Time Plan (Single Release)'!$Y$6:$JN$64*(IFERROR('Time Plan (Single Release)'!$K$6:$K$64*40,0))*('Time Plan (Single Release)'!$D$6:$D$64=$U11)))
/
SUM('Time Plan (Single Release)'!$Y$6:$JN$64*(IFERROR('Time Plan (Single Release)'!$I$6:$I$64*40,0))*('Time Plan (Single Release)'!$D$6:$D$64=$U11)),"")</f>
        <v>0.40750493745885452</v>
      </c>
      <c r="AE11" s="263">
        <f ca="1">SUMIF('Time Plan (Single Release)'!D$6:D$64,Pricing!U11,'Time Plan (Single Release)'!S$6:S$64)</f>
        <v>480</v>
      </c>
      <c r="AF11" s="263">
        <f t="shared" ca="1" si="1"/>
        <v>60</v>
      </c>
      <c r="AG11" s="263">
        <f t="shared" ca="1" si="7"/>
        <v>480</v>
      </c>
      <c r="AH11" s="263">
        <f t="shared" ca="1" si="8"/>
        <v>60</v>
      </c>
      <c r="AI11" s="264">
        <v>0</v>
      </c>
      <c r="AJ11" s="8">
        <f t="shared" ca="1" si="9"/>
        <v>72912</v>
      </c>
    </row>
    <row r="12" spans="2:36" ht="20.25" customHeight="1" x14ac:dyDescent="0.3">
      <c r="B12" s="50"/>
      <c r="C12" s="51" t="str" cm="1">
        <f t="array" ref="C12">IFERROR(INDEX('Time Plan (Single Release)'!$Y$3:$JN$3, 1, _xlfn.XMATCH(TRUE, _xlfn.BYCOL(('Time Plan (Single Release)'!$Y$6:$JN$64)*('Time Plan (Single Release)'!$B$6:$B$64=$B12), _xlfn.LAMBDA(_xlpm.col, SUM(_xlpm.col)&gt;0)), 0, 1)),"")</f>
        <v/>
      </c>
      <c r="D12" s="51" t="str" cm="1">
        <f t="array" ref="D12">IFERROR(INDEX('Time Plan (Single Release)'!$Y$3:$JN$3, 1, _xlfn.XMATCH(TRUE, _xlfn.BYCOL(('Time Plan (Single Release)'!$Y$6:$JN$64)*('Time Plan (Single Release)'!$B$6:$B$64=$B12), _xlfn.LAMBDA(_xlpm.col, SUM(_xlpm.col)&gt;0)), 0,-1))+4,"")</f>
        <v/>
      </c>
      <c r="E12" s="129" t="str">
        <f>IFERROR(DATEDIF('Time Plan (Single Release)'!$Y$3,$D12+3,"d")/7,"")</f>
        <v/>
      </c>
      <c r="F12" s="8" cm="1">
        <f t="array" aca="1" ref="F12" ca="1">SUM(IFERROR(('Time Plan (Single Release)'!$U$6:$U$64*('Time Plan (Single Release)'!$B$6:$B$64=Pricing!$B12)),0))</f>
        <v>0</v>
      </c>
      <c r="G12" s="8">
        <f t="shared" ca="1" si="2"/>
        <v>0</v>
      </c>
      <c r="H12" s="8">
        <f t="shared" ca="1" si="0"/>
        <v>0</v>
      </c>
      <c r="I12" s="143" t="str" cm="1">
        <f t="array" aca="1" ref="I12" ca="1" xml:space="preserve">
IFERROR(
(SUM('Time Plan (Single Release)'!$Y$6:$JN$64*(IFERROR('Time Plan (Single Release)'!$G$6:$G$64*40,0))*('Time Plan (Single Release)'!$B$6:$B$64=Pricing!$B12))
-
SUM('Time Plan (Single Release)'!$Y$6:$JN$64*(IFERROR('Time Plan (Single Release)'!$I$6:$I$64*40,0))*('Time Plan (Single Release)'!$B$6:$B$64=Pricing!$B12)))
/
SUM('Time Plan (Single Release)'!$Y$6:$JN$64*(IFERROR('Time Plan (Single Release)'!$G$6:$G$64*40,0))*('Time Plan (Single Release)'!$B$6:$B$64=Pricing!$B12)),"")</f>
        <v/>
      </c>
      <c r="J12" s="143" t="str" cm="1">
        <f t="array" aca="1" ref="J12" ca="1" xml:space="preserve">
IFERROR(
(SUM('Time Plan (Single Release)'!$Y$6:$JN$64*(IFERROR('Time Plan (Single Release)'!$I$6:$I$64*40,0))*('Time Plan (Single Release)'!$B$6:$B$64=Pricing!$B12))
-
SUM('Time Plan (Single Release)'!$Y$6:$JN$64*(IFERROR('Time Plan (Single Release)'!$K$6:$K$64*40,0))*('Time Plan (Single Release)'!$B$6:$B$64=Pricing!$B12)))
/
SUM('Time Plan (Single Release)'!$Y$6:$JN$64*(IFERROR('Time Plan (Single Release)'!$I$6:$I$64*40,0))*('Time Plan (Single Release)'!$B$6:$B$64=Pricing!$B12)),"")</f>
        <v/>
      </c>
      <c r="L12" s="7"/>
      <c r="M12" s="51" t="str" cm="1">
        <f t="array" ref="M12">IFERROR(INDEX('Time Plan (Single Release)'!$Y$3:$JN$3, 1, _xlfn.XMATCH(TRUE, _xlfn.BYCOL(('Time Plan (Single Release)'!$Y$6:$JN$64)*('Time Plan (Single Release)'!$C$6:$C$64=$L12), _xlfn.LAMBDA(_xlpm.col, SUM(_xlpm.col)&gt;0)), 0, 1)),"")</f>
        <v/>
      </c>
      <c r="N12" s="51" t="str" cm="1">
        <f t="array" ref="N12">IFERROR(INDEX('Time Plan (Single Release)'!$Y$3:$JN$3, 1, _xlfn.XMATCH(TRUE, _xlfn.BYCOL(('Time Plan (Single Release)'!$Y$6:$JN$64)*('Time Plan (Single Release)'!$C$6:$C$64=$L12), _xlfn.LAMBDA(_xlpm.col, SUM(_xlpm.col)&gt;0)), 0,-1))+4,"")</f>
        <v/>
      </c>
      <c r="O12" s="8" cm="1">
        <f t="array" aca="1" ref="O12" ca="1">SUM(IFERROR(('Time Plan (Single Release)'!$U$6:$U$64*('Time Plan (Single Release)'!$C$6:$C$64=$L12)),0))</f>
        <v>0</v>
      </c>
      <c r="P12" s="8">
        <f t="shared" ca="1" si="3"/>
        <v>0</v>
      </c>
      <c r="Q12" s="8">
        <f t="shared" ca="1" si="4"/>
        <v>0</v>
      </c>
      <c r="R12" s="143" t="str" cm="1">
        <f t="array" aca="1" ref="R12" ca="1" xml:space="preserve">
IFERROR(
(SUM('Time Plan (Single Release)'!$Y$6:$JN$64*(IFERROR('Time Plan (Single Release)'!$G$6:$G$64*40,0))*('Time Plan (Single Release)'!$C$6:$C$64=$L12))
-
SUM('Time Plan (Single Release)'!$Y$6:$JN$64*(IFERROR('Time Plan (Single Release)'!$I$6:$I$64*40,0))*('Time Plan (Single Release)'!$C$6:$C$64=$L12)))
/
SUM('Time Plan (Single Release)'!$Y$6:$JN$64*(IFERROR('Time Plan (Single Release)'!$G$6:$G$64*40,0))*('Time Plan (Single Release)'!$C$6:$C$64=$L12)),"")</f>
        <v/>
      </c>
      <c r="S12" s="143" t="str" cm="1">
        <f t="array" aca="1" ref="S12" ca="1" xml:space="preserve">
IFERROR(
(SUM('Time Plan (Single Release)'!$Y$6:$JN$64*(IFERROR('Time Plan (Single Release)'!$I$6:$I$64*40,0))*('Time Plan (Single Release)'!$C$6:$C$64=$L12))
-
SUM('Time Plan (Single Release)'!$Y$6:$JN$64*(IFERROR('Time Plan (Single Release)'!$K$6:$K$64*40,0))*('Time Plan (Single Release)'!$C$6:$C$64=$L12)))
/
SUM('Time Plan (Single Release)'!$Y$6:$JN$64*(IFERROR('Time Plan (Single Release)'!$I$6:$I$64*40,0))*('Time Plan (Single Release)'!$C$6:$C$64=$L12)),"")</f>
        <v/>
      </c>
      <c r="U12" s="7" t="str">
        <v>Mahesh Vemegal</v>
      </c>
      <c r="V12" s="7" t="str" cm="1">
        <f t="array" ref="V12">IFERROR(_xlfn.XLOOKUP($U12,'Time Plan (Single Release)'!$D$6:$D$194,'Time Plan (Single Release)'!$E$6:$E$194&amp;" - "&amp;'Time Plan (Single Release)'!$F$6:$F$194),"")</f>
        <v>Level 4 - Lead ServiceNow Developer</v>
      </c>
      <c r="W12" s="237">
        <f ca="1">IFERROR(_xlfn.XLOOKUP($U12,'Time Plan (Single Release)'!$D$6:$D$64,'Time Plan (Single Release)'!$I$6:$I$64),"")</f>
        <v>207.39999999999998</v>
      </c>
      <c r="X12" s="237">
        <f t="shared" ca="1" si="5"/>
        <v>228.14</v>
      </c>
      <c r="Y12" s="51" cm="1">
        <f t="array" ref="Y12">IFERROR(INDEX('Time Plan (Single Release)'!$Y$3:$JN$3, 1, _xlfn.XMATCH(TRUE, _xlfn.BYCOL(('Time Plan (Single Release)'!$Y$6:$JN$64)*('Time Plan (Single Release)'!$D$6:$D$64=$U12), _xlfn.LAMBDA(_xlpm.col, SUM(_xlpm.col)&gt;0)), 0, 1)),"")</f>
        <v>46076</v>
      </c>
      <c r="Z12" s="51" cm="1">
        <f t="array" ref="Z12">IFERROR(INDEX('Time Plan (Single Release)'!$Y$3:$JN$3, 1, _xlfn.XMATCH(TRUE, _xlfn.BYCOL(('Time Plan (Single Release)'!$Y$6:$JN$64)*('Time Plan (Single Release)'!$D$6:$D$64=$U12), _xlfn.LAMBDA(_xlpm.col, SUM(_xlpm.col)&gt;0)), 0,-1))+4,"")</f>
        <v>46164</v>
      </c>
      <c r="AA12" s="8" cm="1">
        <f t="array" aca="1" ref="AA12" ca="1">SUM(IFERROR(('Time Plan (Single Release)'!$U$6:$U$64*('Time Plan (Single Release)'!$D$6:$D$64=$U12)),0))</f>
        <v>95404</v>
      </c>
      <c r="AB12" s="8">
        <f t="shared" ca="1" si="6"/>
        <v>104944.40000000001</v>
      </c>
      <c r="AC12" s="143" cm="1">
        <f t="array" aca="1" ref="AC12" ca="1" xml:space="preserve">
IFERROR(
(SUM('Time Plan (Single Release)'!$Y$6:$JN$64*(IFERROR('Time Plan (Single Release)'!$G$6:$G$64*40,0))*('Time Plan (Single Release)'!$D$6:$D$64=$U12))
-
SUM('Time Plan (Single Release)'!$Y$6:$JN$64*(IFERROR('Time Plan (Single Release)'!$I$6:$I$64*40,0))*('Time Plan (Single Release)'!$D$6:$D$64=$U12)))
/
SUM('Time Plan (Single Release)'!$Y$6:$JN$64*(IFERROR('Time Plan (Single Release)'!$G$6:$G$64*40,0))*('Time Plan (Single Release)'!$D$6:$D$64=$U12)),"")</f>
        <v>0.32</v>
      </c>
      <c r="AD12" s="143" cm="1">
        <f t="array" aca="1" ref="AD12" ca="1" xml:space="preserve">
IFERROR(
(SUM('Time Plan (Single Release)'!$Y$6:$JN$64*(IFERROR('Time Plan (Single Release)'!$I$6:$I$64*40,0))*('Time Plan (Single Release)'!$D$6:$D$64=$U12))
-
SUM('Time Plan (Single Release)'!$Y$6:$JN$64*(IFERROR('Time Plan (Single Release)'!$K$6:$K$64*40,0))*('Time Plan (Single Release)'!$D$6:$D$64=$U12)))
/
SUM('Time Plan (Single Release)'!$Y$6:$JN$64*(IFERROR('Time Plan (Single Release)'!$I$6:$I$64*40,0))*('Time Plan (Single Release)'!$D$6:$D$64=$U12)),"")</f>
        <v>0.17569913211186117</v>
      </c>
      <c r="AE12" s="263">
        <f ca="1">SUMIF('Time Plan (Single Release)'!D$6:D$64,Pricing!U12,'Time Plan (Single Release)'!S$6:S$64)</f>
        <v>460</v>
      </c>
      <c r="AF12" s="263">
        <f t="shared" ca="1" si="1"/>
        <v>57.5</v>
      </c>
      <c r="AG12" s="263">
        <f t="shared" ref="AG12:AG29" ca="1" si="10">IFERROR(AE12+(AA$8*AI12/W12),"")</f>
        <v>460</v>
      </c>
      <c r="AH12" s="263">
        <f t="shared" ca="1" si="8"/>
        <v>57.5</v>
      </c>
      <c r="AI12" s="264"/>
      <c r="AJ12" s="8"/>
    </row>
    <row r="13" spans="2:36" ht="20.25" customHeight="1" x14ac:dyDescent="0.3">
      <c r="B13" s="50"/>
      <c r="C13" s="51" t="str" cm="1">
        <f t="array" ref="C13">IFERROR(INDEX('Time Plan (Single Release)'!$Y$3:$JN$3, 1, _xlfn.XMATCH(TRUE, _xlfn.BYCOL(('Time Plan (Single Release)'!$Y$6:$JN$64)*('Time Plan (Single Release)'!$B$6:$B$64=$B13), _xlfn.LAMBDA(_xlpm.col, SUM(_xlpm.col)&gt;0)), 0, 1)),"")</f>
        <v/>
      </c>
      <c r="D13" s="51" t="str" cm="1">
        <f t="array" ref="D13">IFERROR(INDEX('Time Plan (Single Release)'!$Y$3:$JN$3, 1, _xlfn.XMATCH(TRUE, _xlfn.BYCOL(('Time Plan (Single Release)'!$Y$6:$JN$64)*('Time Plan (Single Release)'!$B$6:$B$64=$B13), _xlfn.LAMBDA(_xlpm.col, SUM(_xlpm.col)&gt;0)), 0,-1))+4,"")</f>
        <v/>
      </c>
      <c r="E13" s="129" t="str">
        <f>IFERROR(DATEDIF('Time Plan (Single Release)'!$Y$3,$D13+3,"d")/7,"")</f>
        <v/>
      </c>
      <c r="F13" s="8" cm="1">
        <f t="array" aca="1" ref="F13" ca="1">SUM(IFERROR(('Time Plan (Single Release)'!$U$6:$U$64*('Time Plan (Single Release)'!$B$6:$B$64=Pricing!$B13)),0))</f>
        <v>0</v>
      </c>
      <c r="G13" s="8">
        <f t="shared" ca="1" si="2"/>
        <v>0</v>
      </c>
      <c r="H13" s="8">
        <f t="shared" ca="1" si="0"/>
        <v>0</v>
      </c>
      <c r="I13" s="143" t="str" cm="1">
        <f t="array" aca="1" ref="I13" ca="1" xml:space="preserve">
IFERROR(
(SUM('Time Plan (Single Release)'!$Y$6:$JN$64*(IFERROR('Time Plan (Single Release)'!$G$6:$G$64*40,0))*('Time Plan (Single Release)'!$B$6:$B$64=Pricing!$B13))
-
SUM('Time Plan (Single Release)'!$Y$6:$JN$64*(IFERROR('Time Plan (Single Release)'!$I$6:$I$64*40,0))*('Time Plan (Single Release)'!$B$6:$B$64=Pricing!$B13)))
/
SUM('Time Plan (Single Release)'!$Y$6:$JN$64*(IFERROR('Time Plan (Single Release)'!$G$6:$G$64*40,0))*('Time Plan (Single Release)'!$B$6:$B$64=Pricing!$B13)),"")</f>
        <v/>
      </c>
      <c r="J13" s="143" t="str" cm="1">
        <f t="array" aca="1" ref="J13" ca="1" xml:space="preserve">
IFERROR(
(SUM('Time Plan (Single Release)'!$Y$6:$JN$64*(IFERROR('Time Plan (Single Release)'!$I$6:$I$64*40,0))*('Time Plan (Single Release)'!$B$6:$B$64=Pricing!$B13))
-
SUM('Time Plan (Single Release)'!$Y$6:$JN$64*(IFERROR('Time Plan (Single Release)'!$K$6:$K$64*40,0))*('Time Plan (Single Release)'!$B$6:$B$64=Pricing!$B13)))
/
SUM('Time Plan (Single Release)'!$Y$6:$JN$64*(IFERROR('Time Plan (Single Release)'!$I$6:$I$64*40,0))*('Time Plan (Single Release)'!$B$6:$B$64=Pricing!$B13)),"")</f>
        <v/>
      </c>
      <c r="L13" s="7"/>
      <c r="M13" s="51" t="str" cm="1">
        <f t="array" ref="M13">IFERROR(INDEX('Time Plan (Single Release)'!$Y$3:$JN$3, 1, _xlfn.XMATCH(TRUE, _xlfn.BYCOL(('Time Plan (Single Release)'!$Y$6:$JN$64)*('Time Plan (Single Release)'!$C$6:$C$64=$L13), _xlfn.LAMBDA(_xlpm.col, SUM(_xlpm.col)&gt;0)), 0, 1)),"")</f>
        <v/>
      </c>
      <c r="N13" s="51" t="str" cm="1">
        <f t="array" ref="N13">IFERROR(INDEX('Time Plan (Single Release)'!$Y$3:$JN$3, 1, _xlfn.XMATCH(TRUE, _xlfn.BYCOL(('Time Plan (Single Release)'!$Y$6:$JN$64)*('Time Plan (Single Release)'!$C$6:$C$64=$L13), _xlfn.LAMBDA(_xlpm.col, SUM(_xlpm.col)&gt;0)), 0,-1))+4,"")</f>
        <v/>
      </c>
      <c r="O13" s="8" cm="1">
        <f t="array" aca="1" ref="O13" ca="1">SUM(IFERROR(('Time Plan (Single Release)'!$U$6:$U$64*('Time Plan (Single Release)'!$C$6:$C$64=$L13)),0))</f>
        <v>0</v>
      </c>
      <c r="P13" s="8">
        <f t="shared" ca="1" si="3"/>
        <v>0</v>
      </c>
      <c r="Q13" s="8">
        <f t="shared" ca="1" si="4"/>
        <v>0</v>
      </c>
      <c r="R13" s="143" t="str" cm="1">
        <f t="array" aca="1" ref="R13" ca="1" xml:space="preserve">
IFERROR(
(SUM('Time Plan (Single Release)'!$Y$6:$JN$64*(IFERROR('Time Plan (Single Release)'!$G$6:$G$64*40,0))*('Time Plan (Single Release)'!$C$6:$C$64=$L13))
-
SUM('Time Plan (Single Release)'!$Y$6:$JN$64*(IFERROR('Time Plan (Single Release)'!$I$6:$I$64*40,0))*('Time Plan (Single Release)'!$C$6:$C$64=$L13)))
/
SUM('Time Plan (Single Release)'!$Y$6:$JN$64*(IFERROR('Time Plan (Single Release)'!$G$6:$G$64*40,0))*('Time Plan (Single Release)'!$C$6:$C$64=$L13)),"")</f>
        <v/>
      </c>
      <c r="S13" s="143" t="str" cm="1">
        <f t="array" aca="1" ref="S13" ca="1" xml:space="preserve">
IFERROR(
(SUM('Time Plan (Single Release)'!$Y$6:$JN$64*(IFERROR('Time Plan (Single Release)'!$I$6:$I$64*40,0))*('Time Plan (Single Release)'!$C$6:$C$64=$L13))
-
SUM('Time Plan (Single Release)'!$Y$6:$JN$64*(IFERROR('Time Plan (Single Release)'!$K$6:$K$64*40,0))*('Time Plan (Single Release)'!$C$6:$C$64=$L13)))
/
SUM('Time Plan (Single Release)'!$Y$6:$JN$64*(IFERROR('Time Plan (Single Release)'!$I$6:$I$64*40,0))*('Time Plan (Single Release)'!$C$6:$C$64=$L13)),"")</f>
        <v/>
      </c>
      <c r="U13" s="7" t="str">
        <v>Michelle Chant</v>
      </c>
      <c r="V13" s="7" t="str" cm="1">
        <f t="array" ref="V13">IFERROR(_xlfn.XLOOKUP($U13,'Time Plan (Single Release)'!$D$6:$D$194,'Time Plan (Single Release)'!$E$6:$E$194&amp;" - "&amp;'Time Plan (Single Release)'!$F$6:$F$194),"")</f>
        <v>Level 3 - Change Manager</v>
      </c>
      <c r="W13" s="237">
        <f ca="1">IFERROR(_xlfn.XLOOKUP($U13,'Time Plan (Single Release)'!$D$6:$D$64,'Time Plan (Single Release)'!$I$6:$I$64),"")</f>
        <v>151.9</v>
      </c>
      <c r="X13" s="237">
        <f t="shared" ca="1" si="5"/>
        <v>167.09000000000003</v>
      </c>
      <c r="Y13" s="51" cm="1">
        <f t="array" ref="Y13">IFERROR(INDEX('Time Plan (Single Release)'!$Y$3:$JN$3, 1, _xlfn.XMATCH(TRUE, _xlfn.BYCOL(('Time Plan (Single Release)'!$Y$6:$JN$64)*('Time Plan (Single Release)'!$D$6:$D$64=$U13), _xlfn.LAMBDA(_xlpm.col, SUM(_xlpm.col)&gt;0)), 0, 1)),"")</f>
        <v>46062</v>
      </c>
      <c r="Z13" s="51" cm="1">
        <f t="array" ref="Z13">IFERROR(INDEX('Time Plan (Single Release)'!$Y$3:$JN$3, 1, _xlfn.XMATCH(TRUE, _xlfn.BYCOL(('Time Plan (Single Release)'!$Y$6:$JN$64)*('Time Plan (Single Release)'!$D$6:$D$64=$U13), _xlfn.LAMBDA(_xlpm.col, SUM(_xlpm.col)&gt;0)), 0,-1))+4,"")</f>
        <v>46192</v>
      </c>
      <c r="AA13" s="8" cm="1">
        <f t="array" aca="1" ref="AA13" ca="1">SUM(IFERROR(('Time Plan (Single Release)'!$U$6:$U$64*('Time Plan (Single Release)'!$D$6:$D$64=$U13)),0))</f>
        <v>55899.199999999997</v>
      </c>
      <c r="AB13" s="8">
        <f t="shared" ca="1" si="6"/>
        <v>61489.120000000003</v>
      </c>
      <c r="AC13" s="143" cm="1">
        <f t="array" aca="1" ref="AC13" ca="1" xml:space="preserve">
IFERROR(
(SUM('Time Plan (Single Release)'!$Y$6:$JN$64*(IFERROR('Time Plan (Single Release)'!$G$6:$G$64*40,0))*('Time Plan (Single Release)'!$D$6:$D$64=$U13))
-
SUM('Time Plan (Single Release)'!$Y$6:$JN$64*(IFERROR('Time Plan (Single Release)'!$I$6:$I$64*40,0))*('Time Plan (Single Release)'!$D$6:$D$64=$U13)))
/
SUM('Time Plan (Single Release)'!$Y$6:$JN$64*(IFERROR('Time Plan (Single Release)'!$G$6:$G$64*40,0))*('Time Plan (Single Release)'!$D$6:$D$64=$U13)),"")</f>
        <v>0.37999999999999995</v>
      </c>
      <c r="AD13" s="143" cm="1">
        <f t="array" aca="1" ref="AD13" ca="1" xml:space="preserve">
IFERROR(
(SUM('Time Plan (Single Release)'!$Y$6:$JN$64*(IFERROR('Time Plan (Single Release)'!$I$6:$I$64*40,0))*('Time Plan (Single Release)'!$D$6:$D$64=$U13))
-
SUM('Time Plan (Single Release)'!$Y$6:$JN$64*(IFERROR('Time Plan (Single Release)'!$K$6:$K$64*40,0))*('Time Plan (Single Release)'!$D$6:$D$64=$U13)))
/
SUM('Time Plan (Single Release)'!$Y$6:$JN$64*(IFERROR('Time Plan (Single Release)'!$I$6:$I$64*40,0))*('Time Plan (Single Release)'!$D$6:$D$64=$U13)),"")</f>
        <v>3.8841342988808474E-2</v>
      </c>
      <c r="AE13" s="263">
        <f ca="1">SUMIF('Time Plan (Single Release)'!D$6:D$64,Pricing!U13,'Time Plan (Single Release)'!S$6:S$64)</f>
        <v>368</v>
      </c>
      <c r="AF13" s="263">
        <f t="shared" ca="1" si="1"/>
        <v>46</v>
      </c>
      <c r="AG13" s="263">
        <f t="shared" ca="1" si="10"/>
        <v>368</v>
      </c>
      <c r="AH13" s="263">
        <f t="shared" ca="1" si="8"/>
        <v>46</v>
      </c>
      <c r="AI13" s="264"/>
      <c r="AJ13" s="8"/>
    </row>
    <row r="14" spans="2:36" ht="20.25" customHeight="1" x14ac:dyDescent="0.3">
      <c r="B14" s="50"/>
      <c r="C14" s="51" t="str" cm="1">
        <f t="array" ref="C14">IFERROR(INDEX('Time Plan (Single Release)'!$Y$3:$JN$3, 1, _xlfn.XMATCH(TRUE, _xlfn.BYCOL(('Time Plan (Single Release)'!$Y$6:$JN$64)*('Time Plan (Single Release)'!$B$6:$B$64=$B14), _xlfn.LAMBDA(_xlpm.col, SUM(_xlpm.col)&gt;0)), 0, 1)),"")</f>
        <v/>
      </c>
      <c r="D14" s="51" t="str" cm="1">
        <f t="array" ref="D14">IFERROR(INDEX('Time Plan (Single Release)'!$Y$3:$JN$3, 1, _xlfn.XMATCH(TRUE, _xlfn.BYCOL(('Time Plan (Single Release)'!$Y$6:$JN$64)*('Time Plan (Single Release)'!$B$6:$B$64=$B14), _xlfn.LAMBDA(_xlpm.col, SUM(_xlpm.col)&gt;0)), 0,-1))+4,"")</f>
        <v/>
      </c>
      <c r="E14" s="129" t="str">
        <f>IFERROR(DATEDIF('Time Plan (Single Release)'!$Y$3,$D14+3,"d")/7,"")</f>
        <v/>
      </c>
      <c r="F14" s="8" cm="1">
        <f t="array" aca="1" ref="F14" ca="1">SUM(IFERROR(('Time Plan (Single Release)'!$U$6:$U$64*('Time Plan (Single Release)'!$B$6:$B$64=Pricing!$B14)),0))</f>
        <v>0</v>
      </c>
      <c r="G14" s="8">
        <f t="shared" ca="1" si="2"/>
        <v>0</v>
      </c>
      <c r="H14" s="8">
        <f t="shared" ca="1" si="0"/>
        <v>0</v>
      </c>
      <c r="I14" s="143" t="str" cm="1">
        <f t="array" aca="1" ref="I14" ca="1" xml:space="preserve">
IFERROR(
(SUM('Time Plan (Single Release)'!$Y$6:$JN$64*(IFERROR('Time Plan (Single Release)'!$G$6:$G$64*40,0))*('Time Plan (Single Release)'!$B$6:$B$64=Pricing!$B14))
-
SUM('Time Plan (Single Release)'!$Y$6:$JN$64*(IFERROR('Time Plan (Single Release)'!$I$6:$I$64*40,0))*('Time Plan (Single Release)'!$B$6:$B$64=Pricing!$B14)))
/
SUM('Time Plan (Single Release)'!$Y$6:$JN$64*(IFERROR('Time Plan (Single Release)'!$G$6:$G$64*40,0))*('Time Plan (Single Release)'!$B$6:$B$64=Pricing!$B14)),"")</f>
        <v/>
      </c>
      <c r="J14" s="143" t="str" cm="1">
        <f t="array" aca="1" ref="J14" ca="1" xml:space="preserve">
IFERROR(
(SUM('Time Plan (Single Release)'!$Y$6:$JN$64*(IFERROR('Time Plan (Single Release)'!$I$6:$I$64*40,0))*('Time Plan (Single Release)'!$B$6:$B$64=Pricing!$B14))
-
SUM('Time Plan (Single Release)'!$Y$6:$JN$64*(IFERROR('Time Plan (Single Release)'!$K$6:$K$64*40,0))*('Time Plan (Single Release)'!$B$6:$B$64=Pricing!$B14)))
/
SUM('Time Plan (Single Release)'!$Y$6:$JN$64*(IFERROR('Time Plan (Single Release)'!$I$6:$I$64*40,0))*('Time Plan (Single Release)'!$B$6:$B$64=Pricing!$B14)),"")</f>
        <v/>
      </c>
      <c r="L14" s="7"/>
      <c r="M14" s="51" t="str" cm="1">
        <f t="array" ref="M14">IFERROR(INDEX('Time Plan (Single Release)'!$Y$3:$JN$3, 1, _xlfn.XMATCH(TRUE, _xlfn.BYCOL(('Time Plan (Single Release)'!$Y$6:$JN$64)*('Time Plan (Single Release)'!$C$6:$C$64=$L14), _xlfn.LAMBDA(_xlpm.col, SUM(_xlpm.col)&gt;0)), 0, 1)),"")</f>
        <v/>
      </c>
      <c r="N14" s="51" t="str" cm="1">
        <f t="array" ref="N14">IFERROR(INDEX('Time Plan (Single Release)'!$Y$3:$JN$3, 1, _xlfn.XMATCH(TRUE, _xlfn.BYCOL(('Time Plan (Single Release)'!$Y$6:$JN$64)*('Time Plan (Single Release)'!$C$6:$C$64=$L14), _xlfn.LAMBDA(_xlpm.col, SUM(_xlpm.col)&gt;0)), 0,-1))+4,"")</f>
        <v/>
      </c>
      <c r="O14" s="8" cm="1">
        <f t="array" aca="1" ref="O14" ca="1">SUM(IFERROR(('Time Plan (Single Release)'!$U$6:$U$64*('Time Plan (Single Release)'!$C$6:$C$64=$L14)),0))</f>
        <v>0</v>
      </c>
      <c r="P14" s="8">
        <f t="shared" ca="1" si="3"/>
        <v>0</v>
      </c>
      <c r="Q14" s="8">
        <f t="shared" ca="1" si="4"/>
        <v>0</v>
      </c>
      <c r="R14" s="143" t="str" cm="1">
        <f t="array" aca="1" ref="R14" ca="1" xml:space="preserve">
IFERROR(
(SUM('Time Plan (Single Release)'!$Y$6:$JN$64*(IFERROR('Time Plan (Single Release)'!$G$6:$G$64*40,0))*('Time Plan (Single Release)'!$C$6:$C$64=$L14))
-
SUM('Time Plan (Single Release)'!$Y$6:$JN$64*(IFERROR('Time Plan (Single Release)'!$I$6:$I$64*40,0))*('Time Plan (Single Release)'!$C$6:$C$64=$L14)))
/
SUM('Time Plan (Single Release)'!$Y$6:$JN$64*(IFERROR('Time Plan (Single Release)'!$G$6:$G$64*40,0))*('Time Plan (Single Release)'!$C$6:$C$64=$L14)),"")</f>
        <v/>
      </c>
      <c r="S14" s="143" t="str" cm="1">
        <f t="array" aca="1" ref="S14" ca="1" xml:space="preserve">
IFERROR(
(SUM('Time Plan (Single Release)'!$Y$6:$JN$64*(IFERROR('Time Plan (Single Release)'!$I$6:$I$64*40,0))*('Time Plan (Single Release)'!$C$6:$C$64=$L14))
-
SUM('Time Plan (Single Release)'!$Y$6:$JN$64*(IFERROR('Time Plan (Single Release)'!$K$6:$K$64*40,0))*('Time Plan (Single Release)'!$C$6:$C$64=$L14)))
/
SUM('Time Plan (Single Release)'!$Y$6:$JN$64*(IFERROR('Time Plan (Single Release)'!$I$6:$I$64*40,0))*('Time Plan (Single Release)'!$C$6:$C$64=$L14)),"")</f>
        <v/>
      </c>
      <c r="U14" s="7" t="str">
        <v>Phani Gollamudi</v>
      </c>
      <c r="V14" s="7" t="str" cm="1">
        <f t="array" ref="V14">IFERROR(_xlfn.XLOOKUP($U14,'Time Plan (Single Release)'!$D$6:$D$194,'Time Plan (Single Release)'!$E$6:$E$194&amp;" - "&amp;'Time Plan (Single Release)'!$F$6:$F$194),"")</f>
        <v>Level 3 - ServiceNow Developer</v>
      </c>
      <c r="W14" s="237">
        <f ca="1">IFERROR(_xlfn.XLOOKUP($U14,'Time Plan (Single Release)'!$D$6:$D$64,'Time Plan (Single Release)'!$I$6:$I$64),"")</f>
        <v>0</v>
      </c>
      <c r="X14" s="237">
        <f t="shared" ca="1" si="5"/>
        <v>0</v>
      </c>
      <c r="Y14" s="51" cm="1">
        <f t="array" ref="Y14">IFERROR(INDEX('Time Plan (Single Release)'!$Y$3:$JN$3, 1, _xlfn.XMATCH(TRUE, _xlfn.BYCOL(('Time Plan (Single Release)'!$Y$6:$JN$64)*('Time Plan (Single Release)'!$D$6:$D$64=$U14), _xlfn.LAMBDA(_xlpm.col, SUM(_xlpm.col)&gt;0)), 0, 1)),"")</f>
        <v>46062</v>
      </c>
      <c r="Z14" s="51" cm="1">
        <f t="array" ref="Z14">IFERROR(INDEX('Time Plan (Single Release)'!$Y$3:$JN$3, 1, _xlfn.XMATCH(TRUE, _xlfn.BYCOL(('Time Plan (Single Release)'!$Y$6:$JN$64)*('Time Plan (Single Release)'!$D$6:$D$64=$U14), _xlfn.LAMBDA(_xlpm.col, SUM(_xlpm.col)&gt;0)), 0,-1))+4,"")</f>
        <v>46206</v>
      </c>
      <c r="AA14" s="8" cm="1">
        <f t="array" aca="1" ref="AA14" ca="1">SUM(IFERROR(('Time Plan (Single Release)'!$U$6:$U$64*('Time Plan (Single Release)'!$D$6:$D$64=$U14)),0))</f>
        <v>0</v>
      </c>
      <c r="AB14" s="8">
        <f t="shared" ca="1" si="6"/>
        <v>0</v>
      </c>
      <c r="AC14" s="143" cm="1">
        <f t="array" aca="1" ref="AC14" ca="1" xml:space="preserve">
IFERROR(
(SUM('Time Plan (Single Release)'!$Y$6:$JN$64*(IFERROR('Time Plan (Single Release)'!$G$6:$G$64*40,0))*('Time Plan (Single Release)'!$D$6:$D$64=$U14))
-
SUM('Time Plan (Single Release)'!$Y$6:$JN$64*(IFERROR('Time Plan (Single Release)'!$I$6:$I$64*40,0))*('Time Plan (Single Release)'!$D$6:$D$64=$U14)))
/
SUM('Time Plan (Single Release)'!$Y$6:$JN$64*(IFERROR('Time Plan (Single Release)'!$G$6:$G$64*40,0))*('Time Plan (Single Release)'!$D$6:$D$64=$U14)),"")</f>
        <v>1</v>
      </c>
      <c r="AD14" s="143" t="str" cm="1">
        <f t="array" aca="1" ref="AD14" ca="1" xml:space="preserve">
IFERROR(
(SUM('Time Plan (Single Release)'!$Y$6:$JN$64*(IFERROR('Time Plan (Single Release)'!$I$6:$I$64*40,0))*('Time Plan (Single Release)'!$D$6:$D$64=$U14))
-
SUM('Time Plan (Single Release)'!$Y$6:$JN$64*(IFERROR('Time Plan (Single Release)'!$K$6:$K$64*40,0))*('Time Plan (Single Release)'!$D$6:$D$64=$U14)))
/
SUM('Time Plan (Single Release)'!$Y$6:$JN$64*(IFERROR('Time Plan (Single Release)'!$I$6:$I$64*40,0))*('Time Plan (Single Release)'!$D$6:$D$64=$U14)),"")</f>
        <v/>
      </c>
      <c r="AE14" s="263">
        <f ca="1">SUMIF('Time Plan (Single Release)'!D$6:D$64,Pricing!U14,'Time Plan (Single Release)'!S$6:S$64)</f>
        <v>660</v>
      </c>
      <c r="AF14" s="263">
        <f t="shared" ca="1" si="1"/>
        <v>82.5</v>
      </c>
      <c r="AG14" s="263" t="str">
        <f t="shared" ca="1" si="10"/>
        <v/>
      </c>
      <c r="AH14" s="263" t="str">
        <f t="shared" ca="1" si="8"/>
        <v/>
      </c>
      <c r="AI14" s="264"/>
      <c r="AJ14" s="8"/>
    </row>
    <row r="15" spans="2:36" ht="20.25" customHeight="1" x14ac:dyDescent="0.3">
      <c r="B15" s="50"/>
      <c r="C15" s="51" t="str" cm="1">
        <f t="array" ref="C15">IFERROR(INDEX('Time Plan (Single Release)'!$Y$3:$JN$3, 1, _xlfn.XMATCH(TRUE, _xlfn.BYCOL(('Time Plan (Single Release)'!$Y$6:$JN$64)*('Time Plan (Single Release)'!$B$6:$B$64=$B15), _xlfn.LAMBDA(_xlpm.col, SUM(_xlpm.col)&gt;0)), 0, 1)),"")</f>
        <v/>
      </c>
      <c r="D15" s="51" t="str" cm="1">
        <f t="array" ref="D15">IFERROR(INDEX('Time Plan (Single Release)'!$Y$3:$JN$3, 1, _xlfn.XMATCH(TRUE, _xlfn.BYCOL(('Time Plan (Single Release)'!$Y$6:$JN$64)*('Time Plan (Single Release)'!$B$6:$B$64=$B15), _xlfn.LAMBDA(_xlpm.col, SUM(_xlpm.col)&gt;0)), 0,-1))+4,"")</f>
        <v/>
      </c>
      <c r="E15" s="129" t="str">
        <f>IFERROR(DATEDIF('Time Plan (Single Release)'!$Y$3,$D15+3,"d")/7,"")</f>
        <v/>
      </c>
      <c r="F15" s="8" cm="1">
        <f t="array" aca="1" ref="F15" ca="1">SUM(IFERROR(('Time Plan (Single Release)'!$U$6:$U$64*('Time Plan (Single Release)'!$B$6:$B$64=Pricing!$B15)),0))</f>
        <v>0</v>
      </c>
      <c r="G15" s="8">
        <f t="shared" ca="1" si="2"/>
        <v>0</v>
      </c>
      <c r="H15" s="8">
        <f t="shared" ca="1" si="0"/>
        <v>0</v>
      </c>
      <c r="I15" s="143" t="str" cm="1">
        <f t="array" aca="1" ref="I15" ca="1" xml:space="preserve">
IFERROR(
(SUM('Time Plan (Single Release)'!$Y$6:$JN$64*(IFERROR('Time Plan (Single Release)'!$G$6:$G$64*40,0))*('Time Plan (Single Release)'!$B$6:$B$64=Pricing!$B15))
-
SUM('Time Plan (Single Release)'!$Y$6:$JN$64*(IFERROR('Time Plan (Single Release)'!$I$6:$I$64*40,0))*('Time Plan (Single Release)'!$B$6:$B$64=Pricing!$B15)))
/
SUM('Time Plan (Single Release)'!$Y$6:$JN$64*(IFERROR('Time Plan (Single Release)'!$G$6:$G$64*40,0))*('Time Plan (Single Release)'!$B$6:$B$64=Pricing!$B15)),"")</f>
        <v/>
      </c>
      <c r="J15" s="143" t="str" cm="1">
        <f t="array" aca="1" ref="J15" ca="1" xml:space="preserve">
IFERROR(
(SUM('Time Plan (Single Release)'!$Y$6:$JN$64*(IFERROR('Time Plan (Single Release)'!$I$6:$I$64*40,0))*('Time Plan (Single Release)'!$B$6:$B$64=Pricing!$B15))
-
SUM('Time Plan (Single Release)'!$Y$6:$JN$64*(IFERROR('Time Plan (Single Release)'!$K$6:$K$64*40,0))*('Time Plan (Single Release)'!$B$6:$B$64=Pricing!$B15)))
/
SUM('Time Plan (Single Release)'!$Y$6:$JN$64*(IFERROR('Time Plan (Single Release)'!$I$6:$I$64*40,0))*('Time Plan (Single Release)'!$B$6:$B$64=Pricing!$B15)),"")</f>
        <v/>
      </c>
      <c r="L15" s="7"/>
      <c r="M15" s="51" t="str" cm="1">
        <f t="array" ref="M15">IFERROR(INDEX('Time Plan (Single Release)'!$Y$3:$JN$3, 1, _xlfn.XMATCH(TRUE, _xlfn.BYCOL(('Time Plan (Single Release)'!$Y$6:$JN$64)*('Time Plan (Single Release)'!$C$6:$C$64=$L15), _xlfn.LAMBDA(_xlpm.col, SUM(_xlpm.col)&gt;0)), 0, 1)),"")</f>
        <v/>
      </c>
      <c r="N15" s="51" t="str" cm="1">
        <f t="array" ref="N15">IFERROR(INDEX('Time Plan (Single Release)'!$Y$3:$JN$3, 1, _xlfn.XMATCH(TRUE, _xlfn.BYCOL(('Time Plan (Single Release)'!$Y$6:$JN$64)*('Time Plan (Single Release)'!$C$6:$C$64=$L15), _xlfn.LAMBDA(_xlpm.col, SUM(_xlpm.col)&gt;0)), 0,-1))+4,"")</f>
        <v/>
      </c>
      <c r="O15" s="8" cm="1">
        <f t="array" aca="1" ref="O15" ca="1">SUM(IFERROR(('Time Plan (Single Release)'!$U$6:$U$64*('Time Plan (Single Release)'!$C$6:$C$64=$L15)),0))</f>
        <v>0</v>
      </c>
      <c r="P15" s="8">
        <f t="shared" ca="1" si="3"/>
        <v>0</v>
      </c>
      <c r="Q15" s="8">
        <f t="shared" ca="1" si="4"/>
        <v>0</v>
      </c>
      <c r="R15" s="143" t="str" cm="1">
        <f t="array" aca="1" ref="R15" ca="1" xml:space="preserve">
IFERROR(
(SUM('Time Plan (Single Release)'!$Y$6:$JN$64*(IFERROR('Time Plan (Single Release)'!$G$6:$G$64*40,0))*('Time Plan (Single Release)'!$C$6:$C$64=$L15))
-
SUM('Time Plan (Single Release)'!$Y$6:$JN$64*(IFERROR('Time Plan (Single Release)'!$I$6:$I$64*40,0))*('Time Plan (Single Release)'!$C$6:$C$64=$L15)))
/
SUM('Time Plan (Single Release)'!$Y$6:$JN$64*(IFERROR('Time Plan (Single Release)'!$G$6:$G$64*40,0))*('Time Plan (Single Release)'!$C$6:$C$64=$L15)),"")</f>
        <v/>
      </c>
      <c r="S15" s="143" t="str" cm="1">
        <f t="array" aca="1" ref="S15" ca="1" xml:space="preserve">
IFERROR(
(SUM('Time Plan (Single Release)'!$Y$6:$JN$64*(IFERROR('Time Plan (Single Release)'!$I$6:$I$64*40,0))*('Time Plan (Single Release)'!$C$6:$C$64=$L15))
-
SUM('Time Plan (Single Release)'!$Y$6:$JN$64*(IFERROR('Time Plan (Single Release)'!$K$6:$K$64*40,0))*('Time Plan (Single Release)'!$C$6:$C$64=$L15)))
/
SUM('Time Plan (Single Release)'!$Y$6:$JN$64*(IFERROR('Time Plan (Single Release)'!$I$6:$I$64*40,0))*('Time Plan (Single Release)'!$C$6:$C$64=$L15)),"")</f>
        <v/>
      </c>
      <c r="U15" s="7"/>
      <c r="V15" s="7" t="str" cm="1">
        <f t="array" ref="V15">IFERROR(_xlfn.XLOOKUP($U15,'Time Plan (Single Release)'!$D$6:$D$194,'Time Plan (Single Release)'!$E$6:$E$194&amp;" - "&amp;'Time Plan (Single Release)'!$F$6:$F$194),"")</f>
        <v xml:space="preserve"> - </v>
      </c>
      <c r="W15" s="237" t="str">
        <f>IFERROR(_xlfn.XLOOKUP($U15,'Time Plan (Single Release)'!$D$6:$D$64,'Time Plan (Single Release)'!$I$6:$I$64),"")</f>
        <v/>
      </c>
      <c r="X15" s="237" t="str">
        <f t="shared" si="5"/>
        <v/>
      </c>
      <c r="Y15" s="51" t="str" cm="1">
        <f t="array" ref="Y15">IFERROR(INDEX('Time Plan (Single Release)'!$Y$3:$JN$3, 1, _xlfn.XMATCH(TRUE, _xlfn.BYCOL(('Time Plan (Single Release)'!$Y$6:$JN$64)*('Time Plan (Single Release)'!$D$6:$D$64=$U15), _xlfn.LAMBDA(_xlpm.col, SUM(_xlpm.col)&gt;0)), 0, 1)),"")</f>
        <v/>
      </c>
      <c r="Z15" s="51" t="str" cm="1">
        <f t="array" ref="Z15">IFERROR(INDEX('Time Plan (Single Release)'!$Y$3:$JN$3, 1, _xlfn.XMATCH(TRUE, _xlfn.BYCOL(('Time Plan (Single Release)'!$Y$6:$JN$64)*('Time Plan (Single Release)'!$D$6:$D$64=$U15), _xlfn.LAMBDA(_xlpm.col, SUM(_xlpm.col)&gt;0)), 0,-1))+4,"")</f>
        <v/>
      </c>
      <c r="AA15" s="8" cm="1">
        <f t="array" aca="1" ref="AA15" ca="1">SUM(IFERROR(('Time Plan (Single Release)'!$U$6:$U$64*('Time Plan (Single Release)'!$D$6:$D$64=$U15)),0))</f>
        <v>0</v>
      </c>
      <c r="AB15" s="8">
        <f t="shared" ca="1" si="6"/>
        <v>0</v>
      </c>
      <c r="AC15" s="143" t="str" cm="1">
        <f t="array" aca="1" ref="AC15" ca="1" xml:space="preserve">
IFERROR(
(SUM('Time Plan (Single Release)'!$Y$6:$JN$64*(IFERROR('Time Plan (Single Release)'!$G$6:$G$64*40,0))*('Time Plan (Single Release)'!$D$6:$D$64=$U15))
-
SUM('Time Plan (Single Release)'!$Y$6:$JN$64*(IFERROR('Time Plan (Single Release)'!$I$6:$I$64*40,0))*('Time Plan (Single Release)'!$D$6:$D$64=$U15)))
/
SUM('Time Plan (Single Release)'!$Y$6:$JN$64*(IFERROR('Time Plan (Single Release)'!$G$6:$G$64*40,0))*('Time Plan (Single Release)'!$D$6:$D$64=$U15)),"")</f>
        <v/>
      </c>
      <c r="AD15" s="143" t="str" cm="1">
        <f t="array" aca="1" ref="AD15" ca="1" xml:space="preserve">
IFERROR(
(SUM('Time Plan (Single Release)'!$Y$6:$JN$64*(IFERROR('Time Plan (Single Release)'!$I$6:$I$64*40,0))*('Time Plan (Single Release)'!$D$6:$D$64=$U15))
-
SUM('Time Plan (Single Release)'!$Y$6:$JN$64*(IFERROR('Time Plan (Single Release)'!$K$6:$K$64*40,0))*('Time Plan (Single Release)'!$D$6:$D$64=$U15)))
/
SUM('Time Plan (Single Release)'!$Y$6:$JN$64*(IFERROR('Time Plan (Single Release)'!$I$6:$I$64*40,0))*('Time Plan (Single Release)'!$D$6:$D$64=$U15)),"")</f>
        <v/>
      </c>
      <c r="AE15" s="263">
        <f>SUMIF('Time Plan (Single Release)'!D$6:D$64,Pricing!U15,'Time Plan (Single Release)'!S$6:S$64)</f>
        <v>0</v>
      </c>
      <c r="AF15" s="263">
        <f t="shared" si="1"/>
        <v>0</v>
      </c>
      <c r="AG15" s="263" t="str">
        <f t="shared" ca="1" si="10"/>
        <v/>
      </c>
      <c r="AH15" s="263" t="str">
        <f t="shared" ca="1" si="8"/>
        <v/>
      </c>
      <c r="AI15" s="264"/>
      <c r="AJ15" s="8"/>
    </row>
    <row r="16" spans="2:36" ht="20.25" customHeight="1" x14ac:dyDescent="0.3">
      <c r="B16" s="50"/>
      <c r="C16" s="51" t="str" cm="1">
        <f t="array" ref="C16">IFERROR(INDEX('Time Plan (Single Release)'!$Y$3:$JN$3, 1, _xlfn.XMATCH(TRUE, _xlfn.BYCOL(('Time Plan (Single Release)'!$Y$6:$JN$64)*('Time Plan (Single Release)'!$B$6:$B$64=$B16), _xlfn.LAMBDA(_xlpm.col, SUM(_xlpm.col)&gt;0)), 0, 1)),"")</f>
        <v/>
      </c>
      <c r="D16" s="51" t="str" cm="1">
        <f t="array" ref="D16">IFERROR(INDEX('Time Plan (Single Release)'!$Y$3:$JN$3, 1, _xlfn.XMATCH(TRUE, _xlfn.BYCOL(('Time Plan (Single Release)'!$Y$6:$JN$64)*('Time Plan (Single Release)'!$B$6:$B$64=$B16), _xlfn.LAMBDA(_xlpm.col, SUM(_xlpm.col)&gt;0)), 0,-1))+4,"")</f>
        <v/>
      </c>
      <c r="E16" s="129" t="str">
        <f>IFERROR(DATEDIF('Time Plan (Single Release)'!$Y$3,$D16+3,"d")/7,"")</f>
        <v/>
      </c>
      <c r="F16" s="8" cm="1">
        <f t="array" aca="1" ref="F16" ca="1">SUM(IFERROR(('Time Plan (Single Release)'!$U$6:$U$64*('Time Plan (Single Release)'!$B$6:$B$64=Pricing!$B16)),0))</f>
        <v>0</v>
      </c>
      <c r="G16" s="8">
        <f t="shared" ca="1" si="2"/>
        <v>0</v>
      </c>
      <c r="H16" s="8">
        <f t="shared" ca="1" si="0"/>
        <v>0</v>
      </c>
      <c r="I16" s="143" t="str" cm="1">
        <f t="array" aca="1" ref="I16" ca="1" xml:space="preserve">
IFERROR(
(SUM('Time Plan (Single Release)'!$Y$6:$JN$64*(IFERROR('Time Plan (Single Release)'!$G$6:$G$64*40,0))*('Time Plan (Single Release)'!$B$6:$B$64=Pricing!$B16))
-
SUM('Time Plan (Single Release)'!$Y$6:$JN$64*(IFERROR('Time Plan (Single Release)'!$I$6:$I$64*40,0))*('Time Plan (Single Release)'!$B$6:$B$64=Pricing!$B16)))
/
SUM('Time Plan (Single Release)'!$Y$6:$JN$64*(IFERROR('Time Plan (Single Release)'!$G$6:$G$64*40,0))*('Time Plan (Single Release)'!$B$6:$B$64=Pricing!$B16)),"")</f>
        <v/>
      </c>
      <c r="J16" s="143" t="str" cm="1">
        <f t="array" aca="1" ref="J16" ca="1" xml:space="preserve">
IFERROR(
(SUM('Time Plan (Single Release)'!$Y$6:$JN$64*(IFERROR('Time Plan (Single Release)'!$I$6:$I$64*40,0))*('Time Plan (Single Release)'!$B$6:$B$64=Pricing!$B16))
-
SUM('Time Plan (Single Release)'!$Y$6:$JN$64*(IFERROR('Time Plan (Single Release)'!$K$6:$K$64*40,0))*('Time Plan (Single Release)'!$B$6:$B$64=Pricing!$B16)))
/
SUM('Time Plan (Single Release)'!$Y$6:$JN$64*(IFERROR('Time Plan (Single Release)'!$I$6:$I$64*40,0))*('Time Plan (Single Release)'!$B$6:$B$64=Pricing!$B16)),"")</f>
        <v/>
      </c>
      <c r="L16" s="7"/>
      <c r="M16" s="51" t="str" cm="1">
        <f t="array" ref="M16">IFERROR(INDEX('Time Plan (Single Release)'!$Y$3:$JN$3, 1, _xlfn.XMATCH(TRUE, _xlfn.BYCOL(('Time Plan (Single Release)'!$Y$6:$JN$64)*('Time Plan (Single Release)'!$C$6:$C$64=$L16), _xlfn.LAMBDA(_xlpm.col, SUM(_xlpm.col)&gt;0)), 0, 1)),"")</f>
        <v/>
      </c>
      <c r="N16" s="51" t="str" cm="1">
        <f t="array" ref="N16">IFERROR(INDEX('Time Plan (Single Release)'!$Y$3:$JN$3, 1, _xlfn.XMATCH(TRUE, _xlfn.BYCOL(('Time Plan (Single Release)'!$Y$6:$JN$64)*('Time Plan (Single Release)'!$C$6:$C$64=$L16), _xlfn.LAMBDA(_xlpm.col, SUM(_xlpm.col)&gt;0)), 0,-1))+4,"")</f>
        <v/>
      </c>
      <c r="O16" s="8" cm="1">
        <f t="array" aca="1" ref="O16" ca="1">SUM(IFERROR(('Time Plan (Single Release)'!$U$6:$U$64*('Time Plan (Single Release)'!$C$6:$C$64=$L16)),0))</f>
        <v>0</v>
      </c>
      <c r="P16" s="8">
        <f t="shared" ca="1" si="3"/>
        <v>0</v>
      </c>
      <c r="Q16" s="8">
        <f t="shared" ca="1" si="4"/>
        <v>0</v>
      </c>
      <c r="R16" s="143" t="str" cm="1">
        <f t="array" aca="1" ref="R16" ca="1" xml:space="preserve">
IFERROR(
(SUM('Time Plan (Single Release)'!$Y$6:$JN$64*(IFERROR('Time Plan (Single Release)'!$G$6:$G$64*40,0))*('Time Plan (Single Release)'!$C$6:$C$64=$L16))
-
SUM('Time Plan (Single Release)'!$Y$6:$JN$64*(IFERROR('Time Plan (Single Release)'!$I$6:$I$64*40,0))*('Time Plan (Single Release)'!$C$6:$C$64=$L16)))
/
SUM('Time Plan (Single Release)'!$Y$6:$JN$64*(IFERROR('Time Plan (Single Release)'!$G$6:$G$64*40,0))*('Time Plan (Single Release)'!$C$6:$C$64=$L16)),"")</f>
        <v/>
      </c>
      <c r="S16" s="143" t="str" cm="1">
        <f t="array" aca="1" ref="S16" ca="1" xml:space="preserve">
IFERROR(
(SUM('Time Plan (Single Release)'!$Y$6:$JN$64*(IFERROR('Time Plan (Single Release)'!$I$6:$I$64*40,0))*('Time Plan (Single Release)'!$C$6:$C$64=$L16))
-
SUM('Time Plan (Single Release)'!$Y$6:$JN$64*(IFERROR('Time Plan (Single Release)'!$K$6:$K$64*40,0))*('Time Plan (Single Release)'!$C$6:$C$64=$L16)))
/
SUM('Time Plan (Single Release)'!$Y$6:$JN$64*(IFERROR('Time Plan (Single Release)'!$I$6:$I$64*40,0))*('Time Plan (Single Release)'!$C$6:$C$64=$L16)),"")</f>
        <v/>
      </c>
      <c r="U16" s="7"/>
      <c r="V16" s="7" t="str" cm="1">
        <f t="array" ref="V16">IFERROR(_xlfn.XLOOKUP($U16,'Time Plan (Single Release)'!$D$6:$D$194,'Time Plan (Single Release)'!$E$6:$E$194&amp;" - "&amp;'Time Plan (Single Release)'!$F$6:$F$194),"")</f>
        <v xml:space="preserve"> - </v>
      </c>
      <c r="W16" s="237" t="str">
        <f>IFERROR(_xlfn.XLOOKUP($U16,'Time Plan (Single Release)'!$D$6:$D$64,'Time Plan (Single Release)'!$I$6:$I$64),"")</f>
        <v/>
      </c>
      <c r="X16" s="237" t="str">
        <f t="shared" si="5"/>
        <v/>
      </c>
      <c r="Y16" s="51" t="str" cm="1">
        <f t="array" ref="Y16">IFERROR(INDEX('Time Plan (Single Release)'!$Y$3:$JN$3, 1, _xlfn.XMATCH(TRUE, _xlfn.BYCOL(('Time Plan (Single Release)'!$Y$6:$JN$64)*('Time Plan (Single Release)'!$D$6:$D$64=$U16), _xlfn.LAMBDA(_xlpm.col, SUM(_xlpm.col)&gt;0)), 0, 1)),"")</f>
        <v/>
      </c>
      <c r="Z16" s="51" t="str" cm="1">
        <f t="array" ref="Z16">IFERROR(INDEX('Time Plan (Single Release)'!$Y$3:$JN$3, 1, _xlfn.XMATCH(TRUE, _xlfn.BYCOL(('Time Plan (Single Release)'!$Y$6:$JN$64)*('Time Plan (Single Release)'!$D$6:$D$64=$U16), _xlfn.LAMBDA(_xlpm.col, SUM(_xlpm.col)&gt;0)), 0,-1))+4,"")</f>
        <v/>
      </c>
      <c r="AA16" s="8" cm="1">
        <f t="array" aca="1" ref="AA16" ca="1">SUM(IFERROR(('Time Plan (Single Release)'!$U$6:$U$64*('Time Plan (Single Release)'!$D$6:$D$64=$U16)),0))</f>
        <v>0</v>
      </c>
      <c r="AB16" s="8">
        <f t="shared" ca="1" si="6"/>
        <v>0</v>
      </c>
      <c r="AC16" s="143" t="str" cm="1">
        <f t="array" aca="1" ref="AC16" ca="1" xml:space="preserve">
IFERROR(
(SUM('Time Plan (Single Release)'!$Y$6:$JN$64*(IFERROR('Time Plan (Single Release)'!$G$6:$G$64*40,0))*('Time Plan (Single Release)'!$D$6:$D$64=$U16))
-
SUM('Time Plan (Single Release)'!$Y$6:$JN$64*(IFERROR('Time Plan (Single Release)'!$I$6:$I$64*40,0))*('Time Plan (Single Release)'!$D$6:$D$64=$U16)))
/
SUM('Time Plan (Single Release)'!$Y$6:$JN$64*(IFERROR('Time Plan (Single Release)'!$G$6:$G$64*40,0))*('Time Plan (Single Release)'!$D$6:$D$64=$U16)),"")</f>
        <v/>
      </c>
      <c r="AD16" s="143" t="str" cm="1">
        <f t="array" aca="1" ref="AD16" ca="1" xml:space="preserve">
IFERROR(
(SUM('Time Plan (Single Release)'!$Y$6:$JN$64*(IFERROR('Time Plan (Single Release)'!$I$6:$I$64*40,0))*('Time Plan (Single Release)'!$D$6:$D$64=$U16))
-
SUM('Time Plan (Single Release)'!$Y$6:$JN$64*(IFERROR('Time Plan (Single Release)'!$K$6:$K$64*40,0))*('Time Plan (Single Release)'!$D$6:$D$64=$U16)))
/
SUM('Time Plan (Single Release)'!$Y$6:$JN$64*(IFERROR('Time Plan (Single Release)'!$I$6:$I$64*40,0))*('Time Plan (Single Release)'!$D$6:$D$64=$U16)),"")</f>
        <v/>
      </c>
      <c r="AE16" s="263">
        <f>SUMIF('Time Plan (Single Release)'!D$6:D$64,Pricing!U16,'Time Plan (Single Release)'!S$6:S$64)</f>
        <v>0</v>
      </c>
      <c r="AF16" s="263">
        <f t="shared" si="1"/>
        <v>0</v>
      </c>
      <c r="AG16" s="263" t="str">
        <f t="shared" ca="1" si="10"/>
        <v/>
      </c>
      <c r="AH16" s="263" t="str">
        <f t="shared" ca="1" si="8"/>
        <v/>
      </c>
      <c r="AI16" s="264"/>
      <c r="AJ16" s="8"/>
    </row>
    <row r="17" spans="2:36" ht="20.25" customHeight="1" x14ac:dyDescent="0.3">
      <c r="B17" s="50"/>
      <c r="C17" s="51" t="str" cm="1">
        <f t="array" ref="C17">IFERROR(INDEX('Time Plan (Single Release)'!$Y$3:$JN$3, 1, _xlfn.XMATCH(TRUE, _xlfn.BYCOL(('Time Plan (Single Release)'!$Y$6:$JN$64)*('Time Plan (Single Release)'!$B$6:$B$64=$B17), _xlfn.LAMBDA(_xlpm.col, SUM(_xlpm.col)&gt;0)), 0, 1)),"")</f>
        <v/>
      </c>
      <c r="D17" s="51" t="str" cm="1">
        <f t="array" ref="D17">IFERROR(INDEX('Time Plan (Single Release)'!$Y$3:$JN$3, 1, _xlfn.XMATCH(TRUE, _xlfn.BYCOL(('Time Plan (Single Release)'!$Y$6:$JN$64)*('Time Plan (Single Release)'!$B$6:$B$64=$B17), _xlfn.LAMBDA(_xlpm.col, SUM(_xlpm.col)&gt;0)), 0,-1))+4,"")</f>
        <v/>
      </c>
      <c r="E17" s="129" t="str">
        <f>IFERROR(DATEDIF('Time Plan (Single Release)'!$Y$3,$D17+3,"d")/7,"")</f>
        <v/>
      </c>
      <c r="F17" s="8" cm="1">
        <f t="array" aca="1" ref="F17" ca="1">SUM(IFERROR(('Time Plan (Single Release)'!$U$6:$U$64*('Time Plan (Single Release)'!$B$6:$B$64=Pricing!$B17)),0))</f>
        <v>0</v>
      </c>
      <c r="G17" s="8">
        <f t="shared" ca="1" si="2"/>
        <v>0</v>
      </c>
      <c r="H17" s="8">
        <f t="shared" ca="1" si="0"/>
        <v>0</v>
      </c>
      <c r="I17" s="143" t="str" cm="1">
        <f t="array" aca="1" ref="I17" ca="1" xml:space="preserve">
IFERROR(
(SUM('Time Plan (Single Release)'!$Y$6:$JN$64*(IFERROR('Time Plan (Single Release)'!$G$6:$G$64*40,0))*('Time Plan (Single Release)'!$B$6:$B$64=Pricing!$B17))
-
SUM('Time Plan (Single Release)'!$Y$6:$JN$64*(IFERROR('Time Plan (Single Release)'!$I$6:$I$64*40,0))*('Time Plan (Single Release)'!$B$6:$B$64=Pricing!$B17)))
/
SUM('Time Plan (Single Release)'!$Y$6:$JN$64*(IFERROR('Time Plan (Single Release)'!$G$6:$G$64*40,0))*('Time Plan (Single Release)'!$B$6:$B$64=Pricing!$B17)),"")</f>
        <v/>
      </c>
      <c r="J17" s="143" t="str" cm="1">
        <f t="array" aca="1" ref="J17" ca="1" xml:space="preserve">
IFERROR(
(SUM('Time Plan (Single Release)'!$Y$6:$JN$64*(IFERROR('Time Plan (Single Release)'!$I$6:$I$64*40,0))*('Time Plan (Single Release)'!$B$6:$B$64=Pricing!$B17))
-
SUM('Time Plan (Single Release)'!$Y$6:$JN$64*(IFERROR('Time Plan (Single Release)'!$K$6:$K$64*40,0))*('Time Plan (Single Release)'!$B$6:$B$64=Pricing!$B17)))
/
SUM('Time Plan (Single Release)'!$Y$6:$JN$64*(IFERROR('Time Plan (Single Release)'!$I$6:$I$64*40,0))*('Time Plan (Single Release)'!$B$6:$B$64=Pricing!$B17)),"")</f>
        <v/>
      </c>
      <c r="L17" s="7"/>
      <c r="M17" s="51" t="str" cm="1">
        <f t="array" ref="M17">IFERROR(INDEX('Time Plan (Single Release)'!$Y$3:$JN$3, 1, _xlfn.XMATCH(TRUE, _xlfn.BYCOL(('Time Plan (Single Release)'!$Y$6:$JN$64)*('Time Plan (Single Release)'!$C$6:$C$64=$L17), _xlfn.LAMBDA(_xlpm.col, SUM(_xlpm.col)&gt;0)), 0, 1)),"")</f>
        <v/>
      </c>
      <c r="N17" s="51" t="str" cm="1">
        <f t="array" ref="N17">IFERROR(INDEX('Time Plan (Single Release)'!$Y$3:$JN$3, 1, _xlfn.XMATCH(TRUE, _xlfn.BYCOL(('Time Plan (Single Release)'!$Y$6:$JN$64)*('Time Plan (Single Release)'!$C$6:$C$64=$L17), _xlfn.LAMBDA(_xlpm.col, SUM(_xlpm.col)&gt;0)), 0,-1))+4,"")</f>
        <v/>
      </c>
      <c r="O17" s="8" cm="1">
        <f t="array" aca="1" ref="O17" ca="1">SUM(IFERROR(('Time Plan (Single Release)'!$U$6:$U$64*('Time Plan (Single Release)'!$C$6:$C$64=$L17)),0))</f>
        <v>0</v>
      </c>
      <c r="P17" s="8">
        <f t="shared" ca="1" si="3"/>
        <v>0</v>
      </c>
      <c r="Q17" s="8">
        <f t="shared" ca="1" si="4"/>
        <v>0</v>
      </c>
      <c r="R17" s="143" t="str" cm="1">
        <f t="array" aca="1" ref="R17" ca="1" xml:space="preserve">
IFERROR(
(SUM('Time Plan (Single Release)'!$Y$6:$JN$64*(IFERROR('Time Plan (Single Release)'!$G$6:$G$64*40,0))*('Time Plan (Single Release)'!$C$6:$C$64=$L17))
-
SUM('Time Plan (Single Release)'!$Y$6:$JN$64*(IFERROR('Time Plan (Single Release)'!$I$6:$I$64*40,0))*('Time Plan (Single Release)'!$C$6:$C$64=$L17)))
/
SUM('Time Plan (Single Release)'!$Y$6:$JN$64*(IFERROR('Time Plan (Single Release)'!$G$6:$G$64*40,0))*('Time Plan (Single Release)'!$C$6:$C$64=$L17)),"")</f>
        <v/>
      </c>
      <c r="S17" s="143" t="str" cm="1">
        <f t="array" aca="1" ref="S17" ca="1" xml:space="preserve">
IFERROR(
(SUM('Time Plan (Single Release)'!$Y$6:$JN$64*(IFERROR('Time Plan (Single Release)'!$I$6:$I$64*40,0))*('Time Plan (Single Release)'!$C$6:$C$64=$L17))
-
SUM('Time Plan (Single Release)'!$Y$6:$JN$64*(IFERROR('Time Plan (Single Release)'!$K$6:$K$64*40,0))*('Time Plan (Single Release)'!$C$6:$C$64=$L17)))
/
SUM('Time Plan (Single Release)'!$Y$6:$JN$64*(IFERROR('Time Plan (Single Release)'!$I$6:$I$64*40,0))*('Time Plan (Single Release)'!$C$6:$C$64=$L17)),"")</f>
        <v/>
      </c>
      <c r="U17" s="7"/>
      <c r="V17" s="7" t="str" cm="1">
        <f t="array" ref="V17">IFERROR(_xlfn.XLOOKUP($U17,'Time Plan (Single Release)'!$D$6:$D$194,'Time Plan (Single Release)'!$E$6:$E$194&amp;" - "&amp;'Time Plan (Single Release)'!$F$6:$F$194),"")</f>
        <v xml:space="preserve"> - </v>
      </c>
      <c r="W17" s="237" t="str">
        <f>IFERROR(_xlfn.XLOOKUP($U17,'Time Plan (Single Release)'!$D$6:$D$64,'Time Plan (Single Release)'!$I$6:$I$64),"")</f>
        <v/>
      </c>
      <c r="X17" s="237" t="str">
        <f t="shared" si="5"/>
        <v/>
      </c>
      <c r="Y17" s="51" t="str" cm="1">
        <f t="array" ref="Y17">IFERROR(INDEX('Time Plan (Single Release)'!$Y$3:$JN$3, 1, _xlfn.XMATCH(TRUE, _xlfn.BYCOL(('Time Plan (Single Release)'!$Y$6:$JN$64)*('Time Plan (Single Release)'!$D$6:$D$64=$U17), _xlfn.LAMBDA(_xlpm.col, SUM(_xlpm.col)&gt;0)), 0, 1)),"")</f>
        <v/>
      </c>
      <c r="Z17" s="51" t="str" cm="1">
        <f t="array" ref="Z17">IFERROR(INDEX('Time Plan (Single Release)'!$Y$3:$JN$3, 1, _xlfn.XMATCH(TRUE, _xlfn.BYCOL(('Time Plan (Single Release)'!$Y$6:$JN$64)*('Time Plan (Single Release)'!$D$6:$D$64=$U17), _xlfn.LAMBDA(_xlpm.col, SUM(_xlpm.col)&gt;0)), 0,-1))+4,"")</f>
        <v/>
      </c>
      <c r="AA17" s="8" cm="1">
        <f t="array" aca="1" ref="AA17" ca="1">SUM(IFERROR(('Time Plan (Single Release)'!$U$6:$U$64*('Time Plan (Single Release)'!$D$6:$D$64=$U17)),0))</f>
        <v>0</v>
      </c>
      <c r="AB17" s="8">
        <f t="shared" ca="1" si="6"/>
        <v>0</v>
      </c>
      <c r="AC17" s="143" t="str" cm="1">
        <f t="array" aca="1" ref="AC17" ca="1" xml:space="preserve">
IFERROR(
(SUM('Time Plan (Single Release)'!$Y$6:$JN$64*(IFERROR('Time Plan (Single Release)'!$G$6:$G$64*40,0))*('Time Plan (Single Release)'!$D$6:$D$64=$U17))
-
SUM('Time Plan (Single Release)'!$Y$6:$JN$64*(IFERROR('Time Plan (Single Release)'!$I$6:$I$64*40,0))*('Time Plan (Single Release)'!$D$6:$D$64=$U17)))
/
SUM('Time Plan (Single Release)'!$Y$6:$JN$64*(IFERROR('Time Plan (Single Release)'!$G$6:$G$64*40,0))*('Time Plan (Single Release)'!$D$6:$D$64=$U17)),"")</f>
        <v/>
      </c>
      <c r="AD17" s="143" t="str" cm="1">
        <f t="array" aca="1" ref="AD17" ca="1" xml:space="preserve">
IFERROR(
(SUM('Time Plan (Single Release)'!$Y$6:$JN$64*(IFERROR('Time Plan (Single Release)'!$I$6:$I$64*40,0))*('Time Plan (Single Release)'!$D$6:$D$64=$U17))
-
SUM('Time Plan (Single Release)'!$Y$6:$JN$64*(IFERROR('Time Plan (Single Release)'!$K$6:$K$64*40,0))*('Time Plan (Single Release)'!$D$6:$D$64=$U17)))
/
SUM('Time Plan (Single Release)'!$Y$6:$JN$64*(IFERROR('Time Plan (Single Release)'!$I$6:$I$64*40,0))*('Time Plan (Single Release)'!$D$6:$D$64=$U17)),"")</f>
        <v/>
      </c>
      <c r="AE17" s="263">
        <f>SUMIF('Time Plan (Single Release)'!D$6:D$64,Pricing!U17,'Time Plan (Single Release)'!S$6:S$64)</f>
        <v>0</v>
      </c>
      <c r="AF17" s="263">
        <f t="shared" si="1"/>
        <v>0</v>
      </c>
      <c r="AG17" s="263" t="str">
        <f t="shared" ca="1" si="10"/>
        <v/>
      </c>
      <c r="AH17" s="263" t="str">
        <f t="shared" ca="1" si="8"/>
        <v/>
      </c>
      <c r="AI17" s="264"/>
      <c r="AJ17" s="8"/>
    </row>
    <row r="18" spans="2:36" ht="20.25" customHeight="1" x14ac:dyDescent="0.3">
      <c r="B18" s="50"/>
      <c r="C18" s="51" t="str" cm="1">
        <f t="array" ref="C18">IFERROR(INDEX('Time Plan (Single Release)'!$Y$3:$JN$3, 1, _xlfn.XMATCH(TRUE, _xlfn.BYCOL(('Time Plan (Single Release)'!$Y$6:$JN$64)*('Time Plan (Single Release)'!$B$6:$B$64=$B18), _xlfn.LAMBDA(_xlpm.col, SUM(_xlpm.col)&gt;0)), 0, 1)),"")</f>
        <v/>
      </c>
      <c r="D18" s="51" t="str" cm="1">
        <f t="array" ref="D18">IFERROR(INDEX('Time Plan (Single Release)'!$Y$3:$JN$3, 1, _xlfn.XMATCH(TRUE, _xlfn.BYCOL(('Time Plan (Single Release)'!$Y$6:$JN$64)*('Time Plan (Single Release)'!$B$6:$B$64=$B18), _xlfn.LAMBDA(_xlpm.col, SUM(_xlpm.col)&gt;0)), 0,-1))+4,"")</f>
        <v/>
      </c>
      <c r="E18" s="129" t="str">
        <f>IFERROR(DATEDIF('Time Plan (Single Release)'!$Y$3,$D18+3,"d")/7,"")</f>
        <v/>
      </c>
      <c r="F18" s="8" cm="1">
        <f t="array" aca="1" ref="F18" ca="1">SUM(IFERROR(('Time Plan (Single Release)'!$U$6:$U$64*('Time Plan (Single Release)'!$B$6:$B$64=Pricing!$B18)),0))</f>
        <v>0</v>
      </c>
      <c r="G18" s="8">
        <f t="shared" ca="1" si="2"/>
        <v>0</v>
      </c>
      <c r="H18" s="8">
        <f t="shared" ca="1" si="0"/>
        <v>0</v>
      </c>
      <c r="I18" s="143" t="str" cm="1">
        <f t="array" aca="1" ref="I18" ca="1" xml:space="preserve">
IFERROR(
(SUM('Time Plan (Single Release)'!$Y$6:$JN$64*(IFERROR('Time Plan (Single Release)'!$G$6:$G$64*40,0))*('Time Plan (Single Release)'!$B$6:$B$64=Pricing!$B18))
-
SUM('Time Plan (Single Release)'!$Y$6:$JN$64*(IFERROR('Time Plan (Single Release)'!$I$6:$I$64*40,0))*('Time Plan (Single Release)'!$B$6:$B$64=Pricing!$B18)))
/
SUM('Time Plan (Single Release)'!$Y$6:$JN$64*(IFERROR('Time Plan (Single Release)'!$G$6:$G$64*40,0))*('Time Plan (Single Release)'!$B$6:$B$64=Pricing!$B18)),"")</f>
        <v/>
      </c>
      <c r="J18" s="143" t="str" cm="1">
        <f t="array" aca="1" ref="J18" ca="1" xml:space="preserve">
IFERROR(
(SUM('Time Plan (Single Release)'!$Y$6:$JN$64*(IFERROR('Time Plan (Single Release)'!$I$6:$I$64*40,0))*('Time Plan (Single Release)'!$B$6:$B$64=Pricing!$B18))
-
SUM('Time Plan (Single Release)'!$Y$6:$JN$64*(IFERROR('Time Plan (Single Release)'!$K$6:$K$64*40,0))*('Time Plan (Single Release)'!$B$6:$B$64=Pricing!$B18)))
/
SUM('Time Plan (Single Release)'!$Y$6:$JN$64*(IFERROR('Time Plan (Single Release)'!$I$6:$I$64*40,0))*('Time Plan (Single Release)'!$B$6:$B$64=Pricing!$B18)),"")</f>
        <v/>
      </c>
      <c r="L18" s="7"/>
      <c r="M18" s="51" t="str" cm="1">
        <f t="array" ref="M18">IFERROR(INDEX('Time Plan (Single Release)'!$Y$3:$JN$3, 1, _xlfn.XMATCH(TRUE, _xlfn.BYCOL(('Time Plan (Single Release)'!$Y$6:$JN$64)*('Time Plan (Single Release)'!$C$6:$C$64=$L18), _xlfn.LAMBDA(_xlpm.col, SUM(_xlpm.col)&gt;0)), 0, 1)),"")</f>
        <v/>
      </c>
      <c r="N18" s="51" t="str" cm="1">
        <f t="array" ref="N18">IFERROR(INDEX('Time Plan (Single Release)'!$Y$3:$JN$3, 1, _xlfn.XMATCH(TRUE, _xlfn.BYCOL(('Time Plan (Single Release)'!$Y$6:$JN$64)*('Time Plan (Single Release)'!$C$6:$C$64=$L18), _xlfn.LAMBDA(_xlpm.col, SUM(_xlpm.col)&gt;0)), 0,-1))+4,"")</f>
        <v/>
      </c>
      <c r="O18" s="8" cm="1">
        <f t="array" aca="1" ref="O18" ca="1">SUM(IFERROR(('Time Plan (Single Release)'!$U$6:$U$64*('Time Plan (Single Release)'!$C$6:$C$64=$L18)),0))</f>
        <v>0</v>
      </c>
      <c r="P18" s="8">
        <f t="shared" ca="1" si="3"/>
        <v>0</v>
      </c>
      <c r="Q18" s="8">
        <f t="shared" ca="1" si="4"/>
        <v>0</v>
      </c>
      <c r="R18" s="143" t="str" cm="1">
        <f t="array" aca="1" ref="R18" ca="1" xml:space="preserve">
IFERROR(
(SUM('Time Plan (Single Release)'!$Y$6:$JN$64*(IFERROR('Time Plan (Single Release)'!$G$6:$G$64*40,0))*('Time Plan (Single Release)'!$C$6:$C$64=$L18))
-
SUM('Time Plan (Single Release)'!$Y$6:$JN$64*(IFERROR('Time Plan (Single Release)'!$I$6:$I$64*40,0))*('Time Plan (Single Release)'!$C$6:$C$64=$L18)))
/
SUM('Time Plan (Single Release)'!$Y$6:$JN$64*(IFERROR('Time Plan (Single Release)'!$G$6:$G$64*40,0))*('Time Plan (Single Release)'!$C$6:$C$64=$L18)),"")</f>
        <v/>
      </c>
      <c r="S18" s="143" t="str" cm="1">
        <f t="array" aca="1" ref="S18" ca="1" xml:space="preserve">
IFERROR(
(SUM('Time Plan (Single Release)'!$Y$6:$JN$64*(IFERROR('Time Plan (Single Release)'!$I$6:$I$64*40,0))*('Time Plan (Single Release)'!$C$6:$C$64=$L18))
-
SUM('Time Plan (Single Release)'!$Y$6:$JN$64*(IFERROR('Time Plan (Single Release)'!$K$6:$K$64*40,0))*('Time Plan (Single Release)'!$C$6:$C$64=$L18)))
/
SUM('Time Plan (Single Release)'!$Y$6:$JN$64*(IFERROR('Time Plan (Single Release)'!$I$6:$I$64*40,0))*('Time Plan (Single Release)'!$C$6:$C$64=$L18)),"")</f>
        <v/>
      </c>
      <c r="U18" s="7"/>
      <c r="V18" s="7" t="str" cm="1">
        <f t="array" ref="V18">IFERROR(_xlfn.XLOOKUP($U18,'Time Plan (Single Release)'!$D$6:$D$194,'Time Plan (Single Release)'!$E$6:$E$194&amp;" - "&amp;'Time Plan (Single Release)'!$F$6:$F$194),"")</f>
        <v xml:space="preserve"> - </v>
      </c>
      <c r="W18" s="237" t="str">
        <f>IFERROR(_xlfn.XLOOKUP($U18,'Time Plan (Single Release)'!$D$6:$D$64,'Time Plan (Single Release)'!$I$6:$I$64),"")</f>
        <v/>
      </c>
      <c r="X18" s="237" t="str">
        <f t="shared" si="5"/>
        <v/>
      </c>
      <c r="Y18" s="51" t="str" cm="1">
        <f t="array" ref="Y18">IFERROR(INDEX('Time Plan (Single Release)'!$Y$3:$JN$3, 1, _xlfn.XMATCH(TRUE, _xlfn.BYCOL(('Time Plan (Single Release)'!$Y$6:$JN$64)*('Time Plan (Single Release)'!$D$6:$D$64=$U18), _xlfn.LAMBDA(_xlpm.col, SUM(_xlpm.col)&gt;0)), 0, 1)),"")</f>
        <v/>
      </c>
      <c r="Z18" s="51" t="str" cm="1">
        <f t="array" ref="Z18">IFERROR(INDEX('Time Plan (Single Release)'!$Y$3:$JN$3, 1, _xlfn.XMATCH(TRUE, _xlfn.BYCOL(('Time Plan (Single Release)'!$Y$6:$JN$64)*('Time Plan (Single Release)'!$D$6:$D$64=$U18), _xlfn.LAMBDA(_xlpm.col, SUM(_xlpm.col)&gt;0)), 0,-1))+4,"")</f>
        <v/>
      </c>
      <c r="AA18" s="8" cm="1">
        <f t="array" aca="1" ref="AA18" ca="1">SUM(IFERROR(('Time Plan (Single Release)'!$U$6:$U$64*('Time Plan (Single Release)'!$D$6:$D$64=$U18)),0))</f>
        <v>0</v>
      </c>
      <c r="AB18" s="8">
        <f t="shared" ca="1" si="6"/>
        <v>0</v>
      </c>
      <c r="AC18" s="143" t="str" cm="1">
        <f t="array" aca="1" ref="AC18" ca="1" xml:space="preserve">
IFERROR(
(SUM('Time Plan (Single Release)'!$Y$6:$JN$64*(IFERROR('Time Plan (Single Release)'!$G$6:$G$64*40,0))*('Time Plan (Single Release)'!$D$6:$D$64=$U18))
-
SUM('Time Plan (Single Release)'!$Y$6:$JN$64*(IFERROR('Time Plan (Single Release)'!$I$6:$I$64*40,0))*('Time Plan (Single Release)'!$D$6:$D$64=$U18)))
/
SUM('Time Plan (Single Release)'!$Y$6:$JN$64*(IFERROR('Time Plan (Single Release)'!$G$6:$G$64*40,0))*('Time Plan (Single Release)'!$D$6:$D$64=$U18)),"")</f>
        <v/>
      </c>
      <c r="AD18" s="143" t="str" cm="1">
        <f t="array" aca="1" ref="AD18" ca="1" xml:space="preserve">
IFERROR(
(SUM('Time Plan (Single Release)'!$Y$6:$JN$64*(IFERROR('Time Plan (Single Release)'!$I$6:$I$64*40,0))*('Time Plan (Single Release)'!$D$6:$D$64=$U18))
-
SUM('Time Plan (Single Release)'!$Y$6:$JN$64*(IFERROR('Time Plan (Single Release)'!$K$6:$K$64*40,0))*('Time Plan (Single Release)'!$D$6:$D$64=$U18)))
/
SUM('Time Plan (Single Release)'!$Y$6:$JN$64*(IFERROR('Time Plan (Single Release)'!$I$6:$I$64*40,0))*('Time Plan (Single Release)'!$D$6:$D$64=$U18)),"")</f>
        <v/>
      </c>
      <c r="AE18" s="263">
        <f>SUMIF('Time Plan (Single Release)'!D$6:D$64,Pricing!U18,'Time Plan (Single Release)'!S$6:S$64)</f>
        <v>0</v>
      </c>
      <c r="AF18" s="263">
        <f t="shared" si="1"/>
        <v>0</v>
      </c>
      <c r="AG18" s="263" t="str">
        <f t="shared" ca="1" si="10"/>
        <v/>
      </c>
      <c r="AH18" s="263" t="str">
        <f t="shared" ca="1" si="8"/>
        <v/>
      </c>
      <c r="AI18" s="264"/>
      <c r="AJ18" s="8"/>
    </row>
    <row r="19" spans="2:36" ht="20.25" customHeight="1" x14ac:dyDescent="0.3">
      <c r="B19" s="50"/>
      <c r="C19" s="51" t="str" cm="1">
        <f t="array" ref="C19">IFERROR(INDEX('Time Plan (Single Release)'!$Y$3:$JN$3, 1, _xlfn.XMATCH(TRUE, _xlfn.BYCOL(('Time Plan (Single Release)'!$Y$6:$JN$64)*('Time Plan (Single Release)'!$B$6:$B$64=$B19), _xlfn.LAMBDA(_xlpm.col, SUM(_xlpm.col)&gt;0)), 0, 1)),"")</f>
        <v/>
      </c>
      <c r="D19" s="51" t="str" cm="1">
        <f t="array" ref="D19">IFERROR(INDEX('Time Plan (Single Release)'!$Y$3:$JN$3, 1, _xlfn.XMATCH(TRUE, _xlfn.BYCOL(('Time Plan (Single Release)'!$Y$6:$JN$64)*('Time Plan (Single Release)'!$B$6:$B$64=$B19), _xlfn.LAMBDA(_xlpm.col, SUM(_xlpm.col)&gt;0)), 0,-1))+4,"")</f>
        <v/>
      </c>
      <c r="E19" s="129" t="str">
        <f>IFERROR(DATEDIF('Time Plan (Single Release)'!$Y$3,$D19+3,"d")/7,"")</f>
        <v/>
      </c>
      <c r="F19" s="8" cm="1">
        <f t="array" aca="1" ref="F19" ca="1">SUM(IFERROR(('Time Plan (Single Release)'!$U$6:$U$64*('Time Plan (Single Release)'!$B$6:$B$64=Pricing!$B19)),0))</f>
        <v>0</v>
      </c>
      <c r="G19" s="8">
        <f t="shared" ca="1" si="2"/>
        <v>0</v>
      </c>
      <c r="H19" s="8">
        <f t="shared" ca="1" si="0"/>
        <v>0</v>
      </c>
      <c r="I19" s="143" t="str" cm="1">
        <f t="array" aca="1" ref="I19" ca="1" xml:space="preserve">
IFERROR(
(SUM('Time Plan (Single Release)'!$Y$6:$JN$64*(IFERROR('Time Plan (Single Release)'!$G$6:$G$64*40,0))*('Time Plan (Single Release)'!$B$6:$B$64=Pricing!$B19))
-
SUM('Time Plan (Single Release)'!$Y$6:$JN$64*(IFERROR('Time Plan (Single Release)'!$I$6:$I$64*40,0))*('Time Plan (Single Release)'!$B$6:$B$64=Pricing!$B19)))
/
SUM('Time Plan (Single Release)'!$Y$6:$JN$64*(IFERROR('Time Plan (Single Release)'!$G$6:$G$64*40,0))*('Time Plan (Single Release)'!$B$6:$B$64=Pricing!$B19)),"")</f>
        <v/>
      </c>
      <c r="J19" s="143" t="str" cm="1">
        <f t="array" aca="1" ref="J19" ca="1" xml:space="preserve">
IFERROR(
(SUM('Time Plan (Single Release)'!$Y$6:$JN$64*(IFERROR('Time Plan (Single Release)'!$I$6:$I$64*40,0))*('Time Plan (Single Release)'!$B$6:$B$64=Pricing!$B19))
-
SUM('Time Plan (Single Release)'!$Y$6:$JN$64*(IFERROR('Time Plan (Single Release)'!$K$6:$K$64*40,0))*('Time Plan (Single Release)'!$B$6:$B$64=Pricing!$B19)))
/
SUM('Time Plan (Single Release)'!$Y$6:$JN$64*(IFERROR('Time Plan (Single Release)'!$I$6:$I$64*40,0))*('Time Plan (Single Release)'!$B$6:$B$64=Pricing!$B19)),"")</f>
        <v/>
      </c>
      <c r="L19" s="7"/>
      <c r="M19" s="51" t="str" cm="1">
        <f t="array" ref="M19">IFERROR(INDEX('Time Plan (Single Release)'!$Y$3:$JN$3, 1, _xlfn.XMATCH(TRUE, _xlfn.BYCOL(('Time Plan (Single Release)'!$Y$6:$JN$64)*('Time Plan (Single Release)'!$C$6:$C$64=$L19), _xlfn.LAMBDA(_xlpm.col, SUM(_xlpm.col)&gt;0)), 0, 1)),"")</f>
        <v/>
      </c>
      <c r="N19" s="51" t="str" cm="1">
        <f t="array" ref="N19">IFERROR(INDEX('Time Plan (Single Release)'!$Y$3:$JN$3, 1, _xlfn.XMATCH(TRUE, _xlfn.BYCOL(('Time Plan (Single Release)'!$Y$6:$JN$64)*('Time Plan (Single Release)'!$C$6:$C$64=$L19), _xlfn.LAMBDA(_xlpm.col, SUM(_xlpm.col)&gt;0)), 0,-1))+4,"")</f>
        <v/>
      </c>
      <c r="O19" s="8" cm="1">
        <f t="array" aca="1" ref="O19" ca="1">SUM(IFERROR(('Time Plan (Single Release)'!$U$6:$U$64*('Time Plan (Single Release)'!$C$6:$C$64=$L19)),0))</f>
        <v>0</v>
      </c>
      <c r="P19" s="8">
        <f t="shared" ca="1" si="3"/>
        <v>0</v>
      </c>
      <c r="Q19" s="8">
        <f t="shared" ca="1" si="4"/>
        <v>0</v>
      </c>
      <c r="R19" s="143" t="str" cm="1">
        <f t="array" aca="1" ref="R19" ca="1" xml:space="preserve">
IFERROR(
(SUM('Time Plan (Single Release)'!$Y$6:$JN$64*(IFERROR('Time Plan (Single Release)'!$G$6:$G$64*40,0))*('Time Plan (Single Release)'!$C$6:$C$64=$L19))
-
SUM('Time Plan (Single Release)'!$Y$6:$JN$64*(IFERROR('Time Plan (Single Release)'!$I$6:$I$64*40,0))*('Time Plan (Single Release)'!$C$6:$C$64=$L19)))
/
SUM('Time Plan (Single Release)'!$Y$6:$JN$64*(IFERROR('Time Plan (Single Release)'!$G$6:$G$64*40,0))*('Time Plan (Single Release)'!$C$6:$C$64=$L19)),"")</f>
        <v/>
      </c>
      <c r="S19" s="143" t="str" cm="1">
        <f t="array" aca="1" ref="S19" ca="1" xml:space="preserve">
IFERROR(
(SUM('Time Plan (Single Release)'!$Y$6:$JN$64*(IFERROR('Time Plan (Single Release)'!$I$6:$I$64*40,0))*('Time Plan (Single Release)'!$C$6:$C$64=$L19))
-
SUM('Time Plan (Single Release)'!$Y$6:$JN$64*(IFERROR('Time Plan (Single Release)'!$K$6:$K$64*40,0))*('Time Plan (Single Release)'!$C$6:$C$64=$L19)))
/
SUM('Time Plan (Single Release)'!$Y$6:$JN$64*(IFERROR('Time Plan (Single Release)'!$I$6:$I$64*40,0))*('Time Plan (Single Release)'!$C$6:$C$64=$L19)),"")</f>
        <v/>
      </c>
      <c r="U19" s="7"/>
      <c r="V19" s="7" t="str" cm="1">
        <f t="array" ref="V19">IFERROR(_xlfn.XLOOKUP($U19,'Time Plan (Single Release)'!$D$6:$D$194,'Time Plan (Single Release)'!$E$6:$E$194&amp;" - "&amp;'Time Plan (Single Release)'!$F$6:$F$194),"")</f>
        <v xml:space="preserve"> - </v>
      </c>
      <c r="W19" s="237" t="str">
        <f>IFERROR(_xlfn.XLOOKUP($U19,'Time Plan (Single Release)'!$D$6:$D$64,'Time Plan (Single Release)'!$I$6:$I$64),"")</f>
        <v/>
      </c>
      <c r="X19" s="237" t="str">
        <f t="shared" si="5"/>
        <v/>
      </c>
      <c r="Y19" s="51" t="str" cm="1">
        <f t="array" ref="Y19">IFERROR(INDEX('Time Plan (Single Release)'!$Y$3:$JN$3, 1, _xlfn.XMATCH(TRUE, _xlfn.BYCOL(('Time Plan (Single Release)'!$Y$6:$JN$64)*('Time Plan (Single Release)'!$D$6:$D$64=$U19), _xlfn.LAMBDA(_xlpm.col, SUM(_xlpm.col)&gt;0)), 0, 1)),"")</f>
        <v/>
      </c>
      <c r="Z19" s="51" t="str" cm="1">
        <f t="array" ref="Z19">IFERROR(INDEX('Time Plan (Single Release)'!$Y$3:$JN$3, 1, _xlfn.XMATCH(TRUE, _xlfn.BYCOL(('Time Plan (Single Release)'!$Y$6:$JN$64)*('Time Plan (Single Release)'!$D$6:$D$64=$U19), _xlfn.LAMBDA(_xlpm.col, SUM(_xlpm.col)&gt;0)), 0,-1))+4,"")</f>
        <v/>
      </c>
      <c r="AA19" s="8" cm="1">
        <f t="array" aca="1" ref="AA19" ca="1">SUM(IFERROR(('Time Plan (Single Release)'!$U$6:$U$64*('Time Plan (Single Release)'!$D$6:$D$64=$U19)),0))</f>
        <v>0</v>
      </c>
      <c r="AB19" s="8">
        <f t="shared" ca="1" si="6"/>
        <v>0</v>
      </c>
      <c r="AC19" s="143" t="str" cm="1">
        <f t="array" aca="1" ref="AC19" ca="1" xml:space="preserve">
IFERROR(
(SUM('Time Plan (Single Release)'!$Y$6:$JN$64*(IFERROR('Time Plan (Single Release)'!$G$6:$G$64*40,0))*('Time Plan (Single Release)'!$D$6:$D$64=$U19))
-
SUM('Time Plan (Single Release)'!$Y$6:$JN$64*(IFERROR('Time Plan (Single Release)'!$I$6:$I$64*40,0))*('Time Plan (Single Release)'!$D$6:$D$64=$U19)))
/
SUM('Time Plan (Single Release)'!$Y$6:$JN$64*(IFERROR('Time Plan (Single Release)'!$G$6:$G$64*40,0))*('Time Plan (Single Release)'!$D$6:$D$64=$U19)),"")</f>
        <v/>
      </c>
      <c r="AD19" s="143" t="str" cm="1">
        <f t="array" aca="1" ref="AD19" ca="1" xml:space="preserve">
IFERROR(
(SUM('Time Plan (Single Release)'!$Y$6:$JN$64*(IFERROR('Time Plan (Single Release)'!$I$6:$I$64*40,0))*('Time Plan (Single Release)'!$D$6:$D$64=$U19))
-
SUM('Time Plan (Single Release)'!$Y$6:$JN$64*(IFERROR('Time Plan (Single Release)'!$K$6:$K$64*40,0))*('Time Plan (Single Release)'!$D$6:$D$64=$U19)))
/
SUM('Time Plan (Single Release)'!$Y$6:$JN$64*(IFERROR('Time Plan (Single Release)'!$I$6:$I$64*40,0))*('Time Plan (Single Release)'!$D$6:$D$64=$U19)),"")</f>
        <v/>
      </c>
      <c r="AE19" s="263">
        <f>SUMIF('Time Plan (Single Release)'!D$6:D$64,Pricing!U19,'Time Plan (Single Release)'!S$6:S$64)</f>
        <v>0</v>
      </c>
      <c r="AF19" s="263">
        <f t="shared" si="1"/>
        <v>0</v>
      </c>
      <c r="AG19" s="263" t="str">
        <f t="shared" ca="1" si="10"/>
        <v/>
      </c>
      <c r="AH19" s="263" t="str">
        <f t="shared" ca="1" si="8"/>
        <v/>
      </c>
      <c r="AI19" s="264"/>
      <c r="AJ19" s="8"/>
    </row>
    <row r="20" spans="2:36" ht="20.25" customHeight="1" x14ac:dyDescent="0.3">
      <c r="B20" s="50"/>
      <c r="C20" s="51"/>
      <c r="D20" s="51"/>
      <c r="E20" s="129"/>
      <c r="F20" s="8"/>
      <c r="G20" s="8"/>
      <c r="H20" s="8"/>
      <c r="I20" s="143"/>
      <c r="J20" s="143"/>
      <c r="L20" s="7"/>
      <c r="M20" s="51" t="str" cm="1">
        <f t="array" ref="M20">IFERROR(INDEX('Time Plan (Single Release)'!$Y$3:$JN$3, 1, _xlfn.XMATCH(TRUE, _xlfn.BYCOL(('Time Plan (Single Release)'!$Y$6:$JN$64)*('Time Plan (Single Release)'!$C$6:$C$64=$L20), _xlfn.LAMBDA(_xlpm.col, SUM(_xlpm.col)&gt;0)), 0, 1)),"")</f>
        <v/>
      </c>
      <c r="N20" s="51" t="str" cm="1">
        <f t="array" ref="N20">IFERROR(INDEX('Time Plan (Single Release)'!$Y$3:$JN$3, 1, _xlfn.XMATCH(TRUE, _xlfn.BYCOL(('Time Plan (Single Release)'!$Y$6:$JN$64)*('Time Plan (Single Release)'!$C$6:$C$64=$L20), _xlfn.LAMBDA(_xlpm.col, SUM(_xlpm.col)&gt;0)), 0,-1))+4,"")</f>
        <v/>
      </c>
      <c r="O20" s="8" cm="1">
        <f t="array" aca="1" ref="O20" ca="1">SUM(IFERROR(('Time Plan (Single Release)'!$U$6:$U$64*('Time Plan (Single Release)'!$C$6:$C$64=$L20)),0))</f>
        <v>0</v>
      </c>
      <c r="P20" s="8">
        <f t="shared" ref="P20:P30" ca="1" si="11">IFERROR(O20*0.1,"")</f>
        <v>0</v>
      </c>
      <c r="Q20" s="8">
        <f t="shared" ref="Q20:Q30" ca="1" si="12">O20*1.1</f>
        <v>0</v>
      </c>
      <c r="R20" s="143" t="str" cm="1">
        <f t="array" aca="1" ref="R20" ca="1" xml:space="preserve">
IFERROR(
(SUM('Time Plan (Single Release)'!$Y$6:$JN$64*(IFERROR('Time Plan (Single Release)'!$G$6:$G$64*40,0))*('Time Plan (Single Release)'!$C$6:$C$64=$L20))
-
SUM('Time Plan (Single Release)'!$Y$6:$JN$64*(IFERROR('Time Plan (Single Release)'!$I$6:$I$64*40,0))*('Time Plan (Single Release)'!$C$6:$C$64=$L20)))
/
SUM('Time Plan (Single Release)'!$Y$6:$JN$64*(IFERROR('Time Plan (Single Release)'!$G$6:$G$64*40,0))*('Time Plan (Single Release)'!$C$6:$C$64=$L20)),"")</f>
        <v/>
      </c>
      <c r="S20" s="143" t="str" cm="1">
        <f t="array" aca="1" ref="S20" ca="1" xml:space="preserve">
IFERROR(
(SUM('Time Plan (Single Release)'!$Y$6:$JN$64*(IFERROR('Time Plan (Single Release)'!$I$6:$I$64*40,0))*('Time Plan (Single Release)'!$C$6:$C$64=$L20))
-
SUM('Time Plan (Single Release)'!$Y$6:$JN$64*(IFERROR('Time Plan (Single Release)'!$K$6:$K$64*40,0))*('Time Plan (Single Release)'!$C$6:$C$64=$L20)))
/
SUM('Time Plan (Single Release)'!$Y$6:$JN$64*(IFERROR('Time Plan (Single Release)'!$I$6:$I$64*40,0))*('Time Plan (Single Release)'!$C$6:$C$64=$L20)),"")</f>
        <v/>
      </c>
      <c r="U20" s="7"/>
      <c r="V20" s="7"/>
      <c r="W20" s="237"/>
      <c r="X20" s="237"/>
      <c r="Y20" s="51"/>
      <c r="Z20" s="51"/>
      <c r="AA20" s="8" cm="1">
        <f t="array" aca="1" ref="AA20" ca="1">SUM(IFERROR(('Time Plan (Single Release)'!$U$6:$U$64*('Time Plan (Single Release)'!$D$6:$D$64=$U20)),0))</f>
        <v>0</v>
      </c>
      <c r="AB20" s="8">
        <f t="shared" ref="AB20:AB30" ca="1" si="13">AA20*1.1</f>
        <v>0</v>
      </c>
      <c r="AC20" s="143"/>
      <c r="AD20" s="143"/>
      <c r="AE20" s="263"/>
      <c r="AF20" s="263"/>
      <c r="AG20" s="263"/>
      <c r="AH20" s="263"/>
      <c r="AI20" s="264"/>
      <c r="AJ20" s="8"/>
    </row>
    <row r="21" spans="2:36" ht="20.25" customHeight="1" x14ac:dyDescent="0.3">
      <c r="B21" s="50"/>
      <c r="C21" s="51"/>
      <c r="D21" s="51"/>
      <c r="E21" s="129"/>
      <c r="F21" s="8"/>
      <c r="G21" s="8"/>
      <c r="H21" s="8"/>
      <c r="I21" s="143"/>
      <c r="J21" s="143"/>
      <c r="L21" s="7"/>
      <c r="M21" s="51" t="str" cm="1">
        <f t="array" ref="M21">IFERROR(INDEX('Time Plan (Single Release)'!$Y$3:$JN$3, 1, _xlfn.XMATCH(TRUE, _xlfn.BYCOL(('Time Plan (Single Release)'!$Y$6:$JN$64)*('Time Plan (Single Release)'!$C$6:$C$64=$L21), _xlfn.LAMBDA(_xlpm.col, SUM(_xlpm.col)&gt;0)), 0, 1)),"")</f>
        <v/>
      </c>
      <c r="N21" s="51" t="str" cm="1">
        <f t="array" ref="N21">IFERROR(INDEX('Time Plan (Single Release)'!$Y$3:$JN$3, 1, _xlfn.XMATCH(TRUE, _xlfn.BYCOL(('Time Plan (Single Release)'!$Y$6:$JN$64)*('Time Plan (Single Release)'!$C$6:$C$64=$L21), _xlfn.LAMBDA(_xlpm.col, SUM(_xlpm.col)&gt;0)), 0,-1))+4,"")</f>
        <v/>
      </c>
      <c r="O21" s="8" cm="1">
        <f t="array" aca="1" ref="O21" ca="1">SUM(IFERROR(('Time Plan (Single Release)'!$U$6:$U$64*('Time Plan (Single Release)'!$C$6:$C$64=$L21)),0))</f>
        <v>0</v>
      </c>
      <c r="P21" s="8">
        <f t="shared" ca="1" si="11"/>
        <v>0</v>
      </c>
      <c r="Q21" s="8">
        <f t="shared" ca="1" si="12"/>
        <v>0</v>
      </c>
      <c r="R21" s="143" t="str" cm="1">
        <f t="array" aca="1" ref="R21" ca="1" xml:space="preserve">
IFERROR(
(SUM('Time Plan (Single Release)'!$Y$6:$JN$64*(IFERROR('Time Plan (Single Release)'!$G$6:$G$64*40,0))*('Time Plan (Single Release)'!$C$6:$C$64=$L21))
-
SUM('Time Plan (Single Release)'!$Y$6:$JN$64*(IFERROR('Time Plan (Single Release)'!$I$6:$I$64*40,0))*('Time Plan (Single Release)'!$C$6:$C$64=$L21)))
/
SUM('Time Plan (Single Release)'!$Y$6:$JN$64*(IFERROR('Time Plan (Single Release)'!$G$6:$G$64*40,0))*('Time Plan (Single Release)'!$C$6:$C$64=$L21)),"")</f>
        <v/>
      </c>
      <c r="S21" s="143" t="str" cm="1">
        <f t="array" aca="1" ref="S21" ca="1" xml:space="preserve">
IFERROR(
(SUM('Time Plan (Single Release)'!$Y$6:$JN$64*(IFERROR('Time Plan (Single Release)'!$I$6:$I$64*40,0))*('Time Plan (Single Release)'!$C$6:$C$64=$L21))
-
SUM('Time Plan (Single Release)'!$Y$6:$JN$64*(IFERROR('Time Plan (Single Release)'!$K$6:$K$64*40,0))*('Time Plan (Single Release)'!$C$6:$C$64=$L21)))
/
SUM('Time Plan (Single Release)'!$Y$6:$JN$64*(IFERROR('Time Plan (Single Release)'!$I$6:$I$64*40,0))*('Time Plan (Single Release)'!$C$6:$C$64=$L21)),"")</f>
        <v/>
      </c>
      <c r="U21" s="7"/>
      <c r="V21" s="7"/>
      <c r="W21" s="237"/>
      <c r="X21" s="237"/>
      <c r="Y21" s="51"/>
      <c r="Z21" s="51"/>
      <c r="AA21" s="8" cm="1">
        <f t="array" aca="1" ref="AA21" ca="1">SUM(IFERROR(('Time Plan (Single Release)'!$U$6:$U$64*('Time Plan (Single Release)'!$D$6:$D$64=$U21)),0))</f>
        <v>0</v>
      </c>
      <c r="AB21" s="8">
        <f t="shared" ca="1" si="13"/>
        <v>0</v>
      </c>
      <c r="AC21" s="143"/>
      <c r="AD21" s="143"/>
      <c r="AE21" s="263"/>
      <c r="AF21" s="263"/>
      <c r="AG21" s="263"/>
      <c r="AH21" s="263"/>
      <c r="AI21" s="264"/>
      <c r="AJ21" s="8"/>
    </row>
    <row r="22" spans="2:36" ht="20.25" customHeight="1" x14ac:dyDescent="0.3">
      <c r="B22" s="50"/>
      <c r="C22" s="51"/>
      <c r="D22" s="51"/>
      <c r="E22" s="129"/>
      <c r="F22" s="8"/>
      <c r="G22" s="8"/>
      <c r="H22" s="8"/>
      <c r="I22" s="143"/>
      <c r="J22" s="143"/>
      <c r="L22" s="7"/>
      <c r="M22" s="51" t="str" cm="1">
        <f t="array" ref="M22">IFERROR(INDEX('Time Plan (Single Release)'!$Y$3:$JN$3, 1, _xlfn.XMATCH(TRUE, _xlfn.BYCOL(('Time Plan (Single Release)'!$Y$6:$JN$64)*('Time Plan (Single Release)'!$C$6:$C$64=$L22), _xlfn.LAMBDA(_xlpm.col, SUM(_xlpm.col)&gt;0)), 0, 1)),"")</f>
        <v/>
      </c>
      <c r="N22" s="51" t="str" cm="1">
        <f t="array" ref="N22">IFERROR(INDEX('Time Plan (Single Release)'!$Y$3:$JN$3, 1, _xlfn.XMATCH(TRUE, _xlfn.BYCOL(('Time Plan (Single Release)'!$Y$6:$JN$64)*('Time Plan (Single Release)'!$C$6:$C$64=$L22), _xlfn.LAMBDA(_xlpm.col, SUM(_xlpm.col)&gt;0)), 0,-1))+4,"")</f>
        <v/>
      </c>
      <c r="O22" s="8" cm="1">
        <f t="array" aca="1" ref="O22" ca="1">SUM(IFERROR(('Time Plan (Single Release)'!$U$6:$U$64*('Time Plan (Single Release)'!$C$6:$C$64=$L22)),0))</f>
        <v>0</v>
      </c>
      <c r="P22" s="8">
        <f t="shared" ca="1" si="11"/>
        <v>0</v>
      </c>
      <c r="Q22" s="8">
        <f t="shared" ca="1" si="12"/>
        <v>0</v>
      </c>
      <c r="R22" s="143" t="str" cm="1">
        <f t="array" aca="1" ref="R22" ca="1" xml:space="preserve">
IFERROR(
(SUM('Time Plan (Single Release)'!$Y$6:$JN$64*(IFERROR('Time Plan (Single Release)'!$G$6:$G$64*40,0))*('Time Plan (Single Release)'!$C$6:$C$64=$L22))
-
SUM('Time Plan (Single Release)'!$Y$6:$JN$64*(IFERROR('Time Plan (Single Release)'!$I$6:$I$64*40,0))*('Time Plan (Single Release)'!$C$6:$C$64=$L22)))
/
SUM('Time Plan (Single Release)'!$Y$6:$JN$64*(IFERROR('Time Plan (Single Release)'!$G$6:$G$64*40,0))*('Time Plan (Single Release)'!$C$6:$C$64=$L22)),"")</f>
        <v/>
      </c>
      <c r="S22" s="143" t="str" cm="1">
        <f t="array" aca="1" ref="S22" ca="1" xml:space="preserve">
IFERROR(
(SUM('Time Plan (Single Release)'!$Y$6:$JN$64*(IFERROR('Time Plan (Single Release)'!$I$6:$I$64*40,0))*('Time Plan (Single Release)'!$C$6:$C$64=$L22))
-
SUM('Time Plan (Single Release)'!$Y$6:$JN$64*(IFERROR('Time Plan (Single Release)'!$K$6:$K$64*40,0))*('Time Plan (Single Release)'!$C$6:$C$64=$L22)))
/
SUM('Time Plan (Single Release)'!$Y$6:$JN$64*(IFERROR('Time Plan (Single Release)'!$I$6:$I$64*40,0))*('Time Plan (Single Release)'!$C$6:$C$64=$L22)),"")</f>
        <v/>
      </c>
      <c r="U22" s="7"/>
      <c r="V22" s="7"/>
      <c r="W22" s="237"/>
      <c r="X22" s="237"/>
      <c r="Y22" s="51"/>
      <c r="Z22" s="51"/>
      <c r="AA22" s="8" cm="1">
        <f t="array" aca="1" ref="AA22" ca="1">SUM(IFERROR(('Time Plan (Single Release)'!$U$6:$U$64*('Time Plan (Single Release)'!$D$6:$D$64=$U22)),0))</f>
        <v>0</v>
      </c>
      <c r="AB22" s="8">
        <f t="shared" ca="1" si="13"/>
        <v>0</v>
      </c>
      <c r="AC22" s="143"/>
      <c r="AD22" s="143"/>
      <c r="AE22" s="263"/>
      <c r="AF22" s="263"/>
      <c r="AG22" s="263"/>
      <c r="AH22" s="263"/>
      <c r="AI22" s="264"/>
      <c r="AJ22" s="8"/>
    </row>
    <row r="23" spans="2:36" ht="20.25" customHeight="1" x14ac:dyDescent="0.3">
      <c r="B23" s="50"/>
      <c r="C23" s="51"/>
      <c r="D23" s="51"/>
      <c r="E23" s="129"/>
      <c r="F23" s="8"/>
      <c r="G23" s="8"/>
      <c r="H23" s="8"/>
      <c r="I23" s="143"/>
      <c r="J23" s="143"/>
      <c r="L23" s="7"/>
      <c r="M23" s="51" t="str" cm="1">
        <f t="array" ref="M23">IFERROR(INDEX('Time Plan (Single Release)'!$Y$3:$JN$3, 1, _xlfn.XMATCH(TRUE, _xlfn.BYCOL(('Time Plan (Single Release)'!$Y$6:$JN$64)*('Time Plan (Single Release)'!$C$6:$C$64=$L23), _xlfn.LAMBDA(_xlpm.col, SUM(_xlpm.col)&gt;0)), 0, 1)),"")</f>
        <v/>
      </c>
      <c r="N23" s="51" t="str" cm="1">
        <f t="array" ref="N23">IFERROR(INDEX('Time Plan (Single Release)'!$Y$3:$JN$3, 1, _xlfn.XMATCH(TRUE, _xlfn.BYCOL(('Time Plan (Single Release)'!$Y$6:$JN$64)*('Time Plan (Single Release)'!$C$6:$C$64=$L23), _xlfn.LAMBDA(_xlpm.col, SUM(_xlpm.col)&gt;0)), 0,-1))+4,"")</f>
        <v/>
      </c>
      <c r="O23" s="8" cm="1">
        <f t="array" aca="1" ref="O23" ca="1">SUM(IFERROR(('Time Plan (Single Release)'!$U$6:$U$64*('Time Plan (Single Release)'!$C$6:$C$64=$L23)),0))</f>
        <v>0</v>
      </c>
      <c r="P23" s="8">
        <f t="shared" ca="1" si="11"/>
        <v>0</v>
      </c>
      <c r="Q23" s="8">
        <f t="shared" ca="1" si="12"/>
        <v>0</v>
      </c>
      <c r="R23" s="143" t="str" cm="1">
        <f t="array" aca="1" ref="R23" ca="1" xml:space="preserve">
IFERROR(
(SUM('Time Plan (Single Release)'!$Y$6:$JN$64*(IFERROR('Time Plan (Single Release)'!$G$6:$G$64*40,0))*('Time Plan (Single Release)'!$C$6:$C$64=$L23))
-
SUM('Time Plan (Single Release)'!$Y$6:$JN$64*(IFERROR('Time Plan (Single Release)'!$I$6:$I$64*40,0))*('Time Plan (Single Release)'!$C$6:$C$64=$L23)))
/
SUM('Time Plan (Single Release)'!$Y$6:$JN$64*(IFERROR('Time Plan (Single Release)'!$G$6:$G$64*40,0))*('Time Plan (Single Release)'!$C$6:$C$64=$L23)),"")</f>
        <v/>
      </c>
      <c r="S23" s="143" t="str" cm="1">
        <f t="array" aca="1" ref="S23" ca="1" xml:space="preserve">
IFERROR(
(SUM('Time Plan (Single Release)'!$Y$6:$JN$64*(IFERROR('Time Plan (Single Release)'!$I$6:$I$64*40,0))*('Time Plan (Single Release)'!$C$6:$C$64=$L23))
-
SUM('Time Plan (Single Release)'!$Y$6:$JN$64*(IFERROR('Time Plan (Single Release)'!$K$6:$K$64*40,0))*('Time Plan (Single Release)'!$C$6:$C$64=$L23)))
/
SUM('Time Plan (Single Release)'!$Y$6:$JN$64*(IFERROR('Time Plan (Single Release)'!$I$6:$I$64*40,0))*('Time Plan (Single Release)'!$C$6:$C$64=$L23)),"")</f>
        <v/>
      </c>
      <c r="U23" s="7"/>
      <c r="V23" s="7"/>
      <c r="W23" s="237"/>
      <c r="X23" s="237"/>
      <c r="Y23" s="51"/>
      <c r="Z23" s="51"/>
      <c r="AA23" s="8" cm="1">
        <f t="array" aca="1" ref="AA23" ca="1">SUM(IFERROR(('Time Plan (Single Release)'!$U$6:$U$64*('Time Plan (Single Release)'!$D$6:$D$64=$U23)),0))</f>
        <v>0</v>
      </c>
      <c r="AB23" s="8">
        <f t="shared" ca="1" si="13"/>
        <v>0</v>
      </c>
      <c r="AC23" s="143"/>
      <c r="AD23" s="143"/>
      <c r="AE23" s="263"/>
      <c r="AF23" s="263"/>
      <c r="AG23" s="263"/>
      <c r="AH23" s="263"/>
      <c r="AI23" s="264"/>
      <c r="AJ23" s="8"/>
    </row>
    <row r="24" spans="2:36" ht="20.25" customHeight="1" x14ac:dyDescent="0.3">
      <c r="B24" s="50"/>
      <c r="C24" s="51"/>
      <c r="D24" s="51"/>
      <c r="E24" s="129"/>
      <c r="F24" s="8"/>
      <c r="G24" s="8"/>
      <c r="H24" s="8"/>
      <c r="I24" s="143"/>
      <c r="J24" s="143"/>
      <c r="L24" s="7"/>
      <c r="M24" s="51" t="str" cm="1">
        <f t="array" ref="M24">IFERROR(INDEX('Time Plan (Single Release)'!$Y$3:$JN$3, 1, _xlfn.XMATCH(TRUE, _xlfn.BYCOL(('Time Plan (Single Release)'!$Y$6:$JN$64)*('Time Plan (Single Release)'!$C$6:$C$64=$L24), _xlfn.LAMBDA(_xlpm.col, SUM(_xlpm.col)&gt;0)), 0, 1)),"")</f>
        <v/>
      </c>
      <c r="N24" s="51" t="str" cm="1">
        <f t="array" ref="N24">IFERROR(INDEX('Time Plan (Single Release)'!$Y$3:$JN$3, 1, _xlfn.XMATCH(TRUE, _xlfn.BYCOL(('Time Plan (Single Release)'!$Y$6:$JN$64)*('Time Plan (Single Release)'!$C$6:$C$64=$L24), _xlfn.LAMBDA(_xlpm.col, SUM(_xlpm.col)&gt;0)), 0,-1))+4,"")</f>
        <v/>
      </c>
      <c r="O24" s="8" cm="1">
        <f t="array" aca="1" ref="O24" ca="1">SUM(IFERROR(('Time Plan (Single Release)'!$U$6:$U$64*('Time Plan (Single Release)'!$C$6:$C$64=$L24)),0))</f>
        <v>0</v>
      </c>
      <c r="P24" s="8">
        <f t="shared" ca="1" si="11"/>
        <v>0</v>
      </c>
      <c r="Q24" s="8">
        <f t="shared" ca="1" si="12"/>
        <v>0</v>
      </c>
      <c r="R24" s="143" t="str" cm="1">
        <f t="array" aca="1" ref="R24" ca="1" xml:space="preserve">
IFERROR(
(SUM('Time Plan (Single Release)'!$Y$6:$JN$64*(IFERROR('Time Plan (Single Release)'!$G$6:$G$64*40,0))*('Time Plan (Single Release)'!$C$6:$C$64=$L24))
-
SUM('Time Plan (Single Release)'!$Y$6:$JN$64*(IFERROR('Time Plan (Single Release)'!$I$6:$I$64*40,0))*('Time Plan (Single Release)'!$C$6:$C$64=$L24)))
/
SUM('Time Plan (Single Release)'!$Y$6:$JN$64*(IFERROR('Time Plan (Single Release)'!$G$6:$G$64*40,0))*('Time Plan (Single Release)'!$C$6:$C$64=$L24)),"")</f>
        <v/>
      </c>
      <c r="S24" s="143" t="str" cm="1">
        <f t="array" aca="1" ref="S24" ca="1" xml:space="preserve">
IFERROR(
(SUM('Time Plan (Single Release)'!$Y$6:$JN$64*(IFERROR('Time Plan (Single Release)'!$I$6:$I$64*40,0))*('Time Plan (Single Release)'!$C$6:$C$64=$L24))
-
SUM('Time Plan (Single Release)'!$Y$6:$JN$64*(IFERROR('Time Plan (Single Release)'!$K$6:$K$64*40,0))*('Time Plan (Single Release)'!$C$6:$C$64=$L24)))
/
SUM('Time Plan (Single Release)'!$Y$6:$JN$64*(IFERROR('Time Plan (Single Release)'!$I$6:$I$64*40,0))*('Time Plan (Single Release)'!$C$6:$C$64=$L24)),"")</f>
        <v/>
      </c>
      <c r="U24" s="7"/>
      <c r="V24" s="7"/>
      <c r="W24" s="237"/>
      <c r="X24" s="237"/>
      <c r="Y24" s="51"/>
      <c r="Z24" s="51"/>
      <c r="AA24" s="8" cm="1">
        <f t="array" aca="1" ref="AA24" ca="1">SUM(IFERROR(('Time Plan (Single Release)'!$U$6:$U$64*('Time Plan (Single Release)'!$D$6:$D$64=$U24)),0))</f>
        <v>0</v>
      </c>
      <c r="AB24" s="8">
        <f t="shared" ca="1" si="13"/>
        <v>0</v>
      </c>
      <c r="AC24" s="143"/>
      <c r="AD24" s="143"/>
      <c r="AE24" s="263"/>
      <c r="AF24" s="263"/>
      <c r="AG24" s="263"/>
      <c r="AH24" s="263"/>
      <c r="AI24" s="264"/>
      <c r="AJ24" s="8"/>
    </row>
    <row r="25" spans="2:36" ht="20.25" customHeight="1" x14ac:dyDescent="0.3">
      <c r="B25" s="50"/>
      <c r="C25" s="51"/>
      <c r="D25" s="51"/>
      <c r="E25" s="129"/>
      <c r="F25" s="8"/>
      <c r="G25" s="8"/>
      <c r="H25" s="8"/>
      <c r="I25" s="143"/>
      <c r="J25" s="143"/>
      <c r="L25" s="7"/>
      <c r="M25" s="51" t="str" cm="1">
        <f t="array" ref="M25">IFERROR(INDEX('Time Plan (Single Release)'!$Y$3:$JN$3, 1, _xlfn.XMATCH(TRUE, _xlfn.BYCOL(('Time Plan (Single Release)'!$Y$6:$JN$64)*('Time Plan (Single Release)'!$C$6:$C$64=$L25), _xlfn.LAMBDA(_xlpm.col, SUM(_xlpm.col)&gt;0)), 0, 1)),"")</f>
        <v/>
      </c>
      <c r="N25" s="51" t="str" cm="1">
        <f t="array" ref="N25">IFERROR(INDEX('Time Plan (Single Release)'!$Y$3:$JN$3, 1, _xlfn.XMATCH(TRUE, _xlfn.BYCOL(('Time Plan (Single Release)'!$Y$6:$JN$64)*('Time Plan (Single Release)'!$C$6:$C$64=$L25), _xlfn.LAMBDA(_xlpm.col, SUM(_xlpm.col)&gt;0)), 0,-1))+4,"")</f>
        <v/>
      </c>
      <c r="O25" s="8" cm="1">
        <f t="array" aca="1" ref="O25" ca="1">SUM(IFERROR(('Time Plan (Single Release)'!$U$6:$U$64*('Time Plan (Single Release)'!$C$6:$C$64=$L25)),0))</f>
        <v>0</v>
      </c>
      <c r="P25" s="8">
        <f t="shared" ca="1" si="11"/>
        <v>0</v>
      </c>
      <c r="Q25" s="8">
        <f t="shared" ca="1" si="12"/>
        <v>0</v>
      </c>
      <c r="R25" s="143" t="str" cm="1">
        <f t="array" aca="1" ref="R25" ca="1" xml:space="preserve">
IFERROR(
(SUM('Time Plan (Single Release)'!$Y$6:$JN$64*(IFERROR('Time Plan (Single Release)'!$G$6:$G$64*40,0))*('Time Plan (Single Release)'!$C$6:$C$64=$L25))
-
SUM('Time Plan (Single Release)'!$Y$6:$JN$64*(IFERROR('Time Plan (Single Release)'!$I$6:$I$64*40,0))*('Time Plan (Single Release)'!$C$6:$C$64=$L25)))
/
SUM('Time Plan (Single Release)'!$Y$6:$JN$64*(IFERROR('Time Plan (Single Release)'!$G$6:$G$64*40,0))*('Time Plan (Single Release)'!$C$6:$C$64=$L25)),"")</f>
        <v/>
      </c>
      <c r="S25" s="143" t="str" cm="1">
        <f t="array" aca="1" ref="S25" ca="1" xml:space="preserve">
IFERROR(
(SUM('Time Plan (Single Release)'!$Y$6:$JN$64*(IFERROR('Time Plan (Single Release)'!$I$6:$I$64*40,0))*('Time Plan (Single Release)'!$C$6:$C$64=$L25))
-
SUM('Time Plan (Single Release)'!$Y$6:$JN$64*(IFERROR('Time Plan (Single Release)'!$K$6:$K$64*40,0))*('Time Plan (Single Release)'!$C$6:$C$64=$L25)))
/
SUM('Time Plan (Single Release)'!$Y$6:$JN$64*(IFERROR('Time Plan (Single Release)'!$I$6:$I$64*40,0))*('Time Plan (Single Release)'!$C$6:$C$64=$L25)),"")</f>
        <v/>
      </c>
      <c r="U25" s="7"/>
      <c r="V25" s="7" t="str" cm="1">
        <f t="array" ref="V25">IFERROR(_xlfn.XLOOKUP($U25,'Time Plan (Single Release)'!$D$6:$D$194,'Time Plan (Single Release)'!$E$6:$E$194&amp;" - "&amp;'Time Plan (Single Release)'!$F$6:$F$194),"")</f>
        <v xml:space="preserve"> - </v>
      </c>
      <c r="W25" s="237"/>
      <c r="X25" s="237"/>
      <c r="Y25" s="51"/>
      <c r="Z25" s="51"/>
      <c r="AA25" s="8" cm="1">
        <f t="array" aca="1" ref="AA25" ca="1">SUM(IFERROR(('Time Plan (Single Release)'!$U$6:$U$64*('Time Plan (Single Release)'!$D$6:$D$64=$U25)),0))</f>
        <v>0</v>
      </c>
      <c r="AB25" s="8">
        <f t="shared" ca="1" si="13"/>
        <v>0</v>
      </c>
      <c r="AC25" s="143"/>
      <c r="AD25" s="143"/>
      <c r="AE25" s="263">
        <f>SUMIF('Time Plan (Single Release)'!D$6:D$64,Pricing!U25,'Time Plan (Single Release)'!S$6:S$64)</f>
        <v>0</v>
      </c>
      <c r="AF25" s="263">
        <f t="shared" si="1"/>
        <v>0</v>
      </c>
      <c r="AG25" s="263" t="str">
        <f t="shared" ca="1" si="10"/>
        <v/>
      </c>
      <c r="AH25" s="263" t="str">
        <f t="shared" ca="1" si="8"/>
        <v/>
      </c>
      <c r="AI25" s="264"/>
      <c r="AJ25" s="8"/>
    </row>
    <row r="26" spans="2:36" ht="20.25" customHeight="1" x14ac:dyDescent="0.3">
      <c r="B26" s="50"/>
      <c r="C26" s="51"/>
      <c r="D26" s="51"/>
      <c r="E26" s="129"/>
      <c r="F26" s="8"/>
      <c r="G26" s="8"/>
      <c r="H26" s="8"/>
      <c r="I26" s="143"/>
      <c r="J26" s="143"/>
      <c r="L26" s="7"/>
      <c r="M26" s="269" t="str" cm="1">
        <f t="array" ref="M26">IFERROR(INDEX('Time Plan (Single Release)'!$Y$3:$JN$3, 1, _xlfn.XMATCH(TRUE, _xlfn.BYCOL(('Time Plan (Single Release)'!$Y$6:$JN$64)*('Time Plan (Single Release)'!$C$6:$C$64=$L26), _xlfn.LAMBDA(_xlpm.col, SUM(_xlpm.col)&gt;0)), 0, 1)),"")</f>
        <v/>
      </c>
      <c r="N26" s="269" t="str" cm="1">
        <f t="array" ref="N26">IFERROR(INDEX('Time Plan (Single Release)'!$Y$3:$JN$3, 1, _xlfn.XMATCH(TRUE, _xlfn.BYCOL(('Time Plan (Single Release)'!$Y$6:$JN$64)*('Time Plan (Single Release)'!$C$6:$C$64=$L26), _xlfn.LAMBDA(_xlpm.col, SUM(_xlpm.col)&gt;0)), 0,-1))+4,"")</f>
        <v/>
      </c>
      <c r="O26" s="8" cm="1">
        <f t="array" aca="1" ref="O26" ca="1">SUM(IFERROR(('Time Plan (Single Release)'!$U$6:$U$64*('Time Plan (Single Release)'!$C$6:$C$64=$L26)),0))</f>
        <v>0</v>
      </c>
      <c r="P26" s="8">
        <f t="shared" ca="1" si="11"/>
        <v>0</v>
      </c>
      <c r="Q26" s="8">
        <f t="shared" ca="1" si="12"/>
        <v>0</v>
      </c>
      <c r="R26" s="143" t="str" cm="1">
        <f t="array" aca="1" ref="R26" ca="1" xml:space="preserve">
IFERROR(
(SUM('Time Plan (Single Release)'!$Y$6:$JN$64*(IFERROR('Time Plan (Single Release)'!$G$6:$G$64*40,0))*('Time Plan (Single Release)'!$C$6:$C$64=$L26))
-
SUM('Time Plan (Single Release)'!$Y$6:$JN$64*(IFERROR('Time Plan (Single Release)'!$I$6:$I$64*40,0))*('Time Plan (Single Release)'!$C$6:$C$64=$L26)))
/
SUM('Time Plan (Single Release)'!$Y$6:$JN$64*(IFERROR('Time Plan (Single Release)'!$G$6:$G$64*40,0))*('Time Plan (Single Release)'!$C$6:$C$64=$L26)),"")</f>
        <v/>
      </c>
      <c r="S26" s="143" t="str" cm="1">
        <f t="array" aca="1" ref="S26" ca="1" xml:space="preserve">
IFERROR(
(SUM('Time Plan (Single Release)'!$Y$6:$JN$64*(IFERROR('Time Plan (Single Release)'!$I$6:$I$64*40,0))*('Time Plan (Single Release)'!$C$6:$C$64=$L26))
-
SUM('Time Plan (Single Release)'!$Y$6:$JN$64*(IFERROR('Time Plan (Single Release)'!$K$6:$K$64*40,0))*('Time Plan (Single Release)'!$C$6:$C$64=$L26)))
/
SUM('Time Plan (Single Release)'!$Y$6:$JN$64*(IFERROR('Time Plan (Single Release)'!$I$6:$I$64*40,0))*('Time Plan (Single Release)'!$C$6:$C$64=$L26)),"")</f>
        <v/>
      </c>
      <c r="U26" s="7"/>
      <c r="V26" s="7" t="str" cm="1">
        <f t="array" ref="V26">IFERROR(_xlfn.XLOOKUP($U26,'Time Plan (Single Release)'!$D$6:$D$194,'Time Plan (Single Release)'!$E$6:$E$194&amp;" - "&amp;'Time Plan (Single Release)'!$F$6:$F$194),"")</f>
        <v xml:space="preserve"> - </v>
      </c>
      <c r="W26" s="237"/>
      <c r="X26" s="237"/>
      <c r="Y26" s="51"/>
      <c r="Z26" s="51"/>
      <c r="AA26" s="8" cm="1">
        <f t="array" aca="1" ref="AA26" ca="1">SUM(IFERROR(('Time Plan (Single Release)'!$U$6:$U$64*('Time Plan (Single Release)'!$D$6:$D$64=$U26)),0))</f>
        <v>0</v>
      </c>
      <c r="AB26" s="8">
        <f t="shared" ca="1" si="13"/>
        <v>0</v>
      </c>
      <c r="AC26" s="143"/>
      <c r="AD26" s="143"/>
      <c r="AE26" s="263">
        <f>SUMIF('Time Plan (Single Release)'!D$6:D$64,Pricing!U26,'Time Plan (Single Release)'!S$6:S$64)</f>
        <v>0</v>
      </c>
      <c r="AF26" s="263">
        <f t="shared" si="1"/>
        <v>0</v>
      </c>
      <c r="AG26" s="263" t="str">
        <f t="shared" ca="1" si="10"/>
        <v/>
      </c>
      <c r="AH26" s="263" t="str">
        <f t="shared" ca="1" si="8"/>
        <v/>
      </c>
      <c r="AI26" s="264"/>
      <c r="AJ26" s="8"/>
    </row>
    <row r="27" spans="2:36" ht="20.25" customHeight="1" x14ac:dyDescent="0.3">
      <c r="B27" s="50"/>
      <c r="C27" s="51"/>
      <c r="D27" s="51"/>
      <c r="E27" s="129"/>
      <c r="F27" s="8"/>
      <c r="G27" s="8"/>
      <c r="H27" s="8"/>
      <c r="I27" s="143"/>
      <c r="J27" s="143"/>
      <c r="L27" s="7"/>
      <c r="M27" s="51"/>
      <c r="N27" s="51"/>
      <c r="O27" s="8"/>
      <c r="P27" s="8"/>
      <c r="Q27" s="8"/>
      <c r="R27" s="143" t="str" cm="1">
        <f t="array" aca="1" ref="R27" ca="1" xml:space="preserve">
IFERROR(
(SUM('Time Plan (Single Release)'!$Y$6:$JN$64*(IFERROR('Time Plan (Single Release)'!$G$6:$G$64*40,0))*('Time Plan (Single Release)'!$C$6:$C$64=$L27))
-
SUM('Time Plan (Single Release)'!$Y$6:$JN$64*(IFERROR('Time Plan (Single Release)'!$I$6:$I$64*40,0))*('Time Plan (Single Release)'!$C$6:$C$64=$L27)))
/
SUM('Time Plan (Single Release)'!$Y$6:$JN$64*(IFERROR('Time Plan (Single Release)'!$G$6:$G$64*40,0))*('Time Plan (Single Release)'!$C$6:$C$64=$L27)),"")</f>
        <v/>
      </c>
      <c r="S27" s="143" t="str" cm="1">
        <f t="array" aca="1" ref="S27" ca="1" xml:space="preserve">
IFERROR(
(SUM('Time Plan (Single Release)'!$Y$6:$JN$64*(IFERROR('Time Plan (Single Release)'!$I$6:$I$64*40,0))*('Time Plan (Single Release)'!$C$6:$C$64=$L27))
-
SUM('Time Plan (Single Release)'!$Y$6:$JN$64*(IFERROR('Time Plan (Single Release)'!$K$6:$K$64*40,0))*('Time Plan (Single Release)'!$C$6:$C$64=$L27)))
/
SUM('Time Plan (Single Release)'!$Y$6:$JN$64*(IFERROR('Time Plan (Single Release)'!$I$6:$I$64*40,0))*('Time Plan (Single Release)'!$C$6:$C$64=$L27)),"")</f>
        <v/>
      </c>
      <c r="U27" s="7"/>
      <c r="V27" s="7" t="str" cm="1">
        <f t="array" ref="V27">IFERROR(_xlfn.XLOOKUP($U27,'Time Plan (Single Release)'!$D$6:$D$194,'Time Plan (Single Release)'!$E$6:$E$194&amp;" - "&amp;'Time Plan (Single Release)'!$F$6:$F$194),"")</f>
        <v xml:space="preserve"> - </v>
      </c>
      <c r="W27" s="237"/>
      <c r="X27" s="237"/>
      <c r="Y27" s="51"/>
      <c r="Z27" s="51"/>
      <c r="AA27" s="8" cm="1">
        <f t="array" aca="1" ref="AA27" ca="1">SUM(IFERROR(('Time Plan (Single Release)'!$U$6:$U$64*('Time Plan (Single Release)'!$D$6:$D$64=$U27)),0))</f>
        <v>0</v>
      </c>
      <c r="AB27" s="8">
        <f t="shared" ca="1" si="13"/>
        <v>0</v>
      </c>
      <c r="AC27" s="143"/>
      <c r="AD27" s="143"/>
      <c r="AE27" s="263">
        <f>SUMIF('Time Plan (Single Release)'!D$6:D$64,Pricing!U27,'Time Plan (Single Release)'!S$6:S$64)</f>
        <v>0</v>
      </c>
      <c r="AF27" s="263">
        <f t="shared" si="1"/>
        <v>0</v>
      </c>
      <c r="AG27" s="263" t="str">
        <f t="shared" ca="1" si="10"/>
        <v/>
      </c>
      <c r="AH27" s="263" t="str">
        <f t="shared" ca="1" si="8"/>
        <v/>
      </c>
      <c r="AI27" s="264"/>
      <c r="AJ27" s="8"/>
    </row>
    <row r="28" spans="2:36" ht="20.25" customHeight="1" x14ac:dyDescent="0.3">
      <c r="B28" s="50"/>
      <c r="C28" s="51"/>
      <c r="D28" s="51"/>
      <c r="E28" s="129"/>
      <c r="F28" s="8"/>
      <c r="G28" s="8"/>
      <c r="H28" s="8"/>
      <c r="I28" s="143"/>
      <c r="J28" s="143"/>
      <c r="L28" s="7"/>
      <c r="M28" s="51" t="str" cm="1">
        <f t="array" ref="M28">IFERROR(INDEX('Time Plan (Single Release)'!$Y$3:$JN$3, 1, _xlfn.XMATCH(TRUE, _xlfn.BYCOL(('Time Plan (Single Release)'!$Y$6:$JN$64)*('Time Plan (Single Release)'!$C$6:$C$64=$L28), _xlfn.LAMBDA(_xlpm.col, SUM(_xlpm.col)&gt;0)), 0, 1)),"")</f>
        <v/>
      </c>
      <c r="N28" s="51" t="str" cm="1">
        <f t="array" ref="N28">IFERROR(INDEX('Time Plan (Single Release)'!$Y$3:$JN$3, 1, _xlfn.XMATCH(TRUE, _xlfn.BYCOL(('Time Plan (Single Release)'!$Y$6:$JN$64)*('Time Plan (Single Release)'!$C$6:$C$64=$L28), _xlfn.LAMBDA(_xlpm.col, SUM(_xlpm.col)&gt;0)), 0,-1))+4,"")</f>
        <v/>
      </c>
      <c r="O28" s="8" cm="1">
        <f t="array" aca="1" ref="O28" ca="1">SUM(IFERROR(('Time Plan (Single Release)'!$U$6:$U$64*('Time Plan (Single Release)'!$C$6:$C$64=$L28)),0))</f>
        <v>0</v>
      </c>
      <c r="P28" s="8">
        <f t="shared" ca="1" si="11"/>
        <v>0</v>
      </c>
      <c r="Q28" s="8">
        <f t="shared" ca="1" si="12"/>
        <v>0</v>
      </c>
      <c r="R28" s="143" t="str" cm="1">
        <f t="array" aca="1" ref="R28" ca="1" xml:space="preserve">
IFERROR(
(SUM('Time Plan (Single Release)'!$Y$6:$JN$64*(IFERROR('Time Plan (Single Release)'!$G$6:$G$64*40,0))*('Time Plan (Single Release)'!$C$6:$C$64=$L28))
-
SUM('Time Plan (Single Release)'!$Y$6:$JN$64*(IFERROR('Time Plan (Single Release)'!$I$6:$I$64*40,0))*('Time Plan (Single Release)'!$C$6:$C$64=$L28)))
/
SUM('Time Plan (Single Release)'!$Y$6:$JN$64*(IFERROR('Time Plan (Single Release)'!$G$6:$G$64*40,0))*('Time Plan (Single Release)'!$C$6:$C$64=$L28)),"")</f>
        <v/>
      </c>
      <c r="S28" s="143" t="str" cm="1">
        <f t="array" aca="1" ref="S28" ca="1" xml:space="preserve">
IFERROR(
(SUM('Time Plan (Single Release)'!$Y$6:$JN$64*(IFERROR('Time Plan (Single Release)'!$I$6:$I$64*40,0))*('Time Plan (Single Release)'!$C$6:$C$64=$L28))
-
SUM('Time Plan (Single Release)'!$Y$6:$JN$64*(IFERROR('Time Plan (Single Release)'!$K$6:$K$64*40,0))*('Time Plan (Single Release)'!$C$6:$C$64=$L28)))
/
SUM('Time Plan (Single Release)'!$Y$6:$JN$64*(IFERROR('Time Plan (Single Release)'!$I$6:$I$64*40,0))*('Time Plan (Single Release)'!$C$6:$C$64=$L28)),"")</f>
        <v/>
      </c>
      <c r="U28" s="7"/>
      <c r="V28" s="7" t="str" cm="1">
        <f t="array" ref="V28">IFERROR(_xlfn.XLOOKUP($U28,'Time Plan (Single Release)'!$D$6:$D$194,'Time Plan (Single Release)'!$E$6:$E$194&amp;" - "&amp;'Time Plan (Single Release)'!$F$6:$F$194),"")</f>
        <v xml:space="preserve"> - </v>
      </c>
      <c r="W28" s="237"/>
      <c r="X28" s="237"/>
      <c r="Y28" s="51"/>
      <c r="Z28" s="51"/>
      <c r="AA28" s="8" cm="1">
        <f t="array" aca="1" ref="AA28" ca="1">SUM(IFERROR(('Time Plan (Single Release)'!$U$6:$U$64*('Time Plan (Single Release)'!$D$6:$D$64=$U28)),0))</f>
        <v>0</v>
      </c>
      <c r="AB28" s="8">
        <f t="shared" ca="1" si="13"/>
        <v>0</v>
      </c>
      <c r="AC28" s="143"/>
      <c r="AD28" s="143"/>
      <c r="AE28" s="263">
        <f>SUMIF('Time Plan (Single Release)'!D$6:D$64,Pricing!U28,'Time Plan (Single Release)'!S$6:S$64)</f>
        <v>0</v>
      </c>
      <c r="AF28" s="263">
        <f t="shared" si="1"/>
        <v>0</v>
      </c>
      <c r="AG28" s="263" t="str">
        <f t="shared" ca="1" si="10"/>
        <v/>
      </c>
      <c r="AH28" s="263" t="str">
        <f t="shared" ca="1" si="8"/>
        <v/>
      </c>
      <c r="AI28" s="264"/>
      <c r="AJ28" s="8"/>
    </row>
    <row r="29" spans="2:36" ht="20.25" customHeight="1" x14ac:dyDescent="0.3">
      <c r="B29" s="50"/>
      <c r="C29" s="51" t="str" cm="1">
        <f t="array" ref="C29">IFERROR(INDEX('Time Plan (Single Release)'!$Y$3:$JN$3, 1, _xlfn.XMATCH(TRUE, _xlfn.BYCOL(('Time Plan (Single Release)'!$Y$6:$JN$64)*('Time Plan (Single Release)'!$B$6:$B$64=$B29), _xlfn.LAMBDA(_xlpm.col, SUM(_xlpm.col)&gt;0)), 0, 1)),"")</f>
        <v/>
      </c>
      <c r="D29" s="51" t="str" cm="1">
        <f t="array" ref="D29">IFERROR(INDEX('Time Plan (Single Release)'!$Y$3:$JN$3, 1, _xlfn.XMATCH(TRUE, _xlfn.BYCOL(('Time Plan (Single Release)'!$Y$6:$JN$64)*('Time Plan (Single Release)'!$B$6:$B$64=$B29), _xlfn.LAMBDA(_xlpm.col, SUM(_xlpm.col)&gt;0)), 0,-1))+4,"")</f>
        <v/>
      </c>
      <c r="E29" s="129" t="str">
        <f>IFERROR(DATEDIF('Time Plan (Single Release)'!$Y$3,$D29+3,"d")/7,"")</f>
        <v/>
      </c>
      <c r="F29" s="8" cm="1">
        <f t="array" aca="1" ref="F29" ca="1">SUM(IFERROR(('Time Plan (Single Release)'!$U$6:$U$64*('Time Plan (Single Release)'!$B$6:$B$64=Pricing!$B29)),0))</f>
        <v>0</v>
      </c>
      <c r="G29" s="8">
        <f t="shared" ca="1" si="2"/>
        <v>0</v>
      </c>
      <c r="H29" s="8">
        <f t="shared" ca="1" si="0"/>
        <v>0</v>
      </c>
      <c r="I29" s="143" t="str" cm="1">
        <f t="array" aca="1" ref="I29" ca="1" xml:space="preserve">
IFERROR(
(SUM('Time Plan (Single Release)'!$Y$6:$JN$64*(IFERROR('Time Plan (Single Release)'!$G$6:$G$64*40,0))*('Time Plan (Single Release)'!$B$6:$B$64=Pricing!$B29))
-
SUM('Time Plan (Single Release)'!$Y$6:$JN$64*(IFERROR('Time Plan (Single Release)'!$I$6:$I$64*40,0))*('Time Plan (Single Release)'!$B$6:$B$64=Pricing!$B29)))
/
SUM('Time Plan (Single Release)'!$Y$6:$JN$64*(IFERROR('Time Plan (Single Release)'!$G$6:$G$64*40,0))*('Time Plan (Single Release)'!$B$6:$B$64=Pricing!$B29)),"")</f>
        <v/>
      </c>
      <c r="J29" s="143" t="str" cm="1">
        <f t="array" aca="1" ref="J29" ca="1" xml:space="preserve">
IFERROR(
(SUM('Time Plan (Single Release)'!$Y$6:$JN$64*(IFERROR('Time Plan (Single Release)'!$I$6:$I$64*40,0))*('Time Plan (Single Release)'!$B$6:$B$64=Pricing!$B29))
-
SUM('Time Plan (Single Release)'!$Y$6:$JN$64*(IFERROR('Time Plan (Single Release)'!$K$6:$K$64*40,0))*('Time Plan (Single Release)'!$B$6:$B$64=Pricing!$B29)))
/
SUM('Time Plan (Single Release)'!$Y$6:$JN$64*(IFERROR('Time Plan (Single Release)'!$I$6:$I$64*40,0))*('Time Plan (Single Release)'!$B$6:$B$64=Pricing!$B29)),"")</f>
        <v/>
      </c>
      <c r="L29" s="7"/>
      <c r="M29" s="51" t="str" cm="1">
        <f t="array" ref="M29">IFERROR(INDEX('Time Plan (Single Release)'!$Y$3:$JN$3, 1, _xlfn.XMATCH(TRUE, _xlfn.BYCOL(('Time Plan (Single Release)'!$Y$6:$JN$64)*('Time Plan (Single Release)'!$C$6:$C$64=$L29), _xlfn.LAMBDA(_xlpm.col, SUM(_xlpm.col)&gt;0)), 0, 1)),"")</f>
        <v/>
      </c>
      <c r="N29" s="51" t="str" cm="1">
        <f t="array" ref="N29">IFERROR(INDEX('Time Plan (Single Release)'!$Y$3:$JN$3, 1, _xlfn.XMATCH(TRUE, _xlfn.BYCOL(('Time Plan (Single Release)'!$Y$6:$JN$64)*('Time Plan (Single Release)'!$C$6:$C$64=$L29), _xlfn.LAMBDA(_xlpm.col, SUM(_xlpm.col)&gt;0)), 0,-1))+4,"")</f>
        <v/>
      </c>
      <c r="O29" s="8" cm="1">
        <f t="array" aca="1" ref="O29" ca="1">SUM(IFERROR(('Time Plan (Single Release)'!$U$6:$U$64*('Time Plan (Single Release)'!$C$6:$C$64=$L29)),0))</f>
        <v>0</v>
      </c>
      <c r="P29" s="8">
        <f t="shared" ca="1" si="11"/>
        <v>0</v>
      </c>
      <c r="Q29" s="8">
        <f t="shared" ca="1" si="12"/>
        <v>0</v>
      </c>
      <c r="R29" s="143" t="str" cm="1">
        <f t="array" aca="1" ref="R29" ca="1" xml:space="preserve">
IFERROR(
(SUM('Time Plan (Single Release)'!$Y$6:$JN$64*(IFERROR('Time Plan (Single Release)'!$G$6:$G$64*40,0))*('Time Plan (Single Release)'!$C$6:$C$64=$L29))
-
SUM('Time Plan (Single Release)'!$Y$6:$JN$64*(IFERROR('Time Plan (Single Release)'!$I$6:$I$64*40,0))*('Time Plan (Single Release)'!$C$6:$C$64=$L29)))
/
SUM('Time Plan (Single Release)'!$Y$6:$JN$64*(IFERROR('Time Plan (Single Release)'!$G$6:$G$64*40,0))*('Time Plan (Single Release)'!$C$6:$C$64=$L29)),"")</f>
        <v/>
      </c>
      <c r="S29" s="143" t="str" cm="1">
        <f t="array" aca="1" ref="S29" ca="1" xml:space="preserve">
IFERROR(
(SUM('Time Plan (Single Release)'!$Y$6:$JN$64*(IFERROR('Time Plan (Single Release)'!$I$6:$I$64*40,0))*('Time Plan (Single Release)'!$C$6:$C$64=$L29))
-
SUM('Time Plan (Single Release)'!$Y$6:$JN$64*(IFERROR('Time Plan (Single Release)'!$K$6:$K$64*40,0))*('Time Plan (Single Release)'!$C$6:$C$64=$L29)))
/
SUM('Time Plan (Single Release)'!$Y$6:$JN$64*(IFERROR('Time Plan (Single Release)'!$I$6:$I$64*40,0))*('Time Plan (Single Release)'!$C$6:$C$64=$L29)),"")</f>
        <v/>
      </c>
      <c r="U29" s="7"/>
      <c r="V29" s="7" t="str" cm="1">
        <f t="array" ref="V29">IFERROR(_xlfn.XLOOKUP($U29,'Time Plan (Single Release)'!$D$6:$D$194,'Time Plan (Single Release)'!$E$6:$E$194&amp;" - "&amp;'Time Plan (Single Release)'!$F$6:$F$194),"")</f>
        <v xml:space="preserve"> - </v>
      </c>
      <c r="W29" s="237" t="str">
        <f>IFERROR(_xlfn.XLOOKUP($U29,'Time Plan (Single Release)'!$D$6:$D$64,'Time Plan (Single Release)'!$I$6:$I$64),"")</f>
        <v/>
      </c>
      <c r="X29" s="237" t="str">
        <f t="shared" si="5"/>
        <v/>
      </c>
      <c r="Y29" s="51" t="str" cm="1">
        <f t="array" ref="Y29">IFERROR(INDEX('Time Plan (Single Release)'!$Y$3:$JN$3, 1, _xlfn.XMATCH(TRUE, _xlfn.BYCOL(('Time Plan (Single Release)'!$Y$6:$JN$64)*('Time Plan (Single Release)'!$D$6:$D$64=$U29), _xlfn.LAMBDA(_xlpm.col, SUM(_xlpm.col)&gt;0)), 0, 1)),"")</f>
        <v/>
      </c>
      <c r="Z29" s="51" t="str" cm="1">
        <f t="array" ref="Z29">IFERROR(INDEX('Time Plan (Single Release)'!$Y$3:$JN$3, 1, _xlfn.XMATCH(TRUE, _xlfn.BYCOL(('Time Plan (Single Release)'!$Y$6:$JN$64)*('Time Plan (Single Release)'!$D$6:$D$64=$U29), _xlfn.LAMBDA(_xlpm.col, SUM(_xlpm.col)&gt;0)), 0,-1))+4,"")</f>
        <v/>
      </c>
      <c r="AA29" s="8" cm="1">
        <f t="array" aca="1" ref="AA29" ca="1">SUM(IFERROR(('Time Plan (Single Release)'!$U$6:$U$64*('Time Plan (Single Release)'!$D$6:$D$64=$U29)),0))</f>
        <v>0</v>
      </c>
      <c r="AB29" s="8">
        <f t="shared" ca="1" si="13"/>
        <v>0</v>
      </c>
      <c r="AC29" s="143" t="str" cm="1">
        <f t="array" aca="1" ref="AC29" ca="1" xml:space="preserve">
IFERROR(
(SUM('Time Plan (Single Release)'!$Y$6:$JN$64*(IFERROR('Time Plan (Single Release)'!$G$6:$G$64*40,0))*('Time Plan (Single Release)'!$D$6:$D$64=$U29))
-
SUM('Time Plan (Single Release)'!$Y$6:$JN$64*(IFERROR('Time Plan (Single Release)'!$I$6:$I$64*40,0))*('Time Plan (Single Release)'!$D$6:$D$64=$U29)))
/
SUM('Time Plan (Single Release)'!$Y$6:$JN$64*(IFERROR('Time Plan (Single Release)'!$G$6:$G$64*40,0))*('Time Plan (Single Release)'!$D$6:$D$64=$U29)),"")</f>
        <v/>
      </c>
      <c r="AD29" s="143" t="str" cm="1">
        <f t="array" aca="1" ref="AD29" ca="1" xml:space="preserve">
IFERROR(
(SUM('Time Plan (Single Release)'!$Y$6:$JN$64*(IFERROR('Time Plan (Single Release)'!$I$6:$I$64*40,0))*('Time Plan (Single Release)'!$D$6:$D$64=$U29))
-
SUM('Time Plan (Single Release)'!$Y$6:$JN$64*(IFERROR('Time Plan (Single Release)'!$K$6:$K$64*40,0))*('Time Plan (Single Release)'!$D$6:$D$64=$U29)))
/
SUM('Time Plan (Single Release)'!$Y$6:$JN$64*(IFERROR('Time Plan (Single Release)'!$I$6:$I$64*40,0))*('Time Plan (Single Release)'!$D$6:$D$64=$U29)),"")</f>
        <v/>
      </c>
      <c r="AE29" s="263">
        <f>SUMIF('Time Plan (Single Release)'!D$6:D$64,Pricing!U29,'Time Plan (Single Release)'!S$6:S$64)</f>
        <v>0</v>
      </c>
      <c r="AF29" s="263">
        <f t="shared" si="1"/>
        <v>0</v>
      </c>
      <c r="AG29" s="263" t="str">
        <f t="shared" ca="1" si="10"/>
        <v/>
      </c>
      <c r="AH29" s="263" t="str">
        <f t="shared" ca="1" si="8"/>
        <v/>
      </c>
      <c r="AI29" s="264"/>
      <c r="AJ29" s="8"/>
    </row>
    <row r="30" spans="2:36" ht="20.25" customHeight="1" x14ac:dyDescent="0.3">
      <c r="B30" s="12"/>
      <c r="C30" s="258"/>
      <c r="D30" s="258"/>
      <c r="E30" s="259"/>
      <c r="F30" s="260"/>
      <c r="G30" s="260"/>
      <c r="H30" s="260"/>
      <c r="I30" s="261"/>
      <c r="J30" s="261"/>
      <c r="M30" s="51" t="str" cm="1">
        <f t="array" ref="M30">IFERROR(INDEX('Time Plan (Single Release)'!$Y$3:$JN$3, 1, _xlfn.XMATCH(TRUE, _xlfn.BYCOL(('Time Plan (Single Release)'!$Y$6:$JN$64)*('Time Plan (Single Release)'!$C$6:$C$64=$L30), _xlfn.LAMBDA(_xlpm.col, SUM(_xlpm.col)&gt;0)), 0, 1)),"")</f>
        <v/>
      </c>
      <c r="N30" s="51" t="str" cm="1">
        <f t="array" ref="N30">IFERROR(INDEX('Time Plan (Single Release)'!$Y$3:$JN$3, 1, _xlfn.XMATCH(TRUE, _xlfn.BYCOL(('Time Plan (Single Release)'!$Y$6:$JN$64)*('Time Plan (Single Release)'!$C$6:$C$64=$L30), _xlfn.LAMBDA(_xlpm.col, SUM(_xlpm.col)&gt;0)), 0,-1))+4,"")</f>
        <v/>
      </c>
      <c r="O30" s="8" cm="1">
        <f t="array" aca="1" ref="O30" ca="1">SUM(IFERROR(('Time Plan (Single Release)'!$U$6:$U$64*('Time Plan (Single Release)'!$C$6:$C$64=$L30)),0))</f>
        <v>0</v>
      </c>
      <c r="P30" s="8">
        <f t="shared" ca="1" si="11"/>
        <v>0</v>
      </c>
      <c r="Q30" s="8">
        <f t="shared" ca="1" si="12"/>
        <v>0</v>
      </c>
      <c r="R30" s="143" t="str" cm="1">
        <f t="array" aca="1" ref="R30" ca="1" xml:space="preserve">
IFERROR(
(SUM('Time Plan (Single Release)'!$Y$6:$JN$64*(IFERROR('Time Plan (Single Release)'!$G$6:$G$64*40,0))*('Time Plan (Single Release)'!$C$6:$C$64=$L30))
-
SUM('Time Plan (Single Release)'!$Y$6:$JN$64*(IFERROR('Time Plan (Single Release)'!$I$6:$I$64*40,0))*('Time Plan (Single Release)'!$C$6:$C$64=$L30)))
/
SUM('Time Plan (Single Release)'!$Y$6:$JN$64*(IFERROR('Time Plan (Single Release)'!$G$6:$G$64*40,0))*('Time Plan (Single Release)'!$C$6:$C$64=$L30)),"")</f>
        <v/>
      </c>
      <c r="S30" s="143" t="str" cm="1">
        <f t="array" aca="1" ref="S30" ca="1" xml:space="preserve">
IFERROR(
(SUM('Time Plan (Single Release)'!$Y$6:$JN$64*(IFERROR('Time Plan (Single Release)'!$I$6:$I$64*40,0))*('Time Plan (Single Release)'!$C$6:$C$64=$L30))
-
SUM('Time Plan (Single Release)'!$Y$6:$JN$64*(IFERROR('Time Plan (Single Release)'!$K$6:$K$64*40,0))*('Time Plan (Single Release)'!$C$6:$C$64=$L30)))
/
SUM('Time Plan (Single Release)'!$Y$6:$JN$64*(IFERROR('Time Plan (Single Release)'!$I$6:$I$64*40,0))*('Time Plan (Single Release)'!$C$6:$C$64=$L30)),"")</f>
        <v/>
      </c>
      <c r="W30" s="262"/>
      <c r="X30" s="262"/>
      <c r="Y30" s="258"/>
      <c r="Z30" s="258"/>
      <c r="AA30" s="8" cm="1">
        <f t="array" aca="1" ref="AA30" ca="1">SUM(IFERROR(('Time Plan (Single Release)'!$U$6:$U$64*('Time Plan (Single Release)'!$D$6:$D$64=$U30)),0))</f>
        <v>0</v>
      </c>
      <c r="AB30" s="8">
        <f t="shared" ca="1" si="13"/>
        <v>0</v>
      </c>
      <c r="AC30" s="261"/>
      <c r="AD30" s="261"/>
      <c r="AE30" s="265"/>
      <c r="AF30" s="265"/>
      <c r="AG30" s="265"/>
      <c r="AH30" s="265"/>
      <c r="AI30" s="266"/>
      <c r="AJ30" s="260"/>
    </row>
    <row r="31" spans="2:36" s="150" customFormat="1" ht="33" customHeight="1" thickBot="1" x14ac:dyDescent="0.3">
      <c r="B31" s="151" t="s">
        <v>75</v>
      </c>
      <c r="C31" s="152">
        <f>MIN(C4:C30)</f>
        <v>46062</v>
      </c>
      <c r="D31" s="152">
        <f>MAX(D4:D30)</f>
        <v>46220</v>
      </c>
      <c r="E31" s="238">
        <f>MAX(E4:E30)</f>
        <v>23</v>
      </c>
      <c r="F31" s="153">
        <f ca="1">SUM(F4:F30)</f>
        <v>774770.44000000006</v>
      </c>
      <c r="G31" s="153">
        <f ca="1">SUM(G4:G30)</f>
        <v>77477.044000000009</v>
      </c>
      <c r="H31" s="153">
        <f ca="1">SUM(H4:H30)</f>
        <v>852247.48400000005</v>
      </c>
      <c r="I31" s="154" cm="1">
        <f t="array" aca="1" ref="I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J31" s="154" cm="1">
        <f t="array" aca="1" ref="J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K31" s="149"/>
      <c r="L31" s="151" t="s">
        <v>75</v>
      </c>
      <c r="M31" s="152">
        <f>MIN(M4:M30)</f>
        <v>46062</v>
      </c>
      <c r="N31" s="152">
        <f>MAX(N4:N30)</f>
        <v>46220</v>
      </c>
      <c r="O31" s="153">
        <f ca="1">SUM(O4:O30)</f>
        <v>774770.44</v>
      </c>
      <c r="P31" s="153">
        <f ca="1">SUM(P4:P30)</f>
        <v>77477.043999999994</v>
      </c>
      <c r="Q31" s="153">
        <f ca="1">SUM(Q4:Q30)</f>
        <v>852247.48400000005</v>
      </c>
      <c r="R31" s="154" cm="1">
        <f t="array" aca="1" ref="R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S31" s="154" cm="1">
        <f t="array" aca="1" ref="S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T31" s="149"/>
      <c r="U31" s="151" t="s">
        <v>75</v>
      </c>
      <c r="V31" s="151"/>
      <c r="W31" s="238"/>
      <c r="X31" s="238"/>
      <c r="Y31" s="152">
        <f>MIN(Y4:Y30)</f>
        <v>46062</v>
      </c>
      <c r="Z31" s="152">
        <f>MAX(Z4:Z30)</f>
        <v>46220</v>
      </c>
      <c r="AA31" s="153">
        <f ca="1">SUM(AA4:AA30)</f>
        <v>774770.44</v>
      </c>
      <c r="AB31" s="153">
        <f ca="1">SUM(AB4:AB30)</f>
        <v>852247.48400000017</v>
      </c>
      <c r="AC31" s="154" cm="1">
        <f t="array" aca="1" ref="AC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AD31" s="154" cm="1">
        <f t="array" aca="1" ref="AD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AE31" s="267">
        <f t="shared" ref="AE31:AJ31" ca="1" si="14">SUM(AE4:AE30)</f>
        <v>4889</v>
      </c>
      <c r="AF31" s="267">
        <f t="shared" ca="1" si="14"/>
        <v>611.125</v>
      </c>
      <c r="AG31" s="267">
        <f t="shared" ca="1" si="14"/>
        <v>4314.129013924884</v>
      </c>
      <c r="AH31" s="267">
        <f t="shared" ca="1" si="14"/>
        <v>539.2661267406105</v>
      </c>
      <c r="AI31" s="268">
        <f t="shared" si="14"/>
        <v>1</v>
      </c>
      <c r="AJ31" s="153">
        <f t="shared" ca="1" si="14"/>
        <v>624849.17999999993</v>
      </c>
    </row>
    <row r="34" spans="23:24" x14ac:dyDescent="0.3">
      <c r="W34" s="6">
        <f ca="1">AA4/W4</f>
        <v>708</v>
      </c>
      <c r="X34" s="257">
        <f>AG4/8</f>
        <v>0</v>
      </c>
    </row>
    <row r="35" spans="23:24" x14ac:dyDescent="0.3">
      <c r="W35" s="6">
        <f t="shared" ref="W35:W42" ca="1" si="15">AA5/W5</f>
        <v>749.41176470588243</v>
      </c>
    </row>
    <row r="36" spans="23:24" x14ac:dyDescent="0.3">
      <c r="W36" s="6">
        <f t="shared" ca="1" si="15"/>
        <v>12.215561703251637</v>
      </c>
    </row>
    <row r="37" spans="23:24" x14ac:dyDescent="0.3">
      <c r="W37" s="6">
        <f t="shared" ca="1" si="15"/>
        <v>400</v>
      </c>
    </row>
    <row r="38" spans="23:24" x14ac:dyDescent="0.3">
      <c r="W38" s="6">
        <f t="shared" ca="1" si="15"/>
        <v>230</v>
      </c>
    </row>
    <row r="39" spans="23:24" x14ac:dyDescent="0.3">
      <c r="W39" s="6">
        <f t="shared" ca="1" si="15"/>
        <v>600</v>
      </c>
    </row>
    <row r="40" spans="23:24" x14ac:dyDescent="0.3">
      <c r="W40" s="6">
        <f t="shared" ca="1" si="15"/>
        <v>160</v>
      </c>
    </row>
    <row r="41" spans="23:24" x14ac:dyDescent="0.3">
      <c r="W41" s="6">
        <f t="shared" ca="1" si="15"/>
        <v>480</v>
      </c>
    </row>
    <row r="42" spans="23:24" x14ac:dyDescent="0.3">
      <c r="W42" s="6">
        <f t="shared" ca="1" si="15"/>
        <v>460.00000000000006</v>
      </c>
    </row>
    <row r="45" spans="23:24" ht="17.25" thickBot="1" x14ac:dyDescent="0.35"/>
    <row r="46" spans="23:24" ht="17.25" thickBot="1" x14ac:dyDescent="0.35">
      <c r="W46" s="255">
        <v>906</v>
      </c>
    </row>
    <row r="47" spans="23:24" ht="18" thickTop="1" thickBot="1" x14ac:dyDescent="0.35">
      <c r="W47" s="256">
        <v>480</v>
      </c>
    </row>
    <row r="48" spans="23:24" ht="17.25" thickBot="1" x14ac:dyDescent="0.35">
      <c r="W48" s="256">
        <v>420</v>
      </c>
    </row>
    <row r="49" spans="23:23" ht="17.25" thickBot="1" x14ac:dyDescent="0.35">
      <c r="W49" s="256">
        <v>760</v>
      </c>
    </row>
    <row r="50" spans="23:23" ht="17.25" thickBot="1" x14ac:dyDescent="0.35">
      <c r="W50" s="256">
        <v>420</v>
      </c>
    </row>
    <row r="51" spans="23:23" ht="17.25" thickBot="1" x14ac:dyDescent="0.35">
      <c r="W51" s="256">
        <v>1140</v>
      </c>
    </row>
    <row r="52" spans="23:23" ht="17.25" thickBot="1" x14ac:dyDescent="0.35">
      <c r="W52" s="256">
        <v>480</v>
      </c>
    </row>
    <row r="53" spans="23:23" x14ac:dyDescent="0.3">
      <c r="W53" s="6">
        <f>SUM(W46:W52)</f>
        <v>4606</v>
      </c>
    </row>
  </sheetData>
  <conditionalFormatting sqref="AJ31">
    <cfRule type="cellIs" dxfId="0" priority="1" operator="equal">
      <formula>$AA$31</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D9C6824-43B5-4356-ADB3-A82D68CE7BFF}">
          <x14:formula1>
            <xm:f>Variable!$AX$2:$AX$500</xm:f>
          </x14:formula1>
          <xm:sqref>V1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FF67-1210-408E-92B4-5C636A6094FF}">
  <sheetPr>
    <tabColor rgb="FF205860"/>
  </sheetPr>
  <dimension ref="B1:CZ48"/>
  <sheetViews>
    <sheetView zoomScale="85" zoomScaleNormal="85" workbookViewId="0">
      <selection activeCell="C10" sqref="C10"/>
    </sheetView>
  </sheetViews>
  <sheetFormatPr defaultRowHeight="15" x14ac:dyDescent="0.25"/>
  <cols>
    <col min="1" max="1" width="2.140625" customWidth="1"/>
    <col min="2" max="2" width="50" customWidth="1"/>
    <col min="3" max="3" width="51" customWidth="1"/>
    <col min="4" max="5" width="25.5703125" customWidth="1"/>
    <col min="6" max="6" width="42.5703125" customWidth="1"/>
    <col min="7" max="7" width="12.140625" bestFit="1" customWidth="1"/>
    <col min="8" max="8" width="9" customWidth="1"/>
    <col min="9" max="9" width="16" bestFit="1" customWidth="1"/>
    <col min="10" max="10" width="12.140625" bestFit="1" customWidth="1"/>
    <col min="11" max="11" width="10.85546875" bestFit="1" customWidth="1"/>
    <col min="12" max="12" width="12" bestFit="1" customWidth="1"/>
    <col min="13" max="13" width="8.5703125" bestFit="1" customWidth="1"/>
    <col min="14" max="14" width="11.140625" bestFit="1" customWidth="1"/>
    <col min="15" max="15" width="8" bestFit="1" customWidth="1"/>
    <col min="16" max="16" width="15.140625" bestFit="1" customWidth="1"/>
    <col min="17" max="17" width="13.140625" customWidth="1"/>
    <col min="18" max="18" width="10.42578125" customWidth="1"/>
    <col min="19" max="20" width="7.5703125" bestFit="1" customWidth="1"/>
    <col min="21" max="21" width="11" bestFit="1" customWidth="1"/>
    <col min="22" max="22" width="16.7109375" bestFit="1" customWidth="1"/>
    <col min="23" max="23" width="17.42578125" customWidth="1"/>
    <col min="24" max="24" width="11.85546875" bestFit="1" customWidth="1"/>
    <col min="25" max="25" width="24.7109375" bestFit="1" customWidth="1"/>
    <col min="26" max="26" width="9.85546875" bestFit="1" customWidth="1"/>
    <col min="27" max="28" width="9.140625" bestFit="1" customWidth="1"/>
    <col min="29" max="29" width="9" bestFit="1" customWidth="1"/>
    <col min="30" max="31" width="9.140625" bestFit="1" customWidth="1"/>
    <col min="32" max="32" width="8.7109375" bestFit="1" customWidth="1"/>
    <col min="33" max="34" width="8.42578125" bestFit="1" customWidth="1"/>
    <col min="35" max="35" width="8.7109375" bestFit="1" customWidth="1"/>
    <col min="36" max="36" width="9.5703125" bestFit="1" customWidth="1"/>
    <col min="37" max="38" width="9.140625" bestFit="1" customWidth="1"/>
  </cols>
  <sheetData>
    <row r="1" spans="2:104" x14ac:dyDescent="0.25">
      <c r="B1" s="130" t="s">
        <v>76</v>
      </c>
      <c r="C1" s="155">
        <v>45796</v>
      </c>
      <c r="D1" s="47"/>
      <c r="E1" s="47"/>
      <c r="F1" s="47"/>
      <c r="G1" s="47"/>
      <c r="H1" s="47"/>
      <c r="I1" s="47"/>
      <c r="J1" s="47"/>
      <c r="K1" s="47"/>
      <c r="L1" s="47"/>
      <c r="M1" s="47"/>
      <c r="N1" s="47"/>
      <c r="O1" s="47"/>
      <c r="P1" s="47"/>
      <c r="Q1" s="47"/>
      <c r="R1" s="103"/>
      <c r="S1" s="103"/>
      <c r="T1" s="103"/>
      <c r="U1" s="47"/>
      <c r="V1" s="47"/>
      <c r="W1" s="47"/>
      <c r="X1" s="47"/>
      <c r="Y1" s="161" t="s">
        <v>77</v>
      </c>
      <c r="Z1" s="162"/>
      <c r="AA1" s="162"/>
      <c r="AB1" s="162"/>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row>
    <row r="2" spans="2:104" x14ac:dyDescent="0.25">
      <c r="B2" s="130" t="s">
        <v>78</v>
      </c>
      <c r="C2" s="155">
        <v>45797</v>
      </c>
      <c r="D2" s="47"/>
      <c r="E2" s="47"/>
      <c r="F2" s="47"/>
      <c r="G2" s="47"/>
      <c r="H2" s="47"/>
      <c r="I2" s="47"/>
      <c r="J2" s="47"/>
      <c r="K2" s="47"/>
      <c r="L2" s="418" t="s">
        <v>79</v>
      </c>
      <c r="M2" s="418"/>
      <c r="N2" s="418"/>
      <c r="O2" s="418"/>
      <c r="P2" s="418"/>
      <c r="Q2" s="418"/>
      <c r="R2" s="103"/>
      <c r="S2" s="103"/>
      <c r="T2" s="103"/>
      <c r="U2" s="47"/>
      <c r="V2" s="47"/>
      <c r="W2" s="47"/>
      <c r="X2" s="47"/>
      <c r="Y2" s="157">
        <v>1</v>
      </c>
      <c r="Z2" s="157">
        <v>2</v>
      </c>
      <c r="AA2" s="157">
        <v>3</v>
      </c>
      <c r="AB2" s="157">
        <v>4</v>
      </c>
      <c r="AC2" s="157">
        <v>5</v>
      </c>
      <c r="AD2" s="157">
        <v>6</v>
      </c>
      <c r="AE2" s="157">
        <v>7</v>
      </c>
      <c r="AF2" s="157">
        <v>8</v>
      </c>
      <c r="AG2" s="157">
        <v>9</v>
      </c>
      <c r="AH2" s="157">
        <v>10</v>
      </c>
      <c r="AI2" s="157">
        <v>11</v>
      </c>
      <c r="AJ2" s="157">
        <v>12</v>
      </c>
      <c r="AK2" s="157">
        <v>13</v>
      </c>
      <c r="AL2" s="157">
        <v>14</v>
      </c>
      <c r="AM2" s="157">
        <v>15</v>
      </c>
      <c r="AN2" s="157">
        <v>16</v>
      </c>
      <c r="AO2" s="157">
        <v>17</v>
      </c>
      <c r="AP2" s="157">
        <v>18</v>
      </c>
      <c r="AQ2" s="157">
        <v>19</v>
      </c>
      <c r="AR2" s="157">
        <v>20</v>
      </c>
      <c r="AS2" s="157">
        <v>21</v>
      </c>
      <c r="AT2" s="157">
        <v>22</v>
      </c>
      <c r="AU2" s="157">
        <v>23</v>
      </c>
      <c r="AV2" s="157">
        <v>24</v>
      </c>
      <c r="AW2" s="157">
        <v>25</v>
      </c>
      <c r="AX2" s="157">
        <v>26</v>
      </c>
      <c r="AY2" s="157">
        <v>27</v>
      </c>
      <c r="AZ2" s="157">
        <v>28</v>
      </c>
      <c r="BA2" s="157">
        <v>29</v>
      </c>
      <c r="BB2" s="157">
        <v>30</v>
      </c>
      <c r="BC2" s="157">
        <v>31</v>
      </c>
      <c r="BD2" s="157">
        <v>32</v>
      </c>
      <c r="BE2" s="157">
        <v>33</v>
      </c>
      <c r="BF2" s="157">
        <v>34</v>
      </c>
      <c r="BG2" s="157">
        <v>35</v>
      </c>
      <c r="BH2" s="157">
        <v>36</v>
      </c>
      <c r="BI2" s="157">
        <v>37</v>
      </c>
      <c r="BJ2" s="157">
        <v>38</v>
      </c>
      <c r="BK2" s="157">
        <v>39</v>
      </c>
      <c r="BL2" s="157">
        <v>40</v>
      </c>
      <c r="BM2" s="157">
        <v>41</v>
      </c>
      <c r="BN2" s="157">
        <v>42</v>
      </c>
      <c r="BO2" s="157">
        <v>43</v>
      </c>
      <c r="BP2" s="157">
        <v>44</v>
      </c>
      <c r="BQ2" s="157">
        <v>45</v>
      </c>
      <c r="BR2" s="157">
        <v>46</v>
      </c>
      <c r="BS2" s="157">
        <v>47</v>
      </c>
      <c r="BT2" s="157">
        <v>48</v>
      </c>
      <c r="BU2" s="157">
        <v>49</v>
      </c>
      <c r="BV2" s="157">
        <v>50</v>
      </c>
      <c r="BW2" s="157">
        <v>51</v>
      </c>
      <c r="BX2" s="157">
        <v>52</v>
      </c>
      <c r="BY2" s="157">
        <v>53</v>
      </c>
      <c r="BZ2" s="157">
        <v>54</v>
      </c>
      <c r="CA2" s="157">
        <v>55</v>
      </c>
      <c r="CB2" s="157">
        <v>56</v>
      </c>
      <c r="CC2" s="157">
        <v>57</v>
      </c>
      <c r="CD2" s="157">
        <v>58</v>
      </c>
      <c r="CE2" s="157">
        <v>59</v>
      </c>
      <c r="CF2" s="157">
        <v>60</v>
      </c>
      <c r="CG2" s="157">
        <v>61</v>
      </c>
      <c r="CH2" s="157">
        <v>62</v>
      </c>
      <c r="CI2" s="157">
        <v>63</v>
      </c>
      <c r="CJ2" s="157">
        <v>64</v>
      </c>
      <c r="CK2" s="157">
        <v>65</v>
      </c>
      <c r="CL2" s="157">
        <v>66</v>
      </c>
      <c r="CM2" s="157">
        <v>67</v>
      </c>
      <c r="CN2" s="157">
        <v>68</v>
      </c>
      <c r="CO2" s="157">
        <v>69</v>
      </c>
      <c r="CP2" s="157">
        <v>70</v>
      </c>
      <c r="CQ2" s="157">
        <v>71</v>
      </c>
      <c r="CR2" s="157">
        <v>72</v>
      </c>
      <c r="CS2" s="157">
        <v>73</v>
      </c>
      <c r="CT2" s="157">
        <v>74</v>
      </c>
      <c r="CU2" s="157">
        <v>75</v>
      </c>
      <c r="CV2" s="157">
        <v>76</v>
      </c>
      <c r="CW2" s="157">
        <v>77</v>
      </c>
      <c r="CX2" s="157">
        <v>78</v>
      </c>
      <c r="CY2" s="157">
        <v>79</v>
      </c>
      <c r="CZ2" s="157">
        <v>80</v>
      </c>
    </row>
    <row r="3" spans="2:104" ht="57.75" thickBot="1" x14ac:dyDescent="0.3">
      <c r="B3" s="33" t="s">
        <v>50</v>
      </c>
      <c r="C3" s="34" t="s">
        <v>59</v>
      </c>
      <c r="D3" s="34" t="s">
        <v>61</v>
      </c>
      <c r="E3" s="34" t="s">
        <v>80</v>
      </c>
      <c r="F3" s="35" t="s">
        <v>81</v>
      </c>
      <c r="G3" s="121" t="s">
        <v>82</v>
      </c>
      <c r="H3" s="122" t="s">
        <v>83</v>
      </c>
      <c r="I3" s="123" t="s">
        <v>84</v>
      </c>
      <c r="J3" s="121" t="s">
        <v>85</v>
      </c>
      <c r="K3" s="124" t="s">
        <v>86</v>
      </c>
      <c r="L3" s="125" t="s">
        <v>87</v>
      </c>
      <c r="M3" s="126" t="s">
        <v>88</v>
      </c>
      <c r="N3" s="127" t="s">
        <v>89</v>
      </c>
      <c r="O3" s="126" t="s">
        <v>90</v>
      </c>
      <c r="P3" s="126" t="s">
        <v>91</v>
      </c>
      <c r="Q3" s="128" t="s">
        <v>92</v>
      </c>
      <c r="R3" s="121" t="s">
        <v>93</v>
      </c>
      <c r="S3" s="122" t="s">
        <v>94</v>
      </c>
      <c r="T3" s="122" t="s">
        <v>95</v>
      </c>
      <c r="U3" s="123" t="s">
        <v>96</v>
      </c>
      <c r="V3" s="36" t="s">
        <v>97</v>
      </c>
      <c r="W3" s="36" t="s">
        <v>98</v>
      </c>
      <c r="X3" s="36" t="s">
        <v>99</v>
      </c>
      <c r="Y3" s="158">
        <v>45796</v>
      </c>
      <c r="Z3" s="159">
        <v>45803</v>
      </c>
      <c r="AA3" s="159">
        <v>45810</v>
      </c>
      <c r="AB3" s="159">
        <v>45817</v>
      </c>
      <c r="AC3" s="159">
        <v>45824</v>
      </c>
      <c r="AD3" s="159">
        <v>45831</v>
      </c>
      <c r="AE3" s="159">
        <v>45838</v>
      </c>
      <c r="AF3" s="159">
        <v>45845</v>
      </c>
      <c r="AG3" s="159">
        <v>45852</v>
      </c>
      <c r="AH3" s="159">
        <v>45859</v>
      </c>
      <c r="AI3" s="159">
        <v>45866</v>
      </c>
      <c r="AJ3" s="159">
        <v>45873</v>
      </c>
      <c r="AK3" s="159">
        <v>45880</v>
      </c>
      <c r="AL3" s="159">
        <v>45887</v>
      </c>
      <c r="AM3" s="159">
        <v>45894</v>
      </c>
      <c r="AN3" s="159">
        <v>45901</v>
      </c>
      <c r="AO3" s="159">
        <v>45908</v>
      </c>
      <c r="AP3" s="159">
        <v>45915</v>
      </c>
      <c r="AQ3" s="159">
        <v>45922</v>
      </c>
      <c r="AR3" s="159">
        <v>45929</v>
      </c>
      <c r="AS3" s="159">
        <v>45936</v>
      </c>
      <c r="AT3" s="159">
        <v>45943</v>
      </c>
      <c r="AU3" s="159">
        <v>45950</v>
      </c>
      <c r="AV3" s="159">
        <v>45957</v>
      </c>
      <c r="AW3" s="159">
        <v>45964</v>
      </c>
      <c r="AX3" s="159">
        <v>45971</v>
      </c>
      <c r="AY3" s="159">
        <v>45978</v>
      </c>
      <c r="AZ3" s="159">
        <v>45985</v>
      </c>
      <c r="BA3" s="159">
        <v>45992</v>
      </c>
      <c r="BB3" s="159">
        <v>45999</v>
      </c>
      <c r="BC3" s="159">
        <v>46006</v>
      </c>
      <c r="BD3" s="159">
        <v>46013</v>
      </c>
      <c r="BE3" s="159">
        <v>46020</v>
      </c>
      <c r="BF3" s="159">
        <v>46027</v>
      </c>
      <c r="BG3" s="159">
        <v>46034</v>
      </c>
      <c r="BH3" s="159">
        <v>46041</v>
      </c>
      <c r="BI3" s="159">
        <v>46048</v>
      </c>
      <c r="BJ3" s="159">
        <v>46055</v>
      </c>
      <c r="BK3" s="159">
        <v>46062</v>
      </c>
      <c r="BL3" s="159">
        <v>46069</v>
      </c>
      <c r="BM3" s="159">
        <v>46076</v>
      </c>
      <c r="BN3" s="159">
        <v>46083</v>
      </c>
      <c r="BO3" s="159">
        <v>46090</v>
      </c>
      <c r="BP3" s="159">
        <v>46097</v>
      </c>
      <c r="BQ3" s="159">
        <v>46104</v>
      </c>
      <c r="BR3" s="159">
        <v>46111</v>
      </c>
      <c r="BS3" s="159">
        <v>46118</v>
      </c>
      <c r="BT3" s="159">
        <v>46125</v>
      </c>
      <c r="BU3" s="159">
        <v>46132</v>
      </c>
      <c r="BV3" s="159">
        <v>46139</v>
      </c>
      <c r="BW3" s="159">
        <v>46146</v>
      </c>
      <c r="BX3" s="159">
        <v>46153</v>
      </c>
      <c r="BY3" s="159">
        <v>46160</v>
      </c>
      <c r="BZ3" s="159">
        <v>46167</v>
      </c>
      <c r="CA3" s="159">
        <v>46174</v>
      </c>
      <c r="CB3" s="159">
        <v>46181</v>
      </c>
      <c r="CC3" s="159">
        <v>46188</v>
      </c>
      <c r="CD3" s="159">
        <v>46195</v>
      </c>
      <c r="CE3" s="159">
        <v>46202</v>
      </c>
      <c r="CF3" s="159">
        <v>46209</v>
      </c>
      <c r="CG3" s="159">
        <v>46216</v>
      </c>
      <c r="CH3" s="159">
        <v>46223</v>
      </c>
      <c r="CI3" s="159">
        <v>46230</v>
      </c>
      <c r="CJ3" s="159">
        <v>46237</v>
      </c>
      <c r="CK3" s="159">
        <v>46244</v>
      </c>
      <c r="CL3" s="159">
        <v>46251</v>
      </c>
      <c r="CM3" s="159">
        <v>46258</v>
      </c>
      <c r="CN3" s="159">
        <v>46265</v>
      </c>
      <c r="CO3" s="159">
        <v>46272</v>
      </c>
      <c r="CP3" s="159">
        <v>46279</v>
      </c>
      <c r="CQ3" s="159">
        <v>46286</v>
      </c>
      <c r="CR3" s="159">
        <v>46293</v>
      </c>
      <c r="CS3" s="159">
        <v>46300</v>
      </c>
      <c r="CT3" s="159">
        <v>46307</v>
      </c>
      <c r="CU3" s="159">
        <v>46314</v>
      </c>
      <c r="CV3" s="159">
        <v>46321</v>
      </c>
      <c r="CW3" s="159">
        <v>46328</v>
      </c>
      <c r="CX3" s="159">
        <v>46335</v>
      </c>
      <c r="CY3" s="159">
        <v>46342</v>
      </c>
      <c r="CZ3" s="159">
        <v>46349</v>
      </c>
    </row>
    <row r="4" spans="2:104" x14ac:dyDescent="0.25">
      <c r="B4" s="33"/>
      <c r="C4" s="108" t="s">
        <v>100</v>
      </c>
      <c r="D4" s="105" t="s">
        <v>101</v>
      </c>
      <c r="E4" s="108" t="s">
        <v>102</v>
      </c>
      <c r="F4" s="105" t="s">
        <v>103</v>
      </c>
      <c r="G4" s="39"/>
      <c r="H4" s="37"/>
      <c r="I4" s="38"/>
      <c r="J4" s="37"/>
      <c r="K4" s="82"/>
      <c r="L4" s="39"/>
      <c r="M4" s="40"/>
      <c r="N4" s="41"/>
      <c r="O4" s="40"/>
      <c r="P4" s="40"/>
      <c r="Q4" s="42"/>
      <c r="R4" s="112"/>
      <c r="S4" s="37"/>
      <c r="T4" s="37"/>
      <c r="U4" s="113"/>
      <c r="V4" s="97"/>
      <c r="W4" s="98"/>
      <c r="X4" s="156"/>
      <c r="Y4" s="160" t="s">
        <v>104</v>
      </c>
      <c r="Z4" s="160" t="s">
        <v>104</v>
      </c>
      <c r="AA4" s="160">
        <v>0.2</v>
      </c>
      <c r="AB4" s="160">
        <v>0.2</v>
      </c>
      <c r="AC4" s="160" t="s">
        <v>104</v>
      </c>
      <c r="AD4" s="160" t="s">
        <v>104</v>
      </c>
      <c r="AE4" s="160" t="s">
        <v>104</v>
      </c>
      <c r="AF4" s="160" t="s">
        <v>104</v>
      </c>
      <c r="AG4" s="160" t="s">
        <v>104</v>
      </c>
      <c r="AH4" s="160" t="s">
        <v>104</v>
      </c>
      <c r="AI4" s="160" t="s">
        <v>104</v>
      </c>
      <c r="AJ4" s="160" t="s">
        <v>104</v>
      </c>
      <c r="AK4" s="160" t="s">
        <v>104</v>
      </c>
      <c r="AL4" s="160" t="s">
        <v>104</v>
      </c>
      <c r="AM4" s="160" t="s">
        <v>104</v>
      </c>
      <c r="AN4" s="160" t="s">
        <v>104</v>
      </c>
      <c r="AO4" s="160" t="s">
        <v>104</v>
      </c>
      <c r="AP4" s="160" t="s">
        <v>104</v>
      </c>
      <c r="AQ4" s="160" t="s">
        <v>104</v>
      </c>
      <c r="AR4" s="160" t="s">
        <v>104</v>
      </c>
      <c r="AS4" s="160">
        <v>0.2</v>
      </c>
      <c r="AT4" s="160" t="s">
        <v>104</v>
      </c>
      <c r="AU4" s="160" t="s">
        <v>104</v>
      </c>
      <c r="AV4" s="160" t="s">
        <v>104</v>
      </c>
      <c r="AW4" s="160" t="s">
        <v>104</v>
      </c>
      <c r="AX4" s="160" t="s">
        <v>104</v>
      </c>
      <c r="AY4" s="160" t="s">
        <v>104</v>
      </c>
      <c r="AZ4" s="160" t="s">
        <v>104</v>
      </c>
      <c r="BA4" s="160" t="s">
        <v>104</v>
      </c>
      <c r="BB4" s="160" t="s">
        <v>104</v>
      </c>
      <c r="BC4" s="160" t="s">
        <v>104</v>
      </c>
      <c r="BD4" s="160">
        <v>1</v>
      </c>
      <c r="BE4" s="160">
        <v>1</v>
      </c>
      <c r="BF4" s="160" t="s">
        <v>104</v>
      </c>
      <c r="BG4" s="160" t="s">
        <v>104</v>
      </c>
      <c r="BH4" s="160" t="s">
        <v>104</v>
      </c>
      <c r="BI4" s="160">
        <v>0.2</v>
      </c>
      <c r="BJ4" s="160" t="s">
        <v>104</v>
      </c>
      <c r="BK4" s="160" t="s">
        <v>104</v>
      </c>
      <c r="BL4" s="160" t="s">
        <v>104</v>
      </c>
      <c r="BM4" s="160" t="s">
        <v>104</v>
      </c>
      <c r="BN4" s="160" t="s">
        <v>104</v>
      </c>
      <c r="BO4" s="160">
        <v>0.2</v>
      </c>
      <c r="BP4" s="160" t="s">
        <v>104</v>
      </c>
      <c r="BQ4" s="160" t="s">
        <v>104</v>
      </c>
      <c r="BR4" s="160">
        <v>0.2</v>
      </c>
      <c r="BS4" s="160">
        <v>0.2</v>
      </c>
      <c r="BT4" s="160" t="s">
        <v>104</v>
      </c>
      <c r="BU4" s="160">
        <v>0.2</v>
      </c>
      <c r="BV4" s="160" t="s">
        <v>104</v>
      </c>
      <c r="BW4" s="160" t="s">
        <v>104</v>
      </c>
      <c r="BX4" s="160" t="s">
        <v>104</v>
      </c>
      <c r="BY4" s="160" t="s">
        <v>104</v>
      </c>
      <c r="BZ4" s="160" t="s">
        <v>104</v>
      </c>
      <c r="CA4" s="160">
        <v>0.2</v>
      </c>
      <c r="CB4" s="160">
        <v>0.2</v>
      </c>
      <c r="CC4" s="160" t="s">
        <v>104</v>
      </c>
      <c r="CD4" s="160" t="s">
        <v>104</v>
      </c>
      <c r="CE4" s="160" t="s">
        <v>104</v>
      </c>
      <c r="CF4" s="160" t="s">
        <v>104</v>
      </c>
      <c r="CG4" s="160" t="s">
        <v>104</v>
      </c>
      <c r="CH4" s="160" t="s">
        <v>104</v>
      </c>
      <c r="CI4" s="160" t="s">
        <v>104</v>
      </c>
      <c r="CJ4" s="160" t="s">
        <v>104</v>
      </c>
      <c r="CK4" s="160" t="s">
        <v>104</v>
      </c>
      <c r="CL4" s="160" t="s">
        <v>104</v>
      </c>
      <c r="CM4" s="160" t="s">
        <v>104</v>
      </c>
      <c r="CN4" s="160" t="s">
        <v>104</v>
      </c>
      <c r="CO4" s="160" t="s">
        <v>104</v>
      </c>
      <c r="CP4" s="160" t="s">
        <v>104</v>
      </c>
      <c r="CQ4" s="160" t="s">
        <v>104</v>
      </c>
      <c r="CR4" s="160" t="s">
        <v>104</v>
      </c>
      <c r="CS4" s="160">
        <v>0.2</v>
      </c>
      <c r="CT4" s="160" t="s">
        <v>104</v>
      </c>
      <c r="CU4" s="160" t="s">
        <v>104</v>
      </c>
      <c r="CV4" s="160" t="s">
        <v>104</v>
      </c>
      <c r="CW4" s="160" t="s">
        <v>104</v>
      </c>
      <c r="CX4" s="160" t="s">
        <v>104</v>
      </c>
      <c r="CY4" s="160" t="s">
        <v>104</v>
      </c>
      <c r="CZ4" s="160" t="s">
        <v>104</v>
      </c>
    </row>
    <row r="5" spans="2:104" x14ac:dyDescent="0.25">
      <c r="B5" s="172"/>
      <c r="C5" s="173" t="s">
        <v>105</v>
      </c>
      <c r="D5" s="174" t="s">
        <v>106</v>
      </c>
      <c r="E5" s="173" t="s">
        <v>46</v>
      </c>
      <c r="F5" s="175" t="s">
        <v>107</v>
      </c>
      <c r="G5" s="176"/>
      <c r="H5" s="177"/>
      <c r="I5" s="178"/>
      <c r="J5" s="177"/>
      <c r="K5" s="179"/>
      <c r="L5" s="176">
        <v>0</v>
      </c>
      <c r="M5" s="180">
        <v>0</v>
      </c>
      <c r="N5" s="181">
        <v>0</v>
      </c>
      <c r="O5" s="180">
        <v>0</v>
      </c>
      <c r="P5" s="180">
        <v>0</v>
      </c>
      <c r="Q5" s="182">
        <v>0</v>
      </c>
      <c r="R5" s="183">
        <v>0.46720704029643351</v>
      </c>
      <c r="S5" s="177">
        <v>1648</v>
      </c>
      <c r="T5" s="177">
        <v>206</v>
      </c>
      <c r="U5" s="184">
        <v>518160</v>
      </c>
      <c r="V5" s="185">
        <v>276072</v>
      </c>
      <c r="W5" s="186">
        <v>-518160</v>
      </c>
      <c r="X5" s="187" t="s">
        <v>104</v>
      </c>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row>
    <row r="6" spans="2:104" ht="15.75" thickBot="1" x14ac:dyDescent="0.3"/>
    <row r="7" spans="2:104" x14ac:dyDescent="0.25">
      <c r="B7" s="233" t="s">
        <v>108</v>
      </c>
      <c r="C7" s="188" t="s">
        <v>109</v>
      </c>
      <c r="D7" s="188" t="s">
        <v>101</v>
      </c>
      <c r="E7" s="188" t="s">
        <v>110</v>
      </c>
      <c r="F7" s="189"/>
      <c r="G7" s="190">
        <v>500</v>
      </c>
      <c r="H7" s="191"/>
      <c r="I7" s="192">
        <v>500</v>
      </c>
      <c r="J7" s="193">
        <v>4000</v>
      </c>
      <c r="K7" s="194">
        <v>248</v>
      </c>
      <c r="L7" s="195"/>
      <c r="M7" s="196">
        <v>0</v>
      </c>
      <c r="N7" s="197"/>
      <c r="O7" s="196">
        <v>0</v>
      </c>
      <c r="P7" s="196">
        <v>0</v>
      </c>
      <c r="Q7" s="198">
        <v>0</v>
      </c>
      <c r="R7" s="199">
        <v>0.504</v>
      </c>
      <c r="S7" s="200">
        <v>112.00000000000001</v>
      </c>
      <c r="T7" s="201">
        <v>14.000000000000002</v>
      </c>
      <c r="U7" s="202">
        <v>56000.000000000007</v>
      </c>
      <c r="V7" s="203">
        <v>27776.000000000004</v>
      </c>
      <c r="W7" s="204">
        <v>-56000.000000000007</v>
      </c>
      <c r="X7" s="205" t="s">
        <v>104</v>
      </c>
      <c r="Y7" s="206">
        <v>0.2</v>
      </c>
      <c r="Z7" s="206">
        <v>0.2</v>
      </c>
      <c r="AA7" s="206">
        <v>0.2</v>
      </c>
      <c r="AB7" s="206">
        <v>0.2</v>
      </c>
      <c r="AC7" s="206">
        <v>0.2</v>
      </c>
      <c r="AD7" s="206">
        <v>0.2</v>
      </c>
      <c r="AE7" s="206">
        <v>0.2</v>
      </c>
      <c r="AF7" s="206">
        <v>0.2</v>
      </c>
      <c r="AG7" s="206">
        <v>0.2</v>
      </c>
      <c r="AH7" s="206">
        <v>0.2</v>
      </c>
      <c r="AI7" s="206">
        <v>0.2</v>
      </c>
      <c r="AJ7" s="206">
        <v>0.2</v>
      </c>
      <c r="AK7" s="206">
        <v>0.2</v>
      </c>
      <c r="AL7" s="207">
        <v>0.2</v>
      </c>
    </row>
    <row r="8" spans="2:104" x14ac:dyDescent="0.25">
      <c r="B8" s="208" t="s">
        <v>108</v>
      </c>
      <c r="C8" s="15" t="s">
        <v>111</v>
      </c>
      <c r="D8" s="15" t="s">
        <v>106</v>
      </c>
      <c r="E8" s="15" t="s">
        <v>112</v>
      </c>
      <c r="F8" s="21"/>
      <c r="G8" s="86">
        <v>340</v>
      </c>
      <c r="H8" s="87"/>
      <c r="I8" s="88">
        <v>340</v>
      </c>
      <c r="J8" s="89">
        <v>2720</v>
      </c>
      <c r="K8" s="90">
        <v>189</v>
      </c>
      <c r="L8" s="22"/>
      <c r="M8" s="81">
        <v>0</v>
      </c>
      <c r="N8" s="23"/>
      <c r="O8" s="81">
        <v>0</v>
      </c>
      <c r="P8" s="81">
        <v>0</v>
      </c>
      <c r="Q8" s="24">
        <v>0</v>
      </c>
      <c r="R8" s="110">
        <v>0.44411764705882356</v>
      </c>
      <c r="S8" s="114">
        <v>284.00000000000011</v>
      </c>
      <c r="T8" s="115">
        <v>35.500000000000014</v>
      </c>
      <c r="U8" s="116">
        <v>96560.000000000044</v>
      </c>
      <c r="V8" s="99">
        <v>53676.000000000022</v>
      </c>
      <c r="W8" s="100">
        <v>-96560.000000000044</v>
      </c>
      <c r="X8" s="83" t="s">
        <v>104</v>
      </c>
      <c r="Y8" s="209">
        <v>1</v>
      </c>
      <c r="Z8" s="209">
        <v>1</v>
      </c>
      <c r="AA8" s="209">
        <v>1</v>
      </c>
      <c r="AB8" s="209">
        <v>0.9</v>
      </c>
      <c r="AC8" s="209">
        <v>0.6</v>
      </c>
      <c r="AD8" s="209">
        <v>0.2</v>
      </c>
      <c r="AE8" s="209">
        <v>0.2</v>
      </c>
      <c r="AF8" s="209">
        <v>0.2</v>
      </c>
      <c r="AG8" s="209">
        <v>0.2</v>
      </c>
      <c r="AH8" s="209">
        <v>0.2</v>
      </c>
      <c r="AI8" s="209">
        <v>0.4</v>
      </c>
      <c r="AJ8" s="209">
        <v>0.4</v>
      </c>
      <c r="AK8" s="209">
        <v>0.4</v>
      </c>
      <c r="AL8" s="210">
        <v>0.4</v>
      </c>
    </row>
    <row r="9" spans="2:104" x14ac:dyDescent="0.25">
      <c r="B9" s="208" t="s">
        <v>108</v>
      </c>
      <c r="C9" s="15" t="s">
        <v>113</v>
      </c>
      <c r="D9" s="15" t="s">
        <v>114</v>
      </c>
      <c r="E9" s="15" t="s">
        <v>115</v>
      </c>
      <c r="F9" s="21"/>
      <c r="G9" s="86">
        <v>290</v>
      </c>
      <c r="H9" s="87"/>
      <c r="I9" s="88">
        <v>290</v>
      </c>
      <c r="J9" s="89">
        <v>2320</v>
      </c>
      <c r="K9" s="91">
        <v>180</v>
      </c>
      <c r="L9" s="22"/>
      <c r="M9" s="81">
        <v>0</v>
      </c>
      <c r="N9" s="23"/>
      <c r="O9" s="81">
        <v>0</v>
      </c>
      <c r="P9" s="81">
        <v>0</v>
      </c>
      <c r="Q9" s="24">
        <v>0</v>
      </c>
      <c r="R9" s="110" t="s">
        <v>104</v>
      </c>
      <c r="S9" s="114">
        <v>0</v>
      </c>
      <c r="T9" s="115">
        <v>0</v>
      </c>
      <c r="U9" s="116">
        <v>0</v>
      </c>
      <c r="V9" s="99">
        <v>0</v>
      </c>
      <c r="W9" s="100">
        <v>0</v>
      </c>
      <c r="X9" s="83" t="s">
        <v>104</v>
      </c>
      <c r="Y9" s="209"/>
      <c r="Z9" s="209"/>
      <c r="AA9" s="209"/>
      <c r="AB9" s="209"/>
      <c r="AC9" s="209"/>
      <c r="AD9" s="209"/>
      <c r="AE9" s="209"/>
      <c r="AF9" s="209"/>
      <c r="AG9" s="209"/>
      <c r="AH9" s="209"/>
      <c r="AI9" s="209"/>
      <c r="AJ9" s="209"/>
      <c r="AK9" s="209"/>
      <c r="AL9" s="210"/>
    </row>
    <row r="10" spans="2:104" x14ac:dyDescent="0.25">
      <c r="B10" s="208" t="s">
        <v>108</v>
      </c>
      <c r="C10" s="15" t="s">
        <v>116</v>
      </c>
      <c r="D10" s="15" t="s">
        <v>106</v>
      </c>
      <c r="E10" s="15" t="s">
        <v>112</v>
      </c>
      <c r="F10" s="21"/>
      <c r="G10" s="86">
        <v>340</v>
      </c>
      <c r="H10" s="87"/>
      <c r="I10" s="88">
        <v>340</v>
      </c>
      <c r="J10" s="89">
        <v>2720</v>
      </c>
      <c r="K10" s="91">
        <v>189</v>
      </c>
      <c r="L10" s="22"/>
      <c r="M10" s="81">
        <v>0</v>
      </c>
      <c r="N10" s="23"/>
      <c r="O10" s="81">
        <v>0</v>
      </c>
      <c r="P10" s="81">
        <v>0</v>
      </c>
      <c r="Q10" s="24">
        <v>0</v>
      </c>
      <c r="R10" s="110">
        <v>0.44411764705882351</v>
      </c>
      <c r="S10" s="114">
        <v>143.99999999999997</v>
      </c>
      <c r="T10" s="115">
        <v>17.999999999999996</v>
      </c>
      <c r="U10" s="116">
        <v>48959.999999999993</v>
      </c>
      <c r="V10" s="99">
        <v>27215.999999999996</v>
      </c>
      <c r="W10" s="100">
        <v>-48959.999999999993</v>
      </c>
      <c r="X10" s="83" t="s">
        <v>104</v>
      </c>
      <c r="Y10" s="209"/>
      <c r="Z10" s="209"/>
      <c r="AA10" s="209"/>
      <c r="AB10" s="209">
        <v>0.1</v>
      </c>
      <c r="AC10" s="209">
        <v>0.4</v>
      </c>
      <c r="AD10" s="209">
        <v>0.4</v>
      </c>
      <c r="AE10" s="209">
        <v>0.4</v>
      </c>
      <c r="AF10" s="209">
        <v>0.4</v>
      </c>
      <c r="AG10" s="209">
        <v>0.4</v>
      </c>
      <c r="AH10" s="209">
        <v>0.3</v>
      </c>
      <c r="AI10" s="209">
        <v>0.3</v>
      </c>
      <c r="AJ10" s="209">
        <v>0.3</v>
      </c>
      <c r="AK10" s="209">
        <v>0.3</v>
      </c>
      <c r="AL10" s="210">
        <v>0.3</v>
      </c>
    </row>
    <row r="11" spans="2:104" x14ac:dyDescent="0.25">
      <c r="B11" s="208" t="s">
        <v>108</v>
      </c>
      <c r="C11" s="15" t="s">
        <v>117</v>
      </c>
      <c r="D11" s="15" t="s">
        <v>118</v>
      </c>
      <c r="E11" s="15" t="s">
        <v>115</v>
      </c>
      <c r="F11" s="21"/>
      <c r="G11" s="86">
        <v>290</v>
      </c>
      <c r="H11" s="87"/>
      <c r="I11" s="88">
        <v>290</v>
      </c>
      <c r="J11" s="89">
        <v>2320</v>
      </c>
      <c r="K11" s="91">
        <v>146</v>
      </c>
      <c r="L11" s="22"/>
      <c r="M11" s="81">
        <v>0</v>
      </c>
      <c r="N11" s="23"/>
      <c r="O11" s="81">
        <v>0</v>
      </c>
      <c r="P11" s="81">
        <v>0</v>
      </c>
      <c r="Q11" s="24">
        <v>0</v>
      </c>
      <c r="R11" s="110">
        <v>0.49655172413793103</v>
      </c>
      <c r="S11" s="114">
        <v>16</v>
      </c>
      <c r="T11" s="115">
        <v>2</v>
      </c>
      <c r="U11" s="116">
        <v>4640</v>
      </c>
      <c r="V11" s="99">
        <v>2336</v>
      </c>
      <c r="W11" s="100">
        <v>-4640</v>
      </c>
      <c r="X11" s="83" t="s">
        <v>104</v>
      </c>
      <c r="Y11" s="209"/>
      <c r="Z11" s="209"/>
      <c r="AA11" s="209"/>
      <c r="AB11" s="209"/>
      <c r="AC11" s="209"/>
      <c r="AD11" s="209"/>
      <c r="AE11" s="209"/>
      <c r="AF11" s="209"/>
      <c r="AG11" s="209"/>
      <c r="AH11" s="209">
        <v>0.2</v>
      </c>
      <c r="AI11" s="209">
        <v>0.2</v>
      </c>
      <c r="AJ11" s="209"/>
      <c r="AK11" s="209"/>
      <c r="AL11" s="210"/>
    </row>
    <row r="12" spans="2:104" x14ac:dyDescent="0.25">
      <c r="B12" s="208" t="s">
        <v>108</v>
      </c>
      <c r="C12" s="15" t="s">
        <v>119</v>
      </c>
      <c r="D12" s="15" t="s">
        <v>118</v>
      </c>
      <c r="E12" s="15" t="s">
        <v>115</v>
      </c>
      <c r="F12" s="21"/>
      <c r="G12" s="86">
        <v>290</v>
      </c>
      <c r="H12" s="87"/>
      <c r="I12" s="88">
        <v>290</v>
      </c>
      <c r="J12" s="89">
        <v>2320</v>
      </c>
      <c r="K12" s="91">
        <v>146</v>
      </c>
      <c r="L12" s="22"/>
      <c r="M12" s="81">
        <v>0</v>
      </c>
      <c r="N12" s="23"/>
      <c r="O12" s="81">
        <v>0</v>
      </c>
      <c r="P12" s="81">
        <v>0</v>
      </c>
      <c r="Q12" s="24">
        <v>0</v>
      </c>
      <c r="R12" s="110">
        <v>0.49655172413793103</v>
      </c>
      <c r="S12" s="114">
        <v>40</v>
      </c>
      <c r="T12" s="115">
        <v>5</v>
      </c>
      <c r="U12" s="116">
        <v>11600</v>
      </c>
      <c r="V12" s="99">
        <v>5840</v>
      </c>
      <c r="W12" s="100">
        <v>-11600</v>
      </c>
      <c r="X12" s="83" t="s">
        <v>104</v>
      </c>
      <c r="Y12" s="209"/>
      <c r="Z12" s="209"/>
      <c r="AA12" s="209"/>
      <c r="AB12" s="209"/>
      <c r="AC12" s="209"/>
      <c r="AD12" s="209"/>
      <c r="AE12" s="209"/>
      <c r="AF12" s="209"/>
      <c r="AG12" s="209"/>
      <c r="AH12" s="209">
        <v>0.2</v>
      </c>
      <c r="AI12" s="209">
        <v>0.2</v>
      </c>
      <c r="AJ12" s="209">
        <v>0.2</v>
      </c>
      <c r="AK12" s="209">
        <v>0.2</v>
      </c>
      <c r="AL12" s="210">
        <v>0.2</v>
      </c>
    </row>
    <row r="13" spans="2:104" x14ac:dyDescent="0.25">
      <c r="B13" s="208" t="s">
        <v>108</v>
      </c>
      <c r="C13" s="15" t="s">
        <v>120</v>
      </c>
      <c r="D13" s="15" t="s">
        <v>114</v>
      </c>
      <c r="E13" s="15" t="s">
        <v>115</v>
      </c>
      <c r="F13" s="21"/>
      <c r="G13" s="86">
        <v>290</v>
      </c>
      <c r="H13" s="87"/>
      <c r="I13" s="88">
        <v>290</v>
      </c>
      <c r="J13" s="89">
        <v>2320</v>
      </c>
      <c r="K13" s="91">
        <v>180</v>
      </c>
      <c r="L13" s="22"/>
      <c r="M13" s="81">
        <v>0</v>
      </c>
      <c r="N13" s="23"/>
      <c r="O13" s="81">
        <v>0</v>
      </c>
      <c r="P13" s="81">
        <v>0</v>
      </c>
      <c r="Q13" s="24">
        <v>0</v>
      </c>
      <c r="R13" s="110">
        <v>0.37931034482758619</v>
      </c>
      <c r="S13" s="114">
        <v>80</v>
      </c>
      <c r="T13" s="115">
        <v>10</v>
      </c>
      <c r="U13" s="116">
        <v>23200</v>
      </c>
      <c r="V13" s="99">
        <v>14400</v>
      </c>
      <c r="W13" s="100">
        <v>-23200</v>
      </c>
      <c r="X13" s="83" t="s">
        <v>104</v>
      </c>
      <c r="Y13" s="209"/>
      <c r="Z13" s="209">
        <v>0.4</v>
      </c>
      <c r="AA13" s="209">
        <v>0.4</v>
      </c>
      <c r="AB13" s="209">
        <v>0.4</v>
      </c>
      <c r="AC13" s="209">
        <v>0.4</v>
      </c>
      <c r="AD13" s="209">
        <v>0.4</v>
      </c>
      <c r="AE13" s="209"/>
      <c r="AF13" s="209"/>
      <c r="AG13" s="209"/>
      <c r="AH13" s="209"/>
      <c r="AI13" s="209"/>
      <c r="AJ13" s="209"/>
      <c r="AK13" s="209"/>
      <c r="AL13" s="210"/>
    </row>
    <row r="14" spans="2:104" x14ac:dyDescent="0.25">
      <c r="B14" s="208" t="s">
        <v>108</v>
      </c>
      <c r="C14" s="15" t="s">
        <v>121</v>
      </c>
      <c r="D14" s="15" t="s">
        <v>122</v>
      </c>
      <c r="E14" s="15" t="s">
        <v>112</v>
      </c>
      <c r="F14" s="15"/>
      <c r="G14" s="86">
        <v>340</v>
      </c>
      <c r="H14" s="87"/>
      <c r="I14" s="88">
        <v>340</v>
      </c>
      <c r="J14" s="89">
        <v>2720</v>
      </c>
      <c r="K14" s="91">
        <v>198</v>
      </c>
      <c r="L14" s="22"/>
      <c r="M14" s="81">
        <v>0</v>
      </c>
      <c r="N14" s="23"/>
      <c r="O14" s="81">
        <v>0</v>
      </c>
      <c r="P14" s="81">
        <v>0</v>
      </c>
      <c r="Q14" s="24">
        <v>0</v>
      </c>
      <c r="R14" s="110" t="s">
        <v>104</v>
      </c>
      <c r="S14" s="114">
        <v>0</v>
      </c>
      <c r="T14" s="115">
        <v>0</v>
      </c>
      <c r="U14" s="116">
        <v>0</v>
      </c>
      <c r="V14" s="99">
        <v>0</v>
      </c>
      <c r="W14" s="100">
        <v>0</v>
      </c>
      <c r="X14" s="83" t="s">
        <v>104</v>
      </c>
      <c r="Y14" s="209"/>
      <c r="Z14" s="209"/>
      <c r="AA14" s="209"/>
      <c r="AB14" s="209"/>
      <c r="AC14" s="209"/>
      <c r="AD14" s="209"/>
      <c r="AE14" s="209"/>
      <c r="AF14" s="209"/>
      <c r="AG14" s="209"/>
      <c r="AH14" s="209"/>
      <c r="AI14" s="209"/>
      <c r="AJ14" s="209"/>
      <c r="AK14" s="209"/>
      <c r="AL14" s="210"/>
    </row>
    <row r="15" spans="2:104" x14ac:dyDescent="0.25">
      <c r="B15" s="208" t="s">
        <v>108</v>
      </c>
      <c r="C15" s="15" t="s">
        <v>123</v>
      </c>
      <c r="D15" s="15" t="s">
        <v>114</v>
      </c>
      <c r="E15" s="15" t="s">
        <v>115</v>
      </c>
      <c r="F15" s="21"/>
      <c r="G15" s="86">
        <v>290</v>
      </c>
      <c r="H15" s="87"/>
      <c r="I15" s="88">
        <v>290</v>
      </c>
      <c r="J15" s="89">
        <v>2320</v>
      </c>
      <c r="K15" s="91">
        <v>180</v>
      </c>
      <c r="L15" s="22"/>
      <c r="M15" s="81">
        <v>0</v>
      </c>
      <c r="N15" s="23"/>
      <c r="O15" s="81">
        <v>0</v>
      </c>
      <c r="P15" s="81">
        <v>0</v>
      </c>
      <c r="Q15" s="24">
        <v>0</v>
      </c>
      <c r="R15" s="110">
        <v>0.37931034482758619</v>
      </c>
      <c r="S15" s="114">
        <v>80</v>
      </c>
      <c r="T15" s="115">
        <v>10</v>
      </c>
      <c r="U15" s="116">
        <v>23200</v>
      </c>
      <c r="V15" s="99">
        <v>14400</v>
      </c>
      <c r="W15" s="100">
        <v>-23200</v>
      </c>
      <c r="X15" s="83" t="s">
        <v>104</v>
      </c>
      <c r="Y15" s="209"/>
      <c r="Z15" s="209">
        <v>0.4</v>
      </c>
      <c r="AA15" s="209">
        <v>0.4</v>
      </c>
      <c r="AB15" s="209">
        <v>0.4</v>
      </c>
      <c r="AC15" s="209">
        <v>0.4</v>
      </c>
      <c r="AD15" s="209">
        <v>0.4</v>
      </c>
      <c r="AE15" s="209"/>
      <c r="AF15" s="209"/>
      <c r="AG15" s="209"/>
      <c r="AH15" s="209"/>
      <c r="AI15" s="209"/>
      <c r="AJ15" s="209"/>
      <c r="AK15" s="209"/>
      <c r="AL15" s="210"/>
    </row>
    <row r="16" spans="2:104" x14ac:dyDescent="0.25">
      <c r="B16" s="208" t="s">
        <v>108</v>
      </c>
      <c r="C16" s="15" t="s">
        <v>124</v>
      </c>
      <c r="D16" s="15" t="s">
        <v>118</v>
      </c>
      <c r="E16" s="15" t="s">
        <v>115</v>
      </c>
      <c r="F16" s="21"/>
      <c r="G16" s="86">
        <v>290</v>
      </c>
      <c r="H16" s="87"/>
      <c r="I16" s="88">
        <v>290</v>
      </c>
      <c r="J16" s="89">
        <v>2320</v>
      </c>
      <c r="K16" s="91">
        <v>146</v>
      </c>
      <c r="L16" s="22"/>
      <c r="M16" s="81">
        <v>0</v>
      </c>
      <c r="N16" s="23"/>
      <c r="O16" s="81">
        <v>0</v>
      </c>
      <c r="P16" s="81">
        <v>0</v>
      </c>
      <c r="Q16" s="24">
        <v>0</v>
      </c>
      <c r="R16" s="110">
        <v>0.49655172413793103</v>
      </c>
      <c r="S16" s="114">
        <v>479.99999999999994</v>
      </c>
      <c r="T16" s="115">
        <v>59.999999999999993</v>
      </c>
      <c r="U16" s="116">
        <v>139199.99999999997</v>
      </c>
      <c r="V16" s="99">
        <v>70079.999999999985</v>
      </c>
      <c r="W16" s="100">
        <v>-139199.99999999997</v>
      </c>
      <c r="X16" s="83" t="s">
        <v>104</v>
      </c>
      <c r="Y16" s="209">
        <v>1</v>
      </c>
      <c r="Z16" s="209">
        <v>1</v>
      </c>
      <c r="AA16" s="209">
        <v>1</v>
      </c>
      <c r="AB16" s="209">
        <v>1</v>
      </c>
      <c r="AC16" s="209">
        <v>1</v>
      </c>
      <c r="AD16" s="209">
        <v>1</v>
      </c>
      <c r="AE16" s="209">
        <v>1</v>
      </c>
      <c r="AF16" s="209">
        <v>1</v>
      </c>
      <c r="AG16" s="209">
        <v>1</v>
      </c>
      <c r="AH16" s="209">
        <v>0.6</v>
      </c>
      <c r="AI16" s="209">
        <v>0.6</v>
      </c>
      <c r="AJ16" s="209">
        <v>0.6</v>
      </c>
      <c r="AK16" s="209">
        <v>0.6</v>
      </c>
      <c r="AL16" s="210">
        <v>0.6</v>
      </c>
    </row>
    <row r="17" spans="2:38" x14ac:dyDescent="0.25">
      <c r="B17" s="208" t="s">
        <v>108</v>
      </c>
      <c r="C17" s="15" t="s">
        <v>125</v>
      </c>
      <c r="D17" s="15" t="s">
        <v>126</v>
      </c>
      <c r="E17" s="15" t="s">
        <v>115</v>
      </c>
      <c r="F17" s="21"/>
      <c r="G17" s="86">
        <v>290</v>
      </c>
      <c r="H17" s="87"/>
      <c r="I17" s="88">
        <v>290</v>
      </c>
      <c r="J17" s="89">
        <v>2320</v>
      </c>
      <c r="K17" s="91">
        <v>146</v>
      </c>
      <c r="L17" s="22"/>
      <c r="M17" s="81">
        <v>0</v>
      </c>
      <c r="N17" s="23"/>
      <c r="O17" s="81">
        <v>0</v>
      </c>
      <c r="P17" s="81">
        <v>0</v>
      </c>
      <c r="Q17" s="24">
        <v>0</v>
      </c>
      <c r="R17" s="110">
        <v>0.49655172413793103</v>
      </c>
      <c r="S17" s="114">
        <v>24</v>
      </c>
      <c r="T17" s="115">
        <v>3</v>
      </c>
      <c r="U17" s="116">
        <v>6960</v>
      </c>
      <c r="V17" s="99">
        <v>3504</v>
      </c>
      <c r="W17" s="100">
        <v>-6960</v>
      </c>
      <c r="X17" s="83" t="s">
        <v>104</v>
      </c>
      <c r="Y17" s="209"/>
      <c r="Z17" s="209"/>
      <c r="AA17" s="209"/>
      <c r="AB17" s="209"/>
      <c r="AC17" s="209"/>
      <c r="AD17" s="209"/>
      <c r="AE17" s="209"/>
      <c r="AF17" s="209"/>
      <c r="AG17" s="209">
        <v>0.1</v>
      </c>
      <c r="AH17" s="209">
        <v>0.1</v>
      </c>
      <c r="AI17" s="209">
        <v>0.1</v>
      </c>
      <c r="AJ17" s="209">
        <v>0.1</v>
      </c>
      <c r="AK17" s="209">
        <v>0.1</v>
      </c>
      <c r="AL17" s="210">
        <v>0.1</v>
      </c>
    </row>
    <row r="18" spans="2:38" x14ac:dyDescent="0.25">
      <c r="B18" s="208" t="s">
        <v>108</v>
      </c>
      <c r="C18" s="15" t="s">
        <v>127</v>
      </c>
      <c r="D18" s="15" t="s">
        <v>106</v>
      </c>
      <c r="E18" s="15" t="s">
        <v>112</v>
      </c>
      <c r="F18" s="21"/>
      <c r="G18" s="86">
        <v>340</v>
      </c>
      <c r="H18" s="87"/>
      <c r="I18" s="88">
        <v>340</v>
      </c>
      <c r="J18" s="89">
        <v>2720</v>
      </c>
      <c r="K18" s="91">
        <v>189</v>
      </c>
      <c r="L18" s="22"/>
      <c r="M18" s="81">
        <v>0</v>
      </c>
      <c r="N18" s="23"/>
      <c r="O18" s="81">
        <v>0</v>
      </c>
      <c r="P18" s="81">
        <v>0</v>
      </c>
      <c r="Q18" s="24">
        <v>0</v>
      </c>
      <c r="R18" s="110">
        <v>0.44411764705882351</v>
      </c>
      <c r="S18" s="114">
        <v>40</v>
      </c>
      <c r="T18" s="115">
        <v>5</v>
      </c>
      <c r="U18" s="116">
        <v>13600</v>
      </c>
      <c r="V18" s="99">
        <v>7560</v>
      </c>
      <c r="W18" s="100">
        <v>-13600</v>
      </c>
      <c r="X18" s="83" t="s">
        <v>104</v>
      </c>
      <c r="Y18" s="209"/>
      <c r="Z18" s="209"/>
      <c r="AA18" s="209"/>
      <c r="AB18" s="209"/>
      <c r="AC18" s="209"/>
      <c r="AD18" s="209">
        <v>0.2</v>
      </c>
      <c r="AE18" s="209">
        <v>0.2</v>
      </c>
      <c r="AF18" s="209">
        <v>0.2</v>
      </c>
      <c r="AG18" s="209">
        <v>0.2</v>
      </c>
      <c r="AH18" s="209">
        <v>0.2</v>
      </c>
      <c r="AI18" s="209"/>
      <c r="AJ18" s="209"/>
      <c r="AK18" s="209"/>
      <c r="AL18" s="210"/>
    </row>
    <row r="19" spans="2:38" x14ac:dyDescent="0.25">
      <c r="B19" s="208" t="s">
        <v>108</v>
      </c>
      <c r="C19" s="15" t="s">
        <v>128</v>
      </c>
      <c r="D19" s="15" t="s">
        <v>106</v>
      </c>
      <c r="E19" s="15" t="s">
        <v>112</v>
      </c>
      <c r="F19" s="21"/>
      <c r="G19" s="86">
        <v>340</v>
      </c>
      <c r="H19" s="87"/>
      <c r="I19" s="88">
        <v>340</v>
      </c>
      <c r="J19" s="89">
        <v>2720</v>
      </c>
      <c r="K19" s="91">
        <v>189</v>
      </c>
      <c r="L19" s="22"/>
      <c r="M19" s="81">
        <v>0</v>
      </c>
      <c r="N19" s="23"/>
      <c r="O19" s="81">
        <v>0</v>
      </c>
      <c r="P19" s="81">
        <v>0</v>
      </c>
      <c r="Q19" s="24">
        <v>0</v>
      </c>
      <c r="R19" s="110">
        <v>0.44411764705882351</v>
      </c>
      <c r="S19" s="114">
        <v>40</v>
      </c>
      <c r="T19" s="115">
        <v>5</v>
      </c>
      <c r="U19" s="116">
        <v>13600</v>
      </c>
      <c r="V19" s="99">
        <v>7560</v>
      </c>
      <c r="W19" s="100">
        <v>-13600</v>
      </c>
      <c r="X19" s="83" t="s">
        <v>104</v>
      </c>
      <c r="Y19" s="209"/>
      <c r="Z19" s="209"/>
      <c r="AA19" s="209"/>
      <c r="AB19" s="209"/>
      <c r="AC19" s="209"/>
      <c r="AD19" s="209">
        <v>0.2</v>
      </c>
      <c r="AE19" s="209">
        <v>0.2</v>
      </c>
      <c r="AF19" s="209">
        <v>0.2</v>
      </c>
      <c r="AG19" s="209">
        <v>0.2</v>
      </c>
      <c r="AH19" s="209">
        <v>0.2</v>
      </c>
      <c r="AI19" s="209"/>
      <c r="AJ19" s="209"/>
      <c r="AK19" s="209"/>
      <c r="AL19" s="210"/>
    </row>
    <row r="20" spans="2:38" x14ac:dyDescent="0.25">
      <c r="B20" s="208" t="s">
        <v>108</v>
      </c>
      <c r="C20" s="15" t="s">
        <v>129</v>
      </c>
      <c r="D20" s="15" t="s">
        <v>106</v>
      </c>
      <c r="E20" s="15" t="s">
        <v>115</v>
      </c>
      <c r="F20" s="21"/>
      <c r="G20" s="86">
        <v>290</v>
      </c>
      <c r="H20" s="87"/>
      <c r="I20" s="88">
        <v>290</v>
      </c>
      <c r="J20" s="89">
        <v>2320</v>
      </c>
      <c r="K20" s="91">
        <v>189</v>
      </c>
      <c r="L20" s="22"/>
      <c r="M20" s="81">
        <v>0</v>
      </c>
      <c r="N20" s="23"/>
      <c r="O20" s="81">
        <v>0</v>
      </c>
      <c r="P20" s="81">
        <v>0</v>
      </c>
      <c r="Q20" s="24">
        <v>0</v>
      </c>
      <c r="R20" s="110">
        <v>0.34827586206896549</v>
      </c>
      <c r="S20" s="114">
        <v>52</v>
      </c>
      <c r="T20" s="115">
        <v>6.5</v>
      </c>
      <c r="U20" s="116">
        <v>15080</v>
      </c>
      <c r="V20" s="99">
        <v>9828</v>
      </c>
      <c r="W20" s="100">
        <v>-15080</v>
      </c>
      <c r="X20" s="83" t="s">
        <v>104</v>
      </c>
      <c r="Y20" s="209"/>
      <c r="Z20" s="209"/>
      <c r="AA20" s="209"/>
      <c r="AB20" s="209"/>
      <c r="AC20" s="209"/>
      <c r="AD20" s="209"/>
      <c r="AE20" s="209"/>
      <c r="AF20" s="209"/>
      <c r="AG20" s="209"/>
      <c r="AH20" s="209">
        <v>0.1</v>
      </c>
      <c r="AI20" s="209">
        <v>0.3</v>
      </c>
      <c r="AJ20" s="209">
        <v>0.3</v>
      </c>
      <c r="AK20" s="209">
        <v>0.3</v>
      </c>
      <c r="AL20" s="210">
        <v>0.3</v>
      </c>
    </row>
    <row r="21" spans="2:38" x14ac:dyDescent="0.25">
      <c r="B21" s="208" t="s">
        <v>108</v>
      </c>
      <c r="C21" s="15" t="s">
        <v>130</v>
      </c>
      <c r="D21" s="15" t="s">
        <v>131</v>
      </c>
      <c r="E21" s="15" t="s">
        <v>115</v>
      </c>
      <c r="F21" s="21"/>
      <c r="G21" s="86">
        <v>290</v>
      </c>
      <c r="H21" s="87"/>
      <c r="I21" s="88">
        <v>290</v>
      </c>
      <c r="J21" s="89">
        <v>2320</v>
      </c>
      <c r="K21" s="91">
        <v>162.5</v>
      </c>
      <c r="L21" s="22"/>
      <c r="M21" s="81">
        <v>0</v>
      </c>
      <c r="N21" s="23"/>
      <c r="O21" s="81">
        <v>0</v>
      </c>
      <c r="P21" s="81">
        <v>0</v>
      </c>
      <c r="Q21" s="24">
        <v>0</v>
      </c>
      <c r="R21" s="110">
        <v>0.43965517241379309</v>
      </c>
      <c r="S21" s="114">
        <v>48.000000000000007</v>
      </c>
      <c r="T21" s="115">
        <v>6.0000000000000009</v>
      </c>
      <c r="U21" s="116">
        <v>13920.000000000002</v>
      </c>
      <c r="V21" s="99">
        <v>7800.0000000000009</v>
      </c>
      <c r="W21" s="100">
        <v>-13920.000000000002</v>
      </c>
      <c r="X21" s="83" t="s">
        <v>104</v>
      </c>
      <c r="Y21" s="209"/>
      <c r="Z21" s="209"/>
      <c r="AA21" s="209"/>
      <c r="AB21" s="209"/>
      <c r="AC21" s="209">
        <v>0.4</v>
      </c>
      <c r="AD21" s="209">
        <v>0.4</v>
      </c>
      <c r="AE21" s="209">
        <v>0.4</v>
      </c>
      <c r="AF21" s="209"/>
      <c r="AG21" s="209"/>
      <c r="AH21" s="209"/>
      <c r="AI21" s="209"/>
      <c r="AJ21" s="209"/>
      <c r="AK21" s="209"/>
      <c r="AL21" s="210"/>
    </row>
    <row r="22" spans="2:38" x14ac:dyDescent="0.25">
      <c r="B22" s="208" t="s">
        <v>108</v>
      </c>
      <c r="C22" s="15" t="s">
        <v>132</v>
      </c>
      <c r="D22" s="15" t="s">
        <v>126</v>
      </c>
      <c r="E22" s="15" t="s">
        <v>115</v>
      </c>
      <c r="F22" s="21"/>
      <c r="G22" s="86">
        <v>290</v>
      </c>
      <c r="H22" s="87"/>
      <c r="I22" s="88">
        <v>290</v>
      </c>
      <c r="J22" s="89">
        <v>2320</v>
      </c>
      <c r="K22" s="91">
        <v>146</v>
      </c>
      <c r="L22" s="22"/>
      <c r="M22" s="81">
        <v>0</v>
      </c>
      <c r="N22" s="23"/>
      <c r="O22" s="81">
        <v>0</v>
      </c>
      <c r="P22" s="81">
        <v>0</v>
      </c>
      <c r="Q22" s="24">
        <v>0</v>
      </c>
      <c r="R22" s="110">
        <v>0.49655172413793103</v>
      </c>
      <c r="S22" s="114">
        <v>72</v>
      </c>
      <c r="T22" s="115">
        <v>9</v>
      </c>
      <c r="U22" s="116">
        <v>20880</v>
      </c>
      <c r="V22" s="99">
        <v>10512</v>
      </c>
      <c r="W22" s="100">
        <v>-20880</v>
      </c>
      <c r="X22" s="83" t="s">
        <v>104</v>
      </c>
      <c r="Y22" s="209"/>
      <c r="Z22" s="209"/>
      <c r="AA22" s="209"/>
      <c r="AB22" s="209"/>
      <c r="AC22" s="209"/>
      <c r="AD22" s="209"/>
      <c r="AE22" s="209"/>
      <c r="AF22" s="209"/>
      <c r="AG22" s="209">
        <v>0.3</v>
      </c>
      <c r="AH22" s="209">
        <v>0.3</v>
      </c>
      <c r="AI22" s="209">
        <v>0.3</v>
      </c>
      <c r="AJ22" s="209">
        <v>0.3</v>
      </c>
      <c r="AK22" s="209">
        <v>0.3</v>
      </c>
      <c r="AL22" s="210">
        <v>0.3</v>
      </c>
    </row>
    <row r="23" spans="2:38" x14ac:dyDescent="0.25">
      <c r="B23" s="208" t="s">
        <v>108</v>
      </c>
      <c r="C23" s="15" t="s">
        <v>133</v>
      </c>
      <c r="D23" s="15" t="s">
        <v>118</v>
      </c>
      <c r="E23" s="15" t="s">
        <v>115</v>
      </c>
      <c r="F23" s="21"/>
      <c r="G23" s="86">
        <v>290</v>
      </c>
      <c r="H23" s="87"/>
      <c r="I23" s="88">
        <v>290</v>
      </c>
      <c r="J23" s="89">
        <v>2320</v>
      </c>
      <c r="K23" s="91">
        <v>146</v>
      </c>
      <c r="L23" s="22"/>
      <c r="M23" s="81">
        <v>0</v>
      </c>
      <c r="N23" s="23"/>
      <c r="O23" s="81">
        <v>0</v>
      </c>
      <c r="P23" s="81">
        <v>0</v>
      </c>
      <c r="Q23" s="24">
        <v>0</v>
      </c>
      <c r="R23" s="110">
        <v>0.49655172413793103</v>
      </c>
      <c r="S23" s="114">
        <v>24.000000000000004</v>
      </c>
      <c r="T23" s="115">
        <v>3.0000000000000004</v>
      </c>
      <c r="U23" s="116">
        <v>6960.0000000000009</v>
      </c>
      <c r="V23" s="99">
        <v>3504.0000000000005</v>
      </c>
      <c r="W23" s="100">
        <v>-6960.0000000000009</v>
      </c>
      <c r="X23" s="83" t="s">
        <v>104</v>
      </c>
      <c r="Y23" s="209"/>
      <c r="Z23" s="209"/>
      <c r="AA23" s="209"/>
      <c r="AB23" s="209"/>
      <c r="AC23" s="209"/>
      <c r="AD23" s="209"/>
      <c r="AE23" s="209"/>
      <c r="AF23" s="209"/>
      <c r="AG23" s="209"/>
      <c r="AH23" s="209"/>
      <c r="AI23" s="209"/>
      <c r="AJ23" s="209">
        <v>0.2</v>
      </c>
      <c r="AK23" s="209">
        <v>0.2</v>
      </c>
      <c r="AL23" s="210">
        <v>0.2</v>
      </c>
    </row>
    <row r="24" spans="2:38" ht="15.75" thickBot="1" x14ac:dyDescent="0.3">
      <c r="B24" s="211" t="s">
        <v>108</v>
      </c>
      <c r="C24" s="212" t="s">
        <v>134</v>
      </c>
      <c r="D24" s="212" t="s">
        <v>135</v>
      </c>
      <c r="E24" s="212" t="s">
        <v>136</v>
      </c>
      <c r="F24" s="212"/>
      <c r="G24" s="213">
        <v>212.5</v>
      </c>
      <c r="H24" s="214"/>
      <c r="I24" s="215">
        <v>212.5</v>
      </c>
      <c r="J24" s="216">
        <v>1700</v>
      </c>
      <c r="K24" s="217">
        <v>90</v>
      </c>
      <c r="L24" s="218"/>
      <c r="M24" s="219">
        <v>0</v>
      </c>
      <c r="N24" s="220"/>
      <c r="O24" s="219">
        <v>0</v>
      </c>
      <c r="P24" s="219">
        <v>0</v>
      </c>
      <c r="Q24" s="221">
        <v>0</v>
      </c>
      <c r="R24" s="222">
        <v>0.57647058823529407</v>
      </c>
      <c r="S24" s="223">
        <v>112.00000000000001</v>
      </c>
      <c r="T24" s="224">
        <v>14.000000000000002</v>
      </c>
      <c r="U24" s="225">
        <v>23800.000000000004</v>
      </c>
      <c r="V24" s="226">
        <v>10080.000000000002</v>
      </c>
      <c r="W24" s="227">
        <v>-23800.000000000004</v>
      </c>
      <c r="X24" s="228" t="s">
        <v>104</v>
      </c>
      <c r="Y24" s="229">
        <v>0.2</v>
      </c>
      <c r="Z24" s="229">
        <v>0.2</v>
      </c>
      <c r="AA24" s="229">
        <v>0.2</v>
      </c>
      <c r="AB24" s="229">
        <v>0.2</v>
      </c>
      <c r="AC24" s="229">
        <v>0.2</v>
      </c>
      <c r="AD24" s="229">
        <v>0.2</v>
      </c>
      <c r="AE24" s="229">
        <v>0.2</v>
      </c>
      <c r="AF24" s="229">
        <v>0.2</v>
      </c>
      <c r="AG24" s="229">
        <v>0.2</v>
      </c>
      <c r="AH24" s="229">
        <v>0.2</v>
      </c>
      <c r="AI24" s="229">
        <v>0.2</v>
      </c>
      <c r="AJ24" s="229">
        <v>0.2</v>
      </c>
      <c r="AK24" s="229">
        <v>0.2</v>
      </c>
      <c r="AL24" s="230">
        <v>0.2</v>
      </c>
    </row>
    <row r="25" spans="2:38" ht="15.75" thickBot="1" x14ac:dyDescent="0.3"/>
    <row r="26" spans="2:38" x14ac:dyDescent="0.25">
      <c r="B26" s="233" t="s">
        <v>137</v>
      </c>
      <c r="C26" s="188"/>
      <c r="D26" s="188"/>
      <c r="E26" s="188" t="s">
        <v>110</v>
      </c>
      <c r="F26" s="189" t="s">
        <v>138</v>
      </c>
      <c r="G26" s="190">
        <v>0</v>
      </c>
      <c r="H26" s="191"/>
      <c r="I26" s="192">
        <v>0</v>
      </c>
      <c r="J26" s="193"/>
      <c r="K26" s="194"/>
      <c r="L26" s="195"/>
      <c r="M26" s="196"/>
      <c r="N26" s="197"/>
      <c r="O26" s="196"/>
      <c r="P26" s="196"/>
      <c r="Q26" s="198"/>
      <c r="R26" s="199"/>
      <c r="S26" s="200">
        <v>31.999999999999996</v>
      </c>
      <c r="T26" s="201">
        <v>3.9999999999999996</v>
      </c>
      <c r="U26" s="202">
        <v>0</v>
      </c>
      <c r="V26" s="203"/>
      <c r="W26" s="204"/>
      <c r="X26" s="205"/>
      <c r="Y26" s="206">
        <v>0.1</v>
      </c>
      <c r="Z26" s="206">
        <v>0.1</v>
      </c>
      <c r="AA26" s="206">
        <v>0.1</v>
      </c>
      <c r="AB26" s="206">
        <v>0.1</v>
      </c>
      <c r="AC26" s="206">
        <v>0.1</v>
      </c>
      <c r="AD26" s="206">
        <v>0.1</v>
      </c>
      <c r="AE26" s="206">
        <v>0.1</v>
      </c>
      <c r="AF26" s="207">
        <v>0.1</v>
      </c>
    </row>
    <row r="27" spans="2:38" x14ac:dyDescent="0.25">
      <c r="B27" s="208" t="s">
        <v>137</v>
      </c>
      <c r="C27" s="15" t="s">
        <v>139</v>
      </c>
      <c r="D27" s="15"/>
      <c r="E27" s="15" t="s">
        <v>115</v>
      </c>
      <c r="F27" s="21" t="s">
        <v>140</v>
      </c>
      <c r="G27" s="86">
        <v>290</v>
      </c>
      <c r="H27" s="87"/>
      <c r="I27" s="88">
        <v>290</v>
      </c>
      <c r="J27" s="89"/>
      <c r="K27" s="90"/>
      <c r="L27" s="22"/>
      <c r="M27" s="81"/>
      <c r="N27" s="23"/>
      <c r="O27" s="81"/>
      <c r="P27" s="81"/>
      <c r="Q27" s="24"/>
      <c r="R27" s="110"/>
      <c r="S27" s="114">
        <v>320</v>
      </c>
      <c r="T27" s="115">
        <v>40</v>
      </c>
      <c r="U27" s="116">
        <v>92800</v>
      </c>
      <c r="V27" s="99"/>
      <c r="W27" s="100"/>
      <c r="X27" s="83"/>
      <c r="Y27" s="209">
        <v>1</v>
      </c>
      <c r="Z27" s="209">
        <v>1</v>
      </c>
      <c r="AA27" s="209">
        <v>1</v>
      </c>
      <c r="AB27" s="209">
        <v>1</v>
      </c>
      <c r="AC27" s="209">
        <v>1</v>
      </c>
      <c r="AD27" s="209">
        <v>1</v>
      </c>
      <c r="AE27" s="209">
        <v>1</v>
      </c>
      <c r="AF27" s="210">
        <v>1</v>
      </c>
    </row>
    <row r="28" spans="2:38" ht="15.75" thickBot="1" x14ac:dyDescent="0.3">
      <c r="B28" s="211" t="s">
        <v>137</v>
      </c>
      <c r="C28" s="212" t="s">
        <v>141</v>
      </c>
      <c r="D28" s="212"/>
      <c r="E28" s="212" t="s">
        <v>136</v>
      </c>
      <c r="F28" s="231" t="s">
        <v>142</v>
      </c>
      <c r="G28" s="213">
        <v>212.5</v>
      </c>
      <c r="H28" s="214"/>
      <c r="I28" s="215">
        <v>212.5</v>
      </c>
      <c r="J28" s="216"/>
      <c r="K28" s="217"/>
      <c r="L28" s="218"/>
      <c r="M28" s="219"/>
      <c r="N28" s="220"/>
      <c r="O28" s="219"/>
      <c r="P28" s="219"/>
      <c r="Q28" s="221"/>
      <c r="R28" s="222"/>
      <c r="S28" s="223">
        <v>320</v>
      </c>
      <c r="T28" s="224">
        <v>40</v>
      </c>
      <c r="U28" s="225">
        <v>68000</v>
      </c>
      <c r="V28" s="226"/>
      <c r="W28" s="227"/>
      <c r="X28" s="228"/>
      <c r="Y28" s="229">
        <v>1</v>
      </c>
      <c r="Z28" s="229">
        <v>1</v>
      </c>
      <c r="AA28" s="229">
        <v>1</v>
      </c>
      <c r="AB28" s="229">
        <v>1</v>
      </c>
      <c r="AC28" s="229">
        <v>1</v>
      </c>
      <c r="AD28" s="229">
        <v>1</v>
      </c>
      <c r="AE28" s="229">
        <v>1</v>
      </c>
      <c r="AF28" s="230">
        <v>1</v>
      </c>
    </row>
    <row r="29" spans="2:38" ht="15.75" thickBot="1" x14ac:dyDescent="0.3"/>
    <row r="30" spans="2:38" x14ac:dyDescent="0.25">
      <c r="B30" s="233" t="s">
        <v>143</v>
      </c>
      <c r="C30" s="188" t="s">
        <v>138</v>
      </c>
      <c r="D30" s="188"/>
      <c r="E30" s="188" t="s">
        <v>110</v>
      </c>
      <c r="F30" s="189" t="s">
        <v>138</v>
      </c>
      <c r="G30" s="190">
        <v>500</v>
      </c>
      <c r="H30" s="191">
        <v>0</v>
      </c>
      <c r="I30" s="192">
        <v>500</v>
      </c>
      <c r="J30" s="193"/>
      <c r="K30" s="232"/>
      <c r="L30" s="195"/>
      <c r="M30" s="196"/>
      <c r="N30" s="197"/>
      <c r="O30" s="196"/>
      <c r="P30" s="196"/>
      <c r="Q30" s="198"/>
      <c r="R30" s="199"/>
      <c r="S30" s="200">
        <v>143.99999999999997</v>
      </c>
      <c r="T30" s="201">
        <v>17.999999999999996</v>
      </c>
      <c r="U30" s="202">
        <v>71999.999999999985</v>
      </c>
      <c r="V30" s="203"/>
      <c r="W30" s="204"/>
      <c r="X30" s="205"/>
      <c r="Y30" s="206">
        <v>0.3</v>
      </c>
      <c r="Z30" s="206">
        <v>0.3</v>
      </c>
      <c r="AA30" s="206">
        <v>0.3</v>
      </c>
      <c r="AB30" s="206">
        <v>0.3</v>
      </c>
      <c r="AC30" s="206">
        <v>0.3</v>
      </c>
      <c r="AD30" s="206">
        <v>0.3</v>
      </c>
      <c r="AE30" s="206">
        <v>0.3</v>
      </c>
      <c r="AF30" s="206">
        <v>0.3</v>
      </c>
      <c r="AG30" s="206">
        <v>0.3</v>
      </c>
      <c r="AH30" s="206">
        <v>0.3</v>
      </c>
      <c r="AI30" s="206">
        <v>0.3</v>
      </c>
      <c r="AJ30" s="207">
        <v>0.3</v>
      </c>
    </row>
    <row r="31" spans="2:38" x14ac:dyDescent="0.25">
      <c r="B31" s="208" t="s">
        <v>143</v>
      </c>
      <c r="C31" s="15" t="s">
        <v>144</v>
      </c>
      <c r="D31" s="15"/>
      <c r="E31" s="15" t="s">
        <v>145</v>
      </c>
      <c r="F31" s="21" t="s">
        <v>146</v>
      </c>
      <c r="G31" s="86">
        <v>340</v>
      </c>
      <c r="H31" s="87">
        <v>0</v>
      </c>
      <c r="I31" s="88">
        <v>340</v>
      </c>
      <c r="J31" s="89"/>
      <c r="K31" s="91"/>
      <c r="L31" s="22"/>
      <c r="M31" s="81"/>
      <c r="N31" s="23"/>
      <c r="O31" s="81"/>
      <c r="P31" s="81"/>
      <c r="Q31" s="24"/>
      <c r="R31" s="110"/>
      <c r="S31" s="114">
        <v>480</v>
      </c>
      <c r="T31" s="115">
        <v>60</v>
      </c>
      <c r="U31" s="116">
        <v>163200</v>
      </c>
      <c r="V31" s="99"/>
      <c r="W31" s="100"/>
      <c r="X31" s="83"/>
      <c r="Y31" s="209">
        <v>1</v>
      </c>
      <c r="Z31" s="209">
        <v>1</v>
      </c>
      <c r="AA31" s="209">
        <v>1</v>
      </c>
      <c r="AB31" s="209">
        <v>1</v>
      </c>
      <c r="AC31" s="209">
        <v>1</v>
      </c>
      <c r="AD31" s="209">
        <v>1</v>
      </c>
      <c r="AE31" s="209">
        <v>1</v>
      </c>
      <c r="AF31" s="209">
        <v>1</v>
      </c>
      <c r="AG31" s="209">
        <v>1</v>
      </c>
      <c r="AH31" s="209">
        <v>1</v>
      </c>
      <c r="AI31" s="209">
        <v>1</v>
      </c>
      <c r="AJ31" s="210">
        <v>1</v>
      </c>
    </row>
    <row r="32" spans="2:38" x14ac:dyDescent="0.25">
      <c r="B32" s="208" t="s">
        <v>143</v>
      </c>
      <c r="C32" s="15" t="s">
        <v>147</v>
      </c>
      <c r="D32" s="15"/>
      <c r="E32" s="15" t="s">
        <v>145</v>
      </c>
      <c r="F32" s="21" t="s">
        <v>148</v>
      </c>
      <c r="G32" s="86">
        <v>340</v>
      </c>
      <c r="H32" s="87">
        <v>0</v>
      </c>
      <c r="I32" s="88">
        <v>340</v>
      </c>
      <c r="J32" s="89"/>
      <c r="K32" s="91"/>
      <c r="L32" s="22"/>
      <c r="M32" s="81"/>
      <c r="N32" s="23"/>
      <c r="O32" s="81"/>
      <c r="P32" s="81"/>
      <c r="Q32" s="24"/>
      <c r="R32" s="110"/>
      <c r="S32" s="114">
        <v>480</v>
      </c>
      <c r="T32" s="115">
        <v>60</v>
      </c>
      <c r="U32" s="116">
        <v>163200</v>
      </c>
      <c r="V32" s="99"/>
      <c r="W32" s="100"/>
      <c r="X32" s="83"/>
      <c r="Y32" s="209">
        <v>1</v>
      </c>
      <c r="Z32" s="209">
        <v>1</v>
      </c>
      <c r="AA32" s="209">
        <v>1</v>
      </c>
      <c r="AB32" s="209">
        <v>1</v>
      </c>
      <c r="AC32" s="209">
        <v>1</v>
      </c>
      <c r="AD32" s="209">
        <v>1</v>
      </c>
      <c r="AE32" s="209">
        <v>1</v>
      </c>
      <c r="AF32" s="209">
        <v>1</v>
      </c>
      <c r="AG32" s="209">
        <v>1</v>
      </c>
      <c r="AH32" s="209">
        <v>1</v>
      </c>
      <c r="AI32" s="209">
        <v>1</v>
      </c>
      <c r="AJ32" s="210">
        <v>1</v>
      </c>
    </row>
    <row r="33" spans="2:37" x14ac:dyDescent="0.25">
      <c r="B33" s="208" t="s">
        <v>143</v>
      </c>
      <c r="C33" s="15" t="s">
        <v>149</v>
      </c>
      <c r="D33" s="15"/>
      <c r="E33" s="15" t="s">
        <v>115</v>
      </c>
      <c r="F33" s="21" t="s">
        <v>150</v>
      </c>
      <c r="G33" s="86">
        <v>290</v>
      </c>
      <c r="H33" s="87">
        <v>0</v>
      </c>
      <c r="I33" s="88">
        <v>290</v>
      </c>
      <c r="J33" s="89"/>
      <c r="K33" s="91"/>
      <c r="L33" s="22"/>
      <c r="M33" s="81"/>
      <c r="N33" s="23"/>
      <c r="O33" s="81"/>
      <c r="P33" s="81"/>
      <c r="Q33" s="24"/>
      <c r="R33" s="110"/>
      <c r="S33" s="114">
        <v>480</v>
      </c>
      <c r="T33" s="115">
        <v>60</v>
      </c>
      <c r="U33" s="116">
        <v>139200</v>
      </c>
      <c r="V33" s="99"/>
      <c r="W33" s="100"/>
      <c r="X33" s="83"/>
      <c r="Y33" s="209">
        <v>1</v>
      </c>
      <c r="Z33" s="209">
        <v>1</v>
      </c>
      <c r="AA33" s="209">
        <v>1</v>
      </c>
      <c r="AB33" s="209">
        <v>1</v>
      </c>
      <c r="AC33" s="209">
        <v>1</v>
      </c>
      <c r="AD33" s="209">
        <v>1</v>
      </c>
      <c r="AE33" s="209">
        <v>1</v>
      </c>
      <c r="AF33" s="209">
        <v>1</v>
      </c>
      <c r="AG33" s="209">
        <v>1</v>
      </c>
      <c r="AH33" s="209">
        <v>1</v>
      </c>
      <c r="AI33" s="209">
        <v>1</v>
      </c>
      <c r="AJ33" s="210">
        <v>1</v>
      </c>
    </row>
    <row r="34" spans="2:37" x14ac:dyDescent="0.25">
      <c r="B34" s="208" t="s">
        <v>143</v>
      </c>
      <c r="C34" s="15" t="s">
        <v>151</v>
      </c>
      <c r="D34" s="15"/>
      <c r="E34" s="15" t="s">
        <v>115</v>
      </c>
      <c r="F34" s="21" t="s">
        <v>152</v>
      </c>
      <c r="G34" s="86">
        <v>290</v>
      </c>
      <c r="H34" s="87">
        <v>0</v>
      </c>
      <c r="I34" s="88">
        <v>290</v>
      </c>
      <c r="J34" s="89"/>
      <c r="K34" s="91"/>
      <c r="L34" s="22"/>
      <c r="M34" s="81"/>
      <c r="N34" s="23"/>
      <c r="O34" s="81"/>
      <c r="P34" s="81"/>
      <c r="Q34" s="24"/>
      <c r="R34" s="110"/>
      <c r="S34" s="114">
        <v>480</v>
      </c>
      <c r="T34" s="115">
        <v>60</v>
      </c>
      <c r="U34" s="116">
        <v>139200</v>
      </c>
      <c r="V34" s="99"/>
      <c r="W34" s="100"/>
      <c r="X34" s="83"/>
      <c r="Y34" s="209">
        <v>1</v>
      </c>
      <c r="Z34" s="209">
        <v>1</v>
      </c>
      <c r="AA34" s="209">
        <v>1</v>
      </c>
      <c r="AB34" s="209">
        <v>1</v>
      </c>
      <c r="AC34" s="209">
        <v>1</v>
      </c>
      <c r="AD34" s="209">
        <v>1</v>
      </c>
      <c r="AE34" s="209">
        <v>1</v>
      </c>
      <c r="AF34" s="209">
        <v>1</v>
      </c>
      <c r="AG34" s="209">
        <v>1</v>
      </c>
      <c r="AH34" s="209">
        <v>1</v>
      </c>
      <c r="AI34" s="209">
        <v>1</v>
      </c>
      <c r="AJ34" s="210">
        <v>1</v>
      </c>
    </row>
    <row r="35" spans="2:37" x14ac:dyDescent="0.25">
      <c r="B35" s="208" t="s">
        <v>143</v>
      </c>
      <c r="C35" s="15" t="s">
        <v>153</v>
      </c>
      <c r="D35" s="15"/>
      <c r="E35" s="15" t="s">
        <v>154</v>
      </c>
      <c r="F35" s="21" t="s">
        <v>155</v>
      </c>
      <c r="G35" s="86">
        <v>250</v>
      </c>
      <c r="H35" s="87">
        <v>0</v>
      </c>
      <c r="I35" s="88">
        <v>250</v>
      </c>
      <c r="J35" s="89"/>
      <c r="K35" s="91"/>
      <c r="L35" s="22"/>
      <c r="M35" s="81"/>
      <c r="N35" s="23"/>
      <c r="O35" s="81"/>
      <c r="P35" s="81"/>
      <c r="Q35" s="24"/>
      <c r="R35" s="110"/>
      <c r="S35" s="114">
        <v>480</v>
      </c>
      <c r="T35" s="115">
        <v>60</v>
      </c>
      <c r="U35" s="116">
        <v>120000</v>
      </c>
      <c r="V35" s="99"/>
      <c r="W35" s="100"/>
      <c r="X35" s="83"/>
      <c r="Y35" s="209">
        <v>1</v>
      </c>
      <c r="Z35" s="209">
        <v>1</v>
      </c>
      <c r="AA35" s="209">
        <v>1</v>
      </c>
      <c r="AB35" s="209">
        <v>1</v>
      </c>
      <c r="AC35" s="209">
        <v>1</v>
      </c>
      <c r="AD35" s="209">
        <v>1</v>
      </c>
      <c r="AE35" s="209">
        <v>1</v>
      </c>
      <c r="AF35" s="209">
        <v>1</v>
      </c>
      <c r="AG35" s="209">
        <v>1</v>
      </c>
      <c r="AH35" s="209">
        <v>1</v>
      </c>
      <c r="AI35" s="209">
        <v>1</v>
      </c>
      <c r="AJ35" s="210">
        <v>1</v>
      </c>
    </row>
    <row r="36" spans="2:37" ht="15.75" thickBot="1" x14ac:dyDescent="0.3">
      <c r="B36" s="211" t="s">
        <v>143</v>
      </c>
      <c r="C36" s="212" t="s">
        <v>156</v>
      </c>
      <c r="D36" s="212"/>
      <c r="E36" s="212" t="s">
        <v>136</v>
      </c>
      <c r="F36" s="231" t="s">
        <v>155</v>
      </c>
      <c r="G36" s="213">
        <v>212.5</v>
      </c>
      <c r="H36" s="214">
        <v>0</v>
      </c>
      <c r="I36" s="215">
        <v>212.5</v>
      </c>
      <c r="J36" s="216"/>
      <c r="K36" s="217"/>
      <c r="L36" s="218"/>
      <c r="M36" s="219"/>
      <c r="N36" s="220"/>
      <c r="O36" s="219"/>
      <c r="P36" s="219"/>
      <c r="Q36" s="221"/>
      <c r="R36" s="222"/>
      <c r="S36" s="223">
        <v>480</v>
      </c>
      <c r="T36" s="224">
        <v>60</v>
      </c>
      <c r="U36" s="225">
        <v>102000</v>
      </c>
      <c r="V36" s="226"/>
      <c r="W36" s="227"/>
      <c r="X36" s="228"/>
      <c r="Y36" s="229">
        <v>1</v>
      </c>
      <c r="Z36" s="229">
        <v>1</v>
      </c>
      <c r="AA36" s="229">
        <v>1</v>
      </c>
      <c r="AB36" s="229">
        <v>1</v>
      </c>
      <c r="AC36" s="229">
        <v>1</v>
      </c>
      <c r="AD36" s="229">
        <v>1</v>
      </c>
      <c r="AE36" s="229">
        <v>1</v>
      </c>
      <c r="AF36" s="229">
        <v>1</v>
      </c>
      <c r="AG36" s="229">
        <v>1</v>
      </c>
      <c r="AH36" s="229">
        <v>1</v>
      </c>
      <c r="AI36" s="229">
        <v>1</v>
      </c>
      <c r="AJ36" s="230">
        <v>1</v>
      </c>
    </row>
    <row r="37" spans="2:37" ht="15.75" thickBot="1" x14ac:dyDescent="0.3"/>
    <row r="38" spans="2:37" x14ac:dyDescent="0.25">
      <c r="B38" s="233" t="s">
        <v>157</v>
      </c>
      <c r="C38" s="188" t="s">
        <v>138</v>
      </c>
      <c r="D38" s="188"/>
      <c r="E38" s="188" t="s">
        <v>110</v>
      </c>
      <c r="F38" s="189" t="s">
        <v>138</v>
      </c>
      <c r="G38" s="190">
        <v>500</v>
      </c>
      <c r="H38" s="191">
        <v>0</v>
      </c>
      <c r="I38" s="192">
        <v>500</v>
      </c>
      <c r="J38" s="193"/>
      <c r="K38" s="232"/>
      <c r="L38" s="195"/>
      <c r="M38" s="196"/>
      <c r="N38" s="197"/>
      <c r="O38" s="196"/>
      <c r="P38" s="196"/>
      <c r="Q38" s="198"/>
      <c r="R38" s="199"/>
      <c r="S38" s="200"/>
      <c r="T38" s="201"/>
      <c r="U38" s="202">
        <v>52000</v>
      </c>
      <c r="V38" s="203"/>
      <c r="W38" s="204"/>
      <c r="X38" s="205"/>
      <c r="Y38" s="206">
        <v>0.2</v>
      </c>
      <c r="Z38" s="206">
        <v>0.2</v>
      </c>
      <c r="AA38" s="206">
        <v>0.2</v>
      </c>
      <c r="AB38" s="206">
        <v>0.2</v>
      </c>
      <c r="AC38" s="206">
        <v>0.2</v>
      </c>
      <c r="AD38" s="206">
        <v>0.2</v>
      </c>
      <c r="AE38" s="206">
        <v>0.2</v>
      </c>
      <c r="AF38" s="206">
        <v>0.2</v>
      </c>
      <c r="AG38" s="206">
        <v>0.2</v>
      </c>
      <c r="AH38" s="206">
        <v>0.2</v>
      </c>
      <c r="AI38" s="206">
        <v>0.2</v>
      </c>
      <c r="AJ38" s="206">
        <v>0.2</v>
      </c>
      <c r="AK38" s="207">
        <v>0.2</v>
      </c>
    </row>
    <row r="39" spans="2:37" x14ac:dyDescent="0.25">
      <c r="B39" s="208" t="s">
        <v>157</v>
      </c>
      <c r="C39" s="15" t="s">
        <v>158</v>
      </c>
      <c r="D39" s="15"/>
      <c r="E39" s="15" t="s">
        <v>145</v>
      </c>
      <c r="F39" s="21" t="s">
        <v>158</v>
      </c>
      <c r="G39" s="86">
        <v>340</v>
      </c>
      <c r="H39" s="87">
        <v>0</v>
      </c>
      <c r="I39" s="88">
        <v>340</v>
      </c>
      <c r="J39" s="89"/>
      <c r="K39" s="91"/>
      <c r="L39" s="22"/>
      <c r="M39" s="81"/>
      <c r="N39" s="23"/>
      <c r="O39" s="81"/>
      <c r="P39" s="81"/>
      <c r="Q39" s="24"/>
      <c r="R39" s="110"/>
      <c r="S39" s="114"/>
      <c r="T39" s="115"/>
      <c r="U39" s="116">
        <v>176800</v>
      </c>
      <c r="V39" s="99"/>
      <c r="W39" s="100"/>
      <c r="X39" s="83"/>
      <c r="Y39" s="209">
        <v>1</v>
      </c>
      <c r="Z39" s="209">
        <v>1</v>
      </c>
      <c r="AA39" s="209">
        <v>1</v>
      </c>
      <c r="AB39" s="209">
        <v>1</v>
      </c>
      <c r="AC39" s="209">
        <v>1</v>
      </c>
      <c r="AD39" s="209">
        <v>1</v>
      </c>
      <c r="AE39" s="209">
        <v>1</v>
      </c>
      <c r="AF39" s="209">
        <v>1</v>
      </c>
      <c r="AG39" s="209">
        <v>1</v>
      </c>
      <c r="AH39" s="209">
        <v>1</v>
      </c>
      <c r="AI39" s="209">
        <v>1</v>
      </c>
      <c r="AJ39" s="209">
        <v>1</v>
      </c>
      <c r="AK39" s="210">
        <v>1</v>
      </c>
    </row>
    <row r="40" spans="2:37" x14ac:dyDescent="0.25">
      <c r="B40" s="208" t="s">
        <v>157</v>
      </c>
      <c r="C40" s="15" t="s">
        <v>159</v>
      </c>
      <c r="D40" s="15"/>
      <c r="E40" s="15" t="s">
        <v>145</v>
      </c>
      <c r="F40" s="21" t="s">
        <v>159</v>
      </c>
      <c r="G40" s="86">
        <v>340</v>
      </c>
      <c r="H40" s="87">
        <v>0</v>
      </c>
      <c r="I40" s="88">
        <v>340</v>
      </c>
      <c r="J40" s="89"/>
      <c r="K40" s="91"/>
      <c r="L40" s="22"/>
      <c r="M40" s="81"/>
      <c r="N40" s="23"/>
      <c r="O40" s="81"/>
      <c r="P40" s="81"/>
      <c r="Q40" s="24"/>
      <c r="R40" s="110"/>
      <c r="S40" s="114"/>
      <c r="T40" s="115"/>
      <c r="U40" s="116">
        <v>176800</v>
      </c>
      <c r="V40" s="99"/>
      <c r="W40" s="100"/>
      <c r="X40" s="83"/>
      <c r="Y40" s="209">
        <v>1</v>
      </c>
      <c r="Z40" s="209">
        <v>1</v>
      </c>
      <c r="AA40" s="209">
        <v>1</v>
      </c>
      <c r="AB40" s="209">
        <v>1</v>
      </c>
      <c r="AC40" s="209">
        <v>1</v>
      </c>
      <c r="AD40" s="209">
        <v>1</v>
      </c>
      <c r="AE40" s="209">
        <v>1</v>
      </c>
      <c r="AF40" s="209">
        <v>1</v>
      </c>
      <c r="AG40" s="209">
        <v>1</v>
      </c>
      <c r="AH40" s="209">
        <v>1</v>
      </c>
      <c r="AI40" s="209">
        <v>1</v>
      </c>
      <c r="AJ40" s="209">
        <v>1</v>
      </c>
      <c r="AK40" s="210">
        <v>1</v>
      </c>
    </row>
    <row r="41" spans="2:37" x14ac:dyDescent="0.25">
      <c r="B41" s="208" t="s">
        <v>157</v>
      </c>
      <c r="C41" s="15" t="s">
        <v>160</v>
      </c>
      <c r="D41" s="15"/>
      <c r="E41" s="15" t="s">
        <v>115</v>
      </c>
      <c r="F41" s="21" t="s">
        <v>160</v>
      </c>
      <c r="G41" s="86">
        <v>290</v>
      </c>
      <c r="H41" s="87">
        <v>0</v>
      </c>
      <c r="I41" s="88">
        <v>290</v>
      </c>
      <c r="J41" s="89"/>
      <c r="K41" s="91"/>
      <c r="L41" s="22"/>
      <c r="M41" s="81"/>
      <c r="N41" s="23"/>
      <c r="O41" s="81"/>
      <c r="P41" s="81"/>
      <c r="Q41" s="24"/>
      <c r="R41" s="110"/>
      <c r="S41" s="114"/>
      <c r="T41" s="115"/>
      <c r="U41" s="116">
        <v>150800</v>
      </c>
      <c r="V41" s="99"/>
      <c r="W41" s="100"/>
      <c r="X41" s="83"/>
      <c r="Y41" s="209">
        <v>1</v>
      </c>
      <c r="Z41" s="209">
        <v>1</v>
      </c>
      <c r="AA41" s="209">
        <v>1</v>
      </c>
      <c r="AB41" s="209">
        <v>1</v>
      </c>
      <c r="AC41" s="209">
        <v>1</v>
      </c>
      <c r="AD41" s="209">
        <v>1</v>
      </c>
      <c r="AE41" s="209">
        <v>1</v>
      </c>
      <c r="AF41" s="209">
        <v>1</v>
      </c>
      <c r="AG41" s="209">
        <v>1</v>
      </c>
      <c r="AH41" s="209">
        <v>1</v>
      </c>
      <c r="AI41" s="209">
        <v>1</v>
      </c>
      <c r="AJ41" s="209">
        <v>1</v>
      </c>
      <c r="AK41" s="210">
        <v>1</v>
      </c>
    </row>
    <row r="42" spans="2:37" x14ac:dyDescent="0.25">
      <c r="B42" s="208" t="s">
        <v>157</v>
      </c>
      <c r="C42" s="15" t="s">
        <v>161</v>
      </c>
      <c r="D42" s="15"/>
      <c r="E42" s="15" t="s">
        <v>115</v>
      </c>
      <c r="F42" s="21" t="s">
        <v>161</v>
      </c>
      <c r="G42" s="86">
        <v>290</v>
      </c>
      <c r="H42" s="87">
        <v>0</v>
      </c>
      <c r="I42" s="88">
        <v>290</v>
      </c>
      <c r="J42" s="89"/>
      <c r="K42" s="91"/>
      <c r="L42" s="22"/>
      <c r="M42" s="81"/>
      <c r="N42" s="23"/>
      <c r="O42" s="81"/>
      <c r="P42" s="81"/>
      <c r="Q42" s="24"/>
      <c r="R42" s="110"/>
      <c r="S42" s="114"/>
      <c r="T42" s="115"/>
      <c r="U42" s="116">
        <v>150800</v>
      </c>
      <c r="V42" s="99"/>
      <c r="W42" s="100"/>
      <c r="X42" s="83"/>
      <c r="Y42" s="209">
        <v>1</v>
      </c>
      <c r="Z42" s="209">
        <v>1</v>
      </c>
      <c r="AA42" s="209">
        <v>1</v>
      </c>
      <c r="AB42" s="209">
        <v>1</v>
      </c>
      <c r="AC42" s="209">
        <v>1</v>
      </c>
      <c r="AD42" s="209">
        <v>1</v>
      </c>
      <c r="AE42" s="209">
        <v>1</v>
      </c>
      <c r="AF42" s="209">
        <v>1</v>
      </c>
      <c r="AG42" s="209">
        <v>1</v>
      </c>
      <c r="AH42" s="209">
        <v>1</v>
      </c>
      <c r="AI42" s="209">
        <v>1</v>
      </c>
      <c r="AJ42" s="209">
        <v>1</v>
      </c>
      <c r="AK42" s="210">
        <v>1</v>
      </c>
    </row>
    <row r="43" spans="2:37" x14ac:dyDescent="0.25">
      <c r="B43" s="208" t="s">
        <v>157</v>
      </c>
      <c r="C43" s="15" t="s">
        <v>162</v>
      </c>
      <c r="D43" s="15"/>
      <c r="E43" s="15" t="s">
        <v>115</v>
      </c>
      <c r="F43" s="21" t="s">
        <v>162</v>
      </c>
      <c r="G43" s="86">
        <v>290</v>
      </c>
      <c r="H43" s="87">
        <v>0</v>
      </c>
      <c r="I43" s="88">
        <v>290</v>
      </c>
      <c r="J43" s="89"/>
      <c r="K43" s="91"/>
      <c r="L43" s="22"/>
      <c r="M43" s="81"/>
      <c r="N43" s="23"/>
      <c r="O43" s="81"/>
      <c r="P43" s="81"/>
      <c r="Q43" s="24"/>
      <c r="R43" s="110"/>
      <c r="S43" s="114"/>
      <c r="T43" s="115"/>
      <c r="U43" s="116">
        <v>150800</v>
      </c>
      <c r="V43" s="99"/>
      <c r="W43" s="100"/>
      <c r="X43" s="83"/>
      <c r="Y43" s="209">
        <v>1</v>
      </c>
      <c r="Z43" s="209">
        <v>1</v>
      </c>
      <c r="AA43" s="209">
        <v>1</v>
      </c>
      <c r="AB43" s="209">
        <v>1</v>
      </c>
      <c r="AC43" s="209">
        <v>1</v>
      </c>
      <c r="AD43" s="209">
        <v>1</v>
      </c>
      <c r="AE43" s="209">
        <v>1</v>
      </c>
      <c r="AF43" s="209">
        <v>1</v>
      </c>
      <c r="AG43" s="209">
        <v>1</v>
      </c>
      <c r="AH43" s="209">
        <v>1</v>
      </c>
      <c r="AI43" s="209">
        <v>1</v>
      </c>
      <c r="AJ43" s="209">
        <v>1</v>
      </c>
      <c r="AK43" s="210">
        <v>1</v>
      </c>
    </row>
    <row r="44" spans="2:37" ht="15.75" thickBot="1" x14ac:dyDescent="0.3">
      <c r="B44" s="211" t="s">
        <v>157</v>
      </c>
      <c r="C44" s="212" t="s">
        <v>163</v>
      </c>
      <c r="D44" s="212"/>
      <c r="E44" s="212" t="s">
        <v>115</v>
      </c>
      <c r="F44" s="231" t="s">
        <v>163</v>
      </c>
      <c r="G44" s="213">
        <v>290</v>
      </c>
      <c r="H44" s="214">
        <v>0</v>
      </c>
      <c r="I44" s="215">
        <v>290</v>
      </c>
      <c r="J44" s="216"/>
      <c r="K44" s="217"/>
      <c r="L44" s="218"/>
      <c r="M44" s="219"/>
      <c r="N44" s="220"/>
      <c r="O44" s="219"/>
      <c r="P44" s="219"/>
      <c r="Q44" s="221"/>
      <c r="R44" s="222"/>
      <c r="S44" s="223"/>
      <c r="T44" s="224"/>
      <c r="U44" s="225">
        <v>150800</v>
      </c>
      <c r="V44" s="226"/>
      <c r="W44" s="227"/>
      <c r="X44" s="228"/>
      <c r="Y44" s="229">
        <v>1</v>
      </c>
      <c r="Z44" s="229">
        <v>1</v>
      </c>
      <c r="AA44" s="229">
        <v>1</v>
      </c>
      <c r="AB44" s="229">
        <v>1</v>
      </c>
      <c r="AC44" s="229">
        <v>1</v>
      </c>
      <c r="AD44" s="229">
        <v>1</v>
      </c>
      <c r="AE44" s="229">
        <v>1</v>
      </c>
      <c r="AF44" s="229">
        <v>1</v>
      </c>
      <c r="AG44" s="229">
        <v>1</v>
      </c>
      <c r="AH44" s="229">
        <v>1</v>
      </c>
      <c r="AI44" s="229">
        <v>1</v>
      </c>
      <c r="AJ44" s="229">
        <v>1</v>
      </c>
      <c r="AK44" s="230">
        <v>1</v>
      </c>
    </row>
    <row r="45" spans="2:37" ht="15.75" thickBot="1" x14ac:dyDescent="0.3"/>
    <row r="46" spans="2:37" x14ac:dyDescent="0.25">
      <c r="B46" s="233" t="s">
        <v>164</v>
      </c>
      <c r="C46" s="188" t="s">
        <v>138</v>
      </c>
      <c r="D46" s="188"/>
      <c r="E46" s="188" t="s">
        <v>110</v>
      </c>
      <c r="F46" s="189" t="s">
        <v>138</v>
      </c>
      <c r="G46" s="190">
        <v>500</v>
      </c>
      <c r="H46" s="191">
        <v>0</v>
      </c>
      <c r="I46" s="192">
        <v>500</v>
      </c>
      <c r="J46" s="193"/>
      <c r="K46" s="232"/>
      <c r="L46" s="195"/>
      <c r="M46" s="196"/>
      <c r="N46" s="197"/>
      <c r="O46" s="196"/>
      <c r="P46" s="196"/>
      <c r="Q46" s="198"/>
      <c r="R46" s="199"/>
      <c r="S46" s="200">
        <v>79.999999999999986</v>
      </c>
      <c r="T46" s="201">
        <v>9.9999999999999982</v>
      </c>
      <c r="U46" s="202">
        <v>39999.999999999993</v>
      </c>
      <c r="V46" s="203"/>
      <c r="W46" s="204"/>
      <c r="X46" s="205"/>
      <c r="Y46" s="206">
        <v>0.2</v>
      </c>
      <c r="Z46" s="206">
        <v>0.2</v>
      </c>
      <c r="AA46" s="206">
        <v>0.2</v>
      </c>
      <c r="AB46" s="206">
        <v>0.2</v>
      </c>
      <c r="AC46" s="206">
        <v>0.2</v>
      </c>
      <c r="AD46" s="206">
        <v>0.2</v>
      </c>
      <c r="AE46" s="206">
        <v>0.2</v>
      </c>
      <c r="AF46" s="206">
        <v>0.2</v>
      </c>
      <c r="AG46" s="206">
        <v>0.2</v>
      </c>
      <c r="AH46" s="207">
        <v>0.2</v>
      </c>
    </row>
    <row r="47" spans="2:37" x14ac:dyDescent="0.25">
      <c r="B47" s="208" t="s">
        <v>164</v>
      </c>
      <c r="C47" s="15" t="s">
        <v>139</v>
      </c>
      <c r="D47" s="15"/>
      <c r="E47" s="15" t="s">
        <v>115</v>
      </c>
      <c r="F47" s="21" t="s">
        <v>140</v>
      </c>
      <c r="G47" s="86">
        <v>290</v>
      </c>
      <c r="H47" s="87">
        <v>0</v>
      </c>
      <c r="I47" s="88">
        <v>290</v>
      </c>
      <c r="J47" s="89"/>
      <c r="K47" s="91"/>
      <c r="L47" s="22"/>
      <c r="M47" s="81"/>
      <c r="N47" s="23"/>
      <c r="O47" s="81"/>
      <c r="P47" s="81"/>
      <c r="Q47" s="24"/>
      <c r="R47" s="110"/>
      <c r="S47" s="114">
        <v>400</v>
      </c>
      <c r="T47" s="115">
        <v>50</v>
      </c>
      <c r="U47" s="116">
        <v>116000</v>
      </c>
      <c r="V47" s="99"/>
      <c r="W47" s="100"/>
      <c r="X47" s="83"/>
      <c r="Y47" s="209">
        <v>1</v>
      </c>
      <c r="Z47" s="209">
        <v>1</v>
      </c>
      <c r="AA47" s="209">
        <v>1</v>
      </c>
      <c r="AB47" s="209">
        <v>1</v>
      </c>
      <c r="AC47" s="209">
        <v>1</v>
      </c>
      <c r="AD47" s="209">
        <v>1</v>
      </c>
      <c r="AE47" s="209">
        <v>1</v>
      </c>
      <c r="AF47" s="209">
        <v>1</v>
      </c>
      <c r="AG47" s="209">
        <v>1</v>
      </c>
      <c r="AH47" s="210">
        <v>1</v>
      </c>
    </row>
    <row r="48" spans="2:37" ht="15.75" thickBot="1" x14ac:dyDescent="0.3">
      <c r="B48" s="211" t="s">
        <v>164</v>
      </c>
      <c r="C48" s="212" t="s">
        <v>141</v>
      </c>
      <c r="D48" s="212"/>
      <c r="E48" s="212" t="s">
        <v>136</v>
      </c>
      <c r="F48" s="231" t="s">
        <v>142</v>
      </c>
      <c r="G48" s="213">
        <v>212.5</v>
      </c>
      <c r="H48" s="214">
        <v>0</v>
      </c>
      <c r="I48" s="215">
        <v>212.5</v>
      </c>
      <c r="J48" s="216"/>
      <c r="K48" s="217"/>
      <c r="L48" s="218"/>
      <c r="M48" s="219"/>
      <c r="N48" s="220"/>
      <c r="O48" s="219"/>
      <c r="P48" s="219"/>
      <c r="Q48" s="221"/>
      <c r="R48" s="222"/>
      <c r="S48" s="223">
        <v>400</v>
      </c>
      <c r="T48" s="224">
        <v>50</v>
      </c>
      <c r="U48" s="225">
        <v>85000</v>
      </c>
      <c r="V48" s="226"/>
      <c r="W48" s="227"/>
      <c r="X48" s="228"/>
      <c r="Y48" s="229">
        <v>1</v>
      </c>
      <c r="Z48" s="229">
        <v>1</v>
      </c>
      <c r="AA48" s="229">
        <v>1</v>
      </c>
      <c r="AB48" s="229">
        <v>1</v>
      </c>
      <c r="AC48" s="229">
        <v>1</v>
      </c>
      <c r="AD48" s="229">
        <v>1</v>
      </c>
      <c r="AE48" s="229">
        <v>1</v>
      </c>
      <c r="AF48" s="229">
        <v>1</v>
      </c>
      <c r="AG48" s="229">
        <v>1</v>
      </c>
      <c r="AH48" s="230">
        <v>1</v>
      </c>
    </row>
  </sheetData>
  <mergeCells count="1">
    <mergeCell ref="L2:Q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810C-FFE8-4D97-BE89-6C38D95E2C0A}">
  <sheetPr>
    <tabColor rgb="FF205860"/>
  </sheetPr>
  <dimension ref="B1:F7"/>
  <sheetViews>
    <sheetView showGridLines="0" zoomScale="85" zoomScaleNormal="85" workbookViewId="0">
      <selection activeCell="D7" sqref="D7"/>
    </sheetView>
  </sheetViews>
  <sheetFormatPr defaultColWidth="8.85546875" defaultRowHeight="16.5" x14ac:dyDescent="0.3"/>
  <cols>
    <col min="1" max="1" width="2" style="16" customWidth="1"/>
    <col min="2" max="2" width="26.42578125" style="16" customWidth="1"/>
    <col min="3" max="3" width="19.85546875" style="16" customWidth="1"/>
    <col min="4" max="4" width="17.85546875" style="16" customWidth="1"/>
    <col min="5" max="5" width="67" style="16" customWidth="1"/>
    <col min="6" max="6" width="61.5703125" style="16" customWidth="1"/>
    <col min="7" max="16384" width="8.85546875" style="16"/>
  </cols>
  <sheetData>
    <row r="1" spans="2:6" x14ac:dyDescent="0.3">
      <c r="B1" s="61" t="s">
        <v>165</v>
      </c>
      <c r="C1" s="60" t="s">
        <v>166</v>
      </c>
      <c r="D1" s="60" t="s">
        <v>167</v>
      </c>
      <c r="E1" s="60" t="s">
        <v>168</v>
      </c>
      <c r="F1" s="60" t="s">
        <v>169</v>
      </c>
    </row>
    <row r="2" spans="2:6" ht="110.25" customHeight="1" x14ac:dyDescent="0.3">
      <c r="B2" s="163" t="s">
        <v>170</v>
      </c>
      <c r="C2" s="169" t="s">
        <v>171</v>
      </c>
      <c r="D2" s="17"/>
      <c r="E2" s="17"/>
      <c r="F2" s="18" t="s">
        <v>172</v>
      </c>
    </row>
    <row r="3" spans="2:6" ht="147" customHeight="1" x14ac:dyDescent="0.3">
      <c r="B3" s="164" t="s">
        <v>173</v>
      </c>
      <c r="C3" s="170"/>
      <c r="D3" s="18"/>
      <c r="E3" s="171"/>
      <c r="F3" s="18" t="s">
        <v>174</v>
      </c>
    </row>
    <row r="4" spans="2:6" x14ac:dyDescent="0.3">
      <c r="B4" s="165" t="s">
        <v>175</v>
      </c>
      <c r="C4" s="166">
        <f>Coversheet!C19</f>
        <v>0</v>
      </c>
      <c r="D4" s="167">
        <f>'Time Plan (Single Release)'!M4</f>
        <v>0</v>
      </c>
      <c r="E4" s="420"/>
      <c r="F4" s="419" t="s">
        <v>176</v>
      </c>
    </row>
    <row r="5" spans="2:6" x14ac:dyDescent="0.3">
      <c r="B5" s="165" t="s">
        <v>177</v>
      </c>
      <c r="C5" s="168" t="s">
        <v>171</v>
      </c>
      <c r="D5" s="167">
        <f>'Time Plan (Single Release)'!O4</f>
        <v>0</v>
      </c>
      <c r="E5" s="421"/>
      <c r="F5" s="419"/>
    </row>
    <row r="6" spans="2:6" x14ac:dyDescent="0.3">
      <c r="B6" s="165" t="s">
        <v>178</v>
      </c>
      <c r="C6" s="168" t="s">
        <v>171</v>
      </c>
      <c r="D6" s="166">
        <f>D4-D5</f>
        <v>0</v>
      </c>
      <c r="E6" s="421"/>
      <c r="F6" s="419"/>
    </row>
    <row r="7" spans="2:6" x14ac:dyDescent="0.3">
      <c r="B7" s="165" t="s">
        <v>179</v>
      </c>
      <c r="C7" s="166">
        <f>Coversheet!C20</f>
        <v>0</v>
      </c>
      <c r="D7" s="167">
        <f>Coversheet!C19-KPIs!D5</f>
        <v>0</v>
      </c>
      <c r="E7" s="422"/>
      <c r="F7" s="419"/>
    </row>
  </sheetData>
  <mergeCells count="2">
    <mergeCell ref="F4:F7"/>
    <mergeCell ref="E4: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5860"/>
  </sheetPr>
  <dimension ref="A1:S19"/>
  <sheetViews>
    <sheetView showGridLines="0" workbookViewId="0">
      <selection activeCell="N6" sqref="N6"/>
    </sheetView>
  </sheetViews>
  <sheetFormatPr defaultColWidth="8.85546875" defaultRowHeight="16.5" x14ac:dyDescent="0.25"/>
  <cols>
    <col min="1" max="12" width="8.140625" style="67" customWidth="1"/>
    <col min="13" max="16384" width="8.85546875" style="67"/>
  </cols>
  <sheetData>
    <row r="1" spans="1:19" s="16" customFormat="1" x14ac:dyDescent="0.3">
      <c r="A1" s="68" t="s">
        <v>169</v>
      </c>
      <c r="B1" s="68"/>
      <c r="C1" s="68"/>
      <c r="D1" s="68"/>
      <c r="E1" s="68"/>
      <c r="F1" s="68"/>
      <c r="G1" s="68"/>
      <c r="H1" s="68"/>
      <c r="I1" s="68"/>
      <c r="J1" s="68"/>
      <c r="K1" s="68"/>
      <c r="L1" s="68"/>
      <c r="M1" s="68"/>
      <c r="N1" s="68"/>
      <c r="O1" s="68"/>
      <c r="P1" s="68"/>
      <c r="Q1" s="68"/>
      <c r="R1" s="68"/>
      <c r="S1" s="68"/>
    </row>
    <row r="2" spans="1:19" s="16" customFormat="1" x14ac:dyDescent="0.3"/>
    <row r="3" spans="1:19" x14ac:dyDescent="0.3">
      <c r="A3" s="66" t="s">
        <v>180</v>
      </c>
      <c r="B3" s="16"/>
      <c r="C3" s="16"/>
      <c r="D3" s="16"/>
      <c r="E3" s="16"/>
      <c r="F3" s="16"/>
      <c r="G3" s="16"/>
      <c r="H3" s="16"/>
      <c r="I3" s="16"/>
      <c r="J3" s="16"/>
      <c r="K3" s="16"/>
      <c r="L3" s="16"/>
      <c r="M3" s="16"/>
      <c r="N3" s="66" t="s">
        <v>181</v>
      </c>
    </row>
    <row r="4" spans="1:19" x14ac:dyDescent="0.3">
      <c r="A4" s="16" t="s">
        <v>182</v>
      </c>
      <c r="B4" s="16"/>
      <c r="C4" s="16"/>
      <c r="D4" s="16"/>
      <c r="E4" s="16"/>
      <c r="F4" s="16"/>
      <c r="G4" s="16"/>
      <c r="H4" s="16"/>
      <c r="I4" s="16"/>
      <c r="J4" s="16"/>
      <c r="K4" s="16"/>
      <c r="L4" s="16"/>
      <c r="M4" s="16"/>
      <c r="N4" s="16" t="s">
        <v>182</v>
      </c>
    </row>
    <row r="5" spans="1:19" x14ac:dyDescent="0.3">
      <c r="A5" s="16"/>
      <c r="B5" s="16"/>
      <c r="C5" s="16"/>
      <c r="D5" s="16"/>
      <c r="E5" s="16"/>
      <c r="F5" s="16"/>
      <c r="G5" s="16"/>
      <c r="H5" s="16"/>
      <c r="I5" s="16"/>
      <c r="J5" s="16"/>
      <c r="K5" s="16"/>
      <c r="L5" s="16"/>
      <c r="M5" s="16"/>
    </row>
    <row r="6" spans="1:19" x14ac:dyDescent="0.3">
      <c r="A6" s="16"/>
      <c r="B6" s="16"/>
      <c r="C6" s="16"/>
      <c r="D6" s="16"/>
      <c r="E6" s="16"/>
      <c r="F6" s="16"/>
      <c r="G6" s="16"/>
      <c r="H6" s="16"/>
      <c r="I6" s="16"/>
      <c r="J6" s="16"/>
      <c r="K6" s="16"/>
      <c r="L6" s="16"/>
      <c r="M6" s="16"/>
    </row>
    <row r="7" spans="1:19" x14ac:dyDescent="0.3">
      <c r="A7" s="16"/>
      <c r="B7" s="16"/>
      <c r="C7" s="16"/>
      <c r="D7" s="16"/>
      <c r="E7" s="16"/>
      <c r="F7" s="16"/>
      <c r="G7" s="16"/>
      <c r="H7" s="16"/>
      <c r="I7" s="16"/>
      <c r="J7" s="16"/>
      <c r="K7" s="16"/>
      <c r="L7" s="16"/>
      <c r="M7" s="16"/>
    </row>
    <row r="8" spans="1:19" x14ac:dyDescent="0.3">
      <c r="A8" s="16"/>
      <c r="B8" s="16"/>
      <c r="C8" s="16"/>
      <c r="D8" s="16"/>
      <c r="E8" s="16"/>
      <c r="F8" s="16"/>
      <c r="G8" s="16"/>
      <c r="H8" s="16"/>
      <c r="I8" s="16"/>
      <c r="J8" s="16"/>
      <c r="K8" s="16"/>
      <c r="L8" s="16"/>
      <c r="M8" s="16"/>
    </row>
    <row r="9" spans="1:19" x14ac:dyDescent="0.3">
      <c r="A9" s="16"/>
      <c r="B9" s="16"/>
      <c r="C9" s="16"/>
      <c r="D9" s="16"/>
      <c r="E9" s="16"/>
      <c r="F9" s="16"/>
      <c r="G9" s="16"/>
      <c r="H9" s="16"/>
      <c r="I9" s="16"/>
      <c r="J9" s="16"/>
      <c r="K9" s="16"/>
      <c r="L9" s="16"/>
      <c r="M9" s="16"/>
    </row>
    <row r="10" spans="1:19" x14ac:dyDescent="0.3">
      <c r="A10" s="16"/>
      <c r="B10" s="16"/>
      <c r="C10" s="16"/>
      <c r="D10" s="16"/>
      <c r="E10" s="16"/>
      <c r="F10" s="16"/>
      <c r="G10" s="16"/>
      <c r="H10" s="16"/>
      <c r="I10" s="16"/>
      <c r="J10" s="16"/>
      <c r="K10" s="16"/>
      <c r="L10" s="16"/>
      <c r="M10" s="16"/>
    </row>
    <row r="11" spans="1:19" x14ac:dyDescent="0.3">
      <c r="A11" s="16"/>
      <c r="B11" s="16"/>
      <c r="C11" s="16"/>
      <c r="D11" s="16"/>
      <c r="E11" s="16"/>
      <c r="F11" s="16"/>
      <c r="G11" s="16"/>
      <c r="H11" s="16"/>
      <c r="I11" s="16"/>
      <c r="J11" s="16"/>
      <c r="K11" s="16"/>
      <c r="L11" s="16"/>
      <c r="M11" s="16"/>
    </row>
    <row r="12" spans="1:19" x14ac:dyDescent="0.3">
      <c r="A12" s="16"/>
      <c r="B12" s="16"/>
      <c r="C12" s="16"/>
      <c r="D12" s="16"/>
      <c r="E12" s="16"/>
      <c r="F12" s="16"/>
      <c r="G12" s="16"/>
      <c r="H12" s="16"/>
      <c r="I12" s="16"/>
      <c r="J12" s="16"/>
      <c r="K12" s="16"/>
      <c r="L12" s="16"/>
      <c r="M12" s="16"/>
    </row>
    <row r="13" spans="1:19" x14ac:dyDescent="0.3">
      <c r="A13" s="16"/>
      <c r="B13" s="16"/>
      <c r="C13" s="16"/>
      <c r="D13" s="16"/>
      <c r="E13" s="16"/>
      <c r="F13" s="16"/>
      <c r="G13" s="16"/>
      <c r="H13" s="16"/>
      <c r="I13" s="16"/>
      <c r="J13" s="16"/>
      <c r="K13" s="16"/>
      <c r="L13" s="16"/>
      <c r="M13" s="16"/>
    </row>
    <row r="14" spans="1:19" x14ac:dyDescent="0.3">
      <c r="A14" s="16"/>
      <c r="B14" s="16"/>
      <c r="C14" s="16"/>
      <c r="D14" s="16"/>
      <c r="E14" s="16"/>
      <c r="F14" s="16"/>
      <c r="G14" s="16"/>
      <c r="H14" s="16"/>
      <c r="I14" s="16"/>
      <c r="J14" s="16"/>
      <c r="K14" s="16"/>
      <c r="L14" s="16"/>
      <c r="M14" s="16"/>
    </row>
    <row r="15" spans="1:19" x14ac:dyDescent="0.3">
      <c r="A15" s="16"/>
      <c r="B15" s="16"/>
      <c r="C15" s="16"/>
      <c r="D15" s="16"/>
      <c r="E15" s="16"/>
      <c r="F15" s="16"/>
      <c r="G15" s="16"/>
      <c r="H15" s="16"/>
      <c r="I15" s="16"/>
      <c r="J15" s="16"/>
      <c r="K15" s="16"/>
      <c r="L15" s="16"/>
      <c r="M15" s="16"/>
    </row>
    <row r="16" spans="1:19" x14ac:dyDescent="0.3">
      <c r="A16" s="16"/>
      <c r="B16" s="16"/>
      <c r="C16" s="16"/>
      <c r="D16" s="16"/>
      <c r="E16" s="16"/>
      <c r="F16" s="16"/>
      <c r="G16" s="16"/>
      <c r="H16" s="16"/>
      <c r="I16" s="16"/>
      <c r="J16" s="16"/>
      <c r="K16" s="16"/>
      <c r="L16" s="16"/>
      <c r="M16" s="16"/>
    </row>
    <row r="17" spans="1:13" x14ac:dyDescent="0.3">
      <c r="A17" s="16"/>
      <c r="B17" s="16"/>
      <c r="C17" s="16"/>
      <c r="D17" s="16"/>
      <c r="E17" s="16"/>
      <c r="F17" s="16"/>
      <c r="G17" s="16"/>
      <c r="H17" s="16"/>
      <c r="I17" s="16"/>
      <c r="J17" s="16"/>
      <c r="K17" s="16"/>
      <c r="L17" s="16"/>
      <c r="M17" s="16"/>
    </row>
    <row r="18" spans="1:13" x14ac:dyDescent="0.3">
      <c r="A18" s="16"/>
      <c r="B18" s="16"/>
      <c r="C18" s="16"/>
      <c r="D18" s="16"/>
      <c r="E18" s="16"/>
      <c r="F18" s="16"/>
      <c r="G18" s="16"/>
      <c r="H18" s="16"/>
      <c r="I18" s="16"/>
      <c r="J18" s="16"/>
      <c r="K18" s="16"/>
      <c r="L18" s="16"/>
      <c r="M18" s="16"/>
    </row>
    <row r="19" spans="1:13" x14ac:dyDescent="0.3">
      <c r="A19" s="16"/>
      <c r="B19" s="16"/>
      <c r="C19" s="16"/>
      <c r="D19" s="16"/>
      <c r="E19" s="16"/>
      <c r="F19" s="16"/>
      <c r="G19" s="16"/>
      <c r="H19" s="16"/>
      <c r="I19" s="16"/>
      <c r="J19" s="16"/>
      <c r="K19" s="16"/>
      <c r="L19" s="16"/>
      <c r="M19" s="16"/>
    </row>
  </sheetData>
  <dataValidations disablePrompts="1" count="1">
    <dataValidation type="textLength" allowBlank="1" showInputMessage="1" showErrorMessage="1" sqref="O4:XFD4" xr:uid="{00000000-0002-0000-0300-000000000000}">
      <formula1>0</formula1>
      <formula2>0</formula2>
    </dataValidation>
  </dataValidation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006D-70D7-484A-9910-F3ACB267AAFF}">
  <sheetPr>
    <tabColor rgb="FF205860"/>
  </sheetPr>
  <dimension ref="B1:E23"/>
  <sheetViews>
    <sheetView zoomScale="80" zoomScaleNormal="80" workbookViewId="0">
      <selection activeCell="C2" sqref="C2:E2"/>
    </sheetView>
  </sheetViews>
  <sheetFormatPr defaultColWidth="8.85546875" defaultRowHeight="16.5" x14ac:dyDescent="0.25"/>
  <cols>
    <col min="1" max="1" width="3" style="69" customWidth="1"/>
    <col min="2" max="2" width="58.140625" style="69" customWidth="1"/>
    <col min="3" max="3" width="32.85546875" style="69" customWidth="1"/>
    <col min="4" max="4" width="68" style="69" customWidth="1"/>
    <col min="5" max="5" width="12.85546875" style="69" customWidth="1"/>
    <col min="6" max="16384" width="8.85546875" style="69"/>
  </cols>
  <sheetData>
    <row r="1" spans="2:5" x14ac:dyDescent="0.25">
      <c r="B1" s="425" t="s">
        <v>183</v>
      </c>
      <c r="C1" s="425"/>
      <c r="D1" s="425"/>
      <c r="E1" s="425"/>
    </row>
    <row r="2" spans="2:5" ht="33" customHeight="1" x14ac:dyDescent="0.25">
      <c r="B2" s="75" t="s">
        <v>184</v>
      </c>
      <c r="C2" s="424" t="s">
        <v>185</v>
      </c>
      <c r="D2" s="424"/>
      <c r="E2" s="424"/>
    </row>
    <row r="3" spans="2:5" ht="72" customHeight="1" x14ac:dyDescent="0.25">
      <c r="B3" s="75" t="s">
        <v>186</v>
      </c>
      <c r="C3" s="423" t="s">
        <v>187</v>
      </c>
      <c r="D3" s="423"/>
      <c r="E3" s="423"/>
    </row>
    <row r="4" spans="2:5" ht="60" customHeight="1" x14ac:dyDescent="0.25">
      <c r="B4" s="75" t="s">
        <v>188</v>
      </c>
      <c r="C4" s="423" t="s">
        <v>189</v>
      </c>
      <c r="D4" s="423"/>
      <c r="E4" s="423"/>
    </row>
    <row r="5" spans="2:5" ht="21" customHeight="1" x14ac:dyDescent="0.25">
      <c r="B5" s="427" t="s">
        <v>190</v>
      </c>
      <c r="C5" s="423" t="s">
        <v>191</v>
      </c>
      <c r="D5" s="423"/>
      <c r="E5" s="423"/>
    </row>
    <row r="6" spans="2:5" ht="57" customHeight="1" x14ac:dyDescent="0.25">
      <c r="B6" s="428"/>
      <c r="C6" s="424" t="s">
        <v>192</v>
      </c>
      <c r="D6" s="424"/>
      <c r="E6" s="424"/>
    </row>
    <row r="7" spans="2:5" ht="30" customHeight="1" x14ac:dyDescent="0.25">
      <c r="B7" s="78"/>
      <c r="C7" s="79"/>
      <c r="D7" s="79"/>
      <c r="E7" s="79"/>
    </row>
    <row r="8" spans="2:5" ht="30" customHeight="1" x14ac:dyDescent="0.25">
      <c r="B8" s="80" t="s">
        <v>193</v>
      </c>
      <c r="C8" s="79"/>
      <c r="D8" s="79"/>
      <c r="E8" s="79"/>
    </row>
    <row r="9" spans="2:5" ht="32.25" customHeight="1" x14ac:dyDescent="0.25">
      <c r="B9" s="78"/>
      <c r="C9" s="79"/>
      <c r="D9" s="79"/>
      <c r="E9" s="79"/>
    </row>
    <row r="12" spans="2:5" x14ac:dyDescent="0.25">
      <c r="B12" s="426" t="s">
        <v>194</v>
      </c>
      <c r="C12" s="426"/>
      <c r="D12" s="426"/>
      <c r="E12" s="426"/>
    </row>
    <row r="13" spans="2:5" x14ac:dyDescent="0.3">
      <c r="B13" s="76" t="s">
        <v>195</v>
      </c>
      <c r="C13" s="76" t="s">
        <v>196</v>
      </c>
      <c r="D13" s="76" t="s">
        <v>197</v>
      </c>
      <c r="E13" s="77" t="s">
        <v>198</v>
      </c>
    </row>
    <row r="14" spans="2:5" x14ac:dyDescent="0.3">
      <c r="B14" s="71" t="s">
        <v>184</v>
      </c>
      <c r="C14" s="71" t="s">
        <v>199</v>
      </c>
      <c r="D14" s="72" t="s">
        <v>200</v>
      </c>
      <c r="E14" s="74"/>
    </row>
    <row r="15" spans="2:5" x14ac:dyDescent="0.3">
      <c r="B15" s="71" t="s">
        <v>201</v>
      </c>
      <c r="C15" s="71" t="s">
        <v>199</v>
      </c>
      <c r="D15" s="72" t="s">
        <v>200</v>
      </c>
      <c r="E15" s="74"/>
    </row>
    <row r="16" spans="2:5" x14ac:dyDescent="0.3">
      <c r="B16" s="71" t="s">
        <v>188</v>
      </c>
      <c r="C16" s="71" t="s">
        <v>199</v>
      </c>
      <c r="D16" s="72" t="s">
        <v>200</v>
      </c>
      <c r="E16" s="74"/>
    </row>
    <row r="17" spans="2:5" x14ac:dyDescent="0.3">
      <c r="B17" s="70" t="s">
        <v>190</v>
      </c>
      <c r="C17" s="73" t="s">
        <v>199</v>
      </c>
      <c r="D17" s="72" t="s">
        <v>200</v>
      </c>
      <c r="E17" s="74"/>
    </row>
    <row r="18" spans="2:5" x14ac:dyDescent="0.3">
      <c r="B18" s="16" t="s">
        <v>202</v>
      </c>
      <c r="C18" s="71" t="s">
        <v>203</v>
      </c>
      <c r="D18" s="71"/>
      <c r="E18" s="74"/>
    </row>
    <row r="19" spans="2:5" x14ac:dyDescent="0.3">
      <c r="B19" s="71" t="s">
        <v>204</v>
      </c>
      <c r="C19" s="71" t="s">
        <v>203</v>
      </c>
      <c r="D19" s="71"/>
      <c r="E19" s="74"/>
    </row>
    <row r="20" spans="2:5" x14ac:dyDescent="0.3">
      <c r="B20" s="71" t="s">
        <v>205</v>
      </c>
      <c r="C20" s="71" t="s">
        <v>199</v>
      </c>
      <c r="D20" s="71"/>
      <c r="E20" s="74"/>
    </row>
    <row r="21" spans="2:5" x14ac:dyDescent="0.3">
      <c r="B21" s="71" t="s">
        <v>206</v>
      </c>
      <c r="C21" s="71" t="s">
        <v>199</v>
      </c>
      <c r="D21" s="71"/>
      <c r="E21" s="74"/>
    </row>
    <row r="22" spans="2:5" x14ac:dyDescent="0.3">
      <c r="B22" s="71" t="s">
        <v>207</v>
      </c>
      <c r="C22" s="71" t="s">
        <v>203</v>
      </c>
      <c r="D22" s="71"/>
      <c r="E22" s="74"/>
    </row>
    <row r="23" spans="2:5" x14ac:dyDescent="0.3">
      <c r="B23" s="71" t="s">
        <v>208</v>
      </c>
      <c r="C23" s="71" t="s">
        <v>209</v>
      </c>
      <c r="D23" s="71"/>
      <c r="E23" s="74"/>
    </row>
  </sheetData>
  <mergeCells count="8">
    <mergeCell ref="C3:E3"/>
    <mergeCell ref="C2:E2"/>
    <mergeCell ref="B1:E1"/>
    <mergeCell ref="B12:E12"/>
    <mergeCell ref="C6:E6"/>
    <mergeCell ref="C5:E5"/>
    <mergeCell ref="C4:E4"/>
    <mergeCell ref="B5:B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DF4B-23E2-467A-8679-B37D03A45199}">
  <sheetPr>
    <tabColor rgb="FF205860"/>
  </sheetPr>
  <dimension ref="B1:F12"/>
  <sheetViews>
    <sheetView workbookViewId="0"/>
  </sheetViews>
  <sheetFormatPr defaultColWidth="8.85546875" defaultRowHeight="16.5" x14ac:dyDescent="0.3"/>
  <cols>
    <col min="1" max="1" width="2.42578125" style="16" customWidth="1"/>
    <col min="2" max="2" width="12.42578125" style="16" customWidth="1"/>
    <col min="3" max="3" width="61.42578125" style="16" customWidth="1"/>
    <col min="4" max="4" width="19.42578125" style="16" customWidth="1"/>
    <col min="5" max="5" width="26.5703125" style="16" customWidth="1"/>
    <col min="6" max="6" width="26.42578125" style="16" customWidth="1"/>
    <col min="7" max="16384" width="8.85546875" style="16"/>
  </cols>
  <sheetData>
    <row r="1" spans="2:6" x14ac:dyDescent="0.3">
      <c r="B1" s="425" t="s">
        <v>210</v>
      </c>
      <c r="C1" s="425"/>
      <c r="D1" s="425"/>
      <c r="E1" s="425"/>
      <c r="F1" s="425"/>
    </row>
    <row r="2" spans="2:6" x14ac:dyDescent="0.3">
      <c r="B2" s="62" t="s">
        <v>211</v>
      </c>
      <c r="C2" s="62" t="s">
        <v>212</v>
      </c>
      <c r="D2" s="62" t="s">
        <v>213</v>
      </c>
      <c r="E2" s="62" t="s">
        <v>214</v>
      </c>
      <c r="F2" s="62" t="s">
        <v>215</v>
      </c>
    </row>
    <row r="3" spans="2:6" x14ac:dyDescent="0.3">
      <c r="B3" s="63"/>
      <c r="C3" s="62"/>
      <c r="D3" s="64"/>
      <c r="E3" s="62"/>
      <c r="F3" s="62"/>
    </row>
    <row r="4" spans="2:6" x14ac:dyDescent="0.3">
      <c r="B4" s="63"/>
      <c r="C4" s="62"/>
      <c r="D4" s="64"/>
      <c r="E4" s="62"/>
      <c r="F4" s="62"/>
    </row>
    <row r="5" spans="2:6" x14ac:dyDescent="0.3">
      <c r="B5" s="63"/>
      <c r="C5" s="62"/>
      <c r="D5" s="64"/>
      <c r="E5" s="62"/>
      <c r="F5" s="62"/>
    </row>
    <row r="6" spans="2:6" x14ac:dyDescent="0.3">
      <c r="B6" s="63"/>
      <c r="C6" s="62"/>
      <c r="D6" s="64"/>
      <c r="E6" s="62"/>
      <c r="F6" s="62"/>
    </row>
    <row r="7" spans="2:6" x14ac:dyDescent="0.3">
      <c r="B7" s="63"/>
      <c r="C7" s="62"/>
      <c r="D7" s="64"/>
      <c r="E7" s="62"/>
      <c r="F7" s="62"/>
    </row>
    <row r="8" spans="2:6" x14ac:dyDescent="0.3">
      <c r="B8" s="63"/>
      <c r="C8" s="62"/>
      <c r="D8" s="64"/>
      <c r="E8" s="62"/>
      <c r="F8" s="62"/>
    </row>
    <row r="9" spans="2:6" x14ac:dyDescent="0.3">
      <c r="B9" s="63"/>
      <c r="C9" s="62"/>
      <c r="D9" s="64"/>
      <c r="E9" s="62"/>
      <c r="F9" s="62"/>
    </row>
    <row r="10" spans="2:6" x14ac:dyDescent="0.3">
      <c r="B10" s="63"/>
      <c r="C10" s="62"/>
      <c r="D10" s="64"/>
      <c r="E10" s="62"/>
      <c r="F10" s="62"/>
    </row>
    <row r="11" spans="2:6" x14ac:dyDescent="0.3">
      <c r="B11" s="63"/>
      <c r="C11" s="62"/>
      <c r="D11" s="64"/>
      <c r="E11" s="62"/>
      <c r="F11" s="62"/>
    </row>
    <row r="12" spans="2:6" x14ac:dyDescent="0.3">
      <c r="B12" s="62" t="s">
        <v>216</v>
      </c>
      <c r="C12" s="62"/>
      <c r="D12" s="65">
        <f>SUBTOTAL(109,Table3[Amount (ex. GST)])</f>
        <v>0</v>
      </c>
      <c r="E12" s="62"/>
      <c r="F12" s="62"/>
    </row>
  </sheetData>
  <mergeCells count="1">
    <mergeCell ref="B1:F1"/>
  </mergeCells>
  <dataValidations count="1">
    <dataValidation type="list" allowBlank="1" showInputMessage="1" showErrorMessage="1" sqref="E3:F11 B11" xr:uid="{51A74AAD-3542-453A-9642-45BB5AA70448}">
      <formula1>"Yes, 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D6A2-7386-42F4-B801-8B10D4403F9F}">
  <sheetPr>
    <tabColor rgb="FF205860"/>
  </sheetPr>
  <dimension ref="A1:WQ221"/>
  <sheetViews>
    <sheetView zoomScale="70" zoomScaleNormal="70" workbookViewId="0">
      <pane xSplit="7" ySplit="3" topLeftCell="H49" activePane="bottomRight" state="frozen"/>
      <selection pane="topRight" activeCell="H1" sqref="H1"/>
      <selection pane="bottomLeft" activeCell="A4" sqref="A4"/>
      <selection pane="bottomRight" activeCell="J70" sqref="J70"/>
    </sheetView>
  </sheetViews>
  <sheetFormatPr defaultColWidth="9" defaultRowHeight="14.25" x14ac:dyDescent="0.25"/>
  <cols>
    <col min="1" max="1" width="2.140625" style="15" customWidth="1"/>
    <col min="2" max="2" width="22.5703125" style="15" customWidth="1"/>
    <col min="3" max="3" width="47.85546875" style="15" customWidth="1"/>
    <col min="4" max="4" width="26" style="15" customWidth="1"/>
    <col min="5" max="5" width="25.5703125" style="15" customWidth="1"/>
    <col min="6" max="6" width="30.140625" style="15" customWidth="1"/>
    <col min="7" max="7" width="12" style="15" customWidth="1"/>
    <col min="8" max="8" width="8" style="15" customWidth="1"/>
    <col min="9" max="9" width="15.5703125" style="15" customWidth="1"/>
    <col min="10" max="10" width="12" style="15" customWidth="1"/>
    <col min="11" max="11" width="10.7109375" style="15" customWidth="1"/>
    <col min="12" max="12" width="12.140625" style="15" customWidth="1"/>
    <col min="13" max="13" width="12.85546875" style="15" customWidth="1"/>
    <col min="14" max="14" width="11.140625" style="15" customWidth="1"/>
    <col min="15" max="15" width="11.7109375" style="15" customWidth="1"/>
    <col min="16" max="16" width="15.5703125" style="15" customWidth="1"/>
    <col min="17" max="17" width="11" style="15" customWidth="1"/>
    <col min="18" max="18" width="8.140625" style="104" customWidth="1"/>
    <col min="19" max="20" width="8" style="104" customWidth="1"/>
    <col min="21" max="21" width="17" style="15" customWidth="1"/>
    <col min="22" max="22" width="15.5703125" style="15" customWidth="1"/>
    <col min="23" max="23" width="21.7109375" style="15" customWidth="1"/>
    <col min="24" max="24" width="32.42578125" style="15" customWidth="1"/>
    <col min="25" max="25" width="25.85546875" style="15" bestFit="1" customWidth="1"/>
    <col min="26" max="26" width="10.42578125" style="15" customWidth="1"/>
    <col min="27" max="615" width="9.7109375" style="15" customWidth="1"/>
    <col min="616" max="16384" width="9" style="15"/>
  </cols>
  <sheetData>
    <row r="1" spans="1:615" s="32" customFormat="1" ht="20.25" customHeight="1" x14ac:dyDescent="0.25">
      <c r="B1" s="130" t="s">
        <v>76</v>
      </c>
      <c r="C1" s="155">
        <v>45964</v>
      </c>
      <c r="D1" s="47"/>
      <c r="E1" s="47"/>
      <c r="F1" s="47"/>
      <c r="G1" s="47"/>
      <c r="H1" s="47"/>
      <c r="I1" s="47"/>
      <c r="J1" s="47"/>
      <c r="K1" s="47"/>
      <c r="L1" s="47"/>
      <c r="M1" s="47"/>
      <c r="N1" s="47"/>
      <c r="O1" s="47"/>
      <c r="P1" s="47"/>
      <c r="Q1" s="47"/>
      <c r="R1" s="103"/>
      <c r="S1" s="103"/>
      <c r="T1" s="103"/>
      <c r="U1" s="47"/>
      <c r="V1" s="47"/>
      <c r="W1" s="47"/>
      <c r="X1" s="47"/>
      <c r="Y1" s="246" t="s">
        <v>77</v>
      </c>
      <c r="Z1" s="247"/>
      <c r="AA1" s="247"/>
      <c r="AB1" s="247"/>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50" t="s">
        <v>217</v>
      </c>
      <c r="BG1" s="250"/>
      <c r="BH1" s="250"/>
      <c r="BI1" s="250"/>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c r="FW1" s="47"/>
      <c r="FX1" s="47"/>
      <c r="FY1" s="47"/>
      <c r="FZ1" s="47"/>
      <c r="GA1" s="47"/>
      <c r="GB1" s="47"/>
      <c r="GC1" s="47"/>
      <c r="GD1" s="47"/>
      <c r="GE1" s="47"/>
      <c r="GF1" s="47"/>
      <c r="GG1" s="47"/>
      <c r="GH1" s="47"/>
      <c r="GI1" s="47"/>
      <c r="GJ1" s="47"/>
      <c r="GK1" s="47"/>
      <c r="GL1" s="47"/>
      <c r="GM1" s="47"/>
      <c r="GN1" s="47"/>
      <c r="GO1" s="47"/>
      <c r="GP1" s="47"/>
      <c r="GQ1" s="47"/>
      <c r="GR1" s="47"/>
      <c r="GS1" s="47"/>
      <c r="GT1" s="47"/>
      <c r="GU1" s="47"/>
      <c r="GV1" s="47"/>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c r="NF1" s="47"/>
      <c r="NG1" s="47"/>
      <c r="NH1" s="47"/>
      <c r="NI1" s="47"/>
      <c r="NJ1" s="47"/>
      <c r="NK1" s="47"/>
      <c r="NL1" s="47"/>
      <c r="NM1" s="47"/>
      <c r="NN1" s="47"/>
      <c r="NO1" s="47"/>
      <c r="NP1" s="47"/>
      <c r="NQ1" s="47"/>
      <c r="NR1" s="47"/>
      <c r="NS1" s="47"/>
      <c r="NT1" s="47"/>
      <c r="NU1" s="47"/>
      <c r="NV1" s="47"/>
      <c r="NW1" s="47"/>
      <c r="NX1" s="47"/>
      <c r="NY1" s="47"/>
      <c r="NZ1" s="47"/>
      <c r="OA1" s="47"/>
      <c r="OB1" s="47"/>
      <c r="OC1" s="47"/>
      <c r="OD1" s="47"/>
      <c r="OE1" s="47"/>
      <c r="OF1" s="47"/>
      <c r="OG1" s="47"/>
      <c r="OH1" s="47"/>
      <c r="OI1" s="47"/>
      <c r="OJ1" s="47"/>
      <c r="OK1" s="47"/>
      <c r="OL1" s="47"/>
      <c r="OM1" s="47"/>
      <c r="ON1" s="47"/>
      <c r="OO1" s="47"/>
      <c r="OP1" s="47"/>
      <c r="OQ1" s="47"/>
      <c r="OR1" s="47"/>
      <c r="OS1" s="47"/>
      <c r="OT1" s="47"/>
      <c r="OU1" s="47"/>
      <c r="OV1" s="47"/>
      <c r="OW1" s="47"/>
      <c r="OX1" s="47"/>
      <c r="OY1" s="47"/>
      <c r="OZ1" s="47"/>
      <c r="PA1" s="47"/>
      <c r="PB1" s="47"/>
      <c r="PC1" s="47"/>
      <c r="PD1" s="47"/>
      <c r="PE1" s="47"/>
      <c r="PF1" s="47"/>
      <c r="PG1" s="47"/>
      <c r="PH1" s="47"/>
      <c r="PI1" s="47"/>
      <c r="PJ1" s="47"/>
      <c r="PK1" s="47"/>
      <c r="PL1" s="47"/>
      <c r="PM1" s="47"/>
      <c r="PN1" s="47"/>
      <c r="PO1" s="47"/>
      <c r="PP1" s="47"/>
      <c r="PQ1" s="47"/>
      <c r="PR1" s="47"/>
      <c r="PS1" s="47"/>
      <c r="PT1" s="47"/>
      <c r="PU1" s="47"/>
      <c r="PV1" s="47"/>
      <c r="PW1" s="47"/>
      <c r="PX1" s="47"/>
      <c r="PY1" s="47"/>
      <c r="PZ1" s="47"/>
      <c r="QA1" s="47"/>
      <c r="QB1" s="47"/>
      <c r="QC1" s="47"/>
      <c r="QD1" s="47"/>
      <c r="QE1" s="47"/>
      <c r="QF1" s="47"/>
      <c r="QG1" s="47"/>
      <c r="QH1" s="47"/>
      <c r="QI1" s="47"/>
      <c r="QJ1" s="47"/>
      <c r="QK1" s="47"/>
      <c r="QL1" s="47"/>
      <c r="QM1" s="47"/>
      <c r="QN1" s="47"/>
      <c r="QO1" s="47"/>
      <c r="QP1" s="47"/>
      <c r="QQ1" s="47"/>
      <c r="QR1" s="47"/>
      <c r="QS1" s="47"/>
      <c r="QT1" s="47"/>
      <c r="QU1" s="47"/>
      <c r="QV1" s="47"/>
      <c r="QW1" s="47"/>
      <c r="QX1" s="47"/>
      <c r="QY1" s="47"/>
      <c r="QZ1" s="47"/>
      <c r="RA1" s="47"/>
      <c r="RB1" s="47"/>
      <c r="RC1" s="47"/>
      <c r="RD1" s="47"/>
      <c r="RE1" s="47"/>
      <c r="RF1" s="47"/>
      <c r="RG1" s="47"/>
      <c r="RH1" s="47"/>
      <c r="RI1" s="47"/>
      <c r="RJ1" s="47"/>
      <c r="RK1" s="47"/>
      <c r="RL1" s="47"/>
      <c r="RM1" s="47"/>
      <c r="RN1" s="47"/>
      <c r="RO1" s="47"/>
      <c r="RP1" s="47"/>
      <c r="RQ1" s="47"/>
      <c r="RR1" s="47"/>
      <c r="RS1" s="47"/>
      <c r="RT1" s="47"/>
      <c r="RU1" s="47"/>
      <c r="RV1" s="47"/>
      <c r="RW1" s="47"/>
      <c r="RX1" s="47"/>
      <c r="RY1" s="47"/>
      <c r="RZ1" s="47"/>
      <c r="SA1" s="47"/>
      <c r="SB1" s="47"/>
      <c r="SC1" s="47"/>
      <c r="SD1" s="47"/>
      <c r="SE1" s="47"/>
      <c r="SF1" s="47"/>
      <c r="SG1" s="47"/>
      <c r="SH1" s="47"/>
      <c r="SI1" s="47"/>
      <c r="SJ1" s="47"/>
      <c r="SK1" s="47"/>
      <c r="SL1" s="47"/>
      <c r="SM1" s="47"/>
      <c r="SN1" s="47"/>
      <c r="SO1" s="47"/>
      <c r="SP1" s="47"/>
      <c r="SQ1" s="47"/>
      <c r="SR1" s="47"/>
      <c r="SS1" s="47"/>
      <c r="ST1" s="47"/>
      <c r="SU1" s="47"/>
      <c r="SV1" s="47"/>
      <c r="SW1" s="47"/>
      <c r="SX1" s="47"/>
      <c r="SY1" s="47"/>
      <c r="SZ1" s="47"/>
      <c r="TA1" s="47"/>
      <c r="TB1" s="47"/>
      <c r="TC1" s="47"/>
      <c r="TD1" s="47"/>
      <c r="TE1" s="47"/>
      <c r="TF1" s="47"/>
      <c r="TG1" s="47"/>
      <c r="TH1" s="47"/>
      <c r="TI1" s="47"/>
      <c r="TJ1" s="47"/>
      <c r="TK1" s="47"/>
      <c r="TL1" s="47"/>
      <c r="TM1" s="47"/>
      <c r="TN1" s="47"/>
      <c r="TO1" s="47"/>
      <c r="TP1" s="47"/>
      <c r="TQ1" s="47"/>
      <c r="TR1" s="47"/>
      <c r="TS1" s="47"/>
      <c r="TT1" s="47"/>
      <c r="TU1" s="47"/>
      <c r="TV1" s="47"/>
      <c r="TW1" s="47"/>
      <c r="TX1" s="47"/>
      <c r="TY1" s="47"/>
      <c r="TZ1" s="47"/>
      <c r="UA1" s="47"/>
      <c r="UB1" s="47"/>
      <c r="UC1" s="47"/>
      <c r="UD1" s="47"/>
      <c r="UE1" s="47"/>
      <c r="UF1" s="47"/>
      <c r="UG1" s="47"/>
      <c r="UH1" s="47"/>
      <c r="UI1" s="47"/>
      <c r="UJ1" s="47"/>
      <c r="UK1" s="47"/>
      <c r="UL1" s="47"/>
      <c r="UM1" s="47"/>
      <c r="UN1" s="47"/>
      <c r="UO1" s="47"/>
      <c r="UP1" s="47"/>
      <c r="UQ1" s="47"/>
      <c r="UR1" s="47"/>
      <c r="US1" s="47"/>
      <c r="UT1" s="47"/>
      <c r="UU1" s="47"/>
      <c r="UV1" s="47"/>
      <c r="UW1" s="47"/>
      <c r="UX1" s="47"/>
      <c r="UY1" s="47"/>
      <c r="UZ1" s="47"/>
      <c r="VA1" s="47"/>
      <c r="VB1" s="47"/>
      <c r="VC1" s="47"/>
      <c r="VD1" s="47"/>
      <c r="VE1" s="47"/>
      <c r="VF1" s="47"/>
      <c r="VG1" s="47"/>
      <c r="VH1" s="47"/>
      <c r="VI1" s="47"/>
      <c r="VJ1" s="47"/>
      <c r="VK1" s="47"/>
      <c r="VL1" s="47"/>
      <c r="VM1" s="47"/>
      <c r="VN1" s="47"/>
      <c r="VO1" s="47"/>
      <c r="VP1" s="47"/>
      <c r="VQ1" s="47"/>
      <c r="VR1" s="47"/>
      <c r="VS1" s="47"/>
      <c r="VT1" s="47"/>
      <c r="VU1" s="47"/>
      <c r="VV1" s="47"/>
      <c r="VW1" s="47"/>
      <c r="VX1" s="47"/>
      <c r="VY1" s="47"/>
      <c r="VZ1" s="47"/>
      <c r="WA1" s="47"/>
      <c r="WB1" s="47"/>
      <c r="WC1" s="47"/>
      <c r="WD1" s="47"/>
      <c r="WE1" s="47"/>
      <c r="WF1" s="47"/>
      <c r="WG1" s="47"/>
      <c r="WH1" s="47"/>
      <c r="WI1" s="47"/>
      <c r="WJ1" s="47"/>
      <c r="WK1" s="47"/>
      <c r="WL1" s="47"/>
      <c r="WM1" s="47"/>
      <c r="WN1" s="47"/>
      <c r="WO1" s="47"/>
      <c r="WP1" s="47"/>
      <c r="WQ1" s="47"/>
    </row>
    <row r="2" spans="1:615" s="32" customFormat="1" ht="20.25" customHeight="1" x14ac:dyDescent="0.25">
      <c r="B2" s="130" t="s">
        <v>78</v>
      </c>
      <c r="C2" s="155">
        <v>45964</v>
      </c>
      <c r="D2" s="47"/>
      <c r="E2" s="47"/>
      <c r="F2" s="47"/>
      <c r="G2" s="47"/>
      <c r="H2" s="47"/>
      <c r="I2" s="47"/>
      <c r="J2" s="47"/>
      <c r="K2" s="47"/>
      <c r="L2" s="418" t="s">
        <v>79</v>
      </c>
      <c r="M2" s="418"/>
      <c r="N2" s="418"/>
      <c r="O2" s="418"/>
      <c r="P2" s="418"/>
      <c r="Q2" s="418"/>
      <c r="R2" s="103"/>
      <c r="S2" s="103"/>
      <c r="T2" s="103"/>
      <c r="U2" s="47"/>
      <c r="V2" s="47"/>
      <c r="W2" s="47"/>
      <c r="X2" s="47"/>
      <c r="Y2" s="157">
        <f>1+(DATEDIF($Y3,Y3,"d")/7)</f>
        <v>1</v>
      </c>
      <c r="Z2" s="157">
        <f t="shared" ref="Z2:CK2" si="0">1+(DATEDIF($Y3,Z3,"d")/7)</f>
        <v>2</v>
      </c>
      <c r="AA2" s="157">
        <f t="shared" si="0"/>
        <v>3</v>
      </c>
      <c r="AB2" s="157">
        <f t="shared" si="0"/>
        <v>4</v>
      </c>
      <c r="AC2" s="157">
        <f t="shared" si="0"/>
        <v>5</v>
      </c>
      <c r="AD2" s="157">
        <f t="shared" si="0"/>
        <v>6</v>
      </c>
      <c r="AE2" s="157">
        <f t="shared" si="0"/>
        <v>7</v>
      </c>
      <c r="AF2" s="157">
        <f t="shared" si="0"/>
        <v>8</v>
      </c>
      <c r="AG2" s="157">
        <f t="shared" si="0"/>
        <v>9</v>
      </c>
      <c r="AH2" s="157">
        <f t="shared" si="0"/>
        <v>10</v>
      </c>
      <c r="AI2" s="157">
        <f t="shared" si="0"/>
        <v>11</v>
      </c>
      <c r="AJ2" s="157">
        <f t="shared" si="0"/>
        <v>12</v>
      </c>
      <c r="AK2" s="157">
        <f t="shared" si="0"/>
        <v>13</v>
      </c>
      <c r="AL2" s="157">
        <f t="shared" si="0"/>
        <v>14</v>
      </c>
      <c r="AM2" s="157">
        <f t="shared" si="0"/>
        <v>15</v>
      </c>
      <c r="AN2" s="157">
        <f t="shared" si="0"/>
        <v>16</v>
      </c>
      <c r="AO2" s="157">
        <f t="shared" si="0"/>
        <v>17</v>
      </c>
      <c r="AP2" s="157">
        <f t="shared" si="0"/>
        <v>18</v>
      </c>
      <c r="AQ2" s="157">
        <f t="shared" si="0"/>
        <v>19</v>
      </c>
      <c r="AR2" s="157">
        <f t="shared" si="0"/>
        <v>20</v>
      </c>
      <c r="AS2" s="157">
        <f t="shared" si="0"/>
        <v>21</v>
      </c>
      <c r="AT2" s="157">
        <f t="shared" si="0"/>
        <v>22</v>
      </c>
      <c r="AU2" s="157">
        <f t="shared" si="0"/>
        <v>23</v>
      </c>
      <c r="AV2" s="157">
        <f t="shared" si="0"/>
        <v>24</v>
      </c>
      <c r="AW2" s="157">
        <f t="shared" si="0"/>
        <v>25</v>
      </c>
      <c r="AX2" s="157">
        <f t="shared" si="0"/>
        <v>26</v>
      </c>
      <c r="AY2" s="157">
        <f t="shared" si="0"/>
        <v>27</v>
      </c>
      <c r="AZ2" s="157">
        <f t="shared" si="0"/>
        <v>28</v>
      </c>
      <c r="BA2" s="157">
        <f t="shared" si="0"/>
        <v>29</v>
      </c>
      <c r="BB2" s="157">
        <f t="shared" si="0"/>
        <v>30</v>
      </c>
      <c r="BC2" s="157">
        <f t="shared" si="0"/>
        <v>31</v>
      </c>
      <c r="BD2" s="157">
        <f t="shared" si="0"/>
        <v>32</v>
      </c>
      <c r="BE2" s="157">
        <f t="shared" si="0"/>
        <v>33</v>
      </c>
      <c r="BF2" s="157">
        <f t="shared" si="0"/>
        <v>34</v>
      </c>
      <c r="BG2" s="157">
        <f t="shared" si="0"/>
        <v>35</v>
      </c>
      <c r="BH2" s="157">
        <f t="shared" si="0"/>
        <v>36</v>
      </c>
      <c r="BI2" s="157">
        <f t="shared" si="0"/>
        <v>37</v>
      </c>
      <c r="BJ2" s="157">
        <f t="shared" si="0"/>
        <v>38</v>
      </c>
      <c r="BK2" s="157">
        <f t="shared" si="0"/>
        <v>39</v>
      </c>
      <c r="BL2" s="157">
        <f t="shared" si="0"/>
        <v>40</v>
      </c>
      <c r="BM2" s="157">
        <f t="shared" si="0"/>
        <v>41</v>
      </c>
      <c r="BN2" s="157">
        <f t="shared" si="0"/>
        <v>42</v>
      </c>
      <c r="BO2" s="157">
        <f t="shared" si="0"/>
        <v>43</v>
      </c>
      <c r="BP2" s="157">
        <f t="shared" si="0"/>
        <v>44</v>
      </c>
      <c r="BQ2" s="157">
        <f t="shared" si="0"/>
        <v>45</v>
      </c>
      <c r="BR2" s="157">
        <f t="shared" si="0"/>
        <v>46</v>
      </c>
      <c r="BS2" s="157">
        <f t="shared" si="0"/>
        <v>47</v>
      </c>
      <c r="BT2" s="157">
        <f t="shared" si="0"/>
        <v>48</v>
      </c>
      <c r="BU2" s="157">
        <f t="shared" si="0"/>
        <v>49</v>
      </c>
      <c r="BV2" s="157">
        <f t="shared" si="0"/>
        <v>50</v>
      </c>
      <c r="BW2" s="157">
        <f t="shared" si="0"/>
        <v>51</v>
      </c>
      <c r="BX2" s="157">
        <f t="shared" si="0"/>
        <v>52</v>
      </c>
      <c r="BY2" s="157">
        <f t="shared" si="0"/>
        <v>53</v>
      </c>
      <c r="BZ2" s="157">
        <f t="shared" si="0"/>
        <v>54</v>
      </c>
      <c r="CA2" s="157">
        <f t="shared" si="0"/>
        <v>55</v>
      </c>
      <c r="CB2" s="157">
        <f t="shared" si="0"/>
        <v>56</v>
      </c>
      <c r="CC2" s="157">
        <f t="shared" si="0"/>
        <v>57</v>
      </c>
      <c r="CD2" s="157">
        <f t="shared" si="0"/>
        <v>58</v>
      </c>
      <c r="CE2" s="157">
        <f t="shared" si="0"/>
        <v>59</v>
      </c>
      <c r="CF2" s="157">
        <f t="shared" si="0"/>
        <v>60</v>
      </c>
      <c r="CG2" s="157">
        <f t="shared" si="0"/>
        <v>61</v>
      </c>
      <c r="CH2" s="157">
        <f t="shared" si="0"/>
        <v>62</v>
      </c>
      <c r="CI2" s="157">
        <f t="shared" si="0"/>
        <v>63</v>
      </c>
      <c r="CJ2" s="157">
        <f t="shared" si="0"/>
        <v>64</v>
      </c>
      <c r="CK2" s="157">
        <f t="shared" si="0"/>
        <v>65</v>
      </c>
      <c r="CL2" s="157">
        <f t="shared" ref="CL2:EW2" si="1">1+(DATEDIF($Y3,CL3,"d")/7)</f>
        <v>66</v>
      </c>
      <c r="CM2" s="157">
        <f t="shared" si="1"/>
        <v>67</v>
      </c>
      <c r="CN2" s="157">
        <f t="shared" si="1"/>
        <v>68</v>
      </c>
      <c r="CO2" s="157">
        <f t="shared" si="1"/>
        <v>69</v>
      </c>
      <c r="CP2" s="157">
        <f t="shared" si="1"/>
        <v>70</v>
      </c>
      <c r="CQ2" s="157">
        <f t="shared" si="1"/>
        <v>71</v>
      </c>
      <c r="CR2" s="157">
        <f t="shared" si="1"/>
        <v>72</v>
      </c>
      <c r="CS2" s="157">
        <f t="shared" si="1"/>
        <v>73</v>
      </c>
      <c r="CT2" s="157">
        <f t="shared" si="1"/>
        <v>74</v>
      </c>
      <c r="CU2" s="157">
        <f t="shared" si="1"/>
        <v>75</v>
      </c>
      <c r="CV2" s="157">
        <f t="shared" si="1"/>
        <v>76</v>
      </c>
      <c r="CW2" s="157">
        <f t="shared" si="1"/>
        <v>77</v>
      </c>
      <c r="CX2" s="157">
        <f t="shared" si="1"/>
        <v>78</v>
      </c>
      <c r="CY2" s="157">
        <f t="shared" si="1"/>
        <v>79</v>
      </c>
      <c r="CZ2" s="157">
        <f t="shared" si="1"/>
        <v>80</v>
      </c>
      <c r="DA2" s="157">
        <f t="shared" si="1"/>
        <v>81</v>
      </c>
      <c r="DB2" s="157">
        <f t="shared" si="1"/>
        <v>82</v>
      </c>
      <c r="DC2" s="157">
        <f t="shared" si="1"/>
        <v>83</v>
      </c>
      <c r="DD2" s="157">
        <f t="shared" si="1"/>
        <v>84</v>
      </c>
      <c r="DE2" s="157">
        <f t="shared" si="1"/>
        <v>85</v>
      </c>
      <c r="DF2" s="157">
        <f t="shared" si="1"/>
        <v>86</v>
      </c>
      <c r="DG2" s="157">
        <f t="shared" si="1"/>
        <v>87</v>
      </c>
      <c r="DH2" s="157">
        <f t="shared" si="1"/>
        <v>88</v>
      </c>
      <c r="DI2" s="157">
        <f t="shared" si="1"/>
        <v>89</v>
      </c>
      <c r="DJ2" s="157">
        <f t="shared" si="1"/>
        <v>90</v>
      </c>
      <c r="DK2" s="157">
        <f t="shared" si="1"/>
        <v>91</v>
      </c>
      <c r="DL2" s="157">
        <f t="shared" si="1"/>
        <v>92</v>
      </c>
      <c r="DM2" s="157">
        <f t="shared" si="1"/>
        <v>93</v>
      </c>
      <c r="DN2" s="157">
        <f t="shared" si="1"/>
        <v>94</v>
      </c>
      <c r="DO2" s="157">
        <f t="shared" si="1"/>
        <v>95</v>
      </c>
      <c r="DP2" s="157">
        <f t="shared" si="1"/>
        <v>96</v>
      </c>
      <c r="DQ2" s="157">
        <f t="shared" si="1"/>
        <v>97</v>
      </c>
      <c r="DR2" s="157">
        <f t="shared" si="1"/>
        <v>98</v>
      </c>
      <c r="DS2" s="157">
        <f t="shared" si="1"/>
        <v>99</v>
      </c>
      <c r="DT2" s="157">
        <f t="shared" si="1"/>
        <v>100</v>
      </c>
      <c r="DU2" s="157">
        <f t="shared" si="1"/>
        <v>101</v>
      </c>
      <c r="DV2" s="157">
        <f t="shared" si="1"/>
        <v>102</v>
      </c>
      <c r="DW2" s="157">
        <f t="shared" si="1"/>
        <v>103</v>
      </c>
      <c r="DX2" s="157">
        <f t="shared" si="1"/>
        <v>104</v>
      </c>
      <c r="DY2" s="157">
        <f t="shared" si="1"/>
        <v>105</v>
      </c>
      <c r="DZ2" s="157">
        <f t="shared" si="1"/>
        <v>106</v>
      </c>
      <c r="EA2" s="157">
        <f t="shared" si="1"/>
        <v>107</v>
      </c>
      <c r="EB2" s="157">
        <f t="shared" si="1"/>
        <v>108</v>
      </c>
      <c r="EC2" s="157">
        <f t="shared" si="1"/>
        <v>109</v>
      </c>
      <c r="ED2" s="157">
        <f t="shared" si="1"/>
        <v>110</v>
      </c>
      <c r="EE2" s="157">
        <f t="shared" si="1"/>
        <v>111</v>
      </c>
      <c r="EF2" s="157">
        <f t="shared" si="1"/>
        <v>112</v>
      </c>
      <c r="EG2" s="157">
        <f t="shared" si="1"/>
        <v>113</v>
      </c>
      <c r="EH2" s="157">
        <f t="shared" si="1"/>
        <v>114</v>
      </c>
      <c r="EI2" s="157">
        <f t="shared" si="1"/>
        <v>115</v>
      </c>
      <c r="EJ2" s="157">
        <f t="shared" si="1"/>
        <v>116</v>
      </c>
      <c r="EK2" s="157">
        <f t="shared" si="1"/>
        <v>117</v>
      </c>
      <c r="EL2" s="157">
        <f t="shared" si="1"/>
        <v>118</v>
      </c>
      <c r="EM2" s="157">
        <f t="shared" si="1"/>
        <v>119</v>
      </c>
      <c r="EN2" s="157">
        <f t="shared" si="1"/>
        <v>120</v>
      </c>
      <c r="EO2" s="157">
        <f t="shared" si="1"/>
        <v>121</v>
      </c>
      <c r="EP2" s="157">
        <f t="shared" si="1"/>
        <v>122</v>
      </c>
      <c r="EQ2" s="157">
        <f t="shared" si="1"/>
        <v>123</v>
      </c>
      <c r="ER2" s="157">
        <f t="shared" si="1"/>
        <v>124</v>
      </c>
      <c r="ES2" s="157">
        <f t="shared" si="1"/>
        <v>125</v>
      </c>
      <c r="ET2" s="157">
        <f t="shared" si="1"/>
        <v>126</v>
      </c>
      <c r="EU2" s="157">
        <f t="shared" si="1"/>
        <v>127</v>
      </c>
      <c r="EV2" s="157">
        <f t="shared" si="1"/>
        <v>128</v>
      </c>
      <c r="EW2" s="157">
        <f t="shared" si="1"/>
        <v>129</v>
      </c>
      <c r="EX2" s="157">
        <f t="shared" ref="EX2:HI2" si="2">1+(DATEDIF($Y3,EX3,"d")/7)</f>
        <v>130</v>
      </c>
      <c r="EY2" s="157">
        <f t="shared" si="2"/>
        <v>131</v>
      </c>
      <c r="EZ2" s="157">
        <f t="shared" si="2"/>
        <v>132</v>
      </c>
      <c r="FA2" s="157">
        <f t="shared" si="2"/>
        <v>133</v>
      </c>
      <c r="FB2" s="157">
        <f t="shared" si="2"/>
        <v>134</v>
      </c>
      <c r="FC2" s="157">
        <f t="shared" si="2"/>
        <v>135</v>
      </c>
      <c r="FD2" s="157">
        <f t="shared" si="2"/>
        <v>136</v>
      </c>
      <c r="FE2" s="157">
        <f t="shared" si="2"/>
        <v>137</v>
      </c>
      <c r="FF2" s="157">
        <f t="shared" si="2"/>
        <v>138</v>
      </c>
      <c r="FG2" s="157">
        <f t="shared" si="2"/>
        <v>139</v>
      </c>
      <c r="FH2" s="157">
        <f t="shared" si="2"/>
        <v>140</v>
      </c>
      <c r="FI2" s="157">
        <f t="shared" si="2"/>
        <v>141</v>
      </c>
      <c r="FJ2" s="157">
        <f t="shared" si="2"/>
        <v>142</v>
      </c>
      <c r="FK2" s="157">
        <f t="shared" si="2"/>
        <v>143</v>
      </c>
      <c r="FL2" s="157">
        <f t="shared" si="2"/>
        <v>144</v>
      </c>
      <c r="FM2" s="157">
        <f t="shared" si="2"/>
        <v>145</v>
      </c>
      <c r="FN2" s="157">
        <f t="shared" si="2"/>
        <v>146</v>
      </c>
      <c r="FO2" s="157">
        <f t="shared" si="2"/>
        <v>147</v>
      </c>
      <c r="FP2" s="157">
        <f t="shared" si="2"/>
        <v>148</v>
      </c>
      <c r="FQ2" s="157">
        <f t="shared" si="2"/>
        <v>149</v>
      </c>
      <c r="FR2" s="157">
        <f t="shared" si="2"/>
        <v>150</v>
      </c>
      <c r="FS2" s="157">
        <f t="shared" si="2"/>
        <v>151</v>
      </c>
      <c r="FT2" s="157">
        <f t="shared" si="2"/>
        <v>152</v>
      </c>
      <c r="FU2" s="157">
        <f t="shared" si="2"/>
        <v>153</v>
      </c>
      <c r="FV2" s="157">
        <f t="shared" si="2"/>
        <v>154</v>
      </c>
      <c r="FW2" s="157">
        <f t="shared" si="2"/>
        <v>155</v>
      </c>
      <c r="FX2" s="157">
        <f t="shared" si="2"/>
        <v>156</v>
      </c>
      <c r="FY2" s="157">
        <f t="shared" si="2"/>
        <v>157</v>
      </c>
      <c r="FZ2" s="157">
        <f t="shared" si="2"/>
        <v>158</v>
      </c>
      <c r="GA2" s="157">
        <f t="shared" si="2"/>
        <v>159</v>
      </c>
      <c r="GB2" s="157">
        <f t="shared" si="2"/>
        <v>160</v>
      </c>
      <c r="GC2" s="157">
        <f t="shared" si="2"/>
        <v>161</v>
      </c>
      <c r="GD2" s="157">
        <f t="shared" si="2"/>
        <v>162</v>
      </c>
      <c r="GE2" s="157">
        <f t="shared" si="2"/>
        <v>163</v>
      </c>
      <c r="GF2" s="157">
        <f t="shared" si="2"/>
        <v>164</v>
      </c>
      <c r="GG2" s="157">
        <f t="shared" si="2"/>
        <v>165</v>
      </c>
      <c r="GH2" s="157">
        <f t="shared" si="2"/>
        <v>166</v>
      </c>
      <c r="GI2" s="157">
        <f t="shared" si="2"/>
        <v>167</v>
      </c>
      <c r="GJ2" s="157">
        <f t="shared" si="2"/>
        <v>168</v>
      </c>
      <c r="GK2" s="157">
        <f t="shared" si="2"/>
        <v>169</v>
      </c>
      <c r="GL2" s="157">
        <f t="shared" si="2"/>
        <v>170</v>
      </c>
      <c r="GM2" s="157">
        <f t="shared" si="2"/>
        <v>171</v>
      </c>
      <c r="GN2" s="157">
        <f t="shared" si="2"/>
        <v>172</v>
      </c>
      <c r="GO2" s="157">
        <f t="shared" si="2"/>
        <v>173</v>
      </c>
      <c r="GP2" s="157">
        <f t="shared" si="2"/>
        <v>174</v>
      </c>
      <c r="GQ2" s="157">
        <f t="shared" si="2"/>
        <v>175</v>
      </c>
      <c r="GR2" s="157">
        <f t="shared" si="2"/>
        <v>176</v>
      </c>
      <c r="GS2" s="157">
        <f t="shared" si="2"/>
        <v>177</v>
      </c>
      <c r="GT2" s="157">
        <f t="shared" si="2"/>
        <v>178</v>
      </c>
      <c r="GU2" s="157">
        <f t="shared" si="2"/>
        <v>179</v>
      </c>
      <c r="GV2" s="157">
        <f t="shared" si="2"/>
        <v>180</v>
      </c>
      <c r="GW2" s="157">
        <f t="shared" si="2"/>
        <v>181</v>
      </c>
      <c r="GX2" s="157">
        <f t="shared" si="2"/>
        <v>182</v>
      </c>
      <c r="GY2" s="157">
        <f t="shared" si="2"/>
        <v>183</v>
      </c>
      <c r="GZ2" s="157">
        <f t="shared" si="2"/>
        <v>184</v>
      </c>
      <c r="HA2" s="157">
        <f t="shared" si="2"/>
        <v>185</v>
      </c>
      <c r="HB2" s="157">
        <f t="shared" si="2"/>
        <v>186</v>
      </c>
      <c r="HC2" s="157">
        <f t="shared" si="2"/>
        <v>187</v>
      </c>
      <c r="HD2" s="157">
        <f t="shared" si="2"/>
        <v>188</v>
      </c>
      <c r="HE2" s="157">
        <f t="shared" si="2"/>
        <v>189</v>
      </c>
      <c r="HF2" s="157">
        <f t="shared" si="2"/>
        <v>190</v>
      </c>
      <c r="HG2" s="157">
        <f t="shared" si="2"/>
        <v>191</v>
      </c>
      <c r="HH2" s="157">
        <f t="shared" si="2"/>
        <v>192</v>
      </c>
      <c r="HI2" s="157">
        <f t="shared" si="2"/>
        <v>193</v>
      </c>
      <c r="HJ2" s="157">
        <f t="shared" ref="HJ2:JU2" si="3">1+(DATEDIF($Y3,HJ3,"d")/7)</f>
        <v>194</v>
      </c>
      <c r="HK2" s="157">
        <f t="shared" si="3"/>
        <v>195</v>
      </c>
      <c r="HL2" s="157">
        <f t="shared" si="3"/>
        <v>196</v>
      </c>
      <c r="HM2" s="157">
        <f t="shared" si="3"/>
        <v>197</v>
      </c>
      <c r="HN2" s="157">
        <f t="shared" si="3"/>
        <v>198</v>
      </c>
      <c r="HO2" s="157">
        <f t="shared" si="3"/>
        <v>199</v>
      </c>
      <c r="HP2" s="157">
        <f t="shared" si="3"/>
        <v>200</v>
      </c>
      <c r="HQ2" s="157">
        <f t="shared" si="3"/>
        <v>201</v>
      </c>
      <c r="HR2" s="157">
        <f t="shared" si="3"/>
        <v>202</v>
      </c>
      <c r="HS2" s="157">
        <f t="shared" si="3"/>
        <v>203</v>
      </c>
      <c r="HT2" s="157">
        <f t="shared" si="3"/>
        <v>204</v>
      </c>
      <c r="HU2" s="157">
        <f t="shared" si="3"/>
        <v>205</v>
      </c>
      <c r="HV2" s="157">
        <f t="shared" si="3"/>
        <v>206</v>
      </c>
      <c r="HW2" s="157">
        <f t="shared" si="3"/>
        <v>207</v>
      </c>
      <c r="HX2" s="157">
        <f t="shared" si="3"/>
        <v>208</v>
      </c>
      <c r="HY2" s="157">
        <f t="shared" si="3"/>
        <v>209</v>
      </c>
      <c r="HZ2" s="157">
        <f t="shared" si="3"/>
        <v>210</v>
      </c>
      <c r="IA2" s="157">
        <f t="shared" si="3"/>
        <v>211</v>
      </c>
      <c r="IB2" s="157">
        <f t="shared" si="3"/>
        <v>212</v>
      </c>
      <c r="IC2" s="157">
        <f t="shared" si="3"/>
        <v>213</v>
      </c>
      <c r="ID2" s="157">
        <f t="shared" si="3"/>
        <v>214</v>
      </c>
      <c r="IE2" s="157">
        <f t="shared" si="3"/>
        <v>215</v>
      </c>
      <c r="IF2" s="157">
        <f t="shared" si="3"/>
        <v>216</v>
      </c>
      <c r="IG2" s="157">
        <f t="shared" si="3"/>
        <v>217</v>
      </c>
      <c r="IH2" s="157">
        <f t="shared" si="3"/>
        <v>218</v>
      </c>
      <c r="II2" s="157">
        <f t="shared" si="3"/>
        <v>219</v>
      </c>
      <c r="IJ2" s="157">
        <f t="shared" si="3"/>
        <v>220</v>
      </c>
      <c r="IK2" s="157">
        <f t="shared" si="3"/>
        <v>221</v>
      </c>
      <c r="IL2" s="157">
        <f t="shared" si="3"/>
        <v>222</v>
      </c>
      <c r="IM2" s="157">
        <f t="shared" si="3"/>
        <v>223</v>
      </c>
      <c r="IN2" s="157">
        <f t="shared" si="3"/>
        <v>224</v>
      </c>
      <c r="IO2" s="157">
        <f t="shared" si="3"/>
        <v>225</v>
      </c>
      <c r="IP2" s="157">
        <f t="shared" si="3"/>
        <v>226</v>
      </c>
      <c r="IQ2" s="157">
        <f t="shared" si="3"/>
        <v>227</v>
      </c>
      <c r="IR2" s="157">
        <f t="shared" si="3"/>
        <v>228</v>
      </c>
      <c r="IS2" s="157">
        <f t="shared" si="3"/>
        <v>229</v>
      </c>
      <c r="IT2" s="157">
        <f t="shared" si="3"/>
        <v>230</v>
      </c>
      <c r="IU2" s="157">
        <f t="shared" si="3"/>
        <v>231</v>
      </c>
      <c r="IV2" s="157">
        <f t="shared" si="3"/>
        <v>232</v>
      </c>
      <c r="IW2" s="157">
        <f t="shared" si="3"/>
        <v>233</v>
      </c>
      <c r="IX2" s="157">
        <f t="shared" si="3"/>
        <v>234</v>
      </c>
      <c r="IY2" s="157">
        <f t="shared" si="3"/>
        <v>235</v>
      </c>
      <c r="IZ2" s="157">
        <f t="shared" si="3"/>
        <v>236</v>
      </c>
      <c r="JA2" s="157">
        <f t="shared" si="3"/>
        <v>237</v>
      </c>
      <c r="JB2" s="157">
        <f t="shared" si="3"/>
        <v>238</v>
      </c>
      <c r="JC2" s="157">
        <f t="shared" si="3"/>
        <v>239</v>
      </c>
      <c r="JD2" s="157">
        <f t="shared" si="3"/>
        <v>240</v>
      </c>
      <c r="JE2" s="157">
        <f t="shared" si="3"/>
        <v>241</v>
      </c>
      <c r="JF2" s="157">
        <f t="shared" si="3"/>
        <v>242</v>
      </c>
      <c r="JG2" s="157">
        <f t="shared" si="3"/>
        <v>243</v>
      </c>
      <c r="JH2" s="157">
        <f t="shared" si="3"/>
        <v>244</v>
      </c>
      <c r="JI2" s="157">
        <f t="shared" si="3"/>
        <v>245</v>
      </c>
      <c r="JJ2" s="157">
        <f t="shared" si="3"/>
        <v>246</v>
      </c>
      <c r="JK2" s="157">
        <f t="shared" si="3"/>
        <v>247</v>
      </c>
      <c r="JL2" s="157">
        <f t="shared" si="3"/>
        <v>248</v>
      </c>
      <c r="JM2" s="157">
        <f t="shared" si="3"/>
        <v>249</v>
      </c>
      <c r="JN2" s="157">
        <f t="shared" si="3"/>
        <v>250</v>
      </c>
      <c r="JO2" s="157">
        <f t="shared" si="3"/>
        <v>251</v>
      </c>
      <c r="JP2" s="157">
        <f t="shared" si="3"/>
        <v>252</v>
      </c>
      <c r="JQ2" s="157">
        <f t="shared" si="3"/>
        <v>253</v>
      </c>
      <c r="JR2" s="157">
        <f t="shared" si="3"/>
        <v>254</v>
      </c>
      <c r="JS2" s="157">
        <f t="shared" si="3"/>
        <v>255</v>
      </c>
      <c r="JT2" s="157">
        <f t="shared" si="3"/>
        <v>256</v>
      </c>
      <c r="JU2" s="157">
        <f t="shared" si="3"/>
        <v>257</v>
      </c>
      <c r="JV2" s="157">
        <f t="shared" ref="JV2:MG2" si="4">1+(DATEDIF($Y3,JV3,"d")/7)</f>
        <v>258</v>
      </c>
      <c r="JW2" s="157">
        <f t="shared" si="4"/>
        <v>259</v>
      </c>
      <c r="JX2" s="157">
        <f t="shared" si="4"/>
        <v>260</v>
      </c>
      <c r="JY2" s="157">
        <f t="shared" si="4"/>
        <v>261</v>
      </c>
      <c r="JZ2" s="157">
        <f t="shared" si="4"/>
        <v>262</v>
      </c>
      <c r="KA2" s="157">
        <f t="shared" si="4"/>
        <v>263</v>
      </c>
      <c r="KB2" s="157">
        <f t="shared" si="4"/>
        <v>264</v>
      </c>
      <c r="KC2" s="157">
        <f t="shared" si="4"/>
        <v>265</v>
      </c>
      <c r="KD2" s="157">
        <f t="shared" si="4"/>
        <v>266</v>
      </c>
      <c r="KE2" s="157">
        <f t="shared" si="4"/>
        <v>267</v>
      </c>
      <c r="KF2" s="157">
        <f t="shared" si="4"/>
        <v>268</v>
      </c>
      <c r="KG2" s="157">
        <f t="shared" si="4"/>
        <v>269</v>
      </c>
      <c r="KH2" s="157">
        <f t="shared" si="4"/>
        <v>270</v>
      </c>
      <c r="KI2" s="157">
        <f t="shared" si="4"/>
        <v>271</v>
      </c>
      <c r="KJ2" s="157">
        <f t="shared" si="4"/>
        <v>272</v>
      </c>
      <c r="KK2" s="157">
        <f t="shared" si="4"/>
        <v>273</v>
      </c>
      <c r="KL2" s="157">
        <f t="shared" si="4"/>
        <v>274</v>
      </c>
      <c r="KM2" s="157">
        <f t="shared" si="4"/>
        <v>275</v>
      </c>
      <c r="KN2" s="157">
        <f t="shared" si="4"/>
        <v>276</v>
      </c>
      <c r="KO2" s="157">
        <f t="shared" si="4"/>
        <v>277</v>
      </c>
      <c r="KP2" s="157">
        <f t="shared" si="4"/>
        <v>278</v>
      </c>
      <c r="KQ2" s="157">
        <f t="shared" si="4"/>
        <v>279</v>
      </c>
      <c r="KR2" s="157">
        <f t="shared" si="4"/>
        <v>280</v>
      </c>
      <c r="KS2" s="157">
        <f t="shared" si="4"/>
        <v>281</v>
      </c>
      <c r="KT2" s="157">
        <f t="shared" si="4"/>
        <v>282</v>
      </c>
      <c r="KU2" s="157">
        <f t="shared" si="4"/>
        <v>283</v>
      </c>
      <c r="KV2" s="157">
        <f t="shared" si="4"/>
        <v>284</v>
      </c>
      <c r="KW2" s="157">
        <f t="shared" si="4"/>
        <v>285</v>
      </c>
      <c r="KX2" s="157">
        <f t="shared" si="4"/>
        <v>286</v>
      </c>
      <c r="KY2" s="157">
        <f t="shared" si="4"/>
        <v>287</v>
      </c>
      <c r="KZ2" s="157">
        <f t="shared" si="4"/>
        <v>288</v>
      </c>
      <c r="LA2" s="157">
        <f t="shared" si="4"/>
        <v>289</v>
      </c>
      <c r="LB2" s="157">
        <f t="shared" si="4"/>
        <v>290</v>
      </c>
      <c r="LC2" s="157">
        <f t="shared" si="4"/>
        <v>291</v>
      </c>
      <c r="LD2" s="157">
        <f t="shared" si="4"/>
        <v>292</v>
      </c>
      <c r="LE2" s="157">
        <f t="shared" si="4"/>
        <v>293</v>
      </c>
      <c r="LF2" s="157">
        <f t="shared" si="4"/>
        <v>294</v>
      </c>
      <c r="LG2" s="157">
        <f t="shared" si="4"/>
        <v>295</v>
      </c>
      <c r="LH2" s="157">
        <f t="shared" si="4"/>
        <v>296</v>
      </c>
      <c r="LI2" s="157">
        <f t="shared" si="4"/>
        <v>297</v>
      </c>
      <c r="LJ2" s="157">
        <f t="shared" si="4"/>
        <v>298</v>
      </c>
      <c r="LK2" s="157">
        <f t="shared" si="4"/>
        <v>299</v>
      </c>
      <c r="LL2" s="157">
        <f t="shared" si="4"/>
        <v>300</v>
      </c>
      <c r="LM2" s="157">
        <f t="shared" si="4"/>
        <v>301</v>
      </c>
      <c r="LN2" s="157">
        <f t="shared" si="4"/>
        <v>302</v>
      </c>
      <c r="LO2" s="157">
        <f t="shared" si="4"/>
        <v>303</v>
      </c>
      <c r="LP2" s="157">
        <f t="shared" si="4"/>
        <v>304</v>
      </c>
      <c r="LQ2" s="157">
        <f t="shared" si="4"/>
        <v>305</v>
      </c>
      <c r="LR2" s="157">
        <f t="shared" si="4"/>
        <v>306</v>
      </c>
      <c r="LS2" s="157">
        <f t="shared" si="4"/>
        <v>307</v>
      </c>
      <c r="LT2" s="157">
        <f t="shared" si="4"/>
        <v>308</v>
      </c>
      <c r="LU2" s="157">
        <f t="shared" si="4"/>
        <v>309</v>
      </c>
      <c r="LV2" s="157">
        <f t="shared" si="4"/>
        <v>310</v>
      </c>
      <c r="LW2" s="157">
        <f t="shared" si="4"/>
        <v>311</v>
      </c>
      <c r="LX2" s="157">
        <f t="shared" si="4"/>
        <v>312</v>
      </c>
      <c r="LY2" s="157">
        <f t="shared" si="4"/>
        <v>313</v>
      </c>
      <c r="LZ2" s="157">
        <f t="shared" si="4"/>
        <v>314</v>
      </c>
      <c r="MA2" s="157">
        <f t="shared" si="4"/>
        <v>315</v>
      </c>
      <c r="MB2" s="157">
        <f t="shared" si="4"/>
        <v>316</v>
      </c>
      <c r="MC2" s="157">
        <f t="shared" si="4"/>
        <v>317</v>
      </c>
      <c r="MD2" s="157">
        <f t="shared" si="4"/>
        <v>318</v>
      </c>
      <c r="ME2" s="157">
        <f t="shared" si="4"/>
        <v>319</v>
      </c>
      <c r="MF2" s="157">
        <f t="shared" si="4"/>
        <v>320</v>
      </c>
      <c r="MG2" s="157">
        <f t="shared" si="4"/>
        <v>321</v>
      </c>
      <c r="MH2" s="157">
        <f t="shared" ref="MH2:OS2" si="5">1+(DATEDIF($Y3,MH3,"d")/7)</f>
        <v>322</v>
      </c>
      <c r="MI2" s="157">
        <f t="shared" si="5"/>
        <v>323</v>
      </c>
      <c r="MJ2" s="157">
        <f t="shared" si="5"/>
        <v>324</v>
      </c>
      <c r="MK2" s="157">
        <f t="shared" si="5"/>
        <v>325</v>
      </c>
      <c r="ML2" s="157">
        <f t="shared" si="5"/>
        <v>326</v>
      </c>
      <c r="MM2" s="157">
        <f t="shared" si="5"/>
        <v>327</v>
      </c>
      <c r="MN2" s="157">
        <f t="shared" si="5"/>
        <v>328</v>
      </c>
      <c r="MO2" s="157">
        <f t="shared" si="5"/>
        <v>329</v>
      </c>
      <c r="MP2" s="157">
        <f t="shared" si="5"/>
        <v>330</v>
      </c>
      <c r="MQ2" s="157">
        <f t="shared" si="5"/>
        <v>331</v>
      </c>
      <c r="MR2" s="157">
        <f t="shared" si="5"/>
        <v>332</v>
      </c>
      <c r="MS2" s="157">
        <f t="shared" si="5"/>
        <v>333</v>
      </c>
      <c r="MT2" s="157">
        <f t="shared" si="5"/>
        <v>334</v>
      </c>
      <c r="MU2" s="157">
        <f t="shared" si="5"/>
        <v>335</v>
      </c>
      <c r="MV2" s="157">
        <f t="shared" si="5"/>
        <v>336</v>
      </c>
      <c r="MW2" s="157">
        <f t="shared" si="5"/>
        <v>337</v>
      </c>
      <c r="MX2" s="157">
        <f t="shared" si="5"/>
        <v>338</v>
      </c>
      <c r="MY2" s="157">
        <f t="shared" si="5"/>
        <v>339</v>
      </c>
      <c r="MZ2" s="157">
        <f t="shared" si="5"/>
        <v>340</v>
      </c>
      <c r="NA2" s="157">
        <f t="shared" si="5"/>
        <v>341</v>
      </c>
      <c r="NB2" s="157">
        <f t="shared" si="5"/>
        <v>342</v>
      </c>
      <c r="NC2" s="157">
        <f t="shared" si="5"/>
        <v>343</v>
      </c>
      <c r="ND2" s="157">
        <f t="shared" si="5"/>
        <v>344</v>
      </c>
      <c r="NE2" s="157">
        <f t="shared" si="5"/>
        <v>345</v>
      </c>
      <c r="NF2" s="157">
        <f t="shared" si="5"/>
        <v>346</v>
      </c>
      <c r="NG2" s="157">
        <f t="shared" si="5"/>
        <v>347</v>
      </c>
      <c r="NH2" s="157">
        <f t="shared" si="5"/>
        <v>348</v>
      </c>
      <c r="NI2" s="157">
        <f t="shared" si="5"/>
        <v>349</v>
      </c>
      <c r="NJ2" s="157">
        <f t="shared" si="5"/>
        <v>350</v>
      </c>
      <c r="NK2" s="157">
        <f t="shared" si="5"/>
        <v>351</v>
      </c>
      <c r="NL2" s="157">
        <f t="shared" si="5"/>
        <v>352</v>
      </c>
      <c r="NM2" s="157">
        <f t="shared" si="5"/>
        <v>353</v>
      </c>
      <c r="NN2" s="157">
        <f t="shared" si="5"/>
        <v>354</v>
      </c>
      <c r="NO2" s="157">
        <f t="shared" si="5"/>
        <v>355</v>
      </c>
      <c r="NP2" s="157">
        <f t="shared" si="5"/>
        <v>356</v>
      </c>
      <c r="NQ2" s="157">
        <f t="shared" si="5"/>
        <v>357</v>
      </c>
      <c r="NR2" s="157">
        <f t="shared" si="5"/>
        <v>358</v>
      </c>
      <c r="NS2" s="157">
        <f t="shared" si="5"/>
        <v>359</v>
      </c>
      <c r="NT2" s="157">
        <f t="shared" si="5"/>
        <v>360</v>
      </c>
      <c r="NU2" s="157">
        <f t="shared" si="5"/>
        <v>361</v>
      </c>
      <c r="NV2" s="157">
        <f t="shared" si="5"/>
        <v>362</v>
      </c>
      <c r="NW2" s="157">
        <f t="shared" si="5"/>
        <v>363</v>
      </c>
      <c r="NX2" s="157">
        <f t="shared" si="5"/>
        <v>364</v>
      </c>
      <c r="NY2" s="157">
        <f t="shared" si="5"/>
        <v>365</v>
      </c>
      <c r="NZ2" s="157">
        <f t="shared" si="5"/>
        <v>366</v>
      </c>
      <c r="OA2" s="157">
        <f t="shared" si="5"/>
        <v>367</v>
      </c>
      <c r="OB2" s="157">
        <f t="shared" si="5"/>
        <v>368</v>
      </c>
      <c r="OC2" s="157">
        <f t="shared" si="5"/>
        <v>369</v>
      </c>
      <c r="OD2" s="157">
        <f t="shared" si="5"/>
        <v>370</v>
      </c>
      <c r="OE2" s="157">
        <f t="shared" si="5"/>
        <v>371</v>
      </c>
      <c r="OF2" s="157">
        <f t="shared" si="5"/>
        <v>372</v>
      </c>
      <c r="OG2" s="157">
        <f t="shared" si="5"/>
        <v>373</v>
      </c>
      <c r="OH2" s="157">
        <f t="shared" si="5"/>
        <v>374</v>
      </c>
      <c r="OI2" s="157">
        <f t="shared" si="5"/>
        <v>375</v>
      </c>
      <c r="OJ2" s="157">
        <f t="shared" si="5"/>
        <v>376</v>
      </c>
      <c r="OK2" s="157">
        <f t="shared" si="5"/>
        <v>377</v>
      </c>
      <c r="OL2" s="157">
        <f t="shared" si="5"/>
        <v>378</v>
      </c>
      <c r="OM2" s="157">
        <f t="shared" si="5"/>
        <v>379</v>
      </c>
      <c r="ON2" s="157">
        <f t="shared" si="5"/>
        <v>380</v>
      </c>
      <c r="OO2" s="157">
        <f t="shared" si="5"/>
        <v>381</v>
      </c>
      <c r="OP2" s="157">
        <f t="shared" si="5"/>
        <v>382</v>
      </c>
      <c r="OQ2" s="157">
        <f t="shared" si="5"/>
        <v>383</v>
      </c>
      <c r="OR2" s="157">
        <f t="shared" si="5"/>
        <v>384</v>
      </c>
      <c r="OS2" s="157">
        <f t="shared" si="5"/>
        <v>385</v>
      </c>
      <c r="OT2" s="157">
        <f t="shared" ref="OT2:RE2" si="6">1+(DATEDIF($Y3,OT3,"d")/7)</f>
        <v>386</v>
      </c>
      <c r="OU2" s="157">
        <f t="shared" si="6"/>
        <v>387</v>
      </c>
      <c r="OV2" s="157">
        <f t="shared" si="6"/>
        <v>388</v>
      </c>
      <c r="OW2" s="157">
        <f t="shared" si="6"/>
        <v>389</v>
      </c>
      <c r="OX2" s="157">
        <f t="shared" si="6"/>
        <v>390</v>
      </c>
      <c r="OY2" s="157">
        <f t="shared" si="6"/>
        <v>391</v>
      </c>
      <c r="OZ2" s="157">
        <f t="shared" si="6"/>
        <v>392</v>
      </c>
      <c r="PA2" s="157">
        <f t="shared" si="6"/>
        <v>393</v>
      </c>
      <c r="PB2" s="157">
        <f t="shared" si="6"/>
        <v>394</v>
      </c>
      <c r="PC2" s="157">
        <f t="shared" si="6"/>
        <v>395</v>
      </c>
      <c r="PD2" s="157">
        <f t="shared" si="6"/>
        <v>396</v>
      </c>
      <c r="PE2" s="157">
        <f t="shared" si="6"/>
        <v>397</v>
      </c>
      <c r="PF2" s="157">
        <f t="shared" si="6"/>
        <v>398</v>
      </c>
      <c r="PG2" s="157">
        <f t="shared" si="6"/>
        <v>399</v>
      </c>
      <c r="PH2" s="157">
        <f t="shared" si="6"/>
        <v>400</v>
      </c>
      <c r="PI2" s="157">
        <f t="shared" si="6"/>
        <v>401</v>
      </c>
      <c r="PJ2" s="157">
        <f t="shared" si="6"/>
        <v>402</v>
      </c>
      <c r="PK2" s="157">
        <f t="shared" si="6"/>
        <v>403</v>
      </c>
      <c r="PL2" s="157">
        <f t="shared" si="6"/>
        <v>404</v>
      </c>
      <c r="PM2" s="157">
        <f t="shared" si="6"/>
        <v>405</v>
      </c>
      <c r="PN2" s="157">
        <f t="shared" si="6"/>
        <v>406</v>
      </c>
      <c r="PO2" s="157">
        <f t="shared" si="6"/>
        <v>407</v>
      </c>
      <c r="PP2" s="157">
        <f t="shared" si="6"/>
        <v>408</v>
      </c>
      <c r="PQ2" s="157">
        <f t="shared" si="6"/>
        <v>409</v>
      </c>
      <c r="PR2" s="157">
        <f t="shared" si="6"/>
        <v>410</v>
      </c>
      <c r="PS2" s="157">
        <f t="shared" si="6"/>
        <v>411</v>
      </c>
      <c r="PT2" s="157">
        <f t="shared" si="6"/>
        <v>412</v>
      </c>
      <c r="PU2" s="157">
        <f t="shared" si="6"/>
        <v>413</v>
      </c>
      <c r="PV2" s="157">
        <f t="shared" si="6"/>
        <v>414</v>
      </c>
      <c r="PW2" s="157">
        <f t="shared" si="6"/>
        <v>415</v>
      </c>
      <c r="PX2" s="157">
        <f t="shared" si="6"/>
        <v>416</v>
      </c>
      <c r="PY2" s="157">
        <f t="shared" si="6"/>
        <v>417</v>
      </c>
      <c r="PZ2" s="157">
        <f t="shared" si="6"/>
        <v>418</v>
      </c>
      <c r="QA2" s="157">
        <f t="shared" si="6"/>
        <v>419</v>
      </c>
      <c r="QB2" s="157">
        <f t="shared" si="6"/>
        <v>420</v>
      </c>
      <c r="QC2" s="157">
        <f t="shared" si="6"/>
        <v>421</v>
      </c>
      <c r="QD2" s="157">
        <f t="shared" si="6"/>
        <v>422</v>
      </c>
      <c r="QE2" s="157">
        <f t="shared" si="6"/>
        <v>423</v>
      </c>
      <c r="QF2" s="157">
        <f t="shared" si="6"/>
        <v>424</v>
      </c>
      <c r="QG2" s="157">
        <f t="shared" si="6"/>
        <v>425</v>
      </c>
      <c r="QH2" s="157">
        <f t="shared" si="6"/>
        <v>426</v>
      </c>
      <c r="QI2" s="157">
        <f t="shared" si="6"/>
        <v>427</v>
      </c>
      <c r="QJ2" s="157">
        <f t="shared" si="6"/>
        <v>428</v>
      </c>
      <c r="QK2" s="157">
        <f t="shared" si="6"/>
        <v>429</v>
      </c>
      <c r="QL2" s="157">
        <f t="shared" si="6"/>
        <v>430</v>
      </c>
      <c r="QM2" s="157">
        <f t="shared" si="6"/>
        <v>431</v>
      </c>
      <c r="QN2" s="157">
        <f t="shared" si="6"/>
        <v>432</v>
      </c>
      <c r="QO2" s="157">
        <f t="shared" si="6"/>
        <v>433</v>
      </c>
      <c r="QP2" s="157">
        <f t="shared" si="6"/>
        <v>434</v>
      </c>
      <c r="QQ2" s="157">
        <f t="shared" si="6"/>
        <v>435</v>
      </c>
      <c r="QR2" s="157">
        <f t="shared" si="6"/>
        <v>436</v>
      </c>
      <c r="QS2" s="157">
        <f t="shared" si="6"/>
        <v>437</v>
      </c>
      <c r="QT2" s="157">
        <f t="shared" si="6"/>
        <v>438</v>
      </c>
      <c r="QU2" s="157">
        <f t="shared" si="6"/>
        <v>439</v>
      </c>
      <c r="QV2" s="157">
        <f t="shared" si="6"/>
        <v>440</v>
      </c>
      <c r="QW2" s="157">
        <f t="shared" si="6"/>
        <v>441</v>
      </c>
      <c r="QX2" s="157">
        <f t="shared" si="6"/>
        <v>442</v>
      </c>
      <c r="QY2" s="157">
        <f t="shared" si="6"/>
        <v>443</v>
      </c>
      <c r="QZ2" s="157">
        <f t="shared" si="6"/>
        <v>444</v>
      </c>
      <c r="RA2" s="157">
        <f t="shared" si="6"/>
        <v>445</v>
      </c>
      <c r="RB2" s="157">
        <f t="shared" si="6"/>
        <v>446</v>
      </c>
      <c r="RC2" s="157">
        <f t="shared" si="6"/>
        <v>447</v>
      </c>
      <c r="RD2" s="157">
        <f t="shared" si="6"/>
        <v>448</v>
      </c>
      <c r="RE2" s="157">
        <f t="shared" si="6"/>
        <v>449</v>
      </c>
      <c r="RF2" s="157">
        <f t="shared" ref="RF2:TQ2" si="7">1+(DATEDIF($Y3,RF3,"d")/7)</f>
        <v>450</v>
      </c>
      <c r="RG2" s="157">
        <f t="shared" si="7"/>
        <v>451</v>
      </c>
      <c r="RH2" s="157">
        <f t="shared" si="7"/>
        <v>452</v>
      </c>
      <c r="RI2" s="157">
        <f t="shared" si="7"/>
        <v>453</v>
      </c>
      <c r="RJ2" s="157">
        <f t="shared" si="7"/>
        <v>454</v>
      </c>
      <c r="RK2" s="157">
        <f t="shared" si="7"/>
        <v>455</v>
      </c>
      <c r="RL2" s="157">
        <f t="shared" si="7"/>
        <v>456</v>
      </c>
      <c r="RM2" s="157">
        <f t="shared" si="7"/>
        <v>457</v>
      </c>
      <c r="RN2" s="157">
        <f t="shared" si="7"/>
        <v>458</v>
      </c>
      <c r="RO2" s="157">
        <f t="shared" si="7"/>
        <v>459</v>
      </c>
      <c r="RP2" s="157">
        <f t="shared" si="7"/>
        <v>460</v>
      </c>
      <c r="RQ2" s="157">
        <f t="shared" si="7"/>
        <v>461</v>
      </c>
      <c r="RR2" s="157">
        <f t="shared" si="7"/>
        <v>462</v>
      </c>
      <c r="RS2" s="157">
        <f t="shared" si="7"/>
        <v>463</v>
      </c>
      <c r="RT2" s="157">
        <f t="shared" si="7"/>
        <v>464</v>
      </c>
      <c r="RU2" s="157">
        <f t="shared" si="7"/>
        <v>465</v>
      </c>
      <c r="RV2" s="157">
        <f t="shared" si="7"/>
        <v>466</v>
      </c>
      <c r="RW2" s="157">
        <f t="shared" si="7"/>
        <v>467</v>
      </c>
      <c r="RX2" s="157">
        <f t="shared" si="7"/>
        <v>468</v>
      </c>
      <c r="RY2" s="157">
        <f t="shared" si="7"/>
        <v>469</v>
      </c>
      <c r="RZ2" s="157">
        <f t="shared" si="7"/>
        <v>470</v>
      </c>
      <c r="SA2" s="157">
        <f t="shared" si="7"/>
        <v>471</v>
      </c>
      <c r="SB2" s="157">
        <f t="shared" si="7"/>
        <v>472</v>
      </c>
      <c r="SC2" s="157">
        <f t="shared" si="7"/>
        <v>473</v>
      </c>
      <c r="SD2" s="157">
        <f t="shared" si="7"/>
        <v>474</v>
      </c>
      <c r="SE2" s="157">
        <f t="shared" si="7"/>
        <v>475</v>
      </c>
      <c r="SF2" s="157">
        <f t="shared" si="7"/>
        <v>476</v>
      </c>
      <c r="SG2" s="157">
        <f t="shared" si="7"/>
        <v>477</v>
      </c>
      <c r="SH2" s="157">
        <f t="shared" si="7"/>
        <v>478</v>
      </c>
      <c r="SI2" s="157">
        <f t="shared" si="7"/>
        <v>479</v>
      </c>
      <c r="SJ2" s="157">
        <f t="shared" si="7"/>
        <v>480</v>
      </c>
      <c r="SK2" s="157">
        <f t="shared" si="7"/>
        <v>481</v>
      </c>
      <c r="SL2" s="157">
        <f t="shared" si="7"/>
        <v>482</v>
      </c>
      <c r="SM2" s="157">
        <f t="shared" si="7"/>
        <v>483</v>
      </c>
      <c r="SN2" s="157">
        <f t="shared" si="7"/>
        <v>484</v>
      </c>
      <c r="SO2" s="157">
        <f t="shared" si="7"/>
        <v>485</v>
      </c>
      <c r="SP2" s="157">
        <f t="shared" si="7"/>
        <v>486</v>
      </c>
      <c r="SQ2" s="157">
        <f t="shared" si="7"/>
        <v>487</v>
      </c>
      <c r="SR2" s="157">
        <f t="shared" si="7"/>
        <v>488</v>
      </c>
      <c r="SS2" s="157">
        <f t="shared" si="7"/>
        <v>489</v>
      </c>
      <c r="ST2" s="157">
        <f t="shared" si="7"/>
        <v>490</v>
      </c>
      <c r="SU2" s="157">
        <f t="shared" si="7"/>
        <v>491</v>
      </c>
      <c r="SV2" s="157">
        <f t="shared" si="7"/>
        <v>492</v>
      </c>
      <c r="SW2" s="157">
        <f t="shared" si="7"/>
        <v>493</v>
      </c>
      <c r="SX2" s="157">
        <f t="shared" si="7"/>
        <v>494</v>
      </c>
      <c r="SY2" s="157">
        <f t="shared" si="7"/>
        <v>495</v>
      </c>
      <c r="SZ2" s="157">
        <f t="shared" si="7"/>
        <v>496</v>
      </c>
      <c r="TA2" s="157">
        <f t="shared" si="7"/>
        <v>497</v>
      </c>
      <c r="TB2" s="157">
        <f t="shared" si="7"/>
        <v>498</v>
      </c>
      <c r="TC2" s="157">
        <f t="shared" si="7"/>
        <v>499</v>
      </c>
      <c r="TD2" s="157">
        <f t="shared" si="7"/>
        <v>500</v>
      </c>
      <c r="TE2" s="157">
        <f t="shared" si="7"/>
        <v>501</v>
      </c>
      <c r="TF2" s="157">
        <f t="shared" si="7"/>
        <v>502</v>
      </c>
      <c r="TG2" s="157">
        <f t="shared" si="7"/>
        <v>503</v>
      </c>
      <c r="TH2" s="157">
        <f t="shared" si="7"/>
        <v>504</v>
      </c>
      <c r="TI2" s="157">
        <f t="shared" si="7"/>
        <v>505</v>
      </c>
      <c r="TJ2" s="157">
        <f t="shared" si="7"/>
        <v>506</v>
      </c>
      <c r="TK2" s="157">
        <f t="shared" si="7"/>
        <v>507</v>
      </c>
      <c r="TL2" s="157">
        <f t="shared" si="7"/>
        <v>508</v>
      </c>
      <c r="TM2" s="157">
        <f t="shared" si="7"/>
        <v>509</v>
      </c>
      <c r="TN2" s="157">
        <f t="shared" si="7"/>
        <v>510</v>
      </c>
      <c r="TO2" s="157">
        <f t="shared" si="7"/>
        <v>511</v>
      </c>
      <c r="TP2" s="157">
        <f t="shared" si="7"/>
        <v>512</v>
      </c>
      <c r="TQ2" s="157">
        <f t="shared" si="7"/>
        <v>513</v>
      </c>
      <c r="TR2" s="157">
        <f t="shared" ref="TR2:WC2" si="8">1+(DATEDIF($Y3,TR3,"d")/7)</f>
        <v>514</v>
      </c>
      <c r="TS2" s="157">
        <f t="shared" si="8"/>
        <v>515</v>
      </c>
      <c r="TT2" s="157">
        <f t="shared" si="8"/>
        <v>516</v>
      </c>
      <c r="TU2" s="157">
        <f t="shared" si="8"/>
        <v>517</v>
      </c>
      <c r="TV2" s="157">
        <f t="shared" si="8"/>
        <v>518</v>
      </c>
      <c r="TW2" s="157">
        <f t="shared" si="8"/>
        <v>519</v>
      </c>
      <c r="TX2" s="157">
        <f t="shared" si="8"/>
        <v>520</v>
      </c>
      <c r="TY2" s="157">
        <f t="shared" si="8"/>
        <v>521</v>
      </c>
      <c r="TZ2" s="157">
        <f t="shared" si="8"/>
        <v>522</v>
      </c>
      <c r="UA2" s="157">
        <f t="shared" si="8"/>
        <v>523</v>
      </c>
      <c r="UB2" s="157">
        <f t="shared" si="8"/>
        <v>524</v>
      </c>
      <c r="UC2" s="157">
        <f t="shared" si="8"/>
        <v>525</v>
      </c>
      <c r="UD2" s="157">
        <f t="shared" si="8"/>
        <v>526</v>
      </c>
      <c r="UE2" s="157">
        <f t="shared" si="8"/>
        <v>527</v>
      </c>
      <c r="UF2" s="157">
        <f t="shared" si="8"/>
        <v>528</v>
      </c>
      <c r="UG2" s="157">
        <f t="shared" si="8"/>
        <v>529</v>
      </c>
      <c r="UH2" s="157">
        <f t="shared" si="8"/>
        <v>530</v>
      </c>
      <c r="UI2" s="157">
        <f t="shared" si="8"/>
        <v>531</v>
      </c>
      <c r="UJ2" s="157">
        <f t="shared" si="8"/>
        <v>532</v>
      </c>
      <c r="UK2" s="157">
        <f t="shared" si="8"/>
        <v>533</v>
      </c>
      <c r="UL2" s="157">
        <f t="shared" si="8"/>
        <v>534</v>
      </c>
      <c r="UM2" s="157">
        <f t="shared" si="8"/>
        <v>535</v>
      </c>
      <c r="UN2" s="157">
        <f t="shared" si="8"/>
        <v>536</v>
      </c>
      <c r="UO2" s="157">
        <f t="shared" si="8"/>
        <v>537</v>
      </c>
      <c r="UP2" s="157">
        <f t="shared" si="8"/>
        <v>538</v>
      </c>
      <c r="UQ2" s="157">
        <f t="shared" si="8"/>
        <v>539</v>
      </c>
      <c r="UR2" s="157">
        <f t="shared" si="8"/>
        <v>540</v>
      </c>
      <c r="US2" s="157">
        <f t="shared" si="8"/>
        <v>541</v>
      </c>
      <c r="UT2" s="157">
        <f t="shared" si="8"/>
        <v>542</v>
      </c>
      <c r="UU2" s="157">
        <f t="shared" si="8"/>
        <v>543</v>
      </c>
      <c r="UV2" s="157">
        <f t="shared" si="8"/>
        <v>544</v>
      </c>
      <c r="UW2" s="157">
        <f t="shared" si="8"/>
        <v>545</v>
      </c>
      <c r="UX2" s="157">
        <f t="shared" si="8"/>
        <v>546</v>
      </c>
      <c r="UY2" s="157">
        <f t="shared" si="8"/>
        <v>547</v>
      </c>
      <c r="UZ2" s="157">
        <f t="shared" si="8"/>
        <v>548</v>
      </c>
      <c r="VA2" s="157">
        <f t="shared" si="8"/>
        <v>549</v>
      </c>
      <c r="VB2" s="157">
        <f t="shared" si="8"/>
        <v>550</v>
      </c>
      <c r="VC2" s="157">
        <f t="shared" si="8"/>
        <v>551</v>
      </c>
      <c r="VD2" s="157">
        <f t="shared" si="8"/>
        <v>552</v>
      </c>
      <c r="VE2" s="157">
        <f t="shared" si="8"/>
        <v>553</v>
      </c>
      <c r="VF2" s="157">
        <f t="shared" si="8"/>
        <v>554</v>
      </c>
      <c r="VG2" s="157">
        <f t="shared" si="8"/>
        <v>555</v>
      </c>
      <c r="VH2" s="157">
        <f t="shared" si="8"/>
        <v>556</v>
      </c>
      <c r="VI2" s="157">
        <f t="shared" si="8"/>
        <v>557</v>
      </c>
      <c r="VJ2" s="157">
        <f t="shared" si="8"/>
        <v>558</v>
      </c>
      <c r="VK2" s="157">
        <f t="shared" si="8"/>
        <v>559</v>
      </c>
      <c r="VL2" s="157">
        <f t="shared" si="8"/>
        <v>560</v>
      </c>
      <c r="VM2" s="157">
        <f t="shared" si="8"/>
        <v>561</v>
      </c>
      <c r="VN2" s="157">
        <f t="shared" si="8"/>
        <v>562</v>
      </c>
      <c r="VO2" s="157">
        <f t="shared" si="8"/>
        <v>563</v>
      </c>
      <c r="VP2" s="157">
        <f t="shared" si="8"/>
        <v>564</v>
      </c>
      <c r="VQ2" s="157">
        <f t="shared" si="8"/>
        <v>565</v>
      </c>
      <c r="VR2" s="157">
        <f t="shared" si="8"/>
        <v>566</v>
      </c>
      <c r="VS2" s="157">
        <f t="shared" si="8"/>
        <v>567</v>
      </c>
      <c r="VT2" s="157">
        <f t="shared" si="8"/>
        <v>568</v>
      </c>
      <c r="VU2" s="157">
        <f t="shared" si="8"/>
        <v>569</v>
      </c>
      <c r="VV2" s="157">
        <f t="shared" si="8"/>
        <v>570</v>
      </c>
      <c r="VW2" s="157">
        <f t="shared" si="8"/>
        <v>571</v>
      </c>
      <c r="VX2" s="157">
        <f t="shared" si="8"/>
        <v>572</v>
      </c>
      <c r="VY2" s="157">
        <f t="shared" si="8"/>
        <v>573</v>
      </c>
      <c r="VZ2" s="157">
        <f t="shared" si="8"/>
        <v>574</v>
      </c>
      <c r="WA2" s="157">
        <f t="shared" si="8"/>
        <v>575</v>
      </c>
      <c r="WB2" s="157">
        <f t="shared" si="8"/>
        <v>576</v>
      </c>
      <c r="WC2" s="157">
        <f t="shared" si="8"/>
        <v>577</v>
      </c>
      <c r="WD2" s="157">
        <f t="shared" ref="WD2:WQ2" si="9">1+(DATEDIF($Y3,WD3,"d")/7)</f>
        <v>578</v>
      </c>
      <c r="WE2" s="157">
        <f t="shared" si="9"/>
        <v>579</v>
      </c>
      <c r="WF2" s="157">
        <f t="shared" si="9"/>
        <v>580</v>
      </c>
      <c r="WG2" s="157">
        <f t="shared" si="9"/>
        <v>581</v>
      </c>
      <c r="WH2" s="157">
        <f t="shared" si="9"/>
        <v>582</v>
      </c>
      <c r="WI2" s="157">
        <f t="shared" si="9"/>
        <v>583</v>
      </c>
      <c r="WJ2" s="157">
        <f t="shared" si="9"/>
        <v>584</v>
      </c>
      <c r="WK2" s="157">
        <f t="shared" si="9"/>
        <v>585</v>
      </c>
      <c r="WL2" s="157">
        <f t="shared" si="9"/>
        <v>586</v>
      </c>
      <c r="WM2" s="157">
        <f t="shared" si="9"/>
        <v>587</v>
      </c>
      <c r="WN2" s="157">
        <f t="shared" si="9"/>
        <v>588</v>
      </c>
      <c r="WO2" s="157">
        <f t="shared" si="9"/>
        <v>589</v>
      </c>
      <c r="WP2" s="157">
        <f t="shared" si="9"/>
        <v>590</v>
      </c>
      <c r="WQ2" s="157">
        <f t="shared" si="9"/>
        <v>591</v>
      </c>
    </row>
    <row r="3" spans="1:615" s="32" customFormat="1" ht="47.25" customHeight="1" thickBot="1" x14ac:dyDescent="0.3">
      <c r="B3" s="33" t="s">
        <v>50</v>
      </c>
      <c r="C3" s="34" t="s">
        <v>59</v>
      </c>
      <c r="D3" s="34" t="s">
        <v>61</v>
      </c>
      <c r="E3" s="34" t="s">
        <v>80</v>
      </c>
      <c r="F3" s="35" t="s">
        <v>81</v>
      </c>
      <c r="G3" s="121" t="s">
        <v>82</v>
      </c>
      <c r="H3" s="122" t="s">
        <v>218</v>
      </c>
      <c r="I3" s="123" t="s">
        <v>84</v>
      </c>
      <c r="J3" s="121" t="s">
        <v>85</v>
      </c>
      <c r="K3" s="124" t="s">
        <v>86</v>
      </c>
      <c r="L3" s="125" t="s">
        <v>87</v>
      </c>
      <c r="M3" s="126" t="s">
        <v>88</v>
      </c>
      <c r="N3" s="127" t="str">
        <f>"Actual Hours
as at "&amp;TEXT($C$2,"dd-mmm")</f>
        <v>Actual Hours
as at 03-Nov</v>
      </c>
      <c r="O3" s="126" t="s">
        <v>90</v>
      </c>
      <c r="P3" s="126" t="s">
        <v>91</v>
      </c>
      <c r="Q3" s="128" t="s">
        <v>92</v>
      </c>
      <c r="R3" s="121" t="s">
        <v>93</v>
      </c>
      <c r="S3" s="122" t="s">
        <v>94</v>
      </c>
      <c r="T3" s="122" t="s">
        <v>95</v>
      </c>
      <c r="U3" s="123" t="s">
        <v>96</v>
      </c>
      <c r="V3" s="36" t="s">
        <v>97</v>
      </c>
      <c r="W3" s="36" t="s">
        <v>219</v>
      </c>
      <c r="X3" s="36" t="s">
        <v>220</v>
      </c>
      <c r="Y3" s="240">
        <v>45964</v>
      </c>
      <c r="Z3" s="159">
        <f>Y3+7</f>
        <v>45971</v>
      </c>
      <c r="AA3" s="159">
        <f t="shared" ref="AA3:CL3" si="10">Z3+7</f>
        <v>45978</v>
      </c>
      <c r="AB3" s="159">
        <f t="shared" si="10"/>
        <v>45985</v>
      </c>
      <c r="AC3" s="159">
        <f t="shared" si="10"/>
        <v>45992</v>
      </c>
      <c r="AD3" s="159">
        <f t="shared" si="10"/>
        <v>45999</v>
      </c>
      <c r="AE3" s="159">
        <f t="shared" si="10"/>
        <v>46006</v>
      </c>
      <c r="AF3" s="159">
        <f t="shared" si="10"/>
        <v>46013</v>
      </c>
      <c r="AG3" s="159">
        <f t="shared" si="10"/>
        <v>46020</v>
      </c>
      <c r="AH3" s="159">
        <f t="shared" si="10"/>
        <v>46027</v>
      </c>
      <c r="AI3" s="159">
        <f t="shared" si="10"/>
        <v>46034</v>
      </c>
      <c r="AJ3" s="159">
        <f t="shared" si="10"/>
        <v>46041</v>
      </c>
      <c r="AK3" s="159">
        <f t="shared" si="10"/>
        <v>46048</v>
      </c>
      <c r="AL3" s="159">
        <f t="shared" si="10"/>
        <v>46055</v>
      </c>
      <c r="AM3" s="159">
        <f t="shared" si="10"/>
        <v>46062</v>
      </c>
      <c r="AN3" s="159">
        <f t="shared" si="10"/>
        <v>46069</v>
      </c>
      <c r="AO3" s="159">
        <f t="shared" si="10"/>
        <v>46076</v>
      </c>
      <c r="AP3" s="159">
        <f t="shared" si="10"/>
        <v>46083</v>
      </c>
      <c r="AQ3" s="159">
        <f t="shared" si="10"/>
        <v>46090</v>
      </c>
      <c r="AR3" s="159">
        <f t="shared" si="10"/>
        <v>46097</v>
      </c>
      <c r="AS3" s="159">
        <f t="shared" si="10"/>
        <v>46104</v>
      </c>
      <c r="AT3" s="159">
        <f t="shared" si="10"/>
        <v>46111</v>
      </c>
      <c r="AU3" s="159">
        <f t="shared" si="10"/>
        <v>46118</v>
      </c>
      <c r="AV3" s="159">
        <f t="shared" si="10"/>
        <v>46125</v>
      </c>
      <c r="AW3" s="159">
        <f t="shared" si="10"/>
        <v>46132</v>
      </c>
      <c r="AX3" s="159">
        <f t="shared" si="10"/>
        <v>46139</v>
      </c>
      <c r="AY3" s="159">
        <f t="shared" si="10"/>
        <v>46146</v>
      </c>
      <c r="AZ3" s="159">
        <f t="shared" si="10"/>
        <v>46153</v>
      </c>
      <c r="BA3" s="159">
        <f t="shared" si="10"/>
        <v>46160</v>
      </c>
      <c r="BB3" s="159">
        <f t="shared" si="10"/>
        <v>46167</v>
      </c>
      <c r="BC3" s="159">
        <f t="shared" si="10"/>
        <v>46174</v>
      </c>
      <c r="BD3" s="159">
        <f t="shared" si="10"/>
        <v>46181</v>
      </c>
      <c r="BE3" s="159">
        <f t="shared" si="10"/>
        <v>46188</v>
      </c>
      <c r="BF3" s="159">
        <f t="shared" si="10"/>
        <v>46195</v>
      </c>
      <c r="BG3" s="159">
        <f t="shared" si="10"/>
        <v>46202</v>
      </c>
      <c r="BH3" s="159">
        <f t="shared" si="10"/>
        <v>46209</v>
      </c>
      <c r="BI3" s="159">
        <f t="shared" si="10"/>
        <v>46216</v>
      </c>
      <c r="BJ3" s="159">
        <f t="shared" si="10"/>
        <v>46223</v>
      </c>
      <c r="BK3" s="159">
        <f t="shared" si="10"/>
        <v>46230</v>
      </c>
      <c r="BL3" s="159">
        <f t="shared" si="10"/>
        <v>46237</v>
      </c>
      <c r="BM3" s="159">
        <f t="shared" si="10"/>
        <v>46244</v>
      </c>
      <c r="BN3" s="159">
        <f t="shared" si="10"/>
        <v>46251</v>
      </c>
      <c r="BO3" s="159">
        <f t="shared" si="10"/>
        <v>46258</v>
      </c>
      <c r="BP3" s="159">
        <f t="shared" si="10"/>
        <v>46265</v>
      </c>
      <c r="BQ3" s="159">
        <f t="shared" si="10"/>
        <v>46272</v>
      </c>
      <c r="BR3" s="159">
        <f t="shared" si="10"/>
        <v>46279</v>
      </c>
      <c r="BS3" s="159">
        <f t="shared" si="10"/>
        <v>46286</v>
      </c>
      <c r="BT3" s="159">
        <f t="shared" si="10"/>
        <v>46293</v>
      </c>
      <c r="BU3" s="159">
        <f t="shared" si="10"/>
        <v>46300</v>
      </c>
      <c r="BV3" s="159">
        <f t="shared" si="10"/>
        <v>46307</v>
      </c>
      <c r="BW3" s="159">
        <f t="shared" si="10"/>
        <v>46314</v>
      </c>
      <c r="BX3" s="159">
        <f t="shared" si="10"/>
        <v>46321</v>
      </c>
      <c r="BY3" s="159">
        <f t="shared" si="10"/>
        <v>46328</v>
      </c>
      <c r="BZ3" s="159">
        <f t="shared" si="10"/>
        <v>46335</v>
      </c>
      <c r="CA3" s="159">
        <f t="shared" si="10"/>
        <v>46342</v>
      </c>
      <c r="CB3" s="159">
        <f t="shared" si="10"/>
        <v>46349</v>
      </c>
      <c r="CC3" s="159">
        <f t="shared" si="10"/>
        <v>46356</v>
      </c>
      <c r="CD3" s="159">
        <f t="shared" si="10"/>
        <v>46363</v>
      </c>
      <c r="CE3" s="159">
        <f t="shared" si="10"/>
        <v>46370</v>
      </c>
      <c r="CF3" s="159">
        <f t="shared" si="10"/>
        <v>46377</v>
      </c>
      <c r="CG3" s="159">
        <f t="shared" si="10"/>
        <v>46384</v>
      </c>
      <c r="CH3" s="159">
        <f t="shared" si="10"/>
        <v>46391</v>
      </c>
      <c r="CI3" s="159">
        <f t="shared" si="10"/>
        <v>46398</v>
      </c>
      <c r="CJ3" s="159">
        <f t="shared" si="10"/>
        <v>46405</v>
      </c>
      <c r="CK3" s="159">
        <f t="shared" si="10"/>
        <v>46412</v>
      </c>
      <c r="CL3" s="159">
        <f t="shared" si="10"/>
        <v>46419</v>
      </c>
      <c r="CM3" s="159">
        <f t="shared" ref="CM3:EX3" si="11">CL3+7</f>
        <v>46426</v>
      </c>
      <c r="CN3" s="159">
        <f t="shared" si="11"/>
        <v>46433</v>
      </c>
      <c r="CO3" s="159">
        <f t="shared" si="11"/>
        <v>46440</v>
      </c>
      <c r="CP3" s="159">
        <f t="shared" si="11"/>
        <v>46447</v>
      </c>
      <c r="CQ3" s="159">
        <f t="shared" si="11"/>
        <v>46454</v>
      </c>
      <c r="CR3" s="159">
        <f t="shared" si="11"/>
        <v>46461</v>
      </c>
      <c r="CS3" s="159">
        <f t="shared" si="11"/>
        <v>46468</v>
      </c>
      <c r="CT3" s="159">
        <f t="shared" si="11"/>
        <v>46475</v>
      </c>
      <c r="CU3" s="159">
        <f t="shared" si="11"/>
        <v>46482</v>
      </c>
      <c r="CV3" s="159">
        <f t="shared" si="11"/>
        <v>46489</v>
      </c>
      <c r="CW3" s="159">
        <f t="shared" si="11"/>
        <v>46496</v>
      </c>
      <c r="CX3" s="159">
        <f t="shared" si="11"/>
        <v>46503</v>
      </c>
      <c r="CY3" s="159">
        <f t="shared" si="11"/>
        <v>46510</v>
      </c>
      <c r="CZ3" s="159">
        <f t="shared" si="11"/>
        <v>46517</v>
      </c>
      <c r="DA3" s="159">
        <f t="shared" si="11"/>
        <v>46524</v>
      </c>
      <c r="DB3" s="159">
        <f t="shared" si="11"/>
        <v>46531</v>
      </c>
      <c r="DC3" s="159">
        <f t="shared" si="11"/>
        <v>46538</v>
      </c>
      <c r="DD3" s="159">
        <f t="shared" si="11"/>
        <v>46545</v>
      </c>
      <c r="DE3" s="159">
        <f t="shared" si="11"/>
        <v>46552</v>
      </c>
      <c r="DF3" s="159">
        <f t="shared" si="11"/>
        <v>46559</v>
      </c>
      <c r="DG3" s="159">
        <f t="shared" si="11"/>
        <v>46566</v>
      </c>
      <c r="DH3" s="159">
        <f t="shared" si="11"/>
        <v>46573</v>
      </c>
      <c r="DI3" s="159">
        <f t="shared" si="11"/>
        <v>46580</v>
      </c>
      <c r="DJ3" s="159">
        <f t="shared" si="11"/>
        <v>46587</v>
      </c>
      <c r="DK3" s="159">
        <f t="shared" si="11"/>
        <v>46594</v>
      </c>
      <c r="DL3" s="159">
        <f t="shared" si="11"/>
        <v>46601</v>
      </c>
      <c r="DM3" s="159">
        <f t="shared" si="11"/>
        <v>46608</v>
      </c>
      <c r="DN3" s="159">
        <f t="shared" si="11"/>
        <v>46615</v>
      </c>
      <c r="DO3" s="159">
        <f t="shared" si="11"/>
        <v>46622</v>
      </c>
      <c r="DP3" s="159">
        <f t="shared" si="11"/>
        <v>46629</v>
      </c>
      <c r="DQ3" s="159">
        <f t="shared" si="11"/>
        <v>46636</v>
      </c>
      <c r="DR3" s="159">
        <f t="shared" si="11"/>
        <v>46643</v>
      </c>
      <c r="DS3" s="159">
        <f t="shared" si="11"/>
        <v>46650</v>
      </c>
      <c r="DT3" s="159">
        <f t="shared" si="11"/>
        <v>46657</v>
      </c>
      <c r="DU3" s="159">
        <f t="shared" si="11"/>
        <v>46664</v>
      </c>
      <c r="DV3" s="159">
        <f t="shared" si="11"/>
        <v>46671</v>
      </c>
      <c r="DW3" s="159">
        <f t="shared" si="11"/>
        <v>46678</v>
      </c>
      <c r="DX3" s="159">
        <f t="shared" si="11"/>
        <v>46685</v>
      </c>
      <c r="DY3" s="159">
        <f t="shared" si="11"/>
        <v>46692</v>
      </c>
      <c r="DZ3" s="159">
        <f t="shared" si="11"/>
        <v>46699</v>
      </c>
      <c r="EA3" s="159">
        <f t="shared" si="11"/>
        <v>46706</v>
      </c>
      <c r="EB3" s="159">
        <f t="shared" si="11"/>
        <v>46713</v>
      </c>
      <c r="EC3" s="159">
        <f t="shared" si="11"/>
        <v>46720</v>
      </c>
      <c r="ED3" s="159">
        <f t="shared" si="11"/>
        <v>46727</v>
      </c>
      <c r="EE3" s="159">
        <f t="shared" si="11"/>
        <v>46734</v>
      </c>
      <c r="EF3" s="159">
        <f t="shared" si="11"/>
        <v>46741</v>
      </c>
      <c r="EG3" s="159">
        <f t="shared" si="11"/>
        <v>46748</v>
      </c>
      <c r="EH3" s="159">
        <f t="shared" si="11"/>
        <v>46755</v>
      </c>
      <c r="EI3" s="159">
        <f t="shared" si="11"/>
        <v>46762</v>
      </c>
      <c r="EJ3" s="159">
        <f t="shared" si="11"/>
        <v>46769</v>
      </c>
      <c r="EK3" s="159">
        <f t="shared" si="11"/>
        <v>46776</v>
      </c>
      <c r="EL3" s="159">
        <f t="shared" si="11"/>
        <v>46783</v>
      </c>
      <c r="EM3" s="159">
        <f t="shared" si="11"/>
        <v>46790</v>
      </c>
      <c r="EN3" s="159">
        <f t="shared" si="11"/>
        <v>46797</v>
      </c>
      <c r="EO3" s="159">
        <f t="shared" si="11"/>
        <v>46804</v>
      </c>
      <c r="EP3" s="159">
        <f t="shared" si="11"/>
        <v>46811</v>
      </c>
      <c r="EQ3" s="159">
        <f t="shared" si="11"/>
        <v>46818</v>
      </c>
      <c r="ER3" s="159">
        <f t="shared" si="11"/>
        <v>46825</v>
      </c>
      <c r="ES3" s="159">
        <f t="shared" si="11"/>
        <v>46832</v>
      </c>
      <c r="ET3" s="159">
        <f t="shared" si="11"/>
        <v>46839</v>
      </c>
      <c r="EU3" s="159">
        <f t="shared" si="11"/>
        <v>46846</v>
      </c>
      <c r="EV3" s="159">
        <f t="shared" si="11"/>
        <v>46853</v>
      </c>
      <c r="EW3" s="159">
        <f t="shared" si="11"/>
        <v>46860</v>
      </c>
      <c r="EX3" s="159">
        <f t="shared" si="11"/>
        <v>46867</v>
      </c>
      <c r="EY3" s="159">
        <f t="shared" ref="EY3:HJ3" si="12">EX3+7</f>
        <v>46874</v>
      </c>
      <c r="EZ3" s="159">
        <f t="shared" si="12"/>
        <v>46881</v>
      </c>
      <c r="FA3" s="159">
        <f t="shared" si="12"/>
        <v>46888</v>
      </c>
      <c r="FB3" s="159">
        <f t="shared" si="12"/>
        <v>46895</v>
      </c>
      <c r="FC3" s="159">
        <f t="shared" si="12"/>
        <v>46902</v>
      </c>
      <c r="FD3" s="159">
        <f t="shared" si="12"/>
        <v>46909</v>
      </c>
      <c r="FE3" s="159">
        <f t="shared" si="12"/>
        <v>46916</v>
      </c>
      <c r="FF3" s="159">
        <f t="shared" si="12"/>
        <v>46923</v>
      </c>
      <c r="FG3" s="159">
        <f t="shared" si="12"/>
        <v>46930</v>
      </c>
      <c r="FH3" s="159">
        <f t="shared" si="12"/>
        <v>46937</v>
      </c>
      <c r="FI3" s="159">
        <f t="shared" si="12"/>
        <v>46944</v>
      </c>
      <c r="FJ3" s="159">
        <f t="shared" si="12"/>
        <v>46951</v>
      </c>
      <c r="FK3" s="159">
        <f t="shared" si="12"/>
        <v>46958</v>
      </c>
      <c r="FL3" s="159">
        <f t="shared" si="12"/>
        <v>46965</v>
      </c>
      <c r="FM3" s="159">
        <f t="shared" si="12"/>
        <v>46972</v>
      </c>
      <c r="FN3" s="159">
        <f t="shared" si="12"/>
        <v>46979</v>
      </c>
      <c r="FO3" s="159">
        <f t="shared" si="12"/>
        <v>46986</v>
      </c>
      <c r="FP3" s="159">
        <f t="shared" si="12"/>
        <v>46993</v>
      </c>
      <c r="FQ3" s="159">
        <f t="shared" si="12"/>
        <v>47000</v>
      </c>
      <c r="FR3" s="159">
        <f t="shared" si="12"/>
        <v>47007</v>
      </c>
      <c r="FS3" s="159">
        <f t="shared" si="12"/>
        <v>47014</v>
      </c>
      <c r="FT3" s="159">
        <f t="shared" si="12"/>
        <v>47021</v>
      </c>
      <c r="FU3" s="159">
        <f t="shared" si="12"/>
        <v>47028</v>
      </c>
      <c r="FV3" s="159">
        <f t="shared" si="12"/>
        <v>47035</v>
      </c>
      <c r="FW3" s="159">
        <f t="shared" si="12"/>
        <v>47042</v>
      </c>
      <c r="FX3" s="159">
        <f t="shared" si="12"/>
        <v>47049</v>
      </c>
      <c r="FY3" s="159">
        <f t="shared" si="12"/>
        <v>47056</v>
      </c>
      <c r="FZ3" s="159">
        <f t="shared" si="12"/>
        <v>47063</v>
      </c>
      <c r="GA3" s="159">
        <f t="shared" si="12"/>
        <v>47070</v>
      </c>
      <c r="GB3" s="159">
        <f t="shared" si="12"/>
        <v>47077</v>
      </c>
      <c r="GC3" s="159">
        <f t="shared" si="12"/>
        <v>47084</v>
      </c>
      <c r="GD3" s="159">
        <f t="shared" si="12"/>
        <v>47091</v>
      </c>
      <c r="GE3" s="159">
        <f t="shared" si="12"/>
        <v>47098</v>
      </c>
      <c r="GF3" s="159">
        <f t="shared" si="12"/>
        <v>47105</v>
      </c>
      <c r="GG3" s="159">
        <f t="shared" si="12"/>
        <v>47112</v>
      </c>
      <c r="GH3" s="159">
        <f t="shared" si="12"/>
        <v>47119</v>
      </c>
      <c r="GI3" s="159">
        <f t="shared" si="12"/>
        <v>47126</v>
      </c>
      <c r="GJ3" s="159">
        <f t="shared" si="12"/>
        <v>47133</v>
      </c>
      <c r="GK3" s="159">
        <f t="shared" si="12"/>
        <v>47140</v>
      </c>
      <c r="GL3" s="159">
        <f t="shared" si="12"/>
        <v>47147</v>
      </c>
      <c r="GM3" s="159">
        <f t="shared" si="12"/>
        <v>47154</v>
      </c>
      <c r="GN3" s="159">
        <f t="shared" si="12"/>
        <v>47161</v>
      </c>
      <c r="GO3" s="159">
        <f t="shared" si="12"/>
        <v>47168</v>
      </c>
      <c r="GP3" s="159">
        <f t="shared" si="12"/>
        <v>47175</v>
      </c>
      <c r="GQ3" s="159">
        <f t="shared" si="12"/>
        <v>47182</v>
      </c>
      <c r="GR3" s="159">
        <f t="shared" si="12"/>
        <v>47189</v>
      </c>
      <c r="GS3" s="159">
        <f t="shared" si="12"/>
        <v>47196</v>
      </c>
      <c r="GT3" s="159">
        <f t="shared" si="12"/>
        <v>47203</v>
      </c>
      <c r="GU3" s="159">
        <f t="shared" si="12"/>
        <v>47210</v>
      </c>
      <c r="GV3" s="159">
        <f t="shared" si="12"/>
        <v>47217</v>
      </c>
      <c r="GW3" s="159">
        <f t="shared" si="12"/>
        <v>47224</v>
      </c>
      <c r="GX3" s="159">
        <f t="shared" si="12"/>
        <v>47231</v>
      </c>
      <c r="GY3" s="159">
        <f t="shared" si="12"/>
        <v>47238</v>
      </c>
      <c r="GZ3" s="159">
        <f t="shared" si="12"/>
        <v>47245</v>
      </c>
      <c r="HA3" s="159">
        <f t="shared" si="12"/>
        <v>47252</v>
      </c>
      <c r="HB3" s="159">
        <f t="shared" si="12"/>
        <v>47259</v>
      </c>
      <c r="HC3" s="159">
        <f t="shared" si="12"/>
        <v>47266</v>
      </c>
      <c r="HD3" s="159">
        <f t="shared" si="12"/>
        <v>47273</v>
      </c>
      <c r="HE3" s="159">
        <f t="shared" si="12"/>
        <v>47280</v>
      </c>
      <c r="HF3" s="159">
        <f t="shared" si="12"/>
        <v>47287</v>
      </c>
      <c r="HG3" s="159">
        <f t="shared" si="12"/>
        <v>47294</v>
      </c>
      <c r="HH3" s="159">
        <f t="shared" si="12"/>
        <v>47301</v>
      </c>
      <c r="HI3" s="159">
        <f t="shared" si="12"/>
        <v>47308</v>
      </c>
      <c r="HJ3" s="159">
        <f t="shared" si="12"/>
        <v>47315</v>
      </c>
      <c r="HK3" s="159">
        <f t="shared" ref="HK3:JV3" si="13">HJ3+7</f>
        <v>47322</v>
      </c>
      <c r="HL3" s="159">
        <f t="shared" si="13"/>
        <v>47329</v>
      </c>
      <c r="HM3" s="159">
        <f t="shared" si="13"/>
        <v>47336</v>
      </c>
      <c r="HN3" s="159">
        <f t="shared" si="13"/>
        <v>47343</v>
      </c>
      <c r="HO3" s="159">
        <f t="shared" si="13"/>
        <v>47350</v>
      </c>
      <c r="HP3" s="159">
        <f t="shared" si="13"/>
        <v>47357</v>
      </c>
      <c r="HQ3" s="159">
        <f t="shared" si="13"/>
        <v>47364</v>
      </c>
      <c r="HR3" s="159">
        <f t="shared" si="13"/>
        <v>47371</v>
      </c>
      <c r="HS3" s="159">
        <f t="shared" si="13"/>
        <v>47378</v>
      </c>
      <c r="HT3" s="159">
        <f t="shared" si="13"/>
        <v>47385</v>
      </c>
      <c r="HU3" s="159">
        <f t="shared" si="13"/>
        <v>47392</v>
      </c>
      <c r="HV3" s="159">
        <f t="shared" si="13"/>
        <v>47399</v>
      </c>
      <c r="HW3" s="159">
        <f t="shared" si="13"/>
        <v>47406</v>
      </c>
      <c r="HX3" s="159">
        <f t="shared" si="13"/>
        <v>47413</v>
      </c>
      <c r="HY3" s="159">
        <f t="shared" si="13"/>
        <v>47420</v>
      </c>
      <c r="HZ3" s="159">
        <f t="shared" si="13"/>
        <v>47427</v>
      </c>
      <c r="IA3" s="159">
        <f t="shared" si="13"/>
        <v>47434</v>
      </c>
      <c r="IB3" s="159">
        <f t="shared" si="13"/>
        <v>47441</v>
      </c>
      <c r="IC3" s="159">
        <f t="shared" si="13"/>
        <v>47448</v>
      </c>
      <c r="ID3" s="159">
        <f t="shared" si="13"/>
        <v>47455</v>
      </c>
      <c r="IE3" s="159">
        <f t="shared" si="13"/>
        <v>47462</v>
      </c>
      <c r="IF3" s="159">
        <f t="shared" si="13"/>
        <v>47469</v>
      </c>
      <c r="IG3" s="159">
        <f t="shared" si="13"/>
        <v>47476</v>
      </c>
      <c r="IH3" s="159">
        <f t="shared" si="13"/>
        <v>47483</v>
      </c>
      <c r="II3" s="159">
        <f t="shared" si="13"/>
        <v>47490</v>
      </c>
      <c r="IJ3" s="159">
        <f t="shared" si="13"/>
        <v>47497</v>
      </c>
      <c r="IK3" s="159">
        <f t="shared" si="13"/>
        <v>47504</v>
      </c>
      <c r="IL3" s="159">
        <f t="shared" si="13"/>
        <v>47511</v>
      </c>
      <c r="IM3" s="159">
        <f t="shared" si="13"/>
        <v>47518</v>
      </c>
      <c r="IN3" s="159">
        <f t="shared" si="13"/>
        <v>47525</v>
      </c>
      <c r="IO3" s="159">
        <f t="shared" si="13"/>
        <v>47532</v>
      </c>
      <c r="IP3" s="159">
        <f t="shared" si="13"/>
        <v>47539</v>
      </c>
      <c r="IQ3" s="159">
        <f t="shared" si="13"/>
        <v>47546</v>
      </c>
      <c r="IR3" s="159">
        <f t="shared" si="13"/>
        <v>47553</v>
      </c>
      <c r="IS3" s="159">
        <f t="shared" si="13"/>
        <v>47560</v>
      </c>
      <c r="IT3" s="159">
        <f t="shared" si="13"/>
        <v>47567</v>
      </c>
      <c r="IU3" s="159">
        <f t="shared" si="13"/>
        <v>47574</v>
      </c>
      <c r="IV3" s="159">
        <f t="shared" si="13"/>
        <v>47581</v>
      </c>
      <c r="IW3" s="159">
        <f t="shared" si="13"/>
        <v>47588</v>
      </c>
      <c r="IX3" s="159">
        <f t="shared" si="13"/>
        <v>47595</v>
      </c>
      <c r="IY3" s="159">
        <f t="shared" si="13"/>
        <v>47602</v>
      </c>
      <c r="IZ3" s="159">
        <f t="shared" si="13"/>
        <v>47609</v>
      </c>
      <c r="JA3" s="159">
        <f t="shared" si="13"/>
        <v>47616</v>
      </c>
      <c r="JB3" s="159">
        <f t="shared" si="13"/>
        <v>47623</v>
      </c>
      <c r="JC3" s="159">
        <f t="shared" si="13"/>
        <v>47630</v>
      </c>
      <c r="JD3" s="159">
        <f t="shared" si="13"/>
        <v>47637</v>
      </c>
      <c r="JE3" s="159">
        <f t="shared" si="13"/>
        <v>47644</v>
      </c>
      <c r="JF3" s="159">
        <f t="shared" si="13"/>
        <v>47651</v>
      </c>
      <c r="JG3" s="159">
        <f t="shared" si="13"/>
        <v>47658</v>
      </c>
      <c r="JH3" s="159">
        <f t="shared" si="13"/>
        <v>47665</v>
      </c>
      <c r="JI3" s="159">
        <f t="shared" si="13"/>
        <v>47672</v>
      </c>
      <c r="JJ3" s="159">
        <f t="shared" si="13"/>
        <v>47679</v>
      </c>
      <c r="JK3" s="159">
        <f t="shared" si="13"/>
        <v>47686</v>
      </c>
      <c r="JL3" s="159">
        <f t="shared" si="13"/>
        <v>47693</v>
      </c>
      <c r="JM3" s="159">
        <f t="shared" si="13"/>
        <v>47700</v>
      </c>
      <c r="JN3" s="159">
        <f t="shared" si="13"/>
        <v>47707</v>
      </c>
      <c r="JO3" s="159">
        <f t="shared" si="13"/>
        <v>47714</v>
      </c>
      <c r="JP3" s="159">
        <f t="shared" si="13"/>
        <v>47721</v>
      </c>
      <c r="JQ3" s="159">
        <f t="shared" si="13"/>
        <v>47728</v>
      </c>
      <c r="JR3" s="159">
        <f t="shared" si="13"/>
        <v>47735</v>
      </c>
      <c r="JS3" s="159">
        <f t="shared" si="13"/>
        <v>47742</v>
      </c>
      <c r="JT3" s="159">
        <f t="shared" si="13"/>
        <v>47749</v>
      </c>
      <c r="JU3" s="159">
        <f t="shared" si="13"/>
        <v>47756</v>
      </c>
      <c r="JV3" s="159">
        <f t="shared" si="13"/>
        <v>47763</v>
      </c>
      <c r="JW3" s="159">
        <f t="shared" ref="JW3:MH3" si="14">JV3+7</f>
        <v>47770</v>
      </c>
      <c r="JX3" s="159">
        <f t="shared" si="14"/>
        <v>47777</v>
      </c>
      <c r="JY3" s="159">
        <f t="shared" si="14"/>
        <v>47784</v>
      </c>
      <c r="JZ3" s="159">
        <f t="shared" si="14"/>
        <v>47791</v>
      </c>
      <c r="KA3" s="159">
        <f t="shared" si="14"/>
        <v>47798</v>
      </c>
      <c r="KB3" s="159">
        <f t="shared" si="14"/>
        <v>47805</v>
      </c>
      <c r="KC3" s="159">
        <f t="shared" si="14"/>
        <v>47812</v>
      </c>
      <c r="KD3" s="159">
        <f t="shared" si="14"/>
        <v>47819</v>
      </c>
      <c r="KE3" s="159">
        <f t="shared" si="14"/>
        <v>47826</v>
      </c>
      <c r="KF3" s="159">
        <f t="shared" si="14"/>
        <v>47833</v>
      </c>
      <c r="KG3" s="159">
        <f t="shared" si="14"/>
        <v>47840</v>
      </c>
      <c r="KH3" s="159">
        <f t="shared" si="14"/>
        <v>47847</v>
      </c>
      <c r="KI3" s="159">
        <f t="shared" si="14"/>
        <v>47854</v>
      </c>
      <c r="KJ3" s="159">
        <f t="shared" si="14"/>
        <v>47861</v>
      </c>
      <c r="KK3" s="159">
        <f t="shared" si="14"/>
        <v>47868</v>
      </c>
      <c r="KL3" s="159">
        <f t="shared" si="14"/>
        <v>47875</v>
      </c>
      <c r="KM3" s="159">
        <f t="shared" si="14"/>
        <v>47882</v>
      </c>
      <c r="KN3" s="159">
        <f t="shared" si="14"/>
        <v>47889</v>
      </c>
      <c r="KO3" s="159">
        <f t="shared" si="14"/>
        <v>47896</v>
      </c>
      <c r="KP3" s="159">
        <f t="shared" si="14"/>
        <v>47903</v>
      </c>
      <c r="KQ3" s="159">
        <f t="shared" si="14"/>
        <v>47910</v>
      </c>
      <c r="KR3" s="159">
        <f t="shared" si="14"/>
        <v>47917</v>
      </c>
      <c r="KS3" s="159">
        <f t="shared" si="14"/>
        <v>47924</v>
      </c>
      <c r="KT3" s="159">
        <f t="shared" si="14"/>
        <v>47931</v>
      </c>
      <c r="KU3" s="159">
        <f t="shared" si="14"/>
        <v>47938</v>
      </c>
      <c r="KV3" s="159">
        <f t="shared" si="14"/>
        <v>47945</v>
      </c>
      <c r="KW3" s="159">
        <f t="shared" si="14"/>
        <v>47952</v>
      </c>
      <c r="KX3" s="159">
        <f t="shared" si="14"/>
        <v>47959</v>
      </c>
      <c r="KY3" s="159">
        <f t="shared" si="14"/>
        <v>47966</v>
      </c>
      <c r="KZ3" s="159">
        <f t="shared" si="14"/>
        <v>47973</v>
      </c>
      <c r="LA3" s="159">
        <f t="shared" si="14"/>
        <v>47980</v>
      </c>
      <c r="LB3" s="159">
        <f t="shared" si="14"/>
        <v>47987</v>
      </c>
      <c r="LC3" s="159">
        <f t="shared" si="14"/>
        <v>47994</v>
      </c>
      <c r="LD3" s="159">
        <f t="shared" si="14"/>
        <v>48001</v>
      </c>
      <c r="LE3" s="159">
        <f t="shared" si="14"/>
        <v>48008</v>
      </c>
      <c r="LF3" s="159">
        <f t="shared" si="14"/>
        <v>48015</v>
      </c>
      <c r="LG3" s="159">
        <f t="shared" si="14"/>
        <v>48022</v>
      </c>
      <c r="LH3" s="159">
        <f t="shared" si="14"/>
        <v>48029</v>
      </c>
      <c r="LI3" s="159">
        <f t="shared" si="14"/>
        <v>48036</v>
      </c>
      <c r="LJ3" s="159">
        <f t="shared" si="14"/>
        <v>48043</v>
      </c>
      <c r="LK3" s="159">
        <f t="shared" si="14"/>
        <v>48050</v>
      </c>
      <c r="LL3" s="159">
        <f t="shared" si="14"/>
        <v>48057</v>
      </c>
      <c r="LM3" s="159">
        <f t="shared" si="14"/>
        <v>48064</v>
      </c>
      <c r="LN3" s="159">
        <f t="shared" si="14"/>
        <v>48071</v>
      </c>
      <c r="LO3" s="159">
        <f t="shared" si="14"/>
        <v>48078</v>
      </c>
      <c r="LP3" s="159">
        <f t="shared" si="14"/>
        <v>48085</v>
      </c>
      <c r="LQ3" s="159">
        <f t="shared" si="14"/>
        <v>48092</v>
      </c>
      <c r="LR3" s="159">
        <f t="shared" si="14"/>
        <v>48099</v>
      </c>
      <c r="LS3" s="159">
        <f t="shared" si="14"/>
        <v>48106</v>
      </c>
      <c r="LT3" s="159">
        <f t="shared" si="14"/>
        <v>48113</v>
      </c>
      <c r="LU3" s="159">
        <f t="shared" si="14"/>
        <v>48120</v>
      </c>
      <c r="LV3" s="159">
        <f t="shared" si="14"/>
        <v>48127</v>
      </c>
      <c r="LW3" s="159">
        <f t="shared" si="14"/>
        <v>48134</v>
      </c>
      <c r="LX3" s="159">
        <f t="shared" si="14"/>
        <v>48141</v>
      </c>
      <c r="LY3" s="159">
        <f t="shared" si="14"/>
        <v>48148</v>
      </c>
      <c r="LZ3" s="159">
        <f t="shared" si="14"/>
        <v>48155</v>
      </c>
      <c r="MA3" s="159">
        <f t="shared" si="14"/>
        <v>48162</v>
      </c>
      <c r="MB3" s="159">
        <f t="shared" si="14"/>
        <v>48169</v>
      </c>
      <c r="MC3" s="159">
        <f t="shared" si="14"/>
        <v>48176</v>
      </c>
      <c r="MD3" s="159">
        <f t="shared" si="14"/>
        <v>48183</v>
      </c>
      <c r="ME3" s="159">
        <f t="shared" si="14"/>
        <v>48190</v>
      </c>
      <c r="MF3" s="159">
        <f t="shared" si="14"/>
        <v>48197</v>
      </c>
      <c r="MG3" s="159">
        <f t="shared" si="14"/>
        <v>48204</v>
      </c>
      <c r="MH3" s="159">
        <f t="shared" si="14"/>
        <v>48211</v>
      </c>
      <c r="MI3" s="159">
        <f t="shared" ref="MI3:OT3" si="15">MH3+7</f>
        <v>48218</v>
      </c>
      <c r="MJ3" s="159">
        <f t="shared" si="15"/>
        <v>48225</v>
      </c>
      <c r="MK3" s="159">
        <f t="shared" si="15"/>
        <v>48232</v>
      </c>
      <c r="ML3" s="159">
        <f t="shared" si="15"/>
        <v>48239</v>
      </c>
      <c r="MM3" s="159">
        <f t="shared" si="15"/>
        <v>48246</v>
      </c>
      <c r="MN3" s="159">
        <f t="shared" si="15"/>
        <v>48253</v>
      </c>
      <c r="MO3" s="159">
        <f t="shared" si="15"/>
        <v>48260</v>
      </c>
      <c r="MP3" s="159">
        <f t="shared" si="15"/>
        <v>48267</v>
      </c>
      <c r="MQ3" s="159">
        <f t="shared" si="15"/>
        <v>48274</v>
      </c>
      <c r="MR3" s="159">
        <f t="shared" si="15"/>
        <v>48281</v>
      </c>
      <c r="MS3" s="159">
        <f t="shared" si="15"/>
        <v>48288</v>
      </c>
      <c r="MT3" s="159">
        <f t="shared" si="15"/>
        <v>48295</v>
      </c>
      <c r="MU3" s="159">
        <f t="shared" si="15"/>
        <v>48302</v>
      </c>
      <c r="MV3" s="159">
        <f t="shared" si="15"/>
        <v>48309</v>
      </c>
      <c r="MW3" s="159">
        <f t="shared" si="15"/>
        <v>48316</v>
      </c>
      <c r="MX3" s="159">
        <f t="shared" si="15"/>
        <v>48323</v>
      </c>
      <c r="MY3" s="159">
        <f t="shared" si="15"/>
        <v>48330</v>
      </c>
      <c r="MZ3" s="159">
        <f t="shared" si="15"/>
        <v>48337</v>
      </c>
      <c r="NA3" s="159">
        <f t="shared" si="15"/>
        <v>48344</v>
      </c>
      <c r="NB3" s="159">
        <f t="shared" si="15"/>
        <v>48351</v>
      </c>
      <c r="NC3" s="159">
        <f t="shared" si="15"/>
        <v>48358</v>
      </c>
      <c r="ND3" s="159">
        <f t="shared" si="15"/>
        <v>48365</v>
      </c>
      <c r="NE3" s="159">
        <f t="shared" si="15"/>
        <v>48372</v>
      </c>
      <c r="NF3" s="159">
        <f t="shared" si="15"/>
        <v>48379</v>
      </c>
      <c r="NG3" s="159">
        <f t="shared" si="15"/>
        <v>48386</v>
      </c>
      <c r="NH3" s="159">
        <f t="shared" si="15"/>
        <v>48393</v>
      </c>
      <c r="NI3" s="159">
        <f t="shared" si="15"/>
        <v>48400</v>
      </c>
      <c r="NJ3" s="159">
        <f t="shared" si="15"/>
        <v>48407</v>
      </c>
      <c r="NK3" s="159">
        <f t="shared" si="15"/>
        <v>48414</v>
      </c>
      <c r="NL3" s="159">
        <f t="shared" si="15"/>
        <v>48421</v>
      </c>
      <c r="NM3" s="159">
        <f t="shared" si="15"/>
        <v>48428</v>
      </c>
      <c r="NN3" s="159">
        <f t="shared" si="15"/>
        <v>48435</v>
      </c>
      <c r="NO3" s="159">
        <f t="shared" si="15"/>
        <v>48442</v>
      </c>
      <c r="NP3" s="159">
        <f t="shared" si="15"/>
        <v>48449</v>
      </c>
      <c r="NQ3" s="159">
        <f t="shared" si="15"/>
        <v>48456</v>
      </c>
      <c r="NR3" s="159">
        <f t="shared" si="15"/>
        <v>48463</v>
      </c>
      <c r="NS3" s="159">
        <f t="shared" si="15"/>
        <v>48470</v>
      </c>
      <c r="NT3" s="159">
        <f t="shared" si="15"/>
        <v>48477</v>
      </c>
      <c r="NU3" s="159">
        <f t="shared" si="15"/>
        <v>48484</v>
      </c>
      <c r="NV3" s="159">
        <f t="shared" si="15"/>
        <v>48491</v>
      </c>
      <c r="NW3" s="159">
        <f t="shared" si="15"/>
        <v>48498</v>
      </c>
      <c r="NX3" s="159">
        <f t="shared" si="15"/>
        <v>48505</v>
      </c>
      <c r="NY3" s="159">
        <f t="shared" si="15"/>
        <v>48512</v>
      </c>
      <c r="NZ3" s="159">
        <f t="shared" si="15"/>
        <v>48519</v>
      </c>
      <c r="OA3" s="159">
        <f t="shared" si="15"/>
        <v>48526</v>
      </c>
      <c r="OB3" s="159">
        <f t="shared" si="15"/>
        <v>48533</v>
      </c>
      <c r="OC3" s="159">
        <f t="shared" si="15"/>
        <v>48540</v>
      </c>
      <c r="OD3" s="159">
        <f t="shared" si="15"/>
        <v>48547</v>
      </c>
      <c r="OE3" s="159">
        <f t="shared" si="15"/>
        <v>48554</v>
      </c>
      <c r="OF3" s="159">
        <f t="shared" si="15"/>
        <v>48561</v>
      </c>
      <c r="OG3" s="159">
        <f t="shared" si="15"/>
        <v>48568</v>
      </c>
      <c r="OH3" s="159">
        <f t="shared" si="15"/>
        <v>48575</v>
      </c>
      <c r="OI3" s="159">
        <f t="shared" si="15"/>
        <v>48582</v>
      </c>
      <c r="OJ3" s="159">
        <f t="shared" si="15"/>
        <v>48589</v>
      </c>
      <c r="OK3" s="159">
        <f t="shared" si="15"/>
        <v>48596</v>
      </c>
      <c r="OL3" s="159">
        <f t="shared" si="15"/>
        <v>48603</v>
      </c>
      <c r="OM3" s="159">
        <f t="shared" si="15"/>
        <v>48610</v>
      </c>
      <c r="ON3" s="159">
        <f t="shared" si="15"/>
        <v>48617</v>
      </c>
      <c r="OO3" s="159">
        <f t="shared" si="15"/>
        <v>48624</v>
      </c>
      <c r="OP3" s="159">
        <f t="shared" si="15"/>
        <v>48631</v>
      </c>
      <c r="OQ3" s="159">
        <f t="shared" si="15"/>
        <v>48638</v>
      </c>
      <c r="OR3" s="159">
        <f t="shared" si="15"/>
        <v>48645</v>
      </c>
      <c r="OS3" s="159">
        <f t="shared" si="15"/>
        <v>48652</v>
      </c>
      <c r="OT3" s="159">
        <f t="shared" si="15"/>
        <v>48659</v>
      </c>
      <c r="OU3" s="159">
        <f t="shared" ref="OU3:RF3" si="16">OT3+7</f>
        <v>48666</v>
      </c>
      <c r="OV3" s="159">
        <f t="shared" si="16"/>
        <v>48673</v>
      </c>
      <c r="OW3" s="159">
        <f t="shared" si="16"/>
        <v>48680</v>
      </c>
      <c r="OX3" s="159">
        <f t="shared" si="16"/>
        <v>48687</v>
      </c>
      <c r="OY3" s="159">
        <f t="shared" si="16"/>
        <v>48694</v>
      </c>
      <c r="OZ3" s="159">
        <f t="shared" si="16"/>
        <v>48701</v>
      </c>
      <c r="PA3" s="159">
        <f t="shared" si="16"/>
        <v>48708</v>
      </c>
      <c r="PB3" s="159">
        <f t="shared" si="16"/>
        <v>48715</v>
      </c>
      <c r="PC3" s="159">
        <f t="shared" si="16"/>
        <v>48722</v>
      </c>
      <c r="PD3" s="159">
        <f t="shared" si="16"/>
        <v>48729</v>
      </c>
      <c r="PE3" s="159">
        <f t="shared" si="16"/>
        <v>48736</v>
      </c>
      <c r="PF3" s="159">
        <f t="shared" si="16"/>
        <v>48743</v>
      </c>
      <c r="PG3" s="159">
        <f t="shared" si="16"/>
        <v>48750</v>
      </c>
      <c r="PH3" s="159">
        <f t="shared" si="16"/>
        <v>48757</v>
      </c>
      <c r="PI3" s="159">
        <f t="shared" si="16"/>
        <v>48764</v>
      </c>
      <c r="PJ3" s="159">
        <f t="shared" si="16"/>
        <v>48771</v>
      </c>
      <c r="PK3" s="159">
        <f t="shared" si="16"/>
        <v>48778</v>
      </c>
      <c r="PL3" s="159">
        <f t="shared" si="16"/>
        <v>48785</v>
      </c>
      <c r="PM3" s="159">
        <f t="shared" si="16"/>
        <v>48792</v>
      </c>
      <c r="PN3" s="159">
        <f t="shared" si="16"/>
        <v>48799</v>
      </c>
      <c r="PO3" s="159">
        <f t="shared" si="16"/>
        <v>48806</v>
      </c>
      <c r="PP3" s="159">
        <f t="shared" si="16"/>
        <v>48813</v>
      </c>
      <c r="PQ3" s="159">
        <f t="shared" si="16"/>
        <v>48820</v>
      </c>
      <c r="PR3" s="159">
        <f t="shared" si="16"/>
        <v>48827</v>
      </c>
      <c r="PS3" s="159">
        <f t="shared" si="16"/>
        <v>48834</v>
      </c>
      <c r="PT3" s="159">
        <f t="shared" si="16"/>
        <v>48841</v>
      </c>
      <c r="PU3" s="159">
        <f t="shared" si="16"/>
        <v>48848</v>
      </c>
      <c r="PV3" s="159">
        <f t="shared" si="16"/>
        <v>48855</v>
      </c>
      <c r="PW3" s="159">
        <f t="shared" si="16"/>
        <v>48862</v>
      </c>
      <c r="PX3" s="159">
        <f t="shared" si="16"/>
        <v>48869</v>
      </c>
      <c r="PY3" s="159">
        <f t="shared" si="16"/>
        <v>48876</v>
      </c>
      <c r="PZ3" s="159">
        <f t="shared" si="16"/>
        <v>48883</v>
      </c>
      <c r="QA3" s="159">
        <f t="shared" si="16"/>
        <v>48890</v>
      </c>
      <c r="QB3" s="159">
        <f t="shared" si="16"/>
        <v>48897</v>
      </c>
      <c r="QC3" s="159">
        <f t="shared" si="16"/>
        <v>48904</v>
      </c>
      <c r="QD3" s="159">
        <f t="shared" si="16"/>
        <v>48911</v>
      </c>
      <c r="QE3" s="159">
        <f t="shared" si="16"/>
        <v>48918</v>
      </c>
      <c r="QF3" s="159">
        <f t="shared" si="16"/>
        <v>48925</v>
      </c>
      <c r="QG3" s="159">
        <f t="shared" si="16"/>
        <v>48932</v>
      </c>
      <c r="QH3" s="159">
        <f t="shared" si="16"/>
        <v>48939</v>
      </c>
      <c r="QI3" s="159">
        <f t="shared" si="16"/>
        <v>48946</v>
      </c>
      <c r="QJ3" s="159">
        <f t="shared" si="16"/>
        <v>48953</v>
      </c>
      <c r="QK3" s="159">
        <f t="shared" si="16"/>
        <v>48960</v>
      </c>
      <c r="QL3" s="159">
        <f t="shared" si="16"/>
        <v>48967</v>
      </c>
      <c r="QM3" s="159">
        <f t="shared" si="16"/>
        <v>48974</v>
      </c>
      <c r="QN3" s="159">
        <f t="shared" si="16"/>
        <v>48981</v>
      </c>
      <c r="QO3" s="159">
        <f t="shared" si="16"/>
        <v>48988</v>
      </c>
      <c r="QP3" s="159">
        <f t="shared" si="16"/>
        <v>48995</v>
      </c>
      <c r="QQ3" s="159">
        <f t="shared" si="16"/>
        <v>49002</v>
      </c>
      <c r="QR3" s="159">
        <f t="shared" si="16"/>
        <v>49009</v>
      </c>
      <c r="QS3" s="159">
        <f t="shared" si="16"/>
        <v>49016</v>
      </c>
      <c r="QT3" s="159">
        <f t="shared" si="16"/>
        <v>49023</v>
      </c>
      <c r="QU3" s="159">
        <f t="shared" si="16"/>
        <v>49030</v>
      </c>
      <c r="QV3" s="159">
        <f t="shared" si="16"/>
        <v>49037</v>
      </c>
      <c r="QW3" s="159">
        <f t="shared" si="16"/>
        <v>49044</v>
      </c>
      <c r="QX3" s="159">
        <f t="shared" si="16"/>
        <v>49051</v>
      </c>
      <c r="QY3" s="159">
        <f t="shared" si="16"/>
        <v>49058</v>
      </c>
      <c r="QZ3" s="159">
        <f t="shared" si="16"/>
        <v>49065</v>
      </c>
      <c r="RA3" s="159">
        <f t="shared" si="16"/>
        <v>49072</v>
      </c>
      <c r="RB3" s="159">
        <f t="shared" si="16"/>
        <v>49079</v>
      </c>
      <c r="RC3" s="159">
        <f t="shared" si="16"/>
        <v>49086</v>
      </c>
      <c r="RD3" s="159">
        <f t="shared" si="16"/>
        <v>49093</v>
      </c>
      <c r="RE3" s="159">
        <f t="shared" si="16"/>
        <v>49100</v>
      </c>
      <c r="RF3" s="159">
        <f t="shared" si="16"/>
        <v>49107</v>
      </c>
      <c r="RG3" s="159">
        <f t="shared" ref="RG3:TR3" si="17">RF3+7</f>
        <v>49114</v>
      </c>
      <c r="RH3" s="159">
        <f t="shared" si="17"/>
        <v>49121</v>
      </c>
      <c r="RI3" s="159">
        <f t="shared" si="17"/>
        <v>49128</v>
      </c>
      <c r="RJ3" s="159">
        <f t="shared" si="17"/>
        <v>49135</v>
      </c>
      <c r="RK3" s="159">
        <f t="shared" si="17"/>
        <v>49142</v>
      </c>
      <c r="RL3" s="159">
        <f t="shared" si="17"/>
        <v>49149</v>
      </c>
      <c r="RM3" s="159">
        <f t="shared" si="17"/>
        <v>49156</v>
      </c>
      <c r="RN3" s="159">
        <f t="shared" si="17"/>
        <v>49163</v>
      </c>
      <c r="RO3" s="159">
        <f t="shared" si="17"/>
        <v>49170</v>
      </c>
      <c r="RP3" s="159">
        <f t="shared" si="17"/>
        <v>49177</v>
      </c>
      <c r="RQ3" s="159">
        <f t="shared" si="17"/>
        <v>49184</v>
      </c>
      <c r="RR3" s="159">
        <f t="shared" si="17"/>
        <v>49191</v>
      </c>
      <c r="RS3" s="159">
        <f t="shared" si="17"/>
        <v>49198</v>
      </c>
      <c r="RT3" s="159">
        <f t="shared" si="17"/>
        <v>49205</v>
      </c>
      <c r="RU3" s="159">
        <f t="shared" si="17"/>
        <v>49212</v>
      </c>
      <c r="RV3" s="159">
        <f t="shared" si="17"/>
        <v>49219</v>
      </c>
      <c r="RW3" s="159">
        <f t="shared" si="17"/>
        <v>49226</v>
      </c>
      <c r="RX3" s="159">
        <f t="shared" si="17"/>
        <v>49233</v>
      </c>
      <c r="RY3" s="159">
        <f t="shared" si="17"/>
        <v>49240</v>
      </c>
      <c r="RZ3" s="159">
        <f t="shared" si="17"/>
        <v>49247</v>
      </c>
      <c r="SA3" s="159">
        <f t="shared" si="17"/>
        <v>49254</v>
      </c>
      <c r="SB3" s="159">
        <f t="shared" si="17"/>
        <v>49261</v>
      </c>
      <c r="SC3" s="159">
        <f t="shared" si="17"/>
        <v>49268</v>
      </c>
      <c r="SD3" s="159">
        <f t="shared" si="17"/>
        <v>49275</v>
      </c>
      <c r="SE3" s="159">
        <f t="shared" si="17"/>
        <v>49282</v>
      </c>
      <c r="SF3" s="159">
        <f t="shared" si="17"/>
        <v>49289</v>
      </c>
      <c r="SG3" s="159">
        <f t="shared" si="17"/>
        <v>49296</v>
      </c>
      <c r="SH3" s="159">
        <f t="shared" si="17"/>
        <v>49303</v>
      </c>
      <c r="SI3" s="159">
        <f t="shared" si="17"/>
        <v>49310</v>
      </c>
      <c r="SJ3" s="159">
        <f t="shared" si="17"/>
        <v>49317</v>
      </c>
      <c r="SK3" s="159">
        <f t="shared" si="17"/>
        <v>49324</v>
      </c>
      <c r="SL3" s="159">
        <f t="shared" si="17"/>
        <v>49331</v>
      </c>
      <c r="SM3" s="159">
        <f t="shared" si="17"/>
        <v>49338</v>
      </c>
      <c r="SN3" s="159">
        <f t="shared" si="17"/>
        <v>49345</v>
      </c>
      <c r="SO3" s="159">
        <f t="shared" si="17"/>
        <v>49352</v>
      </c>
      <c r="SP3" s="159">
        <f t="shared" si="17"/>
        <v>49359</v>
      </c>
      <c r="SQ3" s="159">
        <f t="shared" si="17"/>
        <v>49366</v>
      </c>
      <c r="SR3" s="159">
        <f t="shared" si="17"/>
        <v>49373</v>
      </c>
      <c r="SS3" s="159">
        <f t="shared" si="17"/>
        <v>49380</v>
      </c>
      <c r="ST3" s="159">
        <f t="shared" si="17"/>
        <v>49387</v>
      </c>
      <c r="SU3" s="159">
        <f t="shared" si="17"/>
        <v>49394</v>
      </c>
      <c r="SV3" s="159">
        <f t="shared" si="17"/>
        <v>49401</v>
      </c>
      <c r="SW3" s="159">
        <f t="shared" si="17"/>
        <v>49408</v>
      </c>
      <c r="SX3" s="159">
        <f t="shared" si="17"/>
        <v>49415</v>
      </c>
      <c r="SY3" s="159">
        <f t="shared" si="17"/>
        <v>49422</v>
      </c>
      <c r="SZ3" s="159">
        <f t="shared" si="17"/>
        <v>49429</v>
      </c>
      <c r="TA3" s="159">
        <f t="shared" si="17"/>
        <v>49436</v>
      </c>
      <c r="TB3" s="159">
        <f t="shared" si="17"/>
        <v>49443</v>
      </c>
      <c r="TC3" s="159">
        <f t="shared" si="17"/>
        <v>49450</v>
      </c>
      <c r="TD3" s="159">
        <f t="shared" si="17"/>
        <v>49457</v>
      </c>
      <c r="TE3" s="159">
        <f t="shared" si="17"/>
        <v>49464</v>
      </c>
      <c r="TF3" s="159">
        <f t="shared" si="17"/>
        <v>49471</v>
      </c>
      <c r="TG3" s="159">
        <f t="shared" si="17"/>
        <v>49478</v>
      </c>
      <c r="TH3" s="159">
        <f t="shared" si="17"/>
        <v>49485</v>
      </c>
      <c r="TI3" s="159">
        <f t="shared" si="17"/>
        <v>49492</v>
      </c>
      <c r="TJ3" s="159">
        <f t="shared" si="17"/>
        <v>49499</v>
      </c>
      <c r="TK3" s="159">
        <f t="shared" si="17"/>
        <v>49506</v>
      </c>
      <c r="TL3" s="159">
        <f t="shared" si="17"/>
        <v>49513</v>
      </c>
      <c r="TM3" s="159">
        <f t="shared" si="17"/>
        <v>49520</v>
      </c>
      <c r="TN3" s="159">
        <f t="shared" si="17"/>
        <v>49527</v>
      </c>
      <c r="TO3" s="159">
        <f t="shared" si="17"/>
        <v>49534</v>
      </c>
      <c r="TP3" s="159">
        <f t="shared" si="17"/>
        <v>49541</v>
      </c>
      <c r="TQ3" s="159">
        <f t="shared" si="17"/>
        <v>49548</v>
      </c>
      <c r="TR3" s="159">
        <f t="shared" si="17"/>
        <v>49555</v>
      </c>
      <c r="TS3" s="159">
        <f t="shared" ref="TS3:WD3" si="18">TR3+7</f>
        <v>49562</v>
      </c>
      <c r="TT3" s="159">
        <f t="shared" si="18"/>
        <v>49569</v>
      </c>
      <c r="TU3" s="159">
        <f t="shared" si="18"/>
        <v>49576</v>
      </c>
      <c r="TV3" s="159">
        <f t="shared" si="18"/>
        <v>49583</v>
      </c>
      <c r="TW3" s="159">
        <f t="shared" si="18"/>
        <v>49590</v>
      </c>
      <c r="TX3" s="159">
        <f t="shared" si="18"/>
        <v>49597</v>
      </c>
      <c r="TY3" s="159">
        <f t="shared" si="18"/>
        <v>49604</v>
      </c>
      <c r="TZ3" s="159">
        <f t="shared" si="18"/>
        <v>49611</v>
      </c>
      <c r="UA3" s="159">
        <f t="shared" si="18"/>
        <v>49618</v>
      </c>
      <c r="UB3" s="159">
        <f t="shared" si="18"/>
        <v>49625</v>
      </c>
      <c r="UC3" s="159">
        <f t="shared" si="18"/>
        <v>49632</v>
      </c>
      <c r="UD3" s="159">
        <f t="shared" si="18"/>
        <v>49639</v>
      </c>
      <c r="UE3" s="159">
        <f t="shared" si="18"/>
        <v>49646</v>
      </c>
      <c r="UF3" s="159">
        <f t="shared" si="18"/>
        <v>49653</v>
      </c>
      <c r="UG3" s="159">
        <f t="shared" si="18"/>
        <v>49660</v>
      </c>
      <c r="UH3" s="159">
        <f t="shared" si="18"/>
        <v>49667</v>
      </c>
      <c r="UI3" s="159">
        <f t="shared" si="18"/>
        <v>49674</v>
      </c>
      <c r="UJ3" s="159">
        <f t="shared" si="18"/>
        <v>49681</v>
      </c>
      <c r="UK3" s="159">
        <f t="shared" si="18"/>
        <v>49688</v>
      </c>
      <c r="UL3" s="159">
        <f t="shared" si="18"/>
        <v>49695</v>
      </c>
      <c r="UM3" s="159">
        <f t="shared" si="18"/>
        <v>49702</v>
      </c>
      <c r="UN3" s="159">
        <f t="shared" si="18"/>
        <v>49709</v>
      </c>
      <c r="UO3" s="159">
        <f t="shared" si="18"/>
        <v>49716</v>
      </c>
      <c r="UP3" s="159">
        <f t="shared" si="18"/>
        <v>49723</v>
      </c>
      <c r="UQ3" s="159">
        <f t="shared" si="18"/>
        <v>49730</v>
      </c>
      <c r="UR3" s="159">
        <f t="shared" si="18"/>
        <v>49737</v>
      </c>
      <c r="US3" s="159">
        <f t="shared" si="18"/>
        <v>49744</v>
      </c>
      <c r="UT3" s="159">
        <f t="shared" si="18"/>
        <v>49751</v>
      </c>
      <c r="UU3" s="159">
        <f t="shared" si="18"/>
        <v>49758</v>
      </c>
      <c r="UV3" s="159">
        <f t="shared" si="18"/>
        <v>49765</v>
      </c>
      <c r="UW3" s="159">
        <f t="shared" si="18"/>
        <v>49772</v>
      </c>
      <c r="UX3" s="159">
        <f t="shared" si="18"/>
        <v>49779</v>
      </c>
      <c r="UY3" s="159">
        <f t="shared" si="18"/>
        <v>49786</v>
      </c>
      <c r="UZ3" s="159">
        <f t="shared" si="18"/>
        <v>49793</v>
      </c>
      <c r="VA3" s="159">
        <f t="shared" si="18"/>
        <v>49800</v>
      </c>
      <c r="VB3" s="159">
        <f t="shared" si="18"/>
        <v>49807</v>
      </c>
      <c r="VC3" s="159">
        <f t="shared" si="18"/>
        <v>49814</v>
      </c>
      <c r="VD3" s="159">
        <f t="shared" si="18"/>
        <v>49821</v>
      </c>
      <c r="VE3" s="159">
        <f t="shared" si="18"/>
        <v>49828</v>
      </c>
      <c r="VF3" s="159">
        <f t="shared" si="18"/>
        <v>49835</v>
      </c>
      <c r="VG3" s="159">
        <f t="shared" si="18"/>
        <v>49842</v>
      </c>
      <c r="VH3" s="159">
        <f t="shared" si="18"/>
        <v>49849</v>
      </c>
      <c r="VI3" s="159">
        <f t="shared" si="18"/>
        <v>49856</v>
      </c>
      <c r="VJ3" s="159">
        <f t="shared" si="18"/>
        <v>49863</v>
      </c>
      <c r="VK3" s="159">
        <f t="shared" si="18"/>
        <v>49870</v>
      </c>
      <c r="VL3" s="159">
        <f t="shared" si="18"/>
        <v>49877</v>
      </c>
      <c r="VM3" s="159">
        <f t="shared" si="18"/>
        <v>49884</v>
      </c>
      <c r="VN3" s="159">
        <f t="shared" si="18"/>
        <v>49891</v>
      </c>
      <c r="VO3" s="159">
        <f t="shared" si="18"/>
        <v>49898</v>
      </c>
      <c r="VP3" s="159">
        <f t="shared" si="18"/>
        <v>49905</v>
      </c>
      <c r="VQ3" s="159">
        <f t="shared" si="18"/>
        <v>49912</v>
      </c>
      <c r="VR3" s="159">
        <f t="shared" si="18"/>
        <v>49919</v>
      </c>
      <c r="VS3" s="159">
        <f t="shared" si="18"/>
        <v>49926</v>
      </c>
      <c r="VT3" s="159">
        <f t="shared" si="18"/>
        <v>49933</v>
      </c>
      <c r="VU3" s="159">
        <f t="shared" si="18"/>
        <v>49940</v>
      </c>
      <c r="VV3" s="159">
        <f t="shared" si="18"/>
        <v>49947</v>
      </c>
      <c r="VW3" s="159">
        <f t="shared" si="18"/>
        <v>49954</v>
      </c>
      <c r="VX3" s="159">
        <f t="shared" si="18"/>
        <v>49961</v>
      </c>
      <c r="VY3" s="159">
        <f t="shared" si="18"/>
        <v>49968</v>
      </c>
      <c r="VZ3" s="159">
        <f t="shared" si="18"/>
        <v>49975</v>
      </c>
      <c r="WA3" s="159">
        <f t="shared" si="18"/>
        <v>49982</v>
      </c>
      <c r="WB3" s="159">
        <f t="shared" si="18"/>
        <v>49989</v>
      </c>
      <c r="WC3" s="159">
        <f t="shared" si="18"/>
        <v>49996</v>
      </c>
      <c r="WD3" s="159">
        <f t="shared" si="18"/>
        <v>50003</v>
      </c>
      <c r="WE3" s="159">
        <f t="shared" ref="WE3:WQ3" si="19">WD3+7</f>
        <v>50010</v>
      </c>
      <c r="WF3" s="159">
        <f t="shared" si="19"/>
        <v>50017</v>
      </c>
      <c r="WG3" s="159">
        <f t="shared" si="19"/>
        <v>50024</v>
      </c>
      <c r="WH3" s="159">
        <f t="shared" si="19"/>
        <v>50031</v>
      </c>
      <c r="WI3" s="159">
        <f t="shared" si="19"/>
        <v>50038</v>
      </c>
      <c r="WJ3" s="159">
        <f t="shared" si="19"/>
        <v>50045</v>
      </c>
      <c r="WK3" s="159">
        <f t="shared" si="19"/>
        <v>50052</v>
      </c>
      <c r="WL3" s="159">
        <f t="shared" si="19"/>
        <v>50059</v>
      </c>
      <c r="WM3" s="159">
        <f t="shared" si="19"/>
        <v>50066</v>
      </c>
      <c r="WN3" s="159">
        <f t="shared" si="19"/>
        <v>50073</v>
      </c>
      <c r="WO3" s="159">
        <f t="shared" si="19"/>
        <v>50080</v>
      </c>
      <c r="WP3" s="159">
        <f t="shared" si="19"/>
        <v>50087</v>
      </c>
      <c r="WQ3" s="159">
        <f t="shared" si="19"/>
        <v>50094</v>
      </c>
    </row>
    <row r="4" spans="1:615" s="120" customFormat="1" ht="25.5" customHeight="1" x14ac:dyDescent="0.25">
      <c r="A4" s="32"/>
      <c r="B4" s="33"/>
      <c r="C4" s="235" t="s">
        <v>100</v>
      </c>
      <c r="D4" s="105" t="s">
        <v>101</v>
      </c>
      <c r="E4" s="235" t="s">
        <v>102</v>
      </c>
      <c r="F4" s="105" t="s">
        <v>221</v>
      </c>
      <c r="G4" s="39"/>
      <c r="H4" s="37"/>
      <c r="I4" s="38"/>
      <c r="J4" s="37"/>
      <c r="K4" s="82"/>
      <c r="L4" s="39"/>
      <c r="M4" s="40"/>
      <c r="N4" s="41"/>
      <c r="O4" s="40"/>
      <c r="P4" s="40"/>
      <c r="Q4" s="42"/>
      <c r="R4" s="112"/>
      <c r="S4" s="37"/>
      <c r="T4" s="37"/>
      <c r="U4" s="113"/>
      <c r="V4" s="97"/>
      <c r="W4" s="98"/>
      <c r="X4" s="156"/>
      <c r="Y4" s="160" t="str">
        <f xml:space="preserve">
IFERROR(IF(_xlfn.XLOOKUP(Y3,Table9[Mondays],Table9[ACT Public Holidays])=0,"",_xlfn.XLOOKUP(Y3,Table9[Mondays],Table9[ACT Public Holidays])),"")</f>
        <v/>
      </c>
      <c r="Z4" s="160" t="str">
        <f xml:space="preserve">
IFERROR(IF(_xlfn.XLOOKUP(Z3,Table9[Mondays],Table9[ACT Public Holidays])=0,"",_xlfn.XLOOKUP(Z3,Table9[Mondays],Table9[ACT Public Holidays])),"")</f>
        <v/>
      </c>
      <c r="AA4" s="160" t="str">
        <f xml:space="preserve">
IFERROR(IF(_xlfn.XLOOKUP(AA3,Table9[Mondays],Table9[ACT Public Holidays])=0,"",_xlfn.XLOOKUP(AA3,Table9[Mondays],Table9[ACT Public Holidays])),"")</f>
        <v/>
      </c>
      <c r="AB4" s="160" t="str">
        <f xml:space="preserve">
IFERROR(IF(_xlfn.XLOOKUP(AB3,Table9[Mondays],Table9[ACT Public Holidays])=0,"",_xlfn.XLOOKUP(AB3,Table9[Mondays],Table9[ACT Public Holidays])),"")</f>
        <v/>
      </c>
      <c r="AC4" s="160" t="str">
        <f xml:space="preserve">
IFERROR(IF(_xlfn.XLOOKUP(AC3,Table9[Mondays],Table9[ACT Public Holidays])=0,"",_xlfn.XLOOKUP(AC3,Table9[Mondays],Table9[ACT Public Holidays])),"")</f>
        <v/>
      </c>
      <c r="AD4" s="160" t="str">
        <f xml:space="preserve">
IFERROR(IF(_xlfn.XLOOKUP(AD3,Table9[Mondays],Table9[ACT Public Holidays])=0,"",_xlfn.XLOOKUP(AD3,Table9[Mondays],Table9[ACT Public Holidays])),"")</f>
        <v/>
      </c>
      <c r="AE4" s="160" t="str">
        <f xml:space="preserve">
IFERROR(IF(_xlfn.XLOOKUP(AE3,Table9[Mondays],Table9[ACT Public Holidays])=0,"",_xlfn.XLOOKUP(AE3,Table9[Mondays],Table9[ACT Public Holidays])),"")</f>
        <v/>
      </c>
      <c r="AF4" s="160">
        <f xml:space="preserve">
IFERROR(IF(_xlfn.XLOOKUP(AF3,Table9[Mondays],Table9[ACT Public Holidays])=0,"",_xlfn.XLOOKUP(AF3,Table9[Mondays],Table9[ACT Public Holidays])),"")</f>
        <v>1</v>
      </c>
      <c r="AG4" s="160">
        <f xml:space="preserve">
IFERROR(IF(_xlfn.XLOOKUP(AG3,Table9[Mondays],Table9[ACT Public Holidays])=0,"",_xlfn.XLOOKUP(AG3,Table9[Mondays],Table9[ACT Public Holidays])),"")</f>
        <v>1</v>
      </c>
      <c r="AH4" s="160" t="str">
        <f xml:space="preserve">
IFERROR(IF(_xlfn.XLOOKUP(AH3,Table9[Mondays],Table9[ACT Public Holidays])=0,"",_xlfn.XLOOKUP(AH3,Table9[Mondays],Table9[ACT Public Holidays])),"")</f>
        <v/>
      </c>
      <c r="AI4" s="160" t="str">
        <f xml:space="preserve">
IFERROR(IF(_xlfn.XLOOKUP(AI3,Table9[Mondays],Table9[ACT Public Holidays])=0,"",_xlfn.XLOOKUP(AI3,Table9[Mondays],Table9[ACT Public Holidays])),"")</f>
        <v/>
      </c>
      <c r="AJ4" s="160" t="str">
        <f xml:space="preserve">
IFERROR(IF(_xlfn.XLOOKUP(AJ3,Table9[Mondays],Table9[ACT Public Holidays])=0,"",_xlfn.XLOOKUP(AJ3,Table9[Mondays],Table9[ACT Public Holidays])),"")</f>
        <v/>
      </c>
      <c r="AK4" s="160">
        <f xml:space="preserve">
IFERROR(IF(_xlfn.XLOOKUP(AK3,Table9[Mondays],Table9[ACT Public Holidays])=0,"",_xlfn.XLOOKUP(AK3,Table9[Mondays],Table9[ACT Public Holidays])),"")</f>
        <v>0.2</v>
      </c>
      <c r="AL4" s="160" t="str">
        <f xml:space="preserve">
IFERROR(IF(_xlfn.XLOOKUP(AL3,Table9[Mondays],Table9[ACT Public Holidays])=0,"",_xlfn.XLOOKUP(AL3,Table9[Mondays],Table9[ACT Public Holidays])),"")</f>
        <v/>
      </c>
      <c r="AM4" s="160" t="str">
        <f xml:space="preserve">
IFERROR(IF(_xlfn.XLOOKUP(AM3,Table9[Mondays],Table9[ACT Public Holidays])=0,"",_xlfn.XLOOKUP(AM3,Table9[Mondays],Table9[ACT Public Holidays])),"")</f>
        <v/>
      </c>
      <c r="AN4" s="160" t="str">
        <f xml:space="preserve">
IFERROR(IF(_xlfn.XLOOKUP(AN3,Table9[Mondays],Table9[ACT Public Holidays])=0,"",_xlfn.XLOOKUP(AN3,Table9[Mondays],Table9[ACT Public Holidays])),"")</f>
        <v/>
      </c>
      <c r="AO4" s="160" t="str">
        <f xml:space="preserve">
IFERROR(IF(_xlfn.XLOOKUP(AO3,Table9[Mondays],Table9[ACT Public Holidays])=0,"",_xlfn.XLOOKUP(AO3,Table9[Mondays],Table9[ACT Public Holidays])),"")</f>
        <v/>
      </c>
      <c r="AP4" s="160" t="str">
        <f xml:space="preserve">
IFERROR(IF(_xlfn.XLOOKUP(AP3,Table9[Mondays],Table9[ACT Public Holidays])=0,"",_xlfn.XLOOKUP(AP3,Table9[Mondays],Table9[ACT Public Holidays])),"")</f>
        <v/>
      </c>
      <c r="AQ4" s="160">
        <f xml:space="preserve">
IFERROR(IF(_xlfn.XLOOKUP(AQ3,Table9[Mondays],Table9[ACT Public Holidays])=0,"",_xlfn.XLOOKUP(AQ3,Table9[Mondays],Table9[ACT Public Holidays])),"")</f>
        <v>0.2</v>
      </c>
      <c r="AR4" s="160" t="str">
        <f xml:space="preserve">
IFERROR(IF(_xlfn.XLOOKUP(AR3,Table9[Mondays],Table9[ACT Public Holidays])=0,"",_xlfn.XLOOKUP(AR3,Table9[Mondays],Table9[ACT Public Holidays])),"")</f>
        <v/>
      </c>
      <c r="AS4" s="160" t="str">
        <f xml:space="preserve">
IFERROR(IF(_xlfn.XLOOKUP(AS3,Table9[Mondays],Table9[ACT Public Holidays])=0,"",_xlfn.XLOOKUP(AS3,Table9[Mondays],Table9[ACT Public Holidays])),"")</f>
        <v/>
      </c>
      <c r="AT4" s="160">
        <f xml:space="preserve">
IFERROR(IF(_xlfn.XLOOKUP(AT3,Table9[Mondays],Table9[ACT Public Holidays])=0,"",_xlfn.XLOOKUP(AT3,Table9[Mondays],Table9[ACT Public Holidays])),"")</f>
        <v>0.2</v>
      </c>
      <c r="AU4" s="160">
        <f xml:space="preserve">
IFERROR(IF(_xlfn.XLOOKUP(AU3,Table9[Mondays],Table9[ACT Public Holidays])=0,"",_xlfn.XLOOKUP(AU3,Table9[Mondays],Table9[ACT Public Holidays])),"")</f>
        <v>0.2</v>
      </c>
      <c r="AV4" s="160" t="str">
        <f xml:space="preserve">
IFERROR(IF(_xlfn.XLOOKUP(AV3,Table9[Mondays],Table9[ACT Public Holidays])=0,"",_xlfn.XLOOKUP(AV3,Table9[Mondays],Table9[ACT Public Holidays])),"")</f>
        <v/>
      </c>
      <c r="AW4" s="160">
        <f xml:space="preserve">
IFERROR(IF(_xlfn.XLOOKUP(AW3,Table9[Mondays],Table9[ACT Public Holidays])=0,"",_xlfn.XLOOKUP(AW3,Table9[Mondays],Table9[ACT Public Holidays])),"")</f>
        <v>0.2</v>
      </c>
      <c r="AX4" s="160" t="str">
        <f xml:space="preserve">
IFERROR(IF(_xlfn.XLOOKUP(AX3,Table9[Mondays],Table9[ACT Public Holidays])=0,"",_xlfn.XLOOKUP(AX3,Table9[Mondays],Table9[ACT Public Holidays])),"")</f>
        <v/>
      </c>
      <c r="AY4" s="160" t="str">
        <f xml:space="preserve">
IFERROR(IF(_xlfn.XLOOKUP(AY3,Table9[Mondays],Table9[ACT Public Holidays])=0,"",_xlfn.XLOOKUP(AY3,Table9[Mondays],Table9[ACT Public Holidays])),"")</f>
        <v/>
      </c>
      <c r="AZ4" s="160" t="str">
        <f xml:space="preserve">
IFERROR(IF(_xlfn.XLOOKUP(AZ3,Table9[Mondays],Table9[ACT Public Holidays])=0,"",_xlfn.XLOOKUP(AZ3,Table9[Mondays],Table9[ACT Public Holidays])),"")</f>
        <v/>
      </c>
      <c r="BA4" s="160" t="str">
        <f xml:space="preserve">
IFERROR(IF(_xlfn.XLOOKUP(BA3,Table9[Mondays],Table9[ACT Public Holidays])=0,"",_xlfn.XLOOKUP(BA3,Table9[Mondays],Table9[ACT Public Holidays])),"")</f>
        <v/>
      </c>
      <c r="BB4" s="160" t="str">
        <f xml:space="preserve">
IFERROR(IF(_xlfn.XLOOKUP(BB3,Table9[Mondays],Table9[ACT Public Holidays])=0,"",_xlfn.XLOOKUP(BB3,Table9[Mondays],Table9[ACT Public Holidays])),"")</f>
        <v/>
      </c>
      <c r="BC4" s="160">
        <f xml:space="preserve">
IFERROR(IF(_xlfn.XLOOKUP(BC3,Table9[Mondays],Table9[ACT Public Holidays])=0,"",_xlfn.XLOOKUP(BC3,Table9[Mondays],Table9[ACT Public Holidays])),"")</f>
        <v>0.2</v>
      </c>
      <c r="BD4" s="160">
        <f xml:space="preserve">
IFERROR(IF(_xlfn.XLOOKUP(BD3,Table9[Mondays],Table9[ACT Public Holidays])=0,"",_xlfn.XLOOKUP(BD3,Table9[Mondays],Table9[ACT Public Holidays])),"")</f>
        <v>0.2</v>
      </c>
      <c r="BE4" s="160" t="str">
        <f xml:space="preserve">
IFERROR(IF(_xlfn.XLOOKUP(BE3,Table9[Mondays],Table9[ACT Public Holidays])=0,"",_xlfn.XLOOKUP(BE3,Table9[Mondays],Table9[ACT Public Holidays])),"")</f>
        <v/>
      </c>
      <c r="BF4" s="160" t="str">
        <f xml:space="preserve">
IFERROR(IF(_xlfn.XLOOKUP(BF3,Table9[Mondays],Table9[ACT Public Holidays])=0,"",_xlfn.XLOOKUP(BF3,Table9[Mondays],Table9[ACT Public Holidays])),"")</f>
        <v/>
      </c>
      <c r="BG4" s="160" t="str">
        <f xml:space="preserve">
IFERROR(IF(_xlfn.XLOOKUP(BG3,Table9[Mondays],Table9[ACT Public Holidays])=0,"",_xlfn.XLOOKUP(BG3,Table9[Mondays],Table9[ACT Public Holidays])),"")</f>
        <v/>
      </c>
      <c r="BH4" s="160" t="str">
        <f xml:space="preserve">
IFERROR(IF(_xlfn.XLOOKUP(BH3,Table9[Mondays],Table9[ACT Public Holidays])=0,"",_xlfn.XLOOKUP(BH3,Table9[Mondays],Table9[ACT Public Holidays])),"")</f>
        <v/>
      </c>
      <c r="BI4" s="160" t="str">
        <f xml:space="preserve">
IFERROR(IF(_xlfn.XLOOKUP(BI3,Table9[Mondays],Table9[ACT Public Holidays])=0,"",_xlfn.XLOOKUP(BI3,Table9[Mondays],Table9[ACT Public Holidays])),"")</f>
        <v/>
      </c>
      <c r="BJ4" s="160" t="str">
        <f xml:space="preserve">
IFERROR(IF(_xlfn.XLOOKUP(BJ3,Table9[Mondays],Table9[ACT Public Holidays])=0,"",_xlfn.XLOOKUP(BJ3,Table9[Mondays],Table9[ACT Public Holidays])),"")</f>
        <v/>
      </c>
      <c r="BK4" s="160" t="str">
        <f xml:space="preserve">
IFERROR(IF(_xlfn.XLOOKUP(BK3,Table9[Mondays],Table9[ACT Public Holidays])=0,"",_xlfn.XLOOKUP(BK3,Table9[Mondays],Table9[ACT Public Holidays])),"")</f>
        <v/>
      </c>
      <c r="BL4" s="160" t="str">
        <f xml:space="preserve">
IFERROR(IF(_xlfn.XLOOKUP(BL3,Table9[Mondays],Table9[ACT Public Holidays])=0,"",_xlfn.XLOOKUP(BL3,Table9[Mondays],Table9[ACT Public Holidays])),"")</f>
        <v/>
      </c>
      <c r="BM4" s="160" t="str">
        <f xml:space="preserve">
IFERROR(IF(_xlfn.XLOOKUP(BM3,Table9[Mondays],Table9[ACT Public Holidays])=0,"",_xlfn.XLOOKUP(BM3,Table9[Mondays],Table9[ACT Public Holidays])),"")</f>
        <v/>
      </c>
      <c r="BN4" s="160" t="str">
        <f xml:space="preserve">
IFERROR(IF(_xlfn.XLOOKUP(BN3,Table9[Mondays],Table9[ACT Public Holidays])=0,"",_xlfn.XLOOKUP(BN3,Table9[Mondays],Table9[ACT Public Holidays])),"")</f>
        <v/>
      </c>
      <c r="BO4" s="160" t="str">
        <f xml:space="preserve">
IFERROR(IF(_xlfn.XLOOKUP(BO3,Table9[Mondays],Table9[ACT Public Holidays])=0,"",_xlfn.XLOOKUP(BO3,Table9[Mondays],Table9[ACT Public Holidays])),"")</f>
        <v/>
      </c>
      <c r="BP4" s="160" t="str">
        <f xml:space="preserve">
IFERROR(IF(_xlfn.XLOOKUP(BP3,Table9[Mondays],Table9[ACT Public Holidays])=0,"",_xlfn.XLOOKUP(BP3,Table9[Mondays],Table9[ACT Public Holidays])),"")</f>
        <v/>
      </c>
      <c r="BQ4" s="160" t="str">
        <f xml:space="preserve">
IFERROR(IF(_xlfn.XLOOKUP(BQ3,Table9[Mondays],Table9[ACT Public Holidays])=0,"",_xlfn.XLOOKUP(BQ3,Table9[Mondays],Table9[ACT Public Holidays])),"")</f>
        <v/>
      </c>
      <c r="BR4" s="160" t="str">
        <f xml:space="preserve">
IFERROR(IF(_xlfn.XLOOKUP(BR3,Table9[Mondays],Table9[ACT Public Holidays])=0,"",_xlfn.XLOOKUP(BR3,Table9[Mondays],Table9[ACT Public Holidays])),"")</f>
        <v/>
      </c>
      <c r="BS4" s="160" t="str">
        <f xml:space="preserve">
IFERROR(IF(_xlfn.XLOOKUP(BS3,Table9[Mondays],Table9[ACT Public Holidays])=0,"",_xlfn.XLOOKUP(BS3,Table9[Mondays],Table9[ACT Public Holidays])),"")</f>
        <v/>
      </c>
      <c r="BT4" s="160" t="str">
        <f xml:space="preserve">
IFERROR(IF(_xlfn.XLOOKUP(BT3,Table9[Mondays],Table9[ACT Public Holidays])=0,"",_xlfn.XLOOKUP(BT3,Table9[Mondays],Table9[ACT Public Holidays])),"")</f>
        <v/>
      </c>
      <c r="BU4" s="160">
        <f xml:space="preserve">
IFERROR(IF(_xlfn.XLOOKUP(BU3,Table9[Mondays],Table9[ACT Public Holidays])=0,"",_xlfn.XLOOKUP(BU3,Table9[Mondays],Table9[ACT Public Holidays])),"")</f>
        <v>0.2</v>
      </c>
      <c r="BV4" s="160" t="str">
        <f xml:space="preserve">
IFERROR(IF(_xlfn.XLOOKUP(BV3,Table9[Mondays],Table9[ACT Public Holidays])=0,"",_xlfn.XLOOKUP(BV3,Table9[Mondays],Table9[ACT Public Holidays])),"")</f>
        <v/>
      </c>
      <c r="BW4" s="160" t="str">
        <f xml:space="preserve">
IFERROR(IF(_xlfn.XLOOKUP(BW3,Table9[Mondays],Table9[ACT Public Holidays])=0,"",_xlfn.XLOOKUP(BW3,Table9[Mondays],Table9[ACT Public Holidays])),"")</f>
        <v/>
      </c>
      <c r="BX4" s="160" t="str">
        <f xml:space="preserve">
IFERROR(IF(_xlfn.XLOOKUP(BX3,Table9[Mondays],Table9[ACT Public Holidays])=0,"",_xlfn.XLOOKUP(BX3,Table9[Mondays],Table9[ACT Public Holidays])),"")</f>
        <v/>
      </c>
      <c r="BY4" s="160" t="str">
        <f xml:space="preserve">
IFERROR(IF(_xlfn.XLOOKUP(BY3,Table9[Mondays],Table9[ACT Public Holidays])=0,"",_xlfn.XLOOKUP(BY3,Table9[Mondays],Table9[ACT Public Holidays])),"")</f>
        <v/>
      </c>
      <c r="BZ4" s="160" t="str">
        <f xml:space="preserve">
IFERROR(IF(_xlfn.XLOOKUP(BZ3,Table9[Mondays],Table9[ACT Public Holidays])=0,"",_xlfn.XLOOKUP(BZ3,Table9[Mondays],Table9[ACT Public Holidays])),"")</f>
        <v/>
      </c>
      <c r="CA4" s="160" t="str">
        <f xml:space="preserve">
IFERROR(IF(_xlfn.XLOOKUP(CA3,Table9[Mondays],Table9[ACT Public Holidays])=0,"",_xlfn.XLOOKUP(CA3,Table9[Mondays],Table9[ACT Public Holidays])),"")</f>
        <v/>
      </c>
      <c r="CB4" s="160" t="str">
        <f xml:space="preserve">
IFERROR(IF(_xlfn.XLOOKUP(CB3,Table9[Mondays],Table9[ACT Public Holidays])=0,"",_xlfn.XLOOKUP(CB3,Table9[Mondays],Table9[ACT Public Holidays])),"")</f>
        <v/>
      </c>
      <c r="CC4" s="160" t="str">
        <f xml:space="preserve">
IFERROR(IF(_xlfn.XLOOKUP(CC3,Table9[Mondays],Table9[ACT Public Holidays])=0,"",_xlfn.XLOOKUP(CC3,Table9[Mondays],Table9[ACT Public Holidays])),"")</f>
        <v/>
      </c>
      <c r="CD4" s="160" t="str">
        <f xml:space="preserve">
IFERROR(IF(_xlfn.XLOOKUP(CD3,Table9[Mondays],Table9[ACT Public Holidays])=0,"",_xlfn.XLOOKUP(CD3,Table9[Mondays],Table9[ACT Public Holidays])),"")</f>
        <v/>
      </c>
      <c r="CE4" s="160" t="str">
        <f xml:space="preserve">
IFERROR(IF(_xlfn.XLOOKUP(CE3,Table9[Mondays],Table9[ACT Public Holidays])=0,"",_xlfn.XLOOKUP(CE3,Table9[Mondays],Table9[ACT Public Holidays])),"")</f>
        <v/>
      </c>
      <c r="CF4" s="160">
        <f xml:space="preserve">
IFERROR(IF(_xlfn.XLOOKUP(CF3,Table9[Mondays],Table9[ACT Public Holidays])=0,"",_xlfn.XLOOKUP(CF3,Table9[Mondays],Table9[ACT Public Holidays])),"")</f>
        <v>1</v>
      </c>
      <c r="CG4" s="160">
        <f xml:space="preserve">
IFERROR(IF(_xlfn.XLOOKUP(CG3,Table9[Mondays],Table9[ACT Public Holidays])=0,"",_xlfn.XLOOKUP(CG3,Table9[Mondays],Table9[ACT Public Holidays])),"")</f>
        <v>1</v>
      </c>
      <c r="CH4" s="160" t="str">
        <f xml:space="preserve">
IFERROR(IF(_xlfn.XLOOKUP(CH3,Table9[Mondays],Table9[ACT Public Holidays])=0,"",_xlfn.XLOOKUP(CH3,Table9[Mondays],Table9[ACT Public Holidays])),"")</f>
        <v/>
      </c>
      <c r="CI4" s="160" t="str">
        <f xml:space="preserve">
IFERROR(IF(_xlfn.XLOOKUP(CI3,Table9[Mondays],Table9[ACT Public Holidays])=0,"",_xlfn.XLOOKUP(CI3,Table9[Mondays],Table9[ACT Public Holidays])),"")</f>
        <v/>
      </c>
      <c r="CJ4" s="160" t="str">
        <f xml:space="preserve">
IFERROR(IF(_xlfn.XLOOKUP(CJ3,Table9[Mondays],Table9[ACT Public Holidays])=0,"",_xlfn.XLOOKUP(CJ3,Table9[Mondays],Table9[ACT Public Holidays])),"")</f>
        <v/>
      </c>
      <c r="CK4" s="160">
        <f xml:space="preserve">
IFERROR(IF(_xlfn.XLOOKUP(CK3,Table9[Mondays],Table9[ACT Public Holidays])=0,"",_xlfn.XLOOKUP(CK3,Table9[Mondays],Table9[ACT Public Holidays])),"")</f>
        <v>0.2</v>
      </c>
      <c r="CL4" s="160" t="str">
        <f xml:space="preserve">
IFERROR(IF(_xlfn.XLOOKUP(CL3,Table9[Mondays],Table9[ACT Public Holidays])=0,"",_xlfn.XLOOKUP(CL3,Table9[Mondays],Table9[ACT Public Holidays])),"")</f>
        <v/>
      </c>
      <c r="CM4" s="160" t="str">
        <f xml:space="preserve">
IFERROR(IF(_xlfn.XLOOKUP(CM3,Table9[Mondays],Table9[ACT Public Holidays])=0,"",_xlfn.XLOOKUP(CM3,Table9[Mondays],Table9[ACT Public Holidays])),"")</f>
        <v/>
      </c>
      <c r="CN4" s="160" t="str">
        <f xml:space="preserve">
IFERROR(IF(_xlfn.XLOOKUP(CN3,Table9[Mondays],Table9[ACT Public Holidays])=0,"",_xlfn.XLOOKUP(CN3,Table9[Mondays],Table9[ACT Public Holidays])),"")</f>
        <v/>
      </c>
      <c r="CO4" s="160" t="str">
        <f xml:space="preserve">
IFERROR(IF(_xlfn.XLOOKUP(CO3,Table9[Mondays],Table9[ACT Public Holidays])=0,"",_xlfn.XLOOKUP(CO3,Table9[Mondays],Table9[ACT Public Holidays])),"")</f>
        <v/>
      </c>
      <c r="CP4" s="160" t="str">
        <f xml:space="preserve">
IFERROR(IF(_xlfn.XLOOKUP(CP3,Table9[Mondays],Table9[ACT Public Holidays])=0,"",_xlfn.XLOOKUP(CP3,Table9[Mondays],Table9[ACT Public Holidays])),"")</f>
        <v/>
      </c>
      <c r="CQ4" s="160">
        <f xml:space="preserve">
IFERROR(IF(_xlfn.XLOOKUP(CQ3,Table9[Mondays],Table9[ACT Public Holidays])=0,"",_xlfn.XLOOKUP(CQ3,Table9[Mondays],Table9[ACT Public Holidays])),"")</f>
        <v>0.2</v>
      </c>
      <c r="CR4" s="160" t="str">
        <f xml:space="preserve">
IFERROR(IF(_xlfn.XLOOKUP(CR3,Table9[Mondays],Table9[ACT Public Holidays])=0,"",_xlfn.XLOOKUP(CR3,Table9[Mondays],Table9[ACT Public Holidays])),"")</f>
        <v/>
      </c>
      <c r="CS4" s="160">
        <f xml:space="preserve">
IFERROR(IF(_xlfn.XLOOKUP(CS3,Table9[Mondays],Table9[ACT Public Holidays])=0,"",_xlfn.XLOOKUP(CS3,Table9[Mondays],Table9[ACT Public Holidays])),"")</f>
        <v>0.2</v>
      </c>
      <c r="CT4" s="160">
        <f xml:space="preserve">
IFERROR(IF(_xlfn.XLOOKUP(CT3,Table9[Mondays],Table9[ACT Public Holidays])=0,"",_xlfn.XLOOKUP(CT3,Table9[Mondays],Table9[ACT Public Holidays])),"")</f>
        <v>0.2</v>
      </c>
      <c r="CU4" s="160" t="str">
        <f xml:space="preserve">
IFERROR(IF(_xlfn.XLOOKUP(CU3,Table9[Mondays],Table9[ACT Public Holidays])=0,"",_xlfn.XLOOKUP(CU3,Table9[Mondays],Table9[ACT Public Holidays])),"")</f>
        <v/>
      </c>
      <c r="CV4" s="160" t="str">
        <f xml:space="preserve">
IFERROR(IF(_xlfn.XLOOKUP(CV3,Table9[Mondays],Table9[ACT Public Holidays])=0,"",_xlfn.XLOOKUP(CV3,Table9[Mondays],Table9[ACT Public Holidays])),"")</f>
        <v/>
      </c>
      <c r="CW4" s="160" t="str">
        <f xml:space="preserve">
IFERROR(IF(_xlfn.XLOOKUP(CW3,Table9[Mondays],Table9[ACT Public Holidays])=0,"",_xlfn.XLOOKUP(CW3,Table9[Mondays],Table9[ACT Public Holidays])),"")</f>
        <v/>
      </c>
      <c r="CX4" s="160">
        <f xml:space="preserve">
IFERROR(IF(_xlfn.XLOOKUP(CX3,Table9[Mondays],Table9[ACT Public Holidays])=0,"",_xlfn.XLOOKUP(CX3,Table9[Mondays],Table9[ACT Public Holidays])),"")</f>
        <v>0.2</v>
      </c>
      <c r="CY4" s="160" t="str">
        <f xml:space="preserve">
IFERROR(IF(_xlfn.XLOOKUP(CY3,Table9[Mondays],Table9[ACT Public Holidays])=0,"",_xlfn.XLOOKUP(CY3,Table9[Mondays],Table9[ACT Public Holidays])),"")</f>
        <v/>
      </c>
      <c r="CZ4" s="160" t="str">
        <f xml:space="preserve">
IFERROR(IF(_xlfn.XLOOKUP(CZ3,Table9[Mondays],Table9[ACT Public Holidays])=0,"",_xlfn.XLOOKUP(CZ3,Table9[Mondays],Table9[ACT Public Holidays])),"")</f>
        <v/>
      </c>
      <c r="DA4" s="160" t="str">
        <f xml:space="preserve">
IFERROR(IF(_xlfn.XLOOKUP(DA3,Table9[Mondays],Table9[ACT Public Holidays])=0,"",_xlfn.XLOOKUP(DA3,Table9[Mondays],Table9[ACT Public Holidays])),"")</f>
        <v/>
      </c>
      <c r="DB4" s="160" t="str">
        <f xml:space="preserve">
IFERROR(IF(_xlfn.XLOOKUP(DB3,Table9[Mondays],Table9[ACT Public Holidays])=0,"",_xlfn.XLOOKUP(DB3,Table9[Mondays],Table9[ACT Public Holidays])),"")</f>
        <v/>
      </c>
      <c r="DC4" s="160">
        <f xml:space="preserve">
IFERROR(IF(_xlfn.XLOOKUP(DC3,Table9[Mondays],Table9[ACT Public Holidays])=0,"",_xlfn.XLOOKUP(DC3,Table9[Mondays],Table9[ACT Public Holidays])),"")</f>
        <v>0.2</v>
      </c>
      <c r="DD4" s="160" t="str">
        <f xml:space="preserve">
IFERROR(IF(_xlfn.XLOOKUP(DD3,Table9[Mondays],Table9[ACT Public Holidays])=0,"",_xlfn.XLOOKUP(DD3,Table9[Mondays],Table9[ACT Public Holidays])),"")</f>
        <v/>
      </c>
      <c r="DE4" s="160">
        <f xml:space="preserve">
IFERROR(IF(_xlfn.XLOOKUP(DE3,Table9[Mondays],Table9[ACT Public Holidays])=0,"",_xlfn.XLOOKUP(DE3,Table9[Mondays],Table9[ACT Public Holidays])),"")</f>
        <v>0.2</v>
      </c>
      <c r="DF4" s="160" t="str">
        <f xml:space="preserve">
IFERROR(IF(_xlfn.XLOOKUP(DF3,Table9[Mondays],Table9[ACT Public Holidays])=0,"",_xlfn.XLOOKUP(DF3,Table9[Mondays],Table9[ACT Public Holidays])),"")</f>
        <v/>
      </c>
      <c r="DG4" s="160" t="str">
        <f xml:space="preserve">
IFERROR(IF(_xlfn.XLOOKUP(DG3,Table9[Mondays],Table9[ACT Public Holidays])=0,"",_xlfn.XLOOKUP(DG3,Table9[Mondays],Table9[ACT Public Holidays])),"")</f>
        <v/>
      </c>
      <c r="DH4" s="160" t="str">
        <f xml:space="preserve">
IFERROR(IF(_xlfn.XLOOKUP(DH3,Table9[Mondays],Table9[ACT Public Holidays])=0,"",_xlfn.XLOOKUP(DH3,Table9[Mondays],Table9[ACT Public Holidays])),"")</f>
        <v/>
      </c>
      <c r="DI4" s="160" t="str">
        <f xml:space="preserve">
IFERROR(IF(_xlfn.XLOOKUP(DI3,Table9[Mondays],Table9[ACT Public Holidays])=0,"",_xlfn.XLOOKUP(DI3,Table9[Mondays],Table9[ACT Public Holidays])),"")</f>
        <v/>
      </c>
      <c r="DJ4" s="160" t="str">
        <f xml:space="preserve">
IFERROR(IF(_xlfn.XLOOKUP(DJ3,Table9[Mondays],Table9[ACT Public Holidays])=0,"",_xlfn.XLOOKUP(DJ3,Table9[Mondays],Table9[ACT Public Holidays])),"")</f>
        <v/>
      </c>
      <c r="DK4" s="160" t="str">
        <f xml:space="preserve">
IFERROR(IF(_xlfn.XLOOKUP(DK3,Table9[Mondays],Table9[ACT Public Holidays])=0,"",_xlfn.XLOOKUP(DK3,Table9[Mondays],Table9[ACT Public Holidays])),"")</f>
        <v/>
      </c>
      <c r="DL4" s="160" t="str">
        <f xml:space="preserve">
IFERROR(IF(_xlfn.XLOOKUP(DL3,Table9[Mondays],Table9[ACT Public Holidays])=0,"",_xlfn.XLOOKUP(DL3,Table9[Mondays],Table9[ACT Public Holidays])),"")</f>
        <v/>
      </c>
      <c r="DM4" s="160" t="str">
        <f xml:space="preserve">
IFERROR(IF(_xlfn.XLOOKUP(DM3,Table9[Mondays],Table9[ACT Public Holidays])=0,"",_xlfn.XLOOKUP(DM3,Table9[Mondays],Table9[ACT Public Holidays])),"")</f>
        <v/>
      </c>
      <c r="DN4" s="160" t="str">
        <f xml:space="preserve">
IFERROR(IF(_xlfn.XLOOKUP(DN3,Table9[Mondays],Table9[ACT Public Holidays])=0,"",_xlfn.XLOOKUP(DN3,Table9[Mondays],Table9[ACT Public Holidays])),"")</f>
        <v/>
      </c>
      <c r="DO4" s="160" t="str">
        <f xml:space="preserve">
IFERROR(IF(_xlfn.XLOOKUP(DO3,Table9[Mondays],Table9[ACT Public Holidays])=0,"",_xlfn.XLOOKUP(DO3,Table9[Mondays],Table9[ACT Public Holidays])),"")</f>
        <v/>
      </c>
      <c r="DP4" s="160" t="str">
        <f xml:space="preserve">
IFERROR(IF(_xlfn.XLOOKUP(DP3,Table9[Mondays],Table9[ACT Public Holidays])=0,"",_xlfn.XLOOKUP(DP3,Table9[Mondays],Table9[ACT Public Holidays])),"")</f>
        <v/>
      </c>
      <c r="DQ4" s="160" t="str">
        <f xml:space="preserve">
IFERROR(IF(_xlfn.XLOOKUP(DQ3,Table9[Mondays],Table9[ACT Public Holidays])=0,"",_xlfn.XLOOKUP(DQ3,Table9[Mondays],Table9[ACT Public Holidays])),"")</f>
        <v/>
      </c>
      <c r="DR4" s="160" t="str">
        <f xml:space="preserve">
IFERROR(IF(_xlfn.XLOOKUP(DR3,Table9[Mondays],Table9[ACT Public Holidays])=0,"",_xlfn.XLOOKUP(DR3,Table9[Mondays],Table9[ACT Public Holidays])),"")</f>
        <v/>
      </c>
      <c r="DS4" s="160" t="str">
        <f xml:space="preserve">
IFERROR(IF(_xlfn.XLOOKUP(DS3,Table9[Mondays],Table9[ACT Public Holidays])=0,"",_xlfn.XLOOKUP(DS3,Table9[Mondays],Table9[ACT Public Holidays])),"")</f>
        <v/>
      </c>
      <c r="DT4" s="160" t="str">
        <f xml:space="preserve">
IFERROR(IF(_xlfn.XLOOKUP(DT3,Table9[Mondays],Table9[ACT Public Holidays])=0,"",_xlfn.XLOOKUP(DT3,Table9[Mondays],Table9[ACT Public Holidays])),"")</f>
        <v/>
      </c>
      <c r="DU4" s="160">
        <f xml:space="preserve">
IFERROR(IF(_xlfn.XLOOKUP(DU3,Table9[Mondays],Table9[ACT Public Holidays])=0,"",_xlfn.XLOOKUP(DU3,Table9[Mondays],Table9[ACT Public Holidays])),"")</f>
        <v>0.2</v>
      </c>
      <c r="DV4" s="160" t="str">
        <f xml:space="preserve">
IFERROR(IF(_xlfn.XLOOKUP(DV3,Table9[Mondays],Table9[ACT Public Holidays])=0,"",_xlfn.XLOOKUP(DV3,Table9[Mondays],Table9[ACT Public Holidays])),"")</f>
        <v/>
      </c>
      <c r="DW4" s="160" t="str">
        <f xml:space="preserve">
IFERROR(IF(_xlfn.XLOOKUP(DW3,Table9[Mondays],Table9[ACT Public Holidays])=0,"",_xlfn.XLOOKUP(DW3,Table9[Mondays],Table9[ACT Public Holidays])),"")</f>
        <v/>
      </c>
      <c r="DX4" s="160" t="str">
        <f xml:space="preserve">
IFERROR(IF(_xlfn.XLOOKUP(DX3,Table9[Mondays],Table9[ACT Public Holidays])=0,"",_xlfn.XLOOKUP(DX3,Table9[Mondays],Table9[ACT Public Holidays])),"")</f>
        <v/>
      </c>
      <c r="DY4" s="160" t="str">
        <f xml:space="preserve">
IFERROR(IF(_xlfn.XLOOKUP(DY3,Table9[Mondays],Table9[ACT Public Holidays])=0,"",_xlfn.XLOOKUP(DY3,Table9[Mondays],Table9[ACT Public Holidays])),"")</f>
        <v/>
      </c>
      <c r="DZ4" s="160" t="str">
        <f xml:space="preserve">
IFERROR(IF(_xlfn.XLOOKUP(DZ3,Table9[Mondays],Table9[ACT Public Holidays])=0,"",_xlfn.XLOOKUP(DZ3,Table9[Mondays],Table9[ACT Public Holidays])),"")</f>
        <v/>
      </c>
      <c r="EA4" s="160" t="str">
        <f xml:space="preserve">
IFERROR(IF(_xlfn.XLOOKUP(EA3,Table9[Mondays],Table9[ACT Public Holidays])=0,"",_xlfn.XLOOKUP(EA3,Table9[Mondays],Table9[ACT Public Holidays])),"")</f>
        <v/>
      </c>
      <c r="EB4" s="160" t="str">
        <f xml:space="preserve">
IFERROR(IF(_xlfn.XLOOKUP(EB3,Table9[Mondays],Table9[ACT Public Holidays])=0,"",_xlfn.XLOOKUP(EB3,Table9[Mondays],Table9[ACT Public Holidays])),"")</f>
        <v/>
      </c>
      <c r="EC4" s="160" t="str">
        <f xml:space="preserve">
IFERROR(IF(_xlfn.XLOOKUP(EC3,Table9[Mondays],Table9[ACT Public Holidays])=0,"",_xlfn.XLOOKUP(EC3,Table9[Mondays],Table9[ACT Public Holidays])),"")</f>
        <v/>
      </c>
      <c r="ED4" s="160" t="str">
        <f xml:space="preserve">
IFERROR(IF(_xlfn.XLOOKUP(ED3,Table9[Mondays],Table9[ACT Public Holidays])=0,"",_xlfn.XLOOKUP(ED3,Table9[Mondays],Table9[ACT Public Holidays])),"")</f>
        <v/>
      </c>
      <c r="EE4" s="160" t="str">
        <f xml:space="preserve">
IFERROR(IF(_xlfn.XLOOKUP(EE3,Table9[Mondays],Table9[ACT Public Holidays])=0,"",_xlfn.XLOOKUP(EE3,Table9[Mondays],Table9[ACT Public Holidays])),"")</f>
        <v/>
      </c>
      <c r="EF4" s="160">
        <f xml:space="preserve">
IFERROR(IF(_xlfn.XLOOKUP(EF3,Table9[Mondays],Table9[ACT Public Holidays])=0,"",_xlfn.XLOOKUP(EF3,Table9[Mondays],Table9[ACT Public Holidays])),"")</f>
        <v>1</v>
      </c>
      <c r="EG4" s="160">
        <f xml:space="preserve">
IFERROR(IF(_xlfn.XLOOKUP(EG3,Table9[Mondays],Table9[ACT Public Holidays])=0,"",_xlfn.XLOOKUP(EG3,Table9[Mondays],Table9[ACT Public Holidays])),"")</f>
        <v>1</v>
      </c>
      <c r="EH4" s="160" t="str">
        <f xml:space="preserve">
IFERROR(IF(_xlfn.XLOOKUP(EH3,Table9[Mondays],Table9[ACT Public Holidays])=0,"",_xlfn.XLOOKUP(EH3,Table9[Mondays],Table9[ACT Public Holidays])),"")</f>
        <v/>
      </c>
      <c r="EI4" s="160" t="str">
        <f xml:space="preserve">
IFERROR(IF(_xlfn.XLOOKUP(EI3,Table9[Mondays],Table9[ACT Public Holidays])=0,"",_xlfn.XLOOKUP(EI3,Table9[Mondays],Table9[ACT Public Holidays])),"")</f>
        <v/>
      </c>
      <c r="EJ4" s="160" t="str">
        <f xml:space="preserve">
IFERROR(IF(_xlfn.XLOOKUP(EJ3,Table9[Mondays],Table9[ACT Public Holidays])=0,"",_xlfn.XLOOKUP(EJ3,Table9[Mondays],Table9[ACT Public Holidays])),"")</f>
        <v/>
      </c>
      <c r="EK4" s="160">
        <f xml:space="preserve">
IFERROR(IF(_xlfn.XLOOKUP(EK3,Table9[Mondays],Table9[ACT Public Holidays])=0,"",_xlfn.XLOOKUP(EK3,Table9[Mondays],Table9[ACT Public Holidays])),"")</f>
        <v>0.2</v>
      </c>
      <c r="EL4" s="160" t="str">
        <f xml:space="preserve">
IFERROR(IF(_xlfn.XLOOKUP(EL3,Table9[Mondays],Table9[ACT Public Holidays])=0,"",_xlfn.XLOOKUP(EL3,Table9[Mondays],Table9[ACT Public Holidays])),"")</f>
        <v/>
      </c>
      <c r="EM4" s="160" t="str">
        <f xml:space="preserve">
IFERROR(IF(_xlfn.XLOOKUP(EM3,Table9[Mondays],Table9[ACT Public Holidays])=0,"",_xlfn.XLOOKUP(EM3,Table9[Mondays],Table9[ACT Public Holidays])),"")</f>
        <v/>
      </c>
      <c r="EN4" s="160" t="str">
        <f xml:space="preserve">
IFERROR(IF(_xlfn.XLOOKUP(EN3,Table9[Mondays],Table9[ACT Public Holidays])=0,"",_xlfn.XLOOKUP(EN3,Table9[Mondays],Table9[ACT Public Holidays])),"")</f>
        <v/>
      </c>
      <c r="EO4" s="160" t="str">
        <f xml:space="preserve">
IFERROR(IF(_xlfn.XLOOKUP(EO3,Table9[Mondays],Table9[ACT Public Holidays])=0,"",_xlfn.XLOOKUP(EO3,Table9[Mondays],Table9[ACT Public Holidays])),"")</f>
        <v/>
      </c>
      <c r="EP4" s="160" t="str">
        <f xml:space="preserve">
IFERROR(IF(_xlfn.XLOOKUP(EP3,Table9[Mondays],Table9[ACT Public Holidays])=0,"",_xlfn.XLOOKUP(EP3,Table9[Mondays],Table9[ACT Public Holidays])),"")</f>
        <v/>
      </c>
      <c r="EQ4" s="160" t="str">
        <f xml:space="preserve">
IFERROR(IF(_xlfn.XLOOKUP(EQ3,Table9[Mondays],Table9[ACT Public Holidays])=0,"",_xlfn.XLOOKUP(EQ3,Table9[Mondays],Table9[ACT Public Holidays])),"")</f>
        <v/>
      </c>
      <c r="ER4" s="160">
        <f xml:space="preserve">
IFERROR(IF(_xlfn.XLOOKUP(ER3,Table9[Mondays],Table9[ACT Public Holidays])=0,"",_xlfn.XLOOKUP(ER3,Table9[Mondays],Table9[ACT Public Holidays])),"")</f>
        <v>0.4</v>
      </c>
      <c r="ES4" s="160">
        <f xml:space="preserve">
IFERROR(IF(_xlfn.XLOOKUP(ES3,Table9[Mondays],Table9[ACT Public Holidays])=0,"",_xlfn.XLOOKUP(ES3,Table9[Mondays],Table9[ACT Public Holidays])),"")</f>
        <v>0.2</v>
      </c>
      <c r="ET4" s="160" t="str">
        <f xml:space="preserve">
IFERROR(IF(_xlfn.XLOOKUP(ET3,Table9[Mondays],Table9[ACT Public Holidays])=0,"",_xlfn.XLOOKUP(ET3,Table9[Mondays],Table9[ACT Public Holidays])),"")</f>
        <v/>
      </c>
      <c r="EU4" s="160" t="str">
        <f xml:space="preserve">
IFERROR(IF(_xlfn.XLOOKUP(EU3,Table9[Mondays],Table9[ACT Public Holidays])=0,"",_xlfn.XLOOKUP(EU3,Table9[Mondays],Table9[ACT Public Holidays])),"")</f>
        <v/>
      </c>
      <c r="EV4" s="160" t="str">
        <f xml:space="preserve">
IFERROR(IF(_xlfn.XLOOKUP(EV3,Table9[Mondays],Table9[ACT Public Holidays])=0,"",_xlfn.XLOOKUP(EV3,Table9[Mondays],Table9[ACT Public Holidays])),"")</f>
        <v/>
      </c>
      <c r="EW4" s="160" t="str">
        <f xml:space="preserve">
IFERROR(IF(_xlfn.XLOOKUP(EW3,Table9[Mondays],Table9[ACT Public Holidays])=0,"",_xlfn.XLOOKUP(EW3,Table9[Mondays],Table9[ACT Public Holidays])),"")</f>
        <v/>
      </c>
      <c r="EX4" s="160">
        <f xml:space="preserve">
IFERROR(IF(_xlfn.XLOOKUP(EX3,Table9[Mondays],Table9[ACT Public Holidays])=0,"",_xlfn.XLOOKUP(EX3,Table9[Mondays],Table9[ACT Public Holidays])),"")</f>
        <v>0.2</v>
      </c>
      <c r="EY4" s="160" t="str">
        <f xml:space="preserve">
IFERROR(IF(_xlfn.XLOOKUP(EY3,Table9[Mondays],Table9[ACT Public Holidays])=0,"",_xlfn.XLOOKUP(EY3,Table9[Mondays],Table9[ACT Public Holidays])),"")</f>
        <v/>
      </c>
      <c r="EZ4" s="160" t="str">
        <f xml:space="preserve">
IFERROR(IF(_xlfn.XLOOKUP(EZ3,Table9[Mondays],Table9[ACT Public Holidays])=0,"",_xlfn.XLOOKUP(EZ3,Table9[Mondays],Table9[ACT Public Holidays])),"")</f>
        <v/>
      </c>
      <c r="FA4" s="160" t="str">
        <f xml:space="preserve">
IFERROR(IF(_xlfn.XLOOKUP(FA3,Table9[Mondays],Table9[ACT Public Holidays])=0,"",_xlfn.XLOOKUP(FA3,Table9[Mondays],Table9[ACT Public Holidays])),"")</f>
        <v/>
      </c>
      <c r="FB4" s="160" t="str">
        <f xml:space="preserve">
IFERROR(IF(_xlfn.XLOOKUP(FB3,Table9[Mondays],Table9[ACT Public Holidays])=0,"",_xlfn.XLOOKUP(FB3,Table9[Mondays],Table9[ACT Public Holidays])),"")</f>
        <v/>
      </c>
      <c r="FC4" s="160">
        <f xml:space="preserve">
IFERROR(IF(_xlfn.XLOOKUP(FC3,Table9[Mondays],Table9[ACT Public Holidays])=0,"",_xlfn.XLOOKUP(FC3,Table9[Mondays],Table9[ACT Public Holidays])),"")</f>
        <v>0.2</v>
      </c>
      <c r="FD4" s="160" t="str">
        <f xml:space="preserve">
IFERROR(IF(_xlfn.XLOOKUP(FD3,Table9[Mondays],Table9[ACT Public Holidays])=0,"",_xlfn.XLOOKUP(FD3,Table9[Mondays],Table9[ACT Public Holidays])),"")</f>
        <v/>
      </c>
      <c r="FE4" s="160">
        <f xml:space="preserve">
IFERROR(IF(_xlfn.XLOOKUP(FE3,Table9[Mondays],Table9[ACT Public Holidays])=0,"",_xlfn.XLOOKUP(FE3,Table9[Mondays],Table9[ACT Public Holidays])),"")</f>
        <v>0.2</v>
      </c>
      <c r="FF4" s="160" t="str">
        <f xml:space="preserve">
IFERROR(IF(_xlfn.XLOOKUP(FF3,Table9[Mondays],Table9[ACT Public Holidays])=0,"",_xlfn.XLOOKUP(FF3,Table9[Mondays],Table9[ACT Public Holidays])),"")</f>
        <v/>
      </c>
      <c r="FG4" s="160" t="str">
        <f xml:space="preserve">
IFERROR(IF(_xlfn.XLOOKUP(FG3,Table9[Mondays],Table9[ACT Public Holidays])=0,"",_xlfn.XLOOKUP(FG3,Table9[Mondays],Table9[ACT Public Holidays])),"")</f>
        <v/>
      </c>
      <c r="FH4" s="160" t="str">
        <f xml:space="preserve">
IFERROR(IF(_xlfn.XLOOKUP(FH3,Table9[Mondays],Table9[ACT Public Holidays])=0,"",_xlfn.XLOOKUP(FH3,Table9[Mondays],Table9[ACT Public Holidays])),"")</f>
        <v/>
      </c>
      <c r="FI4" s="160" t="str">
        <f xml:space="preserve">
IFERROR(IF(_xlfn.XLOOKUP(FI3,Table9[Mondays],Table9[ACT Public Holidays])=0,"",_xlfn.XLOOKUP(FI3,Table9[Mondays],Table9[ACT Public Holidays])),"")</f>
        <v/>
      </c>
      <c r="FJ4" s="160" t="str">
        <f xml:space="preserve">
IFERROR(IF(_xlfn.XLOOKUP(FJ3,Table9[Mondays],Table9[ACT Public Holidays])=0,"",_xlfn.XLOOKUP(FJ3,Table9[Mondays],Table9[ACT Public Holidays])),"")</f>
        <v/>
      </c>
      <c r="FK4" s="160" t="str">
        <f xml:space="preserve">
IFERROR(IF(_xlfn.XLOOKUP(FK3,Table9[Mondays],Table9[ACT Public Holidays])=0,"",_xlfn.XLOOKUP(FK3,Table9[Mondays],Table9[ACT Public Holidays])),"")</f>
        <v/>
      </c>
      <c r="FL4" s="160" t="str">
        <f xml:space="preserve">
IFERROR(IF(_xlfn.XLOOKUP(FL3,Table9[Mondays],Table9[ACT Public Holidays])=0,"",_xlfn.XLOOKUP(FL3,Table9[Mondays],Table9[ACT Public Holidays])),"")</f>
        <v/>
      </c>
      <c r="FM4" s="160" t="str">
        <f xml:space="preserve">
IFERROR(IF(_xlfn.XLOOKUP(FM3,Table9[Mondays],Table9[ACT Public Holidays])=0,"",_xlfn.XLOOKUP(FM3,Table9[Mondays],Table9[ACT Public Holidays])),"")</f>
        <v/>
      </c>
      <c r="FN4" s="160" t="str">
        <f xml:space="preserve">
IFERROR(IF(_xlfn.XLOOKUP(FN3,Table9[Mondays],Table9[ACT Public Holidays])=0,"",_xlfn.XLOOKUP(FN3,Table9[Mondays],Table9[ACT Public Holidays])),"")</f>
        <v/>
      </c>
      <c r="FO4" s="160" t="str">
        <f xml:space="preserve">
IFERROR(IF(_xlfn.XLOOKUP(FO3,Table9[Mondays],Table9[ACT Public Holidays])=0,"",_xlfn.XLOOKUP(FO3,Table9[Mondays],Table9[ACT Public Holidays])),"")</f>
        <v/>
      </c>
      <c r="FP4" s="160" t="str">
        <f xml:space="preserve">
IFERROR(IF(_xlfn.XLOOKUP(FP3,Table9[Mondays],Table9[ACT Public Holidays])=0,"",_xlfn.XLOOKUP(FP3,Table9[Mondays],Table9[ACT Public Holidays])),"")</f>
        <v/>
      </c>
      <c r="FQ4" s="160" t="str">
        <f xml:space="preserve">
IFERROR(IF(_xlfn.XLOOKUP(FQ3,Table9[Mondays],Table9[ACT Public Holidays])=0,"",_xlfn.XLOOKUP(FQ3,Table9[Mondays],Table9[ACT Public Holidays])),"")</f>
        <v/>
      </c>
      <c r="FR4" s="160" t="str">
        <f xml:space="preserve">
IFERROR(IF(_xlfn.XLOOKUP(FR3,Table9[Mondays],Table9[ACT Public Holidays])=0,"",_xlfn.XLOOKUP(FR3,Table9[Mondays],Table9[ACT Public Holidays])),"")</f>
        <v/>
      </c>
      <c r="FS4" s="160" t="str">
        <f xml:space="preserve">
IFERROR(IF(_xlfn.XLOOKUP(FS3,Table9[Mondays],Table9[ACT Public Holidays])=0,"",_xlfn.XLOOKUP(FS3,Table9[Mondays],Table9[ACT Public Holidays])),"")</f>
        <v/>
      </c>
      <c r="FT4" s="160" t="str">
        <f xml:space="preserve">
IFERROR(IF(_xlfn.XLOOKUP(FT3,Table9[Mondays],Table9[ACT Public Holidays])=0,"",_xlfn.XLOOKUP(FT3,Table9[Mondays],Table9[ACT Public Holidays])),"")</f>
        <v/>
      </c>
      <c r="FU4" s="160">
        <f xml:space="preserve">
IFERROR(IF(_xlfn.XLOOKUP(FU3,Table9[Mondays],Table9[ACT Public Holidays])=0,"",_xlfn.XLOOKUP(FU3,Table9[Mondays],Table9[ACT Public Holidays])),"")</f>
        <v>0.2</v>
      </c>
      <c r="FV4" s="160" t="str">
        <f xml:space="preserve">
IFERROR(IF(_xlfn.XLOOKUP(FV3,Table9[Mondays],Table9[ACT Public Holidays])=0,"",_xlfn.XLOOKUP(FV3,Table9[Mondays],Table9[ACT Public Holidays])),"")</f>
        <v/>
      </c>
      <c r="FW4" s="160" t="str">
        <f xml:space="preserve">
IFERROR(IF(_xlfn.XLOOKUP(FW3,Table9[Mondays],Table9[ACT Public Holidays])=0,"",_xlfn.XLOOKUP(FW3,Table9[Mondays],Table9[ACT Public Holidays])),"")</f>
        <v/>
      </c>
      <c r="FX4" s="160" t="str">
        <f xml:space="preserve">
IFERROR(IF(_xlfn.XLOOKUP(FX3,Table9[Mondays],Table9[ACT Public Holidays])=0,"",_xlfn.XLOOKUP(FX3,Table9[Mondays],Table9[ACT Public Holidays])),"")</f>
        <v/>
      </c>
      <c r="FY4" s="160" t="str">
        <f xml:space="preserve">
IFERROR(IF(_xlfn.XLOOKUP(FY3,Table9[Mondays],Table9[ACT Public Holidays])=0,"",_xlfn.XLOOKUP(FY3,Table9[Mondays],Table9[ACT Public Holidays])),"")</f>
        <v/>
      </c>
      <c r="FZ4" s="160" t="str">
        <f xml:space="preserve">
IFERROR(IF(_xlfn.XLOOKUP(FZ3,Table9[Mondays],Table9[ACT Public Holidays])=0,"",_xlfn.XLOOKUP(FZ3,Table9[Mondays],Table9[ACT Public Holidays])),"")</f>
        <v/>
      </c>
      <c r="GA4" s="160" t="str">
        <f xml:space="preserve">
IFERROR(IF(_xlfn.XLOOKUP(GA3,Table9[Mondays],Table9[ACT Public Holidays])=0,"",_xlfn.XLOOKUP(GA3,Table9[Mondays],Table9[ACT Public Holidays])),"")</f>
        <v/>
      </c>
      <c r="GB4" s="160" t="str">
        <f xml:space="preserve">
IFERROR(IF(_xlfn.XLOOKUP(GB3,Table9[Mondays],Table9[ACT Public Holidays])=0,"",_xlfn.XLOOKUP(GB3,Table9[Mondays],Table9[ACT Public Holidays])),"")</f>
        <v/>
      </c>
      <c r="GC4" s="160" t="str">
        <f xml:space="preserve">
IFERROR(IF(_xlfn.XLOOKUP(GC3,Table9[Mondays],Table9[ACT Public Holidays])=0,"",_xlfn.XLOOKUP(GC3,Table9[Mondays],Table9[ACT Public Holidays])),"")</f>
        <v/>
      </c>
      <c r="GD4" s="160" t="str">
        <f xml:space="preserve">
IFERROR(IF(_xlfn.XLOOKUP(GD3,Table9[Mondays],Table9[ACT Public Holidays])=0,"",_xlfn.XLOOKUP(GD3,Table9[Mondays],Table9[ACT Public Holidays])),"")</f>
        <v/>
      </c>
      <c r="GE4" s="160" t="str">
        <f xml:space="preserve">
IFERROR(IF(_xlfn.XLOOKUP(GE3,Table9[Mondays],Table9[ACT Public Holidays])=0,"",_xlfn.XLOOKUP(GE3,Table9[Mondays],Table9[ACT Public Holidays])),"")</f>
        <v/>
      </c>
      <c r="GF4" s="160" t="str">
        <f xml:space="preserve">
IFERROR(IF(_xlfn.XLOOKUP(GF3,Table9[Mondays],Table9[ACT Public Holidays])=0,"",_xlfn.XLOOKUP(GF3,Table9[Mondays],Table9[ACT Public Holidays])),"")</f>
        <v/>
      </c>
      <c r="GG4" s="160">
        <f xml:space="preserve">
IFERROR(IF(_xlfn.XLOOKUP(GG3,Table9[Mondays],Table9[ACT Public Holidays])=0,"",_xlfn.XLOOKUP(GG3,Table9[Mondays],Table9[ACT Public Holidays])),"")</f>
        <v>1</v>
      </c>
      <c r="GH4" s="160">
        <f xml:space="preserve">
IFERROR(IF(_xlfn.XLOOKUP(GH3,Table9[Mondays],Table9[ACT Public Holidays])=0,"",_xlfn.XLOOKUP(GH3,Table9[Mondays],Table9[ACT Public Holidays])),"")</f>
        <v>1</v>
      </c>
      <c r="GI4" s="160" t="str">
        <f xml:space="preserve">
IFERROR(IF(_xlfn.XLOOKUP(GI3,Table9[Mondays],Table9[ACT Public Holidays])=0,"",_xlfn.XLOOKUP(GI3,Table9[Mondays],Table9[ACT Public Holidays])),"")</f>
        <v/>
      </c>
      <c r="GJ4" s="160" t="str">
        <f xml:space="preserve">
IFERROR(IF(_xlfn.XLOOKUP(GJ3,Table9[Mondays],Table9[ACT Public Holidays])=0,"",_xlfn.XLOOKUP(GJ3,Table9[Mondays],Table9[ACT Public Holidays])),"")</f>
        <v/>
      </c>
      <c r="GK4" s="160">
        <f xml:space="preserve">
IFERROR(IF(_xlfn.XLOOKUP(GK3,Table9[Mondays],Table9[ACT Public Holidays])=0,"",_xlfn.XLOOKUP(GK3,Table9[Mondays],Table9[ACT Public Holidays])),"")</f>
        <v>0.2</v>
      </c>
      <c r="GL4" s="160" t="str">
        <f xml:space="preserve">
IFERROR(IF(_xlfn.XLOOKUP(GL3,Table9[Mondays],Table9[ACT Public Holidays])=0,"",_xlfn.XLOOKUP(GL3,Table9[Mondays],Table9[ACT Public Holidays])),"")</f>
        <v/>
      </c>
      <c r="GM4" s="160" t="str">
        <f xml:space="preserve">
IFERROR(IF(_xlfn.XLOOKUP(GM3,Table9[Mondays],Table9[ACT Public Holidays])=0,"",_xlfn.XLOOKUP(GM3,Table9[Mondays],Table9[ACT Public Holidays])),"")</f>
        <v/>
      </c>
      <c r="GN4" s="160" t="str">
        <f xml:space="preserve">
IFERROR(IF(_xlfn.XLOOKUP(GN3,Table9[Mondays],Table9[ACT Public Holidays])=0,"",_xlfn.XLOOKUP(GN3,Table9[Mondays],Table9[ACT Public Holidays])),"")</f>
        <v/>
      </c>
      <c r="GO4" s="160" t="str">
        <f xml:space="preserve">
IFERROR(IF(_xlfn.XLOOKUP(GO3,Table9[Mondays],Table9[ACT Public Holidays])=0,"",_xlfn.XLOOKUP(GO3,Table9[Mondays],Table9[ACT Public Holidays])),"")</f>
        <v/>
      </c>
      <c r="GP4" s="160" t="str">
        <f xml:space="preserve">
IFERROR(IF(_xlfn.XLOOKUP(GP3,Table9[Mondays],Table9[ACT Public Holidays])=0,"",_xlfn.XLOOKUP(GP3,Table9[Mondays],Table9[ACT Public Holidays])),"")</f>
        <v/>
      </c>
      <c r="GQ4" s="160" t="str">
        <f xml:space="preserve">
IFERROR(IF(_xlfn.XLOOKUP(GQ3,Table9[Mondays],Table9[ACT Public Holidays])=0,"",_xlfn.XLOOKUP(GQ3,Table9[Mondays],Table9[ACT Public Holidays])),"")</f>
        <v/>
      </c>
      <c r="GR4" s="160">
        <f xml:space="preserve">
IFERROR(IF(_xlfn.XLOOKUP(GR3,Table9[Mondays],Table9[ACT Public Holidays])=0,"",_xlfn.XLOOKUP(GR3,Table9[Mondays],Table9[ACT Public Holidays])),"")</f>
        <v>0.2</v>
      </c>
      <c r="GS4" s="160" t="str">
        <f xml:space="preserve">
IFERROR(IF(_xlfn.XLOOKUP(GS3,Table9[Mondays],Table9[ACT Public Holidays])=0,"",_xlfn.XLOOKUP(GS3,Table9[Mondays],Table9[ACT Public Holidays])),"")</f>
        <v/>
      </c>
      <c r="GT4" s="160">
        <f xml:space="preserve">
IFERROR(IF(_xlfn.XLOOKUP(GT3,Table9[Mondays],Table9[ACT Public Holidays])=0,"",_xlfn.XLOOKUP(GT3,Table9[Mondays],Table9[ACT Public Holidays])),"")</f>
        <v>0.2</v>
      </c>
      <c r="GU4" s="160">
        <f xml:space="preserve">
IFERROR(IF(_xlfn.XLOOKUP(GU3,Table9[Mondays],Table9[ACT Public Holidays])=0,"",_xlfn.XLOOKUP(GU3,Table9[Mondays],Table9[ACT Public Holidays])),"")</f>
        <v>0.2</v>
      </c>
      <c r="GV4" s="160" t="str">
        <f xml:space="preserve">
IFERROR(IF(_xlfn.XLOOKUP(GV3,Table9[Mondays],Table9[ACT Public Holidays])=0,"",_xlfn.XLOOKUP(GV3,Table9[Mondays],Table9[ACT Public Holidays])),"")</f>
        <v/>
      </c>
      <c r="GW4" s="160" t="str">
        <f xml:space="preserve">
IFERROR(IF(_xlfn.XLOOKUP(GW3,Table9[Mondays],Table9[ACT Public Holidays])=0,"",_xlfn.XLOOKUP(GW3,Table9[Mondays],Table9[ACT Public Holidays])),"")</f>
        <v/>
      </c>
      <c r="GX4" s="160">
        <f xml:space="preserve">
IFERROR(IF(_xlfn.XLOOKUP(GX3,Table9[Mondays],Table9[ACT Public Holidays])=0,"",_xlfn.XLOOKUP(GX3,Table9[Mondays],Table9[ACT Public Holidays])),"")</f>
        <v>0.2</v>
      </c>
      <c r="GY4" s="160" t="str">
        <f xml:space="preserve">
IFERROR(IF(_xlfn.XLOOKUP(GY3,Table9[Mondays],Table9[ACT Public Holidays])=0,"",_xlfn.XLOOKUP(GY3,Table9[Mondays],Table9[ACT Public Holidays])),"")</f>
        <v/>
      </c>
      <c r="GZ4" s="160" t="str">
        <f xml:space="preserve">
IFERROR(IF(_xlfn.XLOOKUP(GZ3,Table9[Mondays],Table9[ACT Public Holidays])=0,"",_xlfn.XLOOKUP(GZ3,Table9[Mondays],Table9[ACT Public Holidays])),"")</f>
        <v/>
      </c>
      <c r="HA4" s="160" t="str">
        <f xml:space="preserve">
IFERROR(IF(_xlfn.XLOOKUP(HA3,Table9[Mondays],Table9[ACT Public Holidays])=0,"",_xlfn.XLOOKUP(HA3,Table9[Mondays],Table9[ACT Public Holidays])),"")</f>
        <v/>
      </c>
      <c r="HB4" s="160" t="str">
        <f xml:space="preserve">
IFERROR(IF(_xlfn.XLOOKUP(HB3,Table9[Mondays],Table9[ACT Public Holidays])=0,"",_xlfn.XLOOKUP(HB3,Table9[Mondays],Table9[ACT Public Holidays])),"")</f>
        <v/>
      </c>
      <c r="HC4" s="160">
        <f xml:space="preserve">
IFERROR(IF(_xlfn.XLOOKUP(HC3,Table9[Mondays],Table9[ACT Public Holidays])=0,"",_xlfn.XLOOKUP(HC3,Table9[Mondays],Table9[ACT Public Holidays])),"")</f>
        <v>0.2</v>
      </c>
      <c r="HD4" s="160" t="str">
        <f xml:space="preserve">
IFERROR(IF(_xlfn.XLOOKUP(HD3,Table9[Mondays],Table9[ACT Public Holidays])=0,"",_xlfn.XLOOKUP(HD3,Table9[Mondays],Table9[ACT Public Holidays])),"")</f>
        <v/>
      </c>
      <c r="HE4" s="160">
        <f xml:space="preserve">
IFERROR(IF(_xlfn.XLOOKUP(HE3,Table9[Mondays],Table9[ACT Public Holidays])=0,"",_xlfn.XLOOKUP(HE3,Table9[Mondays],Table9[ACT Public Holidays])),"")</f>
        <v>0.2</v>
      </c>
      <c r="HF4" s="160" t="str">
        <f xml:space="preserve">
IFERROR(IF(_xlfn.XLOOKUP(HF3,Table9[Mondays],Table9[ACT Public Holidays])=0,"",_xlfn.XLOOKUP(HF3,Table9[Mondays],Table9[ACT Public Holidays])),"")</f>
        <v/>
      </c>
      <c r="HG4" s="160" t="str">
        <f xml:space="preserve">
IFERROR(IF(_xlfn.XLOOKUP(HG3,Table9[Mondays],Table9[ACT Public Holidays])=0,"",_xlfn.XLOOKUP(HG3,Table9[Mondays],Table9[ACT Public Holidays])),"")</f>
        <v/>
      </c>
      <c r="HH4" s="160" t="str">
        <f xml:space="preserve">
IFERROR(IF(_xlfn.XLOOKUP(HH3,Table9[Mondays],Table9[ACT Public Holidays])=0,"",_xlfn.XLOOKUP(HH3,Table9[Mondays],Table9[ACT Public Holidays])),"")</f>
        <v/>
      </c>
      <c r="HI4" s="160" t="str">
        <f xml:space="preserve">
IFERROR(IF(_xlfn.XLOOKUP(HI3,Table9[Mondays],Table9[ACT Public Holidays])=0,"",_xlfn.XLOOKUP(HI3,Table9[Mondays],Table9[ACT Public Holidays])),"")</f>
        <v/>
      </c>
      <c r="HJ4" s="160" t="str">
        <f xml:space="preserve">
IFERROR(IF(_xlfn.XLOOKUP(HJ3,Table9[Mondays],Table9[ACT Public Holidays])=0,"",_xlfn.XLOOKUP(HJ3,Table9[Mondays],Table9[ACT Public Holidays])),"")</f>
        <v/>
      </c>
      <c r="HK4" s="160" t="str">
        <f xml:space="preserve">
IFERROR(IF(_xlfn.XLOOKUP(HK3,Table9[Mondays],Table9[ACT Public Holidays])=0,"",_xlfn.XLOOKUP(HK3,Table9[Mondays],Table9[ACT Public Holidays])),"")</f>
        <v/>
      </c>
      <c r="HL4" s="160" t="str">
        <f xml:space="preserve">
IFERROR(IF(_xlfn.XLOOKUP(HL3,Table9[Mondays],Table9[ACT Public Holidays])=0,"",_xlfn.XLOOKUP(HL3,Table9[Mondays],Table9[ACT Public Holidays])),"")</f>
        <v/>
      </c>
      <c r="HM4" s="160" t="str">
        <f xml:space="preserve">
IFERROR(IF(_xlfn.XLOOKUP(HM3,Table9[Mondays],Table9[ACT Public Holidays])=0,"",_xlfn.XLOOKUP(HM3,Table9[Mondays],Table9[ACT Public Holidays])),"")</f>
        <v/>
      </c>
      <c r="HN4" s="160" t="str">
        <f xml:space="preserve">
IFERROR(IF(_xlfn.XLOOKUP(HN3,Table9[Mondays],Table9[ACT Public Holidays])=0,"",_xlfn.XLOOKUP(HN3,Table9[Mondays],Table9[ACT Public Holidays])),"")</f>
        <v/>
      </c>
      <c r="HO4" s="160" t="str">
        <f xml:space="preserve">
IFERROR(IF(_xlfn.XLOOKUP(HO3,Table9[Mondays],Table9[ACT Public Holidays])=0,"",_xlfn.XLOOKUP(HO3,Table9[Mondays],Table9[ACT Public Holidays])),"")</f>
        <v/>
      </c>
      <c r="HP4" s="160" t="str">
        <f xml:space="preserve">
IFERROR(IF(_xlfn.XLOOKUP(HP3,Table9[Mondays],Table9[ACT Public Holidays])=0,"",_xlfn.XLOOKUP(HP3,Table9[Mondays],Table9[ACT Public Holidays])),"")</f>
        <v/>
      </c>
      <c r="HQ4" s="160" t="str">
        <f xml:space="preserve">
IFERROR(IF(_xlfn.XLOOKUP(HQ3,Table9[Mondays],Table9[ACT Public Holidays])=0,"",_xlfn.XLOOKUP(HQ3,Table9[Mondays],Table9[ACT Public Holidays])),"")</f>
        <v/>
      </c>
      <c r="HR4" s="160" t="str">
        <f xml:space="preserve">
IFERROR(IF(_xlfn.XLOOKUP(HR3,Table9[Mondays],Table9[ACT Public Holidays])=0,"",_xlfn.XLOOKUP(HR3,Table9[Mondays],Table9[ACT Public Holidays])),"")</f>
        <v/>
      </c>
      <c r="HS4" s="160" t="str">
        <f xml:space="preserve">
IFERROR(IF(_xlfn.XLOOKUP(HS3,Table9[Mondays],Table9[ACT Public Holidays])=0,"",_xlfn.XLOOKUP(HS3,Table9[Mondays],Table9[ACT Public Holidays])),"")</f>
        <v/>
      </c>
      <c r="HT4" s="160" t="str">
        <f xml:space="preserve">
IFERROR(IF(_xlfn.XLOOKUP(HT3,Table9[Mondays],Table9[ACT Public Holidays])=0,"",_xlfn.XLOOKUP(HT3,Table9[Mondays],Table9[ACT Public Holidays])),"")</f>
        <v/>
      </c>
      <c r="HU4" s="160" t="str">
        <f xml:space="preserve">
IFERROR(IF(_xlfn.XLOOKUP(HU3,Table9[Mondays],Table9[ACT Public Holidays])=0,"",_xlfn.XLOOKUP(HU3,Table9[Mondays],Table9[ACT Public Holidays])),"")</f>
        <v/>
      </c>
      <c r="HV4" s="160" t="str">
        <f xml:space="preserve">
IFERROR(IF(_xlfn.XLOOKUP(HV3,Table9[Mondays],Table9[ACT Public Holidays])=0,"",_xlfn.XLOOKUP(HV3,Table9[Mondays],Table9[ACT Public Holidays])),"")</f>
        <v/>
      </c>
      <c r="HW4" s="160" t="str">
        <f xml:space="preserve">
IFERROR(IF(_xlfn.XLOOKUP(HW3,Table9[Mondays],Table9[ACT Public Holidays])=0,"",_xlfn.XLOOKUP(HW3,Table9[Mondays],Table9[ACT Public Holidays])),"")</f>
        <v/>
      </c>
      <c r="HX4" s="160" t="str">
        <f xml:space="preserve">
IFERROR(IF(_xlfn.XLOOKUP(HX3,Table9[Mondays],Table9[ACT Public Holidays])=0,"",_xlfn.XLOOKUP(HX3,Table9[Mondays],Table9[ACT Public Holidays])),"")</f>
        <v/>
      </c>
      <c r="HY4" s="160" t="str">
        <f xml:space="preserve">
IFERROR(IF(_xlfn.XLOOKUP(HY3,Table9[Mondays],Table9[ACT Public Holidays])=0,"",_xlfn.XLOOKUP(HY3,Table9[Mondays],Table9[ACT Public Holidays])),"")</f>
        <v/>
      </c>
      <c r="HZ4" s="160" t="str">
        <f xml:space="preserve">
IFERROR(IF(_xlfn.XLOOKUP(HZ3,Table9[Mondays],Table9[ACT Public Holidays])=0,"",_xlfn.XLOOKUP(HZ3,Table9[Mondays],Table9[ACT Public Holidays])),"")</f>
        <v/>
      </c>
      <c r="IA4" s="160" t="str">
        <f xml:space="preserve">
IFERROR(IF(_xlfn.XLOOKUP(IA3,Table9[Mondays],Table9[ACT Public Holidays])=0,"",_xlfn.XLOOKUP(IA3,Table9[Mondays],Table9[ACT Public Holidays])),"")</f>
        <v/>
      </c>
      <c r="IB4" s="160" t="str">
        <f xml:space="preserve">
IFERROR(IF(_xlfn.XLOOKUP(IB3,Table9[Mondays],Table9[ACT Public Holidays])=0,"",_xlfn.XLOOKUP(IB3,Table9[Mondays],Table9[ACT Public Holidays])),"")</f>
        <v/>
      </c>
      <c r="IC4" s="160" t="str">
        <f xml:space="preserve">
IFERROR(IF(_xlfn.XLOOKUP(IC3,Table9[Mondays],Table9[ACT Public Holidays])=0,"",_xlfn.XLOOKUP(IC3,Table9[Mondays],Table9[ACT Public Holidays])),"")</f>
        <v/>
      </c>
      <c r="ID4" s="160" t="str">
        <f xml:space="preserve">
IFERROR(IF(_xlfn.XLOOKUP(ID3,Table9[Mondays],Table9[ACT Public Holidays])=0,"",_xlfn.XLOOKUP(ID3,Table9[Mondays],Table9[ACT Public Holidays])),"")</f>
        <v/>
      </c>
      <c r="IE4" s="160" t="str">
        <f xml:space="preserve">
IFERROR(IF(_xlfn.XLOOKUP(IE3,Table9[Mondays],Table9[ACT Public Holidays])=0,"",_xlfn.XLOOKUP(IE3,Table9[Mondays],Table9[ACT Public Holidays])),"")</f>
        <v/>
      </c>
      <c r="IF4" s="160" t="str">
        <f xml:space="preserve">
IFERROR(IF(_xlfn.XLOOKUP(IF3,Table9[Mondays],Table9[ACT Public Holidays])=0,"",_xlfn.XLOOKUP(IF3,Table9[Mondays],Table9[ACT Public Holidays])),"")</f>
        <v/>
      </c>
      <c r="IG4" s="160" t="str">
        <f xml:space="preserve">
IFERROR(IF(_xlfn.XLOOKUP(IG3,Table9[Mondays],Table9[ACT Public Holidays])=0,"",_xlfn.XLOOKUP(IG3,Table9[Mondays],Table9[ACT Public Holidays])),"")</f>
        <v/>
      </c>
      <c r="IH4" s="160" t="str">
        <f xml:space="preserve">
IFERROR(IF(_xlfn.XLOOKUP(IH3,Table9[Mondays],Table9[ACT Public Holidays])=0,"",_xlfn.XLOOKUP(IH3,Table9[Mondays],Table9[ACT Public Holidays])),"")</f>
        <v/>
      </c>
      <c r="II4" s="160" t="str">
        <f xml:space="preserve">
IFERROR(IF(_xlfn.XLOOKUP(II3,Table9[Mondays],Table9[ACT Public Holidays])=0,"",_xlfn.XLOOKUP(II3,Table9[Mondays],Table9[ACT Public Holidays])),"")</f>
        <v/>
      </c>
      <c r="IJ4" s="160" t="str">
        <f xml:space="preserve">
IFERROR(IF(_xlfn.XLOOKUP(IJ3,Table9[Mondays],Table9[ACT Public Holidays])=0,"",_xlfn.XLOOKUP(IJ3,Table9[Mondays],Table9[ACT Public Holidays])),"")</f>
        <v/>
      </c>
      <c r="IK4" s="160" t="str">
        <f xml:space="preserve">
IFERROR(IF(_xlfn.XLOOKUP(IK3,Table9[Mondays],Table9[ACT Public Holidays])=0,"",_xlfn.XLOOKUP(IK3,Table9[Mondays],Table9[ACT Public Holidays])),"")</f>
        <v/>
      </c>
      <c r="IL4" s="160" t="str">
        <f xml:space="preserve">
IFERROR(IF(_xlfn.XLOOKUP(IL3,Table9[Mondays],Table9[ACT Public Holidays])=0,"",_xlfn.XLOOKUP(IL3,Table9[Mondays],Table9[ACT Public Holidays])),"")</f>
        <v/>
      </c>
      <c r="IM4" s="160" t="str">
        <f xml:space="preserve">
IFERROR(IF(_xlfn.XLOOKUP(IM3,Table9[Mondays],Table9[ACT Public Holidays])=0,"",_xlfn.XLOOKUP(IM3,Table9[Mondays],Table9[ACT Public Holidays])),"")</f>
        <v/>
      </c>
      <c r="IN4" s="160" t="str">
        <f xml:space="preserve">
IFERROR(IF(_xlfn.XLOOKUP(IN3,Table9[Mondays],Table9[ACT Public Holidays])=0,"",_xlfn.XLOOKUP(IN3,Table9[Mondays],Table9[ACT Public Holidays])),"")</f>
        <v/>
      </c>
      <c r="IO4" s="160" t="str">
        <f xml:space="preserve">
IFERROR(IF(_xlfn.XLOOKUP(IO3,Table9[Mondays],Table9[ACT Public Holidays])=0,"",_xlfn.XLOOKUP(IO3,Table9[Mondays],Table9[ACT Public Holidays])),"")</f>
        <v/>
      </c>
      <c r="IP4" s="160" t="str">
        <f xml:space="preserve">
IFERROR(IF(_xlfn.XLOOKUP(IP3,Table9[Mondays],Table9[ACT Public Holidays])=0,"",_xlfn.XLOOKUP(IP3,Table9[Mondays],Table9[ACT Public Holidays])),"")</f>
        <v/>
      </c>
      <c r="IQ4" s="160" t="str">
        <f xml:space="preserve">
IFERROR(IF(_xlfn.XLOOKUP(IQ3,Table9[Mondays],Table9[ACT Public Holidays])=0,"",_xlfn.XLOOKUP(IQ3,Table9[Mondays],Table9[ACT Public Holidays])),"")</f>
        <v/>
      </c>
      <c r="IR4" s="160" t="str">
        <f xml:space="preserve">
IFERROR(IF(_xlfn.XLOOKUP(IR3,Table9[Mondays],Table9[ACT Public Holidays])=0,"",_xlfn.XLOOKUP(IR3,Table9[Mondays],Table9[ACT Public Holidays])),"")</f>
        <v/>
      </c>
      <c r="IS4" s="160" t="str">
        <f xml:space="preserve">
IFERROR(IF(_xlfn.XLOOKUP(IS3,Table9[Mondays],Table9[ACT Public Holidays])=0,"",_xlfn.XLOOKUP(IS3,Table9[Mondays],Table9[ACT Public Holidays])),"")</f>
        <v/>
      </c>
      <c r="IT4" s="160" t="str">
        <f xml:space="preserve">
IFERROR(IF(_xlfn.XLOOKUP(IT3,Table9[Mondays],Table9[ACT Public Holidays])=0,"",_xlfn.XLOOKUP(IT3,Table9[Mondays],Table9[ACT Public Holidays])),"")</f>
        <v/>
      </c>
      <c r="IU4" s="160" t="str">
        <f xml:space="preserve">
IFERROR(IF(_xlfn.XLOOKUP(IU3,Table9[Mondays],Table9[ACT Public Holidays])=0,"",_xlfn.XLOOKUP(IU3,Table9[Mondays],Table9[ACT Public Holidays])),"")</f>
        <v/>
      </c>
      <c r="IV4" s="160" t="str">
        <f xml:space="preserve">
IFERROR(IF(_xlfn.XLOOKUP(IV3,Table9[Mondays],Table9[ACT Public Holidays])=0,"",_xlfn.XLOOKUP(IV3,Table9[Mondays],Table9[ACT Public Holidays])),"")</f>
        <v/>
      </c>
      <c r="IW4" s="160" t="str">
        <f xml:space="preserve">
IFERROR(IF(_xlfn.XLOOKUP(IW3,Table9[Mondays],Table9[ACT Public Holidays])=0,"",_xlfn.XLOOKUP(IW3,Table9[Mondays],Table9[ACT Public Holidays])),"")</f>
        <v/>
      </c>
      <c r="IX4" s="160" t="str">
        <f xml:space="preserve">
IFERROR(IF(_xlfn.XLOOKUP(IX3,Table9[Mondays],Table9[ACT Public Holidays])=0,"",_xlfn.XLOOKUP(IX3,Table9[Mondays],Table9[ACT Public Holidays])),"")</f>
        <v/>
      </c>
      <c r="IY4" s="160" t="str">
        <f xml:space="preserve">
IFERROR(IF(_xlfn.XLOOKUP(IY3,Table9[Mondays],Table9[ACT Public Holidays])=0,"",_xlfn.XLOOKUP(IY3,Table9[Mondays],Table9[ACT Public Holidays])),"")</f>
        <v/>
      </c>
      <c r="IZ4" s="160" t="str">
        <f xml:space="preserve">
IFERROR(IF(_xlfn.XLOOKUP(IZ3,Table9[Mondays],Table9[ACT Public Holidays])=0,"",_xlfn.XLOOKUP(IZ3,Table9[Mondays],Table9[ACT Public Holidays])),"")</f>
        <v/>
      </c>
      <c r="JA4" s="160" t="str">
        <f xml:space="preserve">
IFERROR(IF(_xlfn.XLOOKUP(JA3,Table9[Mondays],Table9[ACT Public Holidays])=0,"",_xlfn.XLOOKUP(JA3,Table9[Mondays],Table9[ACT Public Holidays])),"")</f>
        <v/>
      </c>
      <c r="JB4" s="160" t="str">
        <f xml:space="preserve">
IFERROR(IF(_xlfn.XLOOKUP(JB3,Table9[Mondays],Table9[ACT Public Holidays])=0,"",_xlfn.XLOOKUP(JB3,Table9[Mondays],Table9[ACT Public Holidays])),"")</f>
        <v/>
      </c>
      <c r="JC4" s="160" t="str">
        <f xml:space="preserve">
IFERROR(IF(_xlfn.XLOOKUP(JC3,Table9[Mondays],Table9[ACT Public Holidays])=0,"",_xlfn.XLOOKUP(JC3,Table9[Mondays],Table9[ACT Public Holidays])),"")</f>
        <v/>
      </c>
      <c r="JD4" s="160" t="str">
        <f xml:space="preserve">
IFERROR(IF(_xlfn.XLOOKUP(JD3,Table9[Mondays],Table9[ACT Public Holidays])=0,"",_xlfn.XLOOKUP(JD3,Table9[Mondays],Table9[ACT Public Holidays])),"")</f>
        <v/>
      </c>
      <c r="JE4" s="160" t="str">
        <f xml:space="preserve">
IFERROR(IF(_xlfn.XLOOKUP(JE3,Table9[Mondays],Table9[ACT Public Holidays])=0,"",_xlfn.XLOOKUP(JE3,Table9[Mondays],Table9[ACT Public Holidays])),"")</f>
        <v/>
      </c>
      <c r="JF4" s="160" t="str">
        <f xml:space="preserve">
IFERROR(IF(_xlfn.XLOOKUP(JF3,Table9[Mondays],Table9[ACT Public Holidays])=0,"",_xlfn.XLOOKUP(JF3,Table9[Mondays],Table9[ACT Public Holidays])),"")</f>
        <v/>
      </c>
      <c r="JG4" s="160" t="str">
        <f xml:space="preserve">
IFERROR(IF(_xlfn.XLOOKUP(JG3,Table9[Mondays],Table9[ACT Public Holidays])=0,"",_xlfn.XLOOKUP(JG3,Table9[Mondays],Table9[ACT Public Holidays])),"")</f>
        <v/>
      </c>
      <c r="JH4" s="160" t="str">
        <f xml:space="preserve">
IFERROR(IF(_xlfn.XLOOKUP(JH3,Table9[Mondays],Table9[ACT Public Holidays])=0,"",_xlfn.XLOOKUP(JH3,Table9[Mondays],Table9[ACT Public Holidays])),"")</f>
        <v/>
      </c>
      <c r="JI4" s="160" t="str">
        <f xml:space="preserve">
IFERROR(IF(_xlfn.XLOOKUP(JI3,Table9[Mondays],Table9[ACT Public Holidays])=0,"",_xlfn.XLOOKUP(JI3,Table9[Mondays],Table9[ACT Public Holidays])),"")</f>
        <v/>
      </c>
      <c r="JJ4" s="160" t="str">
        <f xml:space="preserve">
IFERROR(IF(_xlfn.XLOOKUP(JJ3,Table9[Mondays],Table9[ACT Public Holidays])=0,"",_xlfn.XLOOKUP(JJ3,Table9[Mondays],Table9[ACT Public Holidays])),"")</f>
        <v/>
      </c>
      <c r="JK4" s="160" t="str">
        <f xml:space="preserve">
IFERROR(IF(_xlfn.XLOOKUP(JK3,Table9[Mondays],Table9[ACT Public Holidays])=0,"",_xlfn.XLOOKUP(JK3,Table9[Mondays],Table9[ACT Public Holidays])),"")</f>
        <v/>
      </c>
      <c r="JL4" s="160" t="str">
        <f xml:space="preserve">
IFERROR(IF(_xlfn.XLOOKUP(JL3,Table9[Mondays],Table9[ACT Public Holidays])=0,"",_xlfn.XLOOKUP(JL3,Table9[Mondays],Table9[ACT Public Holidays])),"")</f>
        <v/>
      </c>
      <c r="JM4" s="160" t="str">
        <f xml:space="preserve">
IFERROR(IF(_xlfn.XLOOKUP(JM3,Table9[Mondays],Table9[ACT Public Holidays])=0,"",_xlfn.XLOOKUP(JM3,Table9[Mondays],Table9[ACT Public Holidays])),"")</f>
        <v/>
      </c>
      <c r="JN4" s="160" t="str">
        <f xml:space="preserve">
IFERROR(IF(_xlfn.XLOOKUP(JN3,Table9[Mondays],Table9[ACT Public Holidays])=0,"",_xlfn.XLOOKUP(JN3,Table9[Mondays],Table9[ACT Public Holidays])),"")</f>
        <v/>
      </c>
      <c r="JO4" s="160" t="str">
        <f xml:space="preserve">
IFERROR(IF(_xlfn.XLOOKUP(JO3,Table9[Mondays],Table9[ACT Public Holidays])=0,"",_xlfn.XLOOKUP(JO3,Table9[Mondays],Table9[ACT Public Holidays])),"")</f>
        <v/>
      </c>
      <c r="JP4" s="160" t="str">
        <f xml:space="preserve">
IFERROR(IF(_xlfn.XLOOKUP(JP3,Table9[Mondays],Table9[ACT Public Holidays])=0,"",_xlfn.XLOOKUP(JP3,Table9[Mondays],Table9[ACT Public Holidays])),"")</f>
        <v/>
      </c>
      <c r="JQ4" s="160" t="str">
        <f xml:space="preserve">
IFERROR(IF(_xlfn.XLOOKUP(JQ3,Table9[Mondays],Table9[ACT Public Holidays])=0,"",_xlfn.XLOOKUP(JQ3,Table9[Mondays],Table9[ACT Public Holidays])),"")</f>
        <v/>
      </c>
      <c r="JR4" s="160" t="str">
        <f xml:space="preserve">
IFERROR(IF(_xlfn.XLOOKUP(JR3,Table9[Mondays],Table9[ACT Public Holidays])=0,"",_xlfn.XLOOKUP(JR3,Table9[Mondays],Table9[ACT Public Holidays])),"")</f>
        <v/>
      </c>
      <c r="JS4" s="160" t="str">
        <f xml:space="preserve">
IFERROR(IF(_xlfn.XLOOKUP(JS3,Table9[Mondays],Table9[ACT Public Holidays])=0,"",_xlfn.XLOOKUP(JS3,Table9[Mondays],Table9[ACT Public Holidays])),"")</f>
        <v/>
      </c>
      <c r="JT4" s="160" t="str">
        <f xml:space="preserve">
IFERROR(IF(_xlfn.XLOOKUP(JT3,Table9[Mondays],Table9[ACT Public Holidays])=0,"",_xlfn.XLOOKUP(JT3,Table9[Mondays],Table9[ACT Public Holidays])),"")</f>
        <v/>
      </c>
      <c r="JU4" s="160" t="str">
        <f xml:space="preserve">
IFERROR(IF(_xlfn.XLOOKUP(JU3,Table9[Mondays],Table9[ACT Public Holidays])=0,"",_xlfn.XLOOKUP(JU3,Table9[Mondays],Table9[ACT Public Holidays])),"")</f>
        <v/>
      </c>
      <c r="JV4" s="160" t="str">
        <f xml:space="preserve">
IFERROR(IF(_xlfn.XLOOKUP(JV3,Table9[Mondays],Table9[ACT Public Holidays])=0,"",_xlfn.XLOOKUP(JV3,Table9[Mondays],Table9[ACT Public Holidays])),"")</f>
        <v/>
      </c>
      <c r="JW4" s="160" t="str">
        <f xml:space="preserve">
IFERROR(IF(_xlfn.XLOOKUP(JW3,Table9[Mondays],Table9[ACT Public Holidays])=0,"",_xlfn.XLOOKUP(JW3,Table9[Mondays],Table9[ACT Public Holidays])),"")</f>
        <v/>
      </c>
      <c r="JX4" s="160" t="str">
        <f xml:space="preserve">
IFERROR(IF(_xlfn.XLOOKUP(JX3,Table9[Mondays],Table9[ACT Public Holidays])=0,"",_xlfn.XLOOKUP(JX3,Table9[Mondays],Table9[ACT Public Holidays])),"")</f>
        <v/>
      </c>
      <c r="JY4" s="160" t="str">
        <f xml:space="preserve">
IFERROR(IF(_xlfn.XLOOKUP(JY3,Table9[Mondays],Table9[ACT Public Holidays])=0,"",_xlfn.XLOOKUP(JY3,Table9[Mondays],Table9[ACT Public Holidays])),"")</f>
        <v/>
      </c>
      <c r="JZ4" s="160" t="str">
        <f xml:space="preserve">
IFERROR(IF(_xlfn.XLOOKUP(JZ3,Table9[Mondays],Table9[ACT Public Holidays])=0,"",_xlfn.XLOOKUP(JZ3,Table9[Mondays],Table9[ACT Public Holidays])),"")</f>
        <v/>
      </c>
      <c r="KA4" s="160" t="str">
        <f xml:space="preserve">
IFERROR(IF(_xlfn.XLOOKUP(KA3,Table9[Mondays],Table9[ACT Public Holidays])=0,"",_xlfn.XLOOKUP(KA3,Table9[Mondays],Table9[ACT Public Holidays])),"")</f>
        <v/>
      </c>
      <c r="KB4" s="160" t="str">
        <f xml:space="preserve">
IFERROR(IF(_xlfn.XLOOKUP(KB3,Table9[Mondays],Table9[ACT Public Holidays])=0,"",_xlfn.XLOOKUP(KB3,Table9[Mondays],Table9[ACT Public Holidays])),"")</f>
        <v/>
      </c>
      <c r="KC4" s="160" t="str">
        <f xml:space="preserve">
IFERROR(IF(_xlfn.XLOOKUP(KC3,Table9[Mondays],Table9[ACT Public Holidays])=0,"",_xlfn.XLOOKUP(KC3,Table9[Mondays],Table9[ACT Public Holidays])),"")</f>
        <v/>
      </c>
      <c r="KD4" s="160" t="str">
        <f xml:space="preserve">
IFERROR(IF(_xlfn.XLOOKUP(KD3,Table9[Mondays],Table9[ACT Public Holidays])=0,"",_xlfn.XLOOKUP(KD3,Table9[Mondays],Table9[ACT Public Holidays])),"")</f>
        <v/>
      </c>
      <c r="KE4" s="160" t="str">
        <f xml:space="preserve">
IFERROR(IF(_xlfn.XLOOKUP(KE3,Table9[Mondays],Table9[ACT Public Holidays])=0,"",_xlfn.XLOOKUP(KE3,Table9[Mondays],Table9[ACT Public Holidays])),"")</f>
        <v/>
      </c>
      <c r="KF4" s="160" t="str">
        <f xml:space="preserve">
IFERROR(IF(_xlfn.XLOOKUP(KF3,Table9[Mondays],Table9[ACT Public Holidays])=0,"",_xlfn.XLOOKUP(KF3,Table9[Mondays],Table9[ACT Public Holidays])),"")</f>
        <v/>
      </c>
      <c r="KG4" s="160" t="str">
        <f xml:space="preserve">
IFERROR(IF(_xlfn.XLOOKUP(KG3,Table9[Mondays],Table9[ACT Public Holidays])=0,"",_xlfn.XLOOKUP(KG3,Table9[Mondays],Table9[ACT Public Holidays])),"")</f>
        <v/>
      </c>
      <c r="KH4" s="160" t="str">
        <f xml:space="preserve">
IFERROR(IF(_xlfn.XLOOKUP(KH3,Table9[Mondays],Table9[ACT Public Holidays])=0,"",_xlfn.XLOOKUP(KH3,Table9[Mondays],Table9[ACT Public Holidays])),"")</f>
        <v/>
      </c>
      <c r="KI4" s="160" t="str">
        <f xml:space="preserve">
IFERROR(IF(_xlfn.XLOOKUP(KI3,Table9[Mondays],Table9[ACT Public Holidays])=0,"",_xlfn.XLOOKUP(KI3,Table9[Mondays],Table9[ACT Public Holidays])),"")</f>
        <v/>
      </c>
      <c r="KJ4" s="160" t="str">
        <f xml:space="preserve">
IFERROR(IF(_xlfn.XLOOKUP(KJ3,Table9[Mondays],Table9[ACT Public Holidays])=0,"",_xlfn.XLOOKUP(KJ3,Table9[Mondays],Table9[ACT Public Holidays])),"")</f>
        <v/>
      </c>
      <c r="KK4" s="160" t="str">
        <f xml:space="preserve">
IFERROR(IF(_xlfn.XLOOKUP(KK3,Table9[Mondays],Table9[ACT Public Holidays])=0,"",_xlfn.XLOOKUP(KK3,Table9[Mondays],Table9[ACT Public Holidays])),"")</f>
        <v/>
      </c>
      <c r="KL4" s="160" t="str">
        <f xml:space="preserve">
IFERROR(IF(_xlfn.XLOOKUP(KL3,Table9[Mondays],Table9[ACT Public Holidays])=0,"",_xlfn.XLOOKUP(KL3,Table9[Mondays],Table9[ACT Public Holidays])),"")</f>
        <v/>
      </c>
      <c r="KM4" s="160" t="str">
        <f xml:space="preserve">
IFERROR(IF(_xlfn.XLOOKUP(KM3,Table9[Mondays],Table9[ACT Public Holidays])=0,"",_xlfn.XLOOKUP(KM3,Table9[Mondays],Table9[ACT Public Holidays])),"")</f>
        <v/>
      </c>
      <c r="KN4" s="160" t="str">
        <f xml:space="preserve">
IFERROR(IF(_xlfn.XLOOKUP(KN3,Table9[Mondays],Table9[ACT Public Holidays])=0,"",_xlfn.XLOOKUP(KN3,Table9[Mondays],Table9[ACT Public Holidays])),"")</f>
        <v/>
      </c>
      <c r="KO4" s="160" t="str">
        <f xml:space="preserve">
IFERROR(IF(_xlfn.XLOOKUP(KO3,Table9[Mondays],Table9[ACT Public Holidays])=0,"",_xlfn.XLOOKUP(KO3,Table9[Mondays],Table9[ACT Public Holidays])),"")</f>
        <v/>
      </c>
      <c r="KP4" s="160" t="str">
        <f xml:space="preserve">
IFERROR(IF(_xlfn.XLOOKUP(KP3,Table9[Mondays],Table9[ACT Public Holidays])=0,"",_xlfn.XLOOKUP(KP3,Table9[Mondays],Table9[ACT Public Holidays])),"")</f>
        <v/>
      </c>
      <c r="KQ4" s="160" t="str">
        <f xml:space="preserve">
IFERROR(IF(_xlfn.XLOOKUP(KQ3,Table9[Mondays],Table9[ACT Public Holidays])=0,"",_xlfn.XLOOKUP(KQ3,Table9[Mondays],Table9[ACT Public Holidays])),"")</f>
        <v/>
      </c>
      <c r="KR4" s="160" t="str">
        <f xml:space="preserve">
IFERROR(IF(_xlfn.XLOOKUP(KR3,Table9[Mondays],Table9[ACT Public Holidays])=0,"",_xlfn.XLOOKUP(KR3,Table9[Mondays],Table9[ACT Public Holidays])),"")</f>
        <v/>
      </c>
      <c r="KS4" s="160" t="str">
        <f xml:space="preserve">
IFERROR(IF(_xlfn.XLOOKUP(KS3,Table9[Mondays],Table9[ACT Public Holidays])=0,"",_xlfn.XLOOKUP(KS3,Table9[Mondays],Table9[ACT Public Holidays])),"")</f>
        <v/>
      </c>
      <c r="KT4" s="160" t="str">
        <f xml:space="preserve">
IFERROR(IF(_xlfn.XLOOKUP(KT3,Table9[Mondays],Table9[ACT Public Holidays])=0,"",_xlfn.XLOOKUP(KT3,Table9[Mondays],Table9[ACT Public Holidays])),"")</f>
        <v/>
      </c>
      <c r="KU4" s="160" t="str">
        <f xml:space="preserve">
IFERROR(IF(_xlfn.XLOOKUP(KU3,Table9[Mondays],Table9[ACT Public Holidays])=0,"",_xlfn.XLOOKUP(KU3,Table9[Mondays],Table9[ACT Public Holidays])),"")</f>
        <v/>
      </c>
      <c r="KV4" s="160" t="str">
        <f xml:space="preserve">
IFERROR(IF(_xlfn.XLOOKUP(KV3,Table9[Mondays],Table9[ACT Public Holidays])=0,"",_xlfn.XLOOKUP(KV3,Table9[Mondays],Table9[ACT Public Holidays])),"")</f>
        <v/>
      </c>
      <c r="KW4" s="160" t="str">
        <f xml:space="preserve">
IFERROR(IF(_xlfn.XLOOKUP(KW3,Table9[Mondays],Table9[ACT Public Holidays])=0,"",_xlfn.XLOOKUP(KW3,Table9[Mondays],Table9[ACT Public Holidays])),"")</f>
        <v/>
      </c>
      <c r="KX4" s="160" t="str">
        <f xml:space="preserve">
IFERROR(IF(_xlfn.XLOOKUP(KX3,Table9[Mondays],Table9[ACT Public Holidays])=0,"",_xlfn.XLOOKUP(KX3,Table9[Mondays],Table9[ACT Public Holidays])),"")</f>
        <v/>
      </c>
      <c r="KY4" s="160" t="str">
        <f xml:space="preserve">
IFERROR(IF(_xlfn.XLOOKUP(KY3,Table9[Mondays],Table9[ACT Public Holidays])=0,"",_xlfn.XLOOKUP(KY3,Table9[Mondays],Table9[ACT Public Holidays])),"")</f>
        <v/>
      </c>
      <c r="KZ4" s="160" t="str">
        <f xml:space="preserve">
IFERROR(IF(_xlfn.XLOOKUP(KZ3,Table9[Mondays],Table9[ACT Public Holidays])=0,"",_xlfn.XLOOKUP(KZ3,Table9[Mondays],Table9[ACT Public Holidays])),"")</f>
        <v/>
      </c>
      <c r="LA4" s="160" t="str">
        <f xml:space="preserve">
IFERROR(IF(_xlfn.XLOOKUP(LA3,Table9[Mondays],Table9[ACT Public Holidays])=0,"",_xlfn.XLOOKUP(LA3,Table9[Mondays],Table9[ACT Public Holidays])),"")</f>
        <v/>
      </c>
      <c r="LB4" s="160" t="str">
        <f xml:space="preserve">
IFERROR(IF(_xlfn.XLOOKUP(LB3,Table9[Mondays],Table9[ACT Public Holidays])=0,"",_xlfn.XLOOKUP(LB3,Table9[Mondays],Table9[ACT Public Holidays])),"")</f>
        <v/>
      </c>
      <c r="LC4" s="160" t="str">
        <f xml:space="preserve">
IFERROR(IF(_xlfn.XLOOKUP(LC3,Table9[Mondays],Table9[ACT Public Holidays])=0,"",_xlfn.XLOOKUP(LC3,Table9[Mondays],Table9[ACT Public Holidays])),"")</f>
        <v/>
      </c>
      <c r="LD4" s="160" t="str">
        <f xml:space="preserve">
IFERROR(IF(_xlfn.XLOOKUP(LD3,Table9[Mondays],Table9[ACT Public Holidays])=0,"",_xlfn.XLOOKUP(LD3,Table9[Mondays],Table9[ACT Public Holidays])),"")</f>
        <v/>
      </c>
      <c r="LE4" s="160" t="str">
        <f xml:space="preserve">
IFERROR(IF(_xlfn.XLOOKUP(LE3,Table9[Mondays],Table9[ACT Public Holidays])=0,"",_xlfn.XLOOKUP(LE3,Table9[Mondays],Table9[ACT Public Holidays])),"")</f>
        <v/>
      </c>
      <c r="LF4" s="160" t="str">
        <f xml:space="preserve">
IFERROR(IF(_xlfn.XLOOKUP(LF3,Table9[Mondays],Table9[ACT Public Holidays])=0,"",_xlfn.XLOOKUP(LF3,Table9[Mondays],Table9[ACT Public Holidays])),"")</f>
        <v/>
      </c>
      <c r="LG4" s="160" t="str">
        <f xml:space="preserve">
IFERROR(IF(_xlfn.XLOOKUP(LG3,Table9[Mondays],Table9[ACT Public Holidays])=0,"",_xlfn.XLOOKUP(LG3,Table9[Mondays],Table9[ACT Public Holidays])),"")</f>
        <v/>
      </c>
      <c r="LH4" s="160" t="str">
        <f xml:space="preserve">
IFERROR(IF(_xlfn.XLOOKUP(LH3,Table9[Mondays],Table9[ACT Public Holidays])=0,"",_xlfn.XLOOKUP(LH3,Table9[Mondays],Table9[ACT Public Holidays])),"")</f>
        <v/>
      </c>
      <c r="LI4" s="160" t="str">
        <f xml:space="preserve">
IFERROR(IF(_xlfn.XLOOKUP(LI3,Table9[Mondays],Table9[ACT Public Holidays])=0,"",_xlfn.XLOOKUP(LI3,Table9[Mondays],Table9[ACT Public Holidays])),"")</f>
        <v/>
      </c>
      <c r="LJ4" s="160" t="str">
        <f xml:space="preserve">
IFERROR(IF(_xlfn.XLOOKUP(LJ3,Table9[Mondays],Table9[ACT Public Holidays])=0,"",_xlfn.XLOOKUP(LJ3,Table9[Mondays],Table9[ACT Public Holidays])),"")</f>
        <v/>
      </c>
      <c r="LK4" s="160" t="str">
        <f xml:space="preserve">
IFERROR(IF(_xlfn.XLOOKUP(LK3,Table9[Mondays],Table9[ACT Public Holidays])=0,"",_xlfn.XLOOKUP(LK3,Table9[Mondays],Table9[ACT Public Holidays])),"")</f>
        <v/>
      </c>
      <c r="LL4" s="160" t="str">
        <f xml:space="preserve">
IFERROR(IF(_xlfn.XLOOKUP(LL3,Table9[Mondays],Table9[ACT Public Holidays])=0,"",_xlfn.XLOOKUP(LL3,Table9[Mondays],Table9[ACT Public Holidays])),"")</f>
        <v/>
      </c>
      <c r="LM4" s="160" t="str">
        <f xml:space="preserve">
IFERROR(IF(_xlfn.XLOOKUP(LM3,Table9[Mondays],Table9[ACT Public Holidays])=0,"",_xlfn.XLOOKUP(LM3,Table9[Mondays],Table9[ACT Public Holidays])),"")</f>
        <v/>
      </c>
      <c r="LN4" s="160" t="str">
        <f xml:space="preserve">
IFERROR(IF(_xlfn.XLOOKUP(LN3,Table9[Mondays],Table9[ACT Public Holidays])=0,"",_xlfn.XLOOKUP(LN3,Table9[Mondays],Table9[ACT Public Holidays])),"")</f>
        <v/>
      </c>
      <c r="LO4" s="160" t="str">
        <f xml:space="preserve">
IFERROR(IF(_xlfn.XLOOKUP(LO3,Table9[Mondays],Table9[ACT Public Holidays])=0,"",_xlfn.XLOOKUP(LO3,Table9[Mondays],Table9[ACT Public Holidays])),"")</f>
        <v/>
      </c>
      <c r="LP4" s="160" t="str">
        <f xml:space="preserve">
IFERROR(IF(_xlfn.XLOOKUP(LP3,Table9[Mondays],Table9[ACT Public Holidays])=0,"",_xlfn.XLOOKUP(LP3,Table9[Mondays],Table9[ACT Public Holidays])),"")</f>
        <v/>
      </c>
      <c r="LQ4" s="160" t="str">
        <f xml:space="preserve">
IFERROR(IF(_xlfn.XLOOKUP(LQ3,Table9[Mondays],Table9[ACT Public Holidays])=0,"",_xlfn.XLOOKUP(LQ3,Table9[Mondays],Table9[ACT Public Holidays])),"")</f>
        <v/>
      </c>
      <c r="LR4" s="160" t="str">
        <f xml:space="preserve">
IFERROR(IF(_xlfn.XLOOKUP(LR3,Table9[Mondays],Table9[ACT Public Holidays])=0,"",_xlfn.XLOOKUP(LR3,Table9[Mondays],Table9[ACT Public Holidays])),"")</f>
        <v/>
      </c>
      <c r="LS4" s="160" t="str">
        <f xml:space="preserve">
IFERROR(IF(_xlfn.XLOOKUP(LS3,Table9[Mondays],Table9[ACT Public Holidays])=0,"",_xlfn.XLOOKUP(LS3,Table9[Mondays],Table9[ACT Public Holidays])),"")</f>
        <v/>
      </c>
      <c r="LT4" s="160" t="str">
        <f xml:space="preserve">
IFERROR(IF(_xlfn.XLOOKUP(LT3,Table9[Mondays],Table9[ACT Public Holidays])=0,"",_xlfn.XLOOKUP(LT3,Table9[Mondays],Table9[ACT Public Holidays])),"")</f>
        <v/>
      </c>
      <c r="LU4" s="160" t="str">
        <f xml:space="preserve">
IFERROR(IF(_xlfn.XLOOKUP(LU3,Table9[Mondays],Table9[ACT Public Holidays])=0,"",_xlfn.XLOOKUP(LU3,Table9[Mondays],Table9[ACT Public Holidays])),"")</f>
        <v/>
      </c>
      <c r="LV4" s="160" t="str">
        <f xml:space="preserve">
IFERROR(IF(_xlfn.XLOOKUP(LV3,Table9[Mondays],Table9[ACT Public Holidays])=0,"",_xlfn.XLOOKUP(LV3,Table9[Mondays],Table9[ACT Public Holidays])),"")</f>
        <v/>
      </c>
      <c r="LW4" s="160" t="str">
        <f xml:space="preserve">
IFERROR(IF(_xlfn.XLOOKUP(LW3,Table9[Mondays],Table9[ACT Public Holidays])=0,"",_xlfn.XLOOKUP(LW3,Table9[Mondays],Table9[ACT Public Holidays])),"")</f>
        <v/>
      </c>
      <c r="LX4" s="160" t="str">
        <f xml:space="preserve">
IFERROR(IF(_xlfn.XLOOKUP(LX3,Table9[Mondays],Table9[ACT Public Holidays])=0,"",_xlfn.XLOOKUP(LX3,Table9[Mondays],Table9[ACT Public Holidays])),"")</f>
        <v/>
      </c>
      <c r="LY4" s="160" t="str">
        <f xml:space="preserve">
IFERROR(IF(_xlfn.XLOOKUP(LY3,Table9[Mondays],Table9[ACT Public Holidays])=0,"",_xlfn.XLOOKUP(LY3,Table9[Mondays],Table9[ACT Public Holidays])),"")</f>
        <v/>
      </c>
      <c r="LZ4" s="160" t="str">
        <f xml:space="preserve">
IFERROR(IF(_xlfn.XLOOKUP(LZ3,Table9[Mondays],Table9[ACT Public Holidays])=0,"",_xlfn.XLOOKUP(LZ3,Table9[Mondays],Table9[ACT Public Holidays])),"")</f>
        <v/>
      </c>
      <c r="MA4" s="160" t="str">
        <f xml:space="preserve">
IFERROR(IF(_xlfn.XLOOKUP(MA3,Table9[Mondays],Table9[ACT Public Holidays])=0,"",_xlfn.XLOOKUP(MA3,Table9[Mondays],Table9[ACT Public Holidays])),"")</f>
        <v/>
      </c>
      <c r="MB4" s="160" t="str">
        <f xml:space="preserve">
IFERROR(IF(_xlfn.XLOOKUP(MB3,Table9[Mondays],Table9[ACT Public Holidays])=0,"",_xlfn.XLOOKUP(MB3,Table9[Mondays],Table9[ACT Public Holidays])),"")</f>
        <v/>
      </c>
      <c r="MC4" s="160" t="str">
        <f xml:space="preserve">
IFERROR(IF(_xlfn.XLOOKUP(MC3,Table9[Mondays],Table9[ACT Public Holidays])=0,"",_xlfn.XLOOKUP(MC3,Table9[Mondays],Table9[ACT Public Holidays])),"")</f>
        <v/>
      </c>
      <c r="MD4" s="160" t="str">
        <f xml:space="preserve">
IFERROR(IF(_xlfn.XLOOKUP(MD3,Table9[Mondays],Table9[ACT Public Holidays])=0,"",_xlfn.XLOOKUP(MD3,Table9[Mondays],Table9[ACT Public Holidays])),"")</f>
        <v/>
      </c>
      <c r="ME4" s="160" t="str">
        <f xml:space="preserve">
IFERROR(IF(_xlfn.XLOOKUP(ME3,Table9[Mondays],Table9[ACT Public Holidays])=0,"",_xlfn.XLOOKUP(ME3,Table9[Mondays],Table9[ACT Public Holidays])),"")</f>
        <v/>
      </c>
      <c r="MF4" s="160" t="str">
        <f xml:space="preserve">
IFERROR(IF(_xlfn.XLOOKUP(MF3,Table9[Mondays],Table9[ACT Public Holidays])=0,"",_xlfn.XLOOKUP(MF3,Table9[Mondays],Table9[ACT Public Holidays])),"")</f>
        <v/>
      </c>
      <c r="MG4" s="160" t="str">
        <f xml:space="preserve">
IFERROR(IF(_xlfn.XLOOKUP(MG3,Table9[Mondays],Table9[ACT Public Holidays])=0,"",_xlfn.XLOOKUP(MG3,Table9[Mondays],Table9[ACT Public Holidays])),"")</f>
        <v/>
      </c>
      <c r="MH4" s="160" t="str">
        <f xml:space="preserve">
IFERROR(IF(_xlfn.XLOOKUP(MH3,Table9[Mondays],Table9[ACT Public Holidays])=0,"",_xlfn.XLOOKUP(MH3,Table9[Mondays],Table9[ACT Public Holidays])),"")</f>
        <v/>
      </c>
      <c r="MI4" s="160" t="str">
        <f xml:space="preserve">
IFERROR(IF(_xlfn.XLOOKUP(MI3,Table9[Mondays],Table9[ACT Public Holidays])=0,"",_xlfn.XLOOKUP(MI3,Table9[Mondays],Table9[ACT Public Holidays])),"")</f>
        <v/>
      </c>
      <c r="MJ4" s="160" t="str">
        <f xml:space="preserve">
IFERROR(IF(_xlfn.XLOOKUP(MJ3,Table9[Mondays],Table9[ACT Public Holidays])=0,"",_xlfn.XLOOKUP(MJ3,Table9[Mondays],Table9[ACT Public Holidays])),"")</f>
        <v/>
      </c>
      <c r="MK4" s="160" t="str">
        <f xml:space="preserve">
IFERROR(IF(_xlfn.XLOOKUP(MK3,Table9[Mondays],Table9[ACT Public Holidays])=0,"",_xlfn.XLOOKUP(MK3,Table9[Mondays],Table9[ACT Public Holidays])),"")</f>
        <v/>
      </c>
      <c r="ML4" s="160" t="str">
        <f xml:space="preserve">
IFERROR(IF(_xlfn.XLOOKUP(ML3,Table9[Mondays],Table9[ACT Public Holidays])=0,"",_xlfn.XLOOKUP(ML3,Table9[Mondays],Table9[ACT Public Holidays])),"")</f>
        <v/>
      </c>
      <c r="MM4" s="160" t="str">
        <f xml:space="preserve">
IFERROR(IF(_xlfn.XLOOKUP(MM3,Table9[Mondays],Table9[ACT Public Holidays])=0,"",_xlfn.XLOOKUP(MM3,Table9[Mondays],Table9[ACT Public Holidays])),"")</f>
        <v/>
      </c>
      <c r="MN4" s="160" t="str">
        <f xml:space="preserve">
IFERROR(IF(_xlfn.XLOOKUP(MN3,Table9[Mondays],Table9[ACT Public Holidays])=0,"",_xlfn.XLOOKUP(MN3,Table9[Mondays],Table9[ACT Public Holidays])),"")</f>
        <v/>
      </c>
      <c r="MO4" s="160" t="str">
        <f xml:space="preserve">
IFERROR(IF(_xlfn.XLOOKUP(MO3,Table9[Mondays],Table9[ACT Public Holidays])=0,"",_xlfn.XLOOKUP(MO3,Table9[Mondays],Table9[ACT Public Holidays])),"")</f>
        <v/>
      </c>
      <c r="MP4" s="160" t="str">
        <f xml:space="preserve">
IFERROR(IF(_xlfn.XLOOKUP(MP3,Table9[Mondays],Table9[ACT Public Holidays])=0,"",_xlfn.XLOOKUP(MP3,Table9[Mondays],Table9[ACT Public Holidays])),"")</f>
        <v/>
      </c>
      <c r="MQ4" s="160" t="str">
        <f xml:space="preserve">
IFERROR(IF(_xlfn.XLOOKUP(MQ3,Table9[Mondays],Table9[ACT Public Holidays])=0,"",_xlfn.XLOOKUP(MQ3,Table9[Mondays],Table9[ACT Public Holidays])),"")</f>
        <v/>
      </c>
      <c r="MR4" s="160" t="str">
        <f xml:space="preserve">
IFERROR(IF(_xlfn.XLOOKUP(MR3,Table9[Mondays],Table9[ACT Public Holidays])=0,"",_xlfn.XLOOKUP(MR3,Table9[Mondays],Table9[ACT Public Holidays])),"")</f>
        <v/>
      </c>
      <c r="MS4" s="160" t="str">
        <f xml:space="preserve">
IFERROR(IF(_xlfn.XLOOKUP(MS3,Table9[Mondays],Table9[ACT Public Holidays])=0,"",_xlfn.XLOOKUP(MS3,Table9[Mondays],Table9[ACT Public Holidays])),"")</f>
        <v/>
      </c>
      <c r="MT4" s="160" t="str">
        <f xml:space="preserve">
IFERROR(IF(_xlfn.XLOOKUP(MT3,Table9[Mondays],Table9[ACT Public Holidays])=0,"",_xlfn.XLOOKUP(MT3,Table9[Mondays],Table9[ACT Public Holidays])),"")</f>
        <v/>
      </c>
      <c r="MU4" s="160" t="str">
        <f xml:space="preserve">
IFERROR(IF(_xlfn.XLOOKUP(MU3,Table9[Mondays],Table9[ACT Public Holidays])=0,"",_xlfn.XLOOKUP(MU3,Table9[Mondays],Table9[ACT Public Holidays])),"")</f>
        <v/>
      </c>
      <c r="MV4" s="160" t="str">
        <f xml:space="preserve">
IFERROR(IF(_xlfn.XLOOKUP(MV3,Table9[Mondays],Table9[ACT Public Holidays])=0,"",_xlfn.XLOOKUP(MV3,Table9[Mondays],Table9[ACT Public Holidays])),"")</f>
        <v/>
      </c>
      <c r="MW4" s="160" t="str">
        <f xml:space="preserve">
IFERROR(IF(_xlfn.XLOOKUP(MW3,Table9[Mondays],Table9[ACT Public Holidays])=0,"",_xlfn.XLOOKUP(MW3,Table9[Mondays],Table9[ACT Public Holidays])),"")</f>
        <v/>
      </c>
      <c r="MX4" s="160" t="str">
        <f xml:space="preserve">
IFERROR(IF(_xlfn.XLOOKUP(MX3,Table9[Mondays],Table9[ACT Public Holidays])=0,"",_xlfn.XLOOKUP(MX3,Table9[Mondays],Table9[ACT Public Holidays])),"")</f>
        <v/>
      </c>
      <c r="MY4" s="160" t="str">
        <f xml:space="preserve">
IFERROR(IF(_xlfn.XLOOKUP(MY3,Table9[Mondays],Table9[ACT Public Holidays])=0,"",_xlfn.XLOOKUP(MY3,Table9[Mondays],Table9[ACT Public Holidays])),"")</f>
        <v/>
      </c>
      <c r="MZ4" s="160" t="str">
        <f xml:space="preserve">
IFERROR(IF(_xlfn.XLOOKUP(MZ3,Table9[Mondays],Table9[ACT Public Holidays])=0,"",_xlfn.XLOOKUP(MZ3,Table9[Mondays],Table9[ACT Public Holidays])),"")</f>
        <v/>
      </c>
      <c r="NA4" s="160" t="str">
        <f xml:space="preserve">
IFERROR(IF(_xlfn.XLOOKUP(NA3,Table9[Mondays],Table9[ACT Public Holidays])=0,"",_xlfn.XLOOKUP(NA3,Table9[Mondays],Table9[ACT Public Holidays])),"")</f>
        <v/>
      </c>
      <c r="NB4" s="160" t="str">
        <f xml:space="preserve">
IFERROR(IF(_xlfn.XLOOKUP(NB3,Table9[Mondays],Table9[ACT Public Holidays])=0,"",_xlfn.XLOOKUP(NB3,Table9[Mondays],Table9[ACT Public Holidays])),"")</f>
        <v/>
      </c>
      <c r="NC4" s="160" t="str">
        <f xml:space="preserve">
IFERROR(IF(_xlfn.XLOOKUP(NC3,Table9[Mondays],Table9[ACT Public Holidays])=0,"",_xlfn.XLOOKUP(NC3,Table9[Mondays],Table9[ACT Public Holidays])),"")</f>
        <v/>
      </c>
      <c r="ND4" s="160" t="str">
        <f xml:space="preserve">
IFERROR(IF(_xlfn.XLOOKUP(ND3,Table9[Mondays],Table9[ACT Public Holidays])=0,"",_xlfn.XLOOKUP(ND3,Table9[Mondays],Table9[ACT Public Holidays])),"")</f>
        <v/>
      </c>
      <c r="NE4" s="160" t="str">
        <f xml:space="preserve">
IFERROR(IF(_xlfn.XLOOKUP(NE3,Table9[Mondays],Table9[ACT Public Holidays])=0,"",_xlfn.XLOOKUP(NE3,Table9[Mondays],Table9[ACT Public Holidays])),"")</f>
        <v/>
      </c>
      <c r="NF4" s="160" t="str">
        <f xml:space="preserve">
IFERROR(IF(_xlfn.XLOOKUP(NF3,Table9[Mondays],Table9[ACT Public Holidays])=0,"",_xlfn.XLOOKUP(NF3,Table9[Mondays],Table9[ACT Public Holidays])),"")</f>
        <v/>
      </c>
      <c r="NG4" s="160" t="str">
        <f xml:space="preserve">
IFERROR(IF(_xlfn.XLOOKUP(NG3,Table9[Mondays],Table9[ACT Public Holidays])=0,"",_xlfn.XLOOKUP(NG3,Table9[Mondays],Table9[ACT Public Holidays])),"")</f>
        <v/>
      </c>
      <c r="NH4" s="160" t="str">
        <f xml:space="preserve">
IFERROR(IF(_xlfn.XLOOKUP(NH3,Table9[Mondays],Table9[ACT Public Holidays])=0,"",_xlfn.XLOOKUP(NH3,Table9[Mondays],Table9[ACT Public Holidays])),"")</f>
        <v/>
      </c>
      <c r="NI4" s="160" t="str">
        <f xml:space="preserve">
IFERROR(IF(_xlfn.XLOOKUP(NI3,Table9[Mondays],Table9[ACT Public Holidays])=0,"",_xlfn.XLOOKUP(NI3,Table9[Mondays],Table9[ACT Public Holidays])),"")</f>
        <v/>
      </c>
      <c r="NJ4" s="160" t="str">
        <f xml:space="preserve">
IFERROR(IF(_xlfn.XLOOKUP(NJ3,Table9[Mondays],Table9[ACT Public Holidays])=0,"",_xlfn.XLOOKUP(NJ3,Table9[Mondays],Table9[ACT Public Holidays])),"")</f>
        <v/>
      </c>
      <c r="NK4" s="160" t="str">
        <f xml:space="preserve">
IFERROR(IF(_xlfn.XLOOKUP(NK3,Table9[Mondays],Table9[ACT Public Holidays])=0,"",_xlfn.XLOOKUP(NK3,Table9[Mondays],Table9[ACT Public Holidays])),"")</f>
        <v/>
      </c>
      <c r="NL4" s="160" t="str">
        <f xml:space="preserve">
IFERROR(IF(_xlfn.XLOOKUP(NL3,Table9[Mondays],Table9[ACT Public Holidays])=0,"",_xlfn.XLOOKUP(NL3,Table9[Mondays],Table9[ACT Public Holidays])),"")</f>
        <v/>
      </c>
      <c r="NM4" s="160" t="str">
        <f xml:space="preserve">
IFERROR(IF(_xlfn.XLOOKUP(NM3,Table9[Mondays],Table9[ACT Public Holidays])=0,"",_xlfn.XLOOKUP(NM3,Table9[Mondays],Table9[ACT Public Holidays])),"")</f>
        <v/>
      </c>
      <c r="NN4" s="160" t="str">
        <f xml:space="preserve">
IFERROR(IF(_xlfn.XLOOKUP(NN3,Table9[Mondays],Table9[ACT Public Holidays])=0,"",_xlfn.XLOOKUP(NN3,Table9[Mondays],Table9[ACT Public Holidays])),"")</f>
        <v/>
      </c>
      <c r="NO4" s="160" t="str">
        <f xml:space="preserve">
IFERROR(IF(_xlfn.XLOOKUP(NO3,Table9[Mondays],Table9[ACT Public Holidays])=0,"",_xlfn.XLOOKUP(NO3,Table9[Mondays],Table9[ACT Public Holidays])),"")</f>
        <v/>
      </c>
      <c r="NP4" s="160" t="str">
        <f xml:space="preserve">
IFERROR(IF(_xlfn.XLOOKUP(NP3,Table9[Mondays],Table9[ACT Public Holidays])=0,"",_xlfn.XLOOKUP(NP3,Table9[Mondays],Table9[ACT Public Holidays])),"")</f>
        <v/>
      </c>
      <c r="NQ4" s="160" t="str">
        <f xml:space="preserve">
IFERROR(IF(_xlfn.XLOOKUP(NQ3,Table9[Mondays],Table9[ACT Public Holidays])=0,"",_xlfn.XLOOKUP(NQ3,Table9[Mondays],Table9[ACT Public Holidays])),"")</f>
        <v/>
      </c>
      <c r="NR4" s="160" t="str">
        <f xml:space="preserve">
IFERROR(IF(_xlfn.XLOOKUP(NR3,Table9[Mondays],Table9[ACT Public Holidays])=0,"",_xlfn.XLOOKUP(NR3,Table9[Mondays],Table9[ACT Public Holidays])),"")</f>
        <v/>
      </c>
      <c r="NS4" s="160" t="str">
        <f xml:space="preserve">
IFERROR(IF(_xlfn.XLOOKUP(NS3,Table9[Mondays],Table9[ACT Public Holidays])=0,"",_xlfn.XLOOKUP(NS3,Table9[Mondays],Table9[ACT Public Holidays])),"")</f>
        <v/>
      </c>
      <c r="NT4" s="160" t="str">
        <f xml:space="preserve">
IFERROR(IF(_xlfn.XLOOKUP(NT3,Table9[Mondays],Table9[ACT Public Holidays])=0,"",_xlfn.XLOOKUP(NT3,Table9[Mondays],Table9[ACT Public Holidays])),"")</f>
        <v/>
      </c>
      <c r="NU4" s="160" t="str">
        <f xml:space="preserve">
IFERROR(IF(_xlfn.XLOOKUP(NU3,Table9[Mondays],Table9[ACT Public Holidays])=0,"",_xlfn.XLOOKUP(NU3,Table9[Mondays],Table9[ACT Public Holidays])),"")</f>
        <v/>
      </c>
      <c r="NV4" s="160" t="str">
        <f xml:space="preserve">
IFERROR(IF(_xlfn.XLOOKUP(NV3,Table9[Mondays],Table9[ACT Public Holidays])=0,"",_xlfn.XLOOKUP(NV3,Table9[Mondays],Table9[ACT Public Holidays])),"")</f>
        <v/>
      </c>
      <c r="NW4" s="160" t="str">
        <f xml:space="preserve">
IFERROR(IF(_xlfn.XLOOKUP(NW3,Table9[Mondays],Table9[ACT Public Holidays])=0,"",_xlfn.XLOOKUP(NW3,Table9[Mondays],Table9[ACT Public Holidays])),"")</f>
        <v/>
      </c>
      <c r="NX4" s="160" t="str">
        <f xml:space="preserve">
IFERROR(IF(_xlfn.XLOOKUP(NX3,Table9[Mondays],Table9[ACT Public Holidays])=0,"",_xlfn.XLOOKUP(NX3,Table9[Mondays],Table9[ACT Public Holidays])),"")</f>
        <v/>
      </c>
      <c r="NY4" s="160" t="str">
        <f xml:space="preserve">
IFERROR(IF(_xlfn.XLOOKUP(NY3,Table9[Mondays],Table9[ACT Public Holidays])=0,"",_xlfn.XLOOKUP(NY3,Table9[Mondays],Table9[ACT Public Holidays])),"")</f>
        <v/>
      </c>
      <c r="NZ4" s="160" t="str">
        <f xml:space="preserve">
IFERROR(IF(_xlfn.XLOOKUP(NZ3,Table9[Mondays],Table9[ACT Public Holidays])=0,"",_xlfn.XLOOKUP(NZ3,Table9[Mondays],Table9[ACT Public Holidays])),"")</f>
        <v/>
      </c>
      <c r="OA4" s="160" t="str">
        <f xml:space="preserve">
IFERROR(IF(_xlfn.XLOOKUP(OA3,Table9[Mondays],Table9[ACT Public Holidays])=0,"",_xlfn.XLOOKUP(OA3,Table9[Mondays],Table9[ACT Public Holidays])),"")</f>
        <v/>
      </c>
      <c r="OB4" s="160" t="str">
        <f xml:space="preserve">
IFERROR(IF(_xlfn.XLOOKUP(OB3,Table9[Mondays],Table9[ACT Public Holidays])=0,"",_xlfn.XLOOKUP(OB3,Table9[Mondays],Table9[ACT Public Holidays])),"")</f>
        <v/>
      </c>
      <c r="OC4" s="160" t="str">
        <f xml:space="preserve">
IFERROR(IF(_xlfn.XLOOKUP(OC3,Table9[Mondays],Table9[ACT Public Holidays])=0,"",_xlfn.XLOOKUP(OC3,Table9[Mondays],Table9[ACT Public Holidays])),"")</f>
        <v/>
      </c>
      <c r="OD4" s="160" t="str">
        <f xml:space="preserve">
IFERROR(IF(_xlfn.XLOOKUP(OD3,Table9[Mondays],Table9[ACT Public Holidays])=0,"",_xlfn.XLOOKUP(OD3,Table9[Mondays],Table9[ACT Public Holidays])),"")</f>
        <v/>
      </c>
      <c r="OE4" s="160" t="str">
        <f xml:space="preserve">
IFERROR(IF(_xlfn.XLOOKUP(OE3,Table9[Mondays],Table9[ACT Public Holidays])=0,"",_xlfn.XLOOKUP(OE3,Table9[Mondays],Table9[ACT Public Holidays])),"")</f>
        <v/>
      </c>
      <c r="OF4" s="160" t="str">
        <f xml:space="preserve">
IFERROR(IF(_xlfn.XLOOKUP(OF3,Table9[Mondays],Table9[ACT Public Holidays])=0,"",_xlfn.XLOOKUP(OF3,Table9[Mondays],Table9[ACT Public Holidays])),"")</f>
        <v/>
      </c>
      <c r="OG4" s="160" t="str">
        <f xml:space="preserve">
IFERROR(IF(_xlfn.XLOOKUP(OG3,Table9[Mondays],Table9[ACT Public Holidays])=0,"",_xlfn.XLOOKUP(OG3,Table9[Mondays],Table9[ACT Public Holidays])),"")</f>
        <v/>
      </c>
      <c r="OH4" s="160" t="str">
        <f xml:space="preserve">
IFERROR(IF(_xlfn.XLOOKUP(OH3,Table9[Mondays],Table9[ACT Public Holidays])=0,"",_xlfn.XLOOKUP(OH3,Table9[Mondays],Table9[ACT Public Holidays])),"")</f>
        <v/>
      </c>
      <c r="OI4" s="160" t="str">
        <f xml:space="preserve">
IFERROR(IF(_xlfn.XLOOKUP(OI3,Table9[Mondays],Table9[ACT Public Holidays])=0,"",_xlfn.XLOOKUP(OI3,Table9[Mondays],Table9[ACT Public Holidays])),"")</f>
        <v/>
      </c>
      <c r="OJ4" s="160" t="str">
        <f xml:space="preserve">
IFERROR(IF(_xlfn.XLOOKUP(OJ3,Table9[Mondays],Table9[ACT Public Holidays])=0,"",_xlfn.XLOOKUP(OJ3,Table9[Mondays],Table9[ACT Public Holidays])),"")</f>
        <v/>
      </c>
      <c r="OK4" s="160" t="str">
        <f xml:space="preserve">
IFERROR(IF(_xlfn.XLOOKUP(OK3,Table9[Mondays],Table9[ACT Public Holidays])=0,"",_xlfn.XLOOKUP(OK3,Table9[Mondays],Table9[ACT Public Holidays])),"")</f>
        <v/>
      </c>
      <c r="OL4" s="160" t="str">
        <f xml:space="preserve">
IFERROR(IF(_xlfn.XLOOKUP(OL3,Table9[Mondays],Table9[ACT Public Holidays])=0,"",_xlfn.XLOOKUP(OL3,Table9[Mondays],Table9[ACT Public Holidays])),"")</f>
        <v/>
      </c>
      <c r="OM4" s="160" t="str">
        <f xml:space="preserve">
IFERROR(IF(_xlfn.XLOOKUP(OM3,Table9[Mondays],Table9[ACT Public Holidays])=0,"",_xlfn.XLOOKUP(OM3,Table9[Mondays],Table9[ACT Public Holidays])),"")</f>
        <v/>
      </c>
      <c r="ON4" s="160" t="str">
        <f xml:space="preserve">
IFERROR(IF(_xlfn.XLOOKUP(ON3,Table9[Mondays],Table9[ACT Public Holidays])=0,"",_xlfn.XLOOKUP(ON3,Table9[Mondays],Table9[ACT Public Holidays])),"")</f>
        <v/>
      </c>
      <c r="OO4" s="160" t="str">
        <f xml:space="preserve">
IFERROR(IF(_xlfn.XLOOKUP(OO3,Table9[Mondays],Table9[ACT Public Holidays])=0,"",_xlfn.XLOOKUP(OO3,Table9[Mondays],Table9[ACT Public Holidays])),"")</f>
        <v/>
      </c>
      <c r="OP4" s="160" t="str">
        <f xml:space="preserve">
IFERROR(IF(_xlfn.XLOOKUP(OP3,Table9[Mondays],Table9[ACT Public Holidays])=0,"",_xlfn.XLOOKUP(OP3,Table9[Mondays],Table9[ACT Public Holidays])),"")</f>
        <v/>
      </c>
      <c r="OQ4" s="160" t="str">
        <f xml:space="preserve">
IFERROR(IF(_xlfn.XLOOKUP(OQ3,Table9[Mondays],Table9[ACT Public Holidays])=0,"",_xlfn.XLOOKUP(OQ3,Table9[Mondays],Table9[ACT Public Holidays])),"")</f>
        <v/>
      </c>
      <c r="OR4" s="160" t="str">
        <f xml:space="preserve">
IFERROR(IF(_xlfn.XLOOKUP(OR3,Table9[Mondays],Table9[ACT Public Holidays])=0,"",_xlfn.XLOOKUP(OR3,Table9[Mondays],Table9[ACT Public Holidays])),"")</f>
        <v/>
      </c>
      <c r="OS4" s="160" t="str">
        <f xml:space="preserve">
IFERROR(IF(_xlfn.XLOOKUP(OS3,Table9[Mondays],Table9[ACT Public Holidays])=0,"",_xlfn.XLOOKUP(OS3,Table9[Mondays],Table9[ACT Public Holidays])),"")</f>
        <v/>
      </c>
      <c r="OT4" s="160" t="str">
        <f xml:space="preserve">
IFERROR(IF(_xlfn.XLOOKUP(OT3,Table9[Mondays],Table9[ACT Public Holidays])=0,"",_xlfn.XLOOKUP(OT3,Table9[Mondays],Table9[ACT Public Holidays])),"")</f>
        <v/>
      </c>
      <c r="OU4" s="160" t="str">
        <f xml:space="preserve">
IFERROR(IF(_xlfn.XLOOKUP(OU3,Table9[Mondays],Table9[ACT Public Holidays])=0,"",_xlfn.XLOOKUP(OU3,Table9[Mondays],Table9[ACT Public Holidays])),"")</f>
        <v/>
      </c>
      <c r="OV4" s="160" t="str">
        <f xml:space="preserve">
IFERROR(IF(_xlfn.XLOOKUP(OV3,Table9[Mondays],Table9[ACT Public Holidays])=0,"",_xlfn.XLOOKUP(OV3,Table9[Mondays],Table9[ACT Public Holidays])),"")</f>
        <v/>
      </c>
      <c r="OW4" s="160" t="str">
        <f xml:space="preserve">
IFERROR(IF(_xlfn.XLOOKUP(OW3,Table9[Mondays],Table9[ACT Public Holidays])=0,"",_xlfn.XLOOKUP(OW3,Table9[Mondays],Table9[ACT Public Holidays])),"")</f>
        <v/>
      </c>
      <c r="OX4" s="160" t="str">
        <f xml:space="preserve">
IFERROR(IF(_xlfn.XLOOKUP(OX3,Table9[Mondays],Table9[ACT Public Holidays])=0,"",_xlfn.XLOOKUP(OX3,Table9[Mondays],Table9[ACT Public Holidays])),"")</f>
        <v/>
      </c>
      <c r="OY4" s="160" t="str">
        <f xml:space="preserve">
IFERROR(IF(_xlfn.XLOOKUP(OY3,Table9[Mondays],Table9[ACT Public Holidays])=0,"",_xlfn.XLOOKUP(OY3,Table9[Mondays],Table9[ACT Public Holidays])),"")</f>
        <v/>
      </c>
      <c r="OZ4" s="160" t="str">
        <f xml:space="preserve">
IFERROR(IF(_xlfn.XLOOKUP(OZ3,Table9[Mondays],Table9[ACT Public Holidays])=0,"",_xlfn.XLOOKUP(OZ3,Table9[Mondays],Table9[ACT Public Holidays])),"")</f>
        <v/>
      </c>
      <c r="PA4" s="160" t="str">
        <f xml:space="preserve">
IFERROR(IF(_xlfn.XLOOKUP(PA3,Table9[Mondays],Table9[ACT Public Holidays])=0,"",_xlfn.XLOOKUP(PA3,Table9[Mondays],Table9[ACT Public Holidays])),"")</f>
        <v/>
      </c>
      <c r="PB4" s="160" t="str">
        <f xml:space="preserve">
IFERROR(IF(_xlfn.XLOOKUP(PB3,Table9[Mondays],Table9[ACT Public Holidays])=0,"",_xlfn.XLOOKUP(PB3,Table9[Mondays],Table9[ACT Public Holidays])),"")</f>
        <v/>
      </c>
      <c r="PC4" s="160" t="str">
        <f xml:space="preserve">
IFERROR(IF(_xlfn.XLOOKUP(PC3,Table9[Mondays],Table9[ACT Public Holidays])=0,"",_xlfn.XLOOKUP(PC3,Table9[Mondays],Table9[ACT Public Holidays])),"")</f>
        <v/>
      </c>
      <c r="PD4" s="160" t="str">
        <f xml:space="preserve">
IFERROR(IF(_xlfn.XLOOKUP(PD3,Table9[Mondays],Table9[ACT Public Holidays])=0,"",_xlfn.XLOOKUP(PD3,Table9[Mondays],Table9[ACT Public Holidays])),"")</f>
        <v/>
      </c>
      <c r="PE4" s="160" t="str">
        <f xml:space="preserve">
IFERROR(IF(_xlfn.XLOOKUP(PE3,Table9[Mondays],Table9[ACT Public Holidays])=0,"",_xlfn.XLOOKUP(PE3,Table9[Mondays],Table9[ACT Public Holidays])),"")</f>
        <v/>
      </c>
      <c r="PF4" s="160" t="str">
        <f xml:space="preserve">
IFERROR(IF(_xlfn.XLOOKUP(PF3,Table9[Mondays],Table9[ACT Public Holidays])=0,"",_xlfn.XLOOKUP(PF3,Table9[Mondays],Table9[ACT Public Holidays])),"")</f>
        <v/>
      </c>
      <c r="PG4" s="160" t="str">
        <f xml:space="preserve">
IFERROR(IF(_xlfn.XLOOKUP(PG3,Table9[Mondays],Table9[ACT Public Holidays])=0,"",_xlfn.XLOOKUP(PG3,Table9[Mondays],Table9[ACT Public Holidays])),"")</f>
        <v/>
      </c>
      <c r="PH4" s="160" t="str">
        <f xml:space="preserve">
IFERROR(IF(_xlfn.XLOOKUP(PH3,Table9[Mondays],Table9[ACT Public Holidays])=0,"",_xlfn.XLOOKUP(PH3,Table9[Mondays],Table9[ACT Public Holidays])),"")</f>
        <v/>
      </c>
      <c r="PI4" s="160" t="str">
        <f xml:space="preserve">
IFERROR(IF(_xlfn.XLOOKUP(PI3,Table9[Mondays],Table9[ACT Public Holidays])=0,"",_xlfn.XLOOKUP(PI3,Table9[Mondays],Table9[ACT Public Holidays])),"")</f>
        <v/>
      </c>
      <c r="PJ4" s="160" t="str">
        <f xml:space="preserve">
IFERROR(IF(_xlfn.XLOOKUP(PJ3,Table9[Mondays],Table9[ACT Public Holidays])=0,"",_xlfn.XLOOKUP(PJ3,Table9[Mondays],Table9[ACT Public Holidays])),"")</f>
        <v/>
      </c>
      <c r="PK4" s="160" t="str">
        <f xml:space="preserve">
IFERROR(IF(_xlfn.XLOOKUP(PK3,Table9[Mondays],Table9[ACT Public Holidays])=0,"",_xlfn.XLOOKUP(PK3,Table9[Mondays],Table9[ACT Public Holidays])),"")</f>
        <v/>
      </c>
      <c r="PL4" s="160" t="str">
        <f xml:space="preserve">
IFERROR(IF(_xlfn.XLOOKUP(PL3,Table9[Mondays],Table9[ACT Public Holidays])=0,"",_xlfn.XLOOKUP(PL3,Table9[Mondays],Table9[ACT Public Holidays])),"")</f>
        <v/>
      </c>
      <c r="PM4" s="160" t="str">
        <f xml:space="preserve">
IFERROR(IF(_xlfn.XLOOKUP(PM3,Table9[Mondays],Table9[ACT Public Holidays])=0,"",_xlfn.XLOOKUP(PM3,Table9[Mondays],Table9[ACT Public Holidays])),"")</f>
        <v/>
      </c>
      <c r="PN4" s="160" t="str">
        <f xml:space="preserve">
IFERROR(IF(_xlfn.XLOOKUP(PN3,Table9[Mondays],Table9[ACT Public Holidays])=0,"",_xlfn.XLOOKUP(PN3,Table9[Mondays],Table9[ACT Public Holidays])),"")</f>
        <v/>
      </c>
      <c r="PO4" s="160" t="str">
        <f xml:space="preserve">
IFERROR(IF(_xlfn.XLOOKUP(PO3,Table9[Mondays],Table9[ACT Public Holidays])=0,"",_xlfn.XLOOKUP(PO3,Table9[Mondays],Table9[ACT Public Holidays])),"")</f>
        <v/>
      </c>
      <c r="PP4" s="160" t="str">
        <f xml:space="preserve">
IFERROR(IF(_xlfn.XLOOKUP(PP3,Table9[Mondays],Table9[ACT Public Holidays])=0,"",_xlfn.XLOOKUP(PP3,Table9[Mondays],Table9[ACT Public Holidays])),"")</f>
        <v/>
      </c>
      <c r="PQ4" s="160" t="str">
        <f xml:space="preserve">
IFERROR(IF(_xlfn.XLOOKUP(PQ3,Table9[Mondays],Table9[ACT Public Holidays])=0,"",_xlfn.XLOOKUP(PQ3,Table9[Mondays],Table9[ACT Public Holidays])),"")</f>
        <v/>
      </c>
      <c r="PR4" s="160" t="str">
        <f xml:space="preserve">
IFERROR(IF(_xlfn.XLOOKUP(PR3,Table9[Mondays],Table9[ACT Public Holidays])=0,"",_xlfn.XLOOKUP(PR3,Table9[Mondays],Table9[ACT Public Holidays])),"")</f>
        <v/>
      </c>
      <c r="PS4" s="160" t="str">
        <f xml:space="preserve">
IFERROR(IF(_xlfn.XLOOKUP(PS3,Table9[Mondays],Table9[ACT Public Holidays])=0,"",_xlfn.XLOOKUP(PS3,Table9[Mondays],Table9[ACT Public Holidays])),"")</f>
        <v/>
      </c>
      <c r="PT4" s="160" t="str">
        <f xml:space="preserve">
IFERROR(IF(_xlfn.XLOOKUP(PT3,Table9[Mondays],Table9[ACT Public Holidays])=0,"",_xlfn.XLOOKUP(PT3,Table9[Mondays],Table9[ACT Public Holidays])),"")</f>
        <v/>
      </c>
      <c r="PU4" s="160" t="str">
        <f xml:space="preserve">
IFERROR(IF(_xlfn.XLOOKUP(PU3,Table9[Mondays],Table9[ACT Public Holidays])=0,"",_xlfn.XLOOKUP(PU3,Table9[Mondays],Table9[ACT Public Holidays])),"")</f>
        <v/>
      </c>
      <c r="PV4" s="160" t="str">
        <f xml:space="preserve">
IFERROR(IF(_xlfn.XLOOKUP(PV3,Table9[Mondays],Table9[ACT Public Holidays])=0,"",_xlfn.XLOOKUP(PV3,Table9[Mondays],Table9[ACT Public Holidays])),"")</f>
        <v/>
      </c>
      <c r="PW4" s="160" t="str">
        <f xml:space="preserve">
IFERROR(IF(_xlfn.XLOOKUP(PW3,Table9[Mondays],Table9[ACT Public Holidays])=0,"",_xlfn.XLOOKUP(PW3,Table9[Mondays],Table9[ACT Public Holidays])),"")</f>
        <v/>
      </c>
      <c r="PX4" s="160" t="str">
        <f xml:space="preserve">
IFERROR(IF(_xlfn.XLOOKUP(PX3,Table9[Mondays],Table9[ACT Public Holidays])=0,"",_xlfn.XLOOKUP(PX3,Table9[Mondays],Table9[ACT Public Holidays])),"")</f>
        <v/>
      </c>
      <c r="PY4" s="160" t="str">
        <f xml:space="preserve">
IFERROR(IF(_xlfn.XLOOKUP(PY3,Table9[Mondays],Table9[ACT Public Holidays])=0,"",_xlfn.XLOOKUP(PY3,Table9[Mondays],Table9[ACT Public Holidays])),"")</f>
        <v/>
      </c>
      <c r="PZ4" s="160" t="str">
        <f xml:space="preserve">
IFERROR(IF(_xlfn.XLOOKUP(PZ3,Table9[Mondays],Table9[ACT Public Holidays])=0,"",_xlfn.XLOOKUP(PZ3,Table9[Mondays],Table9[ACT Public Holidays])),"")</f>
        <v/>
      </c>
      <c r="QA4" s="160" t="str">
        <f xml:space="preserve">
IFERROR(IF(_xlfn.XLOOKUP(QA3,Table9[Mondays],Table9[ACT Public Holidays])=0,"",_xlfn.XLOOKUP(QA3,Table9[Mondays],Table9[ACT Public Holidays])),"")</f>
        <v/>
      </c>
      <c r="QB4" s="160" t="str">
        <f xml:space="preserve">
IFERROR(IF(_xlfn.XLOOKUP(QB3,Table9[Mondays],Table9[ACT Public Holidays])=0,"",_xlfn.XLOOKUP(QB3,Table9[Mondays],Table9[ACT Public Holidays])),"")</f>
        <v/>
      </c>
      <c r="QC4" s="160" t="str">
        <f xml:space="preserve">
IFERROR(IF(_xlfn.XLOOKUP(QC3,Table9[Mondays],Table9[ACT Public Holidays])=0,"",_xlfn.XLOOKUP(QC3,Table9[Mondays],Table9[ACT Public Holidays])),"")</f>
        <v/>
      </c>
      <c r="QD4" s="160" t="str">
        <f xml:space="preserve">
IFERROR(IF(_xlfn.XLOOKUP(QD3,Table9[Mondays],Table9[ACT Public Holidays])=0,"",_xlfn.XLOOKUP(QD3,Table9[Mondays],Table9[ACT Public Holidays])),"")</f>
        <v/>
      </c>
      <c r="QE4" s="160" t="str">
        <f xml:space="preserve">
IFERROR(IF(_xlfn.XLOOKUP(QE3,Table9[Mondays],Table9[ACT Public Holidays])=0,"",_xlfn.XLOOKUP(QE3,Table9[Mondays],Table9[ACT Public Holidays])),"")</f>
        <v/>
      </c>
      <c r="QF4" s="160" t="str">
        <f xml:space="preserve">
IFERROR(IF(_xlfn.XLOOKUP(QF3,Table9[Mondays],Table9[ACT Public Holidays])=0,"",_xlfn.XLOOKUP(QF3,Table9[Mondays],Table9[ACT Public Holidays])),"")</f>
        <v/>
      </c>
      <c r="QG4" s="160" t="str">
        <f xml:space="preserve">
IFERROR(IF(_xlfn.XLOOKUP(QG3,Table9[Mondays],Table9[ACT Public Holidays])=0,"",_xlfn.XLOOKUP(QG3,Table9[Mondays],Table9[ACT Public Holidays])),"")</f>
        <v/>
      </c>
      <c r="QH4" s="160" t="str">
        <f xml:space="preserve">
IFERROR(IF(_xlfn.XLOOKUP(QH3,Table9[Mondays],Table9[ACT Public Holidays])=0,"",_xlfn.XLOOKUP(QH3,Table9[Mondays],Table9[ACT Public Holidays])),"")</f>
        <v/>
      </c>
      <c r="QI4" s="160" t="str">
        <f xml:space="preserve">
IFERROR(IF(_xlfn.XLOOKUP(QI3,Table9[Mondays],Table9[ACT Public Holidays])=0,"",_xlfn.XLOOKUP(QI3,Table9[Mondays],Table9[ACT Public Holidays])),"")</f>
        <v/>
      </c>
      <c r="QJ4" s="160" t="str">
        <f xml:space="preserve">
IFERROR(IF(_xlfn.XLOOKUP(QJ3,Table9[Mondays],Table9[ACT Public Holidays])=0,"",_xlfn.XLOOKUP(QJ3,Table9[Mondays],Table9[ACT Public Holidays])),"")</f>
        <v/>
      </c>
      <c r="QK4" s="160" t="str">
        <f xml:space="preserve">
IFERROR(IF(_xlfn.XLOOKUP(QK3,Table9[Mondays],Table9[ACT Public Holidays])=0,"",_xlfn.XLOOKUP(QK3,Table9[Mondays],Table9[ACT Public Holidays])),"")</f>
        <v/>
      </c>
      <c r="QL4" s="160" t="str">
        <f xml:space="preserve">
IFERROR(IF(_xlfn.XLOOKUP(QL3,Table9[Mondays],Table9[ACT Public Holidays])=0,"",_xlfn.XLOOKUP(QL3,Table9[Mondays],Table9[ACT Public Holidays])),"")</f>
        <v/>
      </c>
      <c r="QM4" s="160" t="str">
        <f xml:space="preserve">
IFERROR(IF(_xlfn.XLOOKUP(QM3,Table9[Mondays],Table9[ACT Public Holidays])=0,"",_xlfn.XLOOKUP(QM3,Table9[Mondays],Table9[ACT Public Holidays])),"")</f>
        <v/>
      </c>
      <c r="QN4" s="160" t="str">
        <f xml:space="preserve">
IFERROR(IF(_xlfn.XLOOKUP(QN3,Table9[Mondays],Table9[ACT Public Holidays])=0,"",_xlfn.XLOOKUP(QN3,Table9[Mondays],Table9[ACT Public Holidays])),"")</f>
        <v/>
      </c>
      <c r="QO4" s="160" t="str">
        <f xml:space="preserve">
IFERROR(IF(_xlfn.XLOOKUP(QO3,Table9[Mondays],Table9[ACT Public Holidays])=0,"",_xlfn.XLOOKUP(QO3,Table9[Mondays],Table9[ACT Public Holidays])),"")</f>
        <v/>
      </c>
      <c r="QP4" s="160" t="str">
        <f xml:space="preserve">
IFERROR(IF(_xlfn.XLOOKUP(QP3,Table9[Mondays],Table9[ACT Public Holidays])=0,"",_xlfn.XLOOKUP(QP3,Table9[Mondays],Table9[ACT Public Holidays])),"")</f>
        <v/>
      </c>
      <c r="QQ4" s="160" t="str">
        <f xml:space="preserve">
IFERROR(IF(_xlfn.XLOOKUP(QQ3,Table9[Mondays],Table9[ACT Public Holidays])=0,"",_xlfn.XLOOKUP(QQ3,Table9[Mondays],Table9[ACT Public Holidays])),"")</f>
        <v/>
      </c>
      <c r="QR4" s="160" t="str">
        <f xml:space="preserve">
IFERROR(IF(_xlfn.XLOOKUP(QR3,Table9[Mondays],Table9[ACT Public Holidays])=0,"",_xlfn.XLOOKUP(QR3,Table9[Mondays],Table9[ACT Public Holidays])),"")</f>
        <v/>
      </c>
      <c r="QS4" s="160" t="str">
        <f xml:space="preserve">
IFERROR(IF(_xlfn.XLOOKUP(QS3,Table9[Mondays],Table9[ACT Public Holidays])=0,"",_xlfn.XLOOKUP(QS3,Table9[Mondays],Table9[ACT Public Holidays])),"")</f>
        <v/>
      </c>
      <c r="QT4" s="160" t="str">
        <f xml:space="preserve">
IFERROR(IF(_xlfn.XLOOKUP(QT3,Table9[Mondays],Table9[ACT Public Holidays])=0,"",_xlfn.XLOOKUP(QT3,Table9[Mondays],Table9[ACT Public Holidays])),"")</f>
        <v/>
      </c>
      <c r="QU4" s="160" t="str">
        <f xml:space="preserve">
IFERROR(IF(_xlfn.XLOOKUP(QU3,Table9[Mondays],Table9[ACT Public Holidays])=0,"",_xlfn.XLOOKUP(QU3,Table9[Mondays],Table9[ACT Public Holidays])),"")</f>
        <v/>
      </c>
      <c r="QV4" s="160" t="str">
        <f xml:space="preserve">
IFERROR(IF(_xlfn.XLOOKUP(QV3,Table9[Mondays],Table9[ACT Public Holidays])=0,"",_xlfn.XLOOKUP(QV3,Table9[Mondays],Table9[ACT Public Holidays])),"")</f>
        <v/>
      </c>
      <c r="QW4" s="160" t="str">
        <f xml:space="preserve">
IFERROR(IF(_xlfn.XLOOKUP(QW3,Table9[Mondays],Table9[ACT Public Holidays])=0,"",_xlfn.XLOOKUP(QW3,Table9[Mondays],Table9[ACT Public Holidays])),"")</f>
        <v/>
      </c>
      <c r="QX4" s="160" t="str">
        <f xml:space="preserve">
IFERROR(IF(_xlfn.XLOOKUP(QX3,Table9[Mondays],Table9[ACT Public Holidays])=0,"",_xlfn.XLOOKUP(QX3,Table9[Mondays],Table9[ACT Public Holidays])),"")</f>
        <v/>
      </c>
      <c r="QY4" s="160" t="str">
        <f xml:space="preserve">
IFERROR(IF(_xlfn.XLOOKUP(QY3,Table9[Mondays],Table9[ACT Public Holidays])=0,"",_xlfn.XLOOKUP(QY3,Table9[Mondays],Table9[ACT Public Holidays])),"")</f>
        <v/>
      </c>
      <c r="QZ4" s="160" t="str">
        <f xml:space="preserve">
IFERROR(IF(_xlfn.XLOOKUP(QZ3,Table9[Mondays],Table9[ACT Public Holidays])=0,"",_xlfn.XLOOKUP(QZ3,Table9[Mondays],Table9[ACT Public Holidays])),"")</f>
        <v/>
      </c>
      <c r="RA4" s="160" t="str">
        <f xml:space="preserve">
IFERROR(IF(_xlfn.XLOOKUP(RA3,Table9[Mondays],Table9[ACT Public Holidays])=0,"",_xlfn.XLOOKUP(RA3,Table9[Mondays],Table9[ACT Public Holidays])),"")</f>
        <v/>
      </c>
      <c r="RB4" s="160" t="str">
        <f xml:space="preserve">
IFERROR(IF(_xlfn.XLOOKUP(RB3,Table9[Mondays],Table9[ACT Public Holidays])=0,"",_xlfn.XLOOKUP(RB3,Table9[Mondays],Table9[ACT Public Holidays])),"")</f>
        <v/>
      </c>
      <c r="RC4" s="160" t="str">
        <f xml:space="preserve">
IFERROR(IF(_xlfn.XLOOKUP(RC3,Table9[Mondays],Table9[ACT Public Holidays])=0,"",_xlfn.XLOOKUP(RC3,Table9[Mondays],Table9[ACT Public Holidays])),"")</f>
        <v/>
      </c>
      <c r="RD4" s="160" t="str">
        <f xml:space="preserve">
IFERROR(IF(_xlfn.XLOOKUP(RD3,Table9[Mondays],Table9[ACT Public Holidays])=0,"",_xlfn.XLOOKUP(RD3,Table9[Mondays],Table9[ACT Public Holidays])),"")</f>
        <v/>
      </c>
      <c r="RE4" s="160" t="str">
        <f xml:space="preserve">
IFERROR(IF(_xlfn.XLOOKUP(RE3,Table9[Mondays],Table9[ACT Public Holidays])=0,"",_xlfn.XLOOKUP(RE3,Table9[Mondays],Table9[ACT Public Holidays])),"")</f>
        <v/>
      </c>
      <c r="RF4" s="160" t="str">
        <f xml:space="preserve">
IFERROR(IF(_xlfn.XLOOKUP(RF3,Table9[Mondays],Table9[ACT Public Holidays])=0,"",_xlfn.XLOOKUP(RF3,Table9[Mondays],Table9[ACT Public Holidays])),"")</f>
        <v/>
      </c>
      <c r="RG4" s="160" t="str">
        <f xml:space="preserve">
IFERROR(IF(_xlfn.XLOOKUP(RG3,Table9[Mondays],Table9[ACT Public Holidays])=0,"",_xlfn.XLOOKUP(RG3,Table9[Mondays],Table9[ACT Public Holidays])),"")</f>
        <v/>
      </c>
      <c r="RH4" s="160" t="str">
        <f xml:space="preserve">
IFERROR(IF(_xlfn.XLOOKUP(RH3,Table9[Mondays],Table9[ACT Public Holidays])=0,"",_xlfn.XLOOKUP(RH3,Table9[Mondays],Table9[ACT Public Holidays])),"")</f>
        <v/>
      </c>
      <c r="RI4" s="160" t="str">
        <f xml:space="preserve">
IFERROR(IF(_xlfn.XLOOKUP(RI3,Table9[Mondays],Table9[ACT Public Holidays])=0,"",_xlfn.XLOOKUP(RI3,Table9[Mondays],Table9[ACT Public Holidays])),"")</f>
        <v/>
      </c>
      <c r="RJ4" s="160" t="str">
        <f xml:space="preserve">
IFERROR(IF(_xlfn.XLOOKUP(RJ3,Table9[Mondays],Table9[ACT Public Holidays])=0,"",_xlfn.XLOOKUP(RJ3,Table9[Mondays],Table9[ACT Public Holidays])),"")</f>
        <v/>
      </c>
      <c r="RK4" s="160" t="str">
        <f xml:space="preserve">
IFERROR(IF(_xlfn.XLOOKUP(RK3,Table9[Mondays],Table9[ACT Public Holidays])=0,"",_xlfn.XLOOKUP(RK3,Table9[Mondays],Table9[ACT Public Holidays])),"")</f>
        <v/>
      </c>
      <c r="RL4" s="160" t="str">
        <f xml:space="preserve">
IFERROR(IF(_xlfn.XLOOKUP(RL3,Table9[Mondays],Table9[ACT Public Holidays])=0,"",_xlfn.XLOOKUP(RL3,Table9[Mondays],Table9[ACT Public Holidays])),"")</f>
        <v/>
      </c>
      <c r="RM4" s="160" t="str">
        <f xml:space="preserve">
IFERROR(IF(_xlfn.XLOOKUP(RM3,Table9[Mondays],Table9[ACT Public Holidays])=0,"",_xlfn.XLOOKUP(RM3,Table9[Mondays],Table9[ACT Public Holidays])),"")</f>
        <v/>
      </c>
      <c r="RN4" s="160" t="str">
        <f xml:space="preserve">
IFERROR(IF(_xlfn.XLOOKUP(RN3,Table9[Mondays],Table9[ACT Public Holidays])=0,"",_xlfn.XLOOKUP(RN3,Table9[Mondays],Table9[ACT Public Holidays])),"")</f>
        <v/>
      </c>
      <c r="RO4" s="160" t="str">
        <f xml:space="preserve">
IFERROR(IF(_xlfn.XLOOKUP(RO3,Table9[Mondays],Table9[ACT Public Holidays])=0,"",_xlfn.XLOOKUP(RO3,Table9[Mondays],Table9[ACT Public Holidays])),"")</f>
        <v/>
      </c>
      <c r="RP4" s="160" t="str">
        <f xml:space="preserve">
IFERROR(IF(_xlfn.XLOOKUP(RP3,Table9[Mondays],Table9[ACT Public Holidays])=0,"",_xlfn.XLOOKUP(RP3,Table9[Mondays],Table9[ACT Public Holidays])),"")</f>
        <v/>
      </c>
      <c r="RQ4" s="160" t="str">
        <f xml:space="preserve">
IFERROR(IF(_xlfn.XLOOKUP(RQ3,Table9[Mondays],Table9[ACT Public Holidays])=0,"",_xlfn.XLOOKUP(RQ3,Table9[Mondays],Table9[ACT Public Holidays])),"")</f>
        <v/>
      </c>
      <c r="RR4" s="160" t="str">
        <f xml:space="preserve">
IFERROR(IF(_xlfn.XLOOKUP(RR3,Table9[Mondays],Table9[ACT Public Holidays])=0,"",_xlfn.XLOOKUP(RR3,Table9[Mondays],Table9[ACT Public Holidays])),"")</f>
        <v/>
      </c>
      <c r="RS4" s="160" t="str">
        <f xml:space="preserve">
IFERROR(IF(_xlfn.XLOOKUP(RS3,Table9[Mondays],Table9[ACT Public Holidays])=0,"",_xlfn.XLOOKUP(RS3,Table9[Mondays],Table9[ACT Public Holidays])),"")</f>
        <v/>
      </c>
      <c r="RT4" s="160" t="str">
        <f xml:space="preserve">
IFERROR(IF(_xlfn.XLOOKUP(RT3,Table9[Mondays],Table9[ACT Public Holidays])=0,"",_xlfn.XLOOKUP(RT3,Table9[Mondays],Table9[ACT Public Holidays])),"")</f>
        <v/>
      </c>
      <c r="RU4" s="160" t="str">
        <f xml:space="preserve">
IFERROR(IF(_xlfn.XLOOKUP(RU3,Table9[Mondays],Table9[ACT Public Holidays])=0,"",_xlfn.XLOOKUP(RU3,Table9[Mondays],Table9[ACT Public Holidays])),"")</f>
        <v/>
      </c>
      <c r="RV4" s="160" t="str">
        <f xml:space="preserve">
IFERROR(IF(_xlfn.XLOOKUP(RV3,Table9[Mondays],Table9[ACT Public Holidays])=0,"",_xlfn.XLOOKUP(RV3,Table9[Mondays],Table9[ACT Public Holidays])),"")</f>
        <v/>
      </c>
      <c r="RW4" s="160" t="str">
        <f xml:space="preserve">
IFERROR(IF(_xlfn.XLOOKUP(RW3,Table9[Mondays],Table9[ACT Public Holidays])=0,"",_xlfn.XLOOKUP(RW3,Table9[Mondays],Table9[ACT Public Holidays])),"")</f>
        <v/>
      </c>
      <c r="RX4" s="160" t="str">
        <f xml:space="preserve">
IFERROR(IF(_xlfn.XLOOKUP(RX3,Table9[Mondays],Table9[ACT Public Holidays])=0,"",_xlfn.XLOOKUP(RX3,Table9[Mondays],Table9[ACT Public Holidays])),"")</f>
        <v/>
      </c>
      <c r="RY4" s="160" t="str">
        <f xml:space="preserve">
IFERROR(IF(_xlfn.XLOOKUP(RY3,Table9[Mondays],Table9[ACT Public Holidays])=0,"",_xlfn.XLOOKUP(RY3,Table9[Mondays],Table9[ACT Public Holidays])),"")</f>
        <v/>
      </c>
      <c r="RZ4" s="160" t="str">
        <f xml:space="preserve">
IFERROR(IF(_xlfn.XLOOKUP(RZ3,Table9[Mondays],Table9[ACT Public Holidays])=0,"",_xlfn.XLOOKUP(RZ3,Table9[Mondays],Table9[ACT Public Holidays])),"")</f>
        <v/>
      </c>
      <c r="SA4" s="160" t="str">
        <f xml:space="preserve">
IFERROR(IF(_xlfn.XLOOKUP(SA3,Table9[Mondays],Table9[ACT Public Holidays])=0,"",_xlfn.XLOOKUP(SA3,Table9[Mondays],Table9[ACT Public Holidays])),"")</f>
        <v/>
      </c>
      <c r="SB4" s="160" t="str">
        <f xml:space="preserve">
IFERROR(IF(_xlfn.XLOOKUP(SB3,Table9[Mondays],Table9[ACT Public Holidays])=0,"",_xlfn.XLOOKUP(SB3,Table9[Mondays],Table9[ACT Public Holidays])),"")</f>
        <v/>
      </c>
      <c r="SC4" s="160" t="str">
        <f xml:space="preserve">
IFERROR(IF(_xlfn.XLOOKUP(SC3,Table9[Mondays],Table9[ACT Public Holidays])=0,"",_xlfn.XLOOKUP(SC3,Table9[Mondays],Table9[ACT Public Holidays])),"")</f>
        <v/>
      </c>
      <c r="SD4" s="160" t="str">
        <f xml:space="preserve">
IFERROR(IF(_xlfn.XLOOKUP(SD3,Table9[Mondays],Table9[ACT Public Holidays])=0,"",_xlfn.XLOOKUP(SD3,Table9[Mondays],Table9[ACT Public Holidays])),"")</f>
        <v/>
      </c>
      <c r="SE4" s="160" t="str">
        <f xml:space="preserve">
IFERROR(IF(_xlfn.XLOOKUP(SE3,Table9[Mondays],Table9[ACT Public Holidays])=0,"",_xlfn.XLOOKUP(SE3,Table9[Mondays],Table9[ACT Public Holidays])),"")</f>
        <v/>
      </c>
      <c r="SF4" s="160" t="str">
        <f xml:space="preserve">
IFERROR(IF(_xlfn.XLOOKUP(SF3,Table9[Mondays],Table9[ACT Public Holidays])=0,"",_xlfn.XLOOKUP(SF3,Table9[Mondays],Table9[ACT Public Holidays])),"")</f>
        <v/>
      </c>
      <c r="SG4" s="160" t="str">
        <f xml:space="preserve">
IFERROR(IF(_xlfn.XLOOKUP(SG3,Table9[Mondays],Table9[ACT Public Holidays])=0,"",_xlfn.XLOOKUP(SG3,Table9[Mondays],Table9[ACT Public Holidays])),"")</f>
        <v/>
      </c>
      <c r="SH4" s="160" t="str">
        <f xml:space="preserve">
IFERROR(IF(_xlfn.XLOOKUP(SH3,Table9[Mondays],Table9[ACT Public Holidays])=0,"",_xlfn.XLOOKUP(SH3,Table9[Mondays],Table9[ACT Public Holidays])),"")</f>
        <v/>
      </c>
      <c r="SI4" s="160" t="str">
        <f xml:space="preserve">
IFERROR(IF(_xlfn.XLOOKUP(SI3,Table9[Mondays],Table9[ACT Public Holidays])=0,"",_xlfn.XLOOKUP(SI3,Table9[Mondays],Table9[ACT Public Holidays])),"")</f>
        <v/>
      </c>
      <c r="SJ4" s="160" t="str">
        <f xml:space="preserve">
IFERROR(IF(_xlfn.XLOOKUP(SJ3,Table9[Mondays],Table9[ACT Public Holidays])=0,"",_xlfn.XLOOKUP(SJ3,Table9[Mondays],Table9[ACT Public Holidays])),"")</f>
        <v/>
      </c>
      <c r="SK4" s="160" t="str">
        <f xml:space="preserve">
IFERROR(IF(_xlfn.XLOOKUP(SK3,Table9[Mondays],Table9[ACT Public Holidays])=0,"",_xlfn.XLOOKUP(SK3,Table9[Mondays],Table9[ACT Public Holidays])),"")</f>
        <v/>
      </c>
      <c r="SL4" s="160" t="str">
        <f xml:space="preserve">
IFERROR(IF(_xlfn.XLOOKUP(SL3,Table9[Mondays],Table9[ACT Public Holidays])=0,"",_xlfn.XLOOKUP(SL3,Table9[Mondays],Table9[ACT Public Holidays])),"")</f>
        <v/>
      </c>
      <c r="SM4" s="160" t="str">
        <f xml:space="preserve">
IFERROR(IF(_xlfn.XLOOKUP(SM3,Table9[Mondays],Table9[ACT Public Holidays])=0,"",_xlfn.XLOOKUP(SM3,Table9[Mondays],Table9[ACT Public Holidays])),"")</f>
        <v/>
      </c>
      <c r="SN4" s="160" t="str">
        <f xml:space="preserve">
IFERROR(IF(_xlfn.XLOOKUP(SN3,Table9[Mondays],Table9[ACT Public Holidays])=0,"",_xlfn.XLOOKUP(SN3,Table9[Mondays],Table9[ACT Public Holidays])),"")</f>
        <v/>
      </c>
      <c r="SO4" s="160" t="str">
        <f xml:space="preserve">
IFERROR(IF(_xlfn.XLOOKUP(SO3,Table9[Mondays],Table9[ACT Public Holidays])=0,"",_xlfn.XLOOKUP(SO3,Table9[Mondays],Table9[ACT Public Holidays])),"")</f>
        <v/>
      </c>
      <c r="SP4" s="160" t="str">
        <f xml:space="preserve">
IFERROR(IF(_xlfn.XLOOKUP(SP3,Table9[Mondays],Table9[ACT Public Holidays])=0,"",_xlfn.XLOOKUP(SP3,Table9[Mondays],Table9[ACT Public Holidays])),"")</f>
        <v/>
      </c>
      <c r="SQ4" s="160" t="str">
        <f xml:space="preserve">
IFERROR(IF(_xlfn.XLOOKUP(SQ3,Table9[Mondays],Table9[ACT Public Holidays])=0,"",_xlfn.XLOOKUP(SQ3,Table9[Mondays],Table9[ACT Public Holidays])),"")</f>
        <v/>
      </c>
      <c r="SR4" s="160" t="str">
        <f xml:space="preserve">
IFERROR(IF(_xlfn.XLOOKUP(SR3,Table9[Mondays],Table9[ACT Public Holidays])=0,"",_xlfn.XLOOKUP(SR3,Table9[Mondays],Table9[ACT Public Holidays])),"")</f>
        <v/>
      </c>
      <c r="SS4" s="160" t="str">
        <f xml:space="preserve">
IFERROR(IF(_xlfn.XLOOKUP(SS3,Table9[Mondays],Table9[ACT Public Holidays])=0,"",_xlfn.XLOOKUP(SS3,Table9[Mondays],Table9[ACT Public Holidays])),"")</f>
        <v/>
      </c>
      <c r="ST4" s="160" t="str">
        <f xml:space="preserve">
IFERROR(IF(_xlfn.XLOOKUP(ST3,Table9[Mondays],Table9[ACT Public Holidays])=0,"",_xlfn.XLOOKUP(ST3,Table9[Mondays],Table9[ACT Public Holidays])),"")</f>
        <v/>
      </c>
      <c r="SU4" s="160" t="str">
        <f xml:space="preserve">
IFERROR(IF(_xlfn.XLOOKUP(SU3,Table9[Mondays],Table9[ACT Public Holidays])=0,"",_xlfn.XLOOKUP(SU3,Table9[Mondays],Table9[ACT Public Holidays])),"")</f>
        <v/>
      </c>
      <c r="SV4" s="160" t="str">
        <f xml:space="preserve">
IFERROR(IF(_xlfn.XLOOKUP(SV3,Table9[Mondays],Table9[ACT Public Holidays])=0,"",_xlfn.XLOOKUP(SV3,Table9[Mondays],Table9[ACT Public Holidays])),"")</f>
        <v/>
      </c>
      <c r="SW4" s="160" t="str">
        <f xml:space="preserve">
IFERROR(IF(_xlfn.XLOOKUP(SW3,Table9[Mondays],Table9[ACT Public Holidays])=0,"",_xlfn.XLOOKUP(SW3,Table9[Mondays],Table9[ACT Public Holidays])),"")</f>
        <v/>
      </c>
      <c r="SX4" s="160" t="str">
        <f xml:space="preserve">
IFERROR(IF(_xlfn.XLOOKUP(SX3,Table9[Mondays],Table9[ACT Public Holidays])=0,"",_xlfn.XLOOKUP(SX3,Table9[Mondays],Table9[ACT Public Holidays])),"")</f>
        <v/>
      </c>
      <c r="SY4" s="160" t="str">
        <f xml:space="preserve">
IFERROR(IF(_xlfn.XLOOKUP(SY3,Table9[Mondays],Table9[ACT Public Holidays])=0,"",_xlfn.XLOOKUP(SY3,Table9[Mondays],Table9[ACT Public Holidays])),"")</f>
        <v/>
      </c>
      <c r="SZ4" s="160" t="str">
        <f xml:space="preserve">
IFERROR(IF(_xlfn.XLOOKUP(SZ3,Table9[Mondays],Table9[ACT Public Holidays])=0,"",_xlfn.XLOOKUP(SZ3,Table9[Mondays],Table9[ACT Public Holidays])),"")</f>
        <v/>
      </c>
      <c r="TA4" s="160" t="str">
        <f xml:space="preserve">
IFERROR(IF(_xlfn.XLOOKUP(TA3,Table9[Mondays],Table9[ACT Public Holidays])=0,"",_xlfn.XLOOKUP(TA3,Table9[Mondays],Table9[ACT Public Holidays])),"")</f>
        <v/>
      </c>
      <c r="TB4" s="160" t="str">
        <f xml:space="preserve">
IFERROR(IF(_xlfn.XLOOKUP(TB3,Table9[Mondays],Table9[ACT Public Holidays])=0,"",_xlfn.XLOOKUP(TB3,Table9[Mondays],Table9[ACT Public Holidays])),"")</f>
        <v/>
      </c>
      <c r="TC4" s="160" t="str">
        <f xml:space="preserve">
IFERROR(IF(_xlfn.XLOOKUP(TC3,Table9[Mondays],Table9[ACT Public Holidays])=0,"",_xlfn.XLOOKUP(TC3,Table9[Mondays],Table9[ACT Public Holidays])),"")</f>
        <v/>
      </c>
      <c r="TD4" s="160" t="str">
        <f xml:space="preserve">
IFERROR(IF(_xlfn.XLOOKUP(TD3,Table9[Mondays],Table9[ACT Public Holidays])=0,"",_xlfn.XLOOKUP(TD3,Table9[Mondays],Table9[ACT Public Holidays])),"")</f>
        <v/>
      </c>
      <c r="TE4" s="160" t="str">
        <f xml:space="preserve">
IFERROR(IF(_xlfn.XLOOKUP(TE3,Table9[Mondays],Table9[ACT Public Holidays])=0,"",_xlfn.XLOOKUP(TE3,Table9[Mondays],Table9[ACT Public Holidays])),"")</f>
        <v/>
      </c>
      <c r="TF4" s="160" t="str">
        <f xml:space="preserve">
IFERROR(IF(_xlfn.XLOOKUP(TF3,Table9[Mondays],Table9[ACT Public Holidays])=0,"",_xlfn.XLOOKUP(TF3,Table9[Mondays],Table9[ACT Public Holidays])),"")</f>
        <v/>
      </c>
      <c r="TG4" s="160" t="str">
        <f xml:space="preserve">
IFERROR(IF(_xlfn.XLOOKUP(TG3,Table9[Mondays],Table9[ACT Public Holidays])=0,"",_xlfn.XLOOKUP(TG3,Table9[Mondays],Table9[ACT Public Holidays])),"")</f>
        <v/>
      </c>
      <c r="TH4" s="160" t="str">
        <f xml:space="preserve">
IFERROR(IF(_xlfn.XLOOKUP(TH3,Table9[Mondays],Table9[ACT Public Holidays])=0,"",_xlfn.XLOOKUP(TH3,Table9[Mondays],Table9[ACT Public Holidays])),"")</f>
        <v/>
      </c>
      <c r="TI4" s="160" t="str">
        <f xml:space="preserve">
IFERROR(IF(_xlfn.XLOOKUP(TI3,Table9[Mondays],Table9[ACT Public Holidays])=0,"",_xlfn.XLOOKUP(TI3,Table9[Mondays],Table9[ACT Public Holidays])),"")</f>
        <v/>
      </c>
      <c r="TJ4" s="160" t="str">
        <f xml:space="preserve">
IFERROR(IF(_xlfn.XLOOKUP(TJ3,Table9[Mondays],Table9[ACT Public Holidays])=0,"",_xlfn.XLOOKUP(TJ3,Table9[Mondays],Table9[ACT Public Holidays])),"")</f>
        <v/>
      </c>
      <c r="TK4" s="160" t="str">
        <f xml:space="preserve">
IFERROR(IF(_xlfn.XLOOKUP(TK3,Table9[Mondays],Table9[ACT Public Holidays])=0,"",_xlfn.XLOOKUP(TK3,Table9[Mondays],Table9[ACT Public Holidays])),"")</f>
        <v/>
      </c>
      <c r="TL4" s="160" t="str">
        <f xml:space="preserve">
IFERROR(IF(_xlfn.XLOOKUP(TL3,Table9[Mondays],Table9[ACT Public Holidays])=0,"",_xlfn.XLOOKUP(TL3,Table9[Mondays],Table9[ACT Public Holidays])),"")</f>
        <v/>
      </c>
      <c r="TM4" s="160" t="str">
        <f xml:space="preserve">
IFERROR(IF(_xlfn.XLOOKUP(TM3,Table9[Mondays],Table9[ACT Public Holidays])=0,"",_xlfn.XLOOKUP(TM3,Table9[Mondays],Table9[ACT Public Holidays])),"")</f>
        <v/>
      </c>
      <c r="TN4" s="160" t="str">
        <f xml:space="preserve">
IFERROR(IF(_xlfn.XLOOKUP(TN3,Table9[Mondays],Table9[ACT Public Holidays])=0,"",_xlfn.XLOOKUP(TN3,Table9[Mondays],Table9[ACT Public Holidays])),"")</f>
        <v/>
      </c>
      <c r="TO4" s="160" t="str">
        <f xml:space="preserve">
IFERROR(IF(_xlfn.XLOOKUP(TO3,Table9[Mondays],Table9[ACT Public Holidays])=0,"",_xlfn.XLOOKUP(TO3,Table9[Mondays],Table9[ACT Public Holidays])),"")</f>
        <v/>
      </c>
      <c r="TP4" s="160" t="str">
        <f xml:space="preserve">
IFERROR(IF(_xlfn.XLOOKUP(TP3,Table9[Mondays],Table9[ACT Public Holidays])=0,"",_xlfn.XLOOKUP(TP3,Table9[Mondays],Table9[ACT Public Holidays])),"")</f>
        <v/>
      </c>
      <c r="TQ4" s="160" t="str">
        <f xml:space="preserve">
IFERROR(IF(_xlfn.XLOOKUP(TQ3,Table9[Mondays],Table9[ACT Public Holidays])=0,"",_xlfn.XLOOKUP(TQ3,Table9[Mondays],Table9[ACT Public Holidays])),"")</f>
        <v/>
      </c>
      <c r="TR4" s="160" t="str">
        <f xml:space="preserve">
IFERROR(IF(_xlfn.XLOOKUP(TR3,Table9[Mondays],Table9[ACT Public Holidays])=0,"",_xlfn.XLOOKUP(TR3,Table9[Mondays],Table9[ACT Public Holidays])),"")</f>
        <v/>
      </c>
      <c r="TS4" s="160" t="str">
        <f xml:space="preserve">
IFERROR(IF(_xlfn.XLOOKUP(TS3,Table9[Mondays],Table9[ACT Public Holidays])=0,"",_xlfn.XLOOKUP(TS3,Table9[Mondays],Table9[ACT Public Holidays])),"")</f>
        <v/>
      </c>
      <c r="TT4" s="160" t="str">
        <f xml:space="preserve">
IFERROR(IF(_xlfn.XLOOKUP(TT3,Table9[Mondays],Table9[ACT Public Holidays])=0,"",_xlfn.XLOOKUP(TT3,Table9[Mondays],Table9[ACT Public Holidays])),"")</f>
        <v/>
      </c>
      <c r="TU4" s="160" t="str">
        <f xml:space="preserve">
IFERROR(IF(_xlfn.XLOOKUP(TU3,Table9[Mondays],Table9[ACT Public Holidays])=0,"",_xlfn.XLOOKUP(TU3,Table9[Mondays],Table9[ACT Public Holidays])),"")</f>
        <v/>
      </c>
      <c r="TV4" s="160" t="str">
        <f xml:space="preserve">
IFERROR(IF(_xlfn.XLOOKUP(TV3,Table9[Mondays],Table9[ACT Public Holidays])=0,"",_xlfn.XLOOKUP(TV3,Table9[Mondays],Table9[ACT Public Holidays])),"")</f>
        <v/>
      </c>
      <c r="TW4" s="160" t="str">
        <f xml:space="preserve">
IFERROR(IF(_xlfn.XLOOKUP(TW3,Table9[Mondays],Table9[ACT Public Holidays])=0,"",_xlfn.XLOOKUP(TW3,Table9[Mondays],Table9[ACT Public Holidays])),"")</f>
        <v/>
      </c>
      <c r="TX4" s="160" t="str">
        <f xml:space="preserve">
IFERROR(IF(_xlfn.XLOOKUP(TX3,Table9[Mondays],Table9[ACT Public Holidays])=0,"",_xlfn.XLOOKUP(TX3,Table9[Mondays],Table9[ACT Public Holidays])),"")</f>
        <v/>
      </c>
      <c r="TY4" s="160" t="str">
        <f xml:space="preserve">
IFERROR(IF(_xlfn.XLOOKUP(TY3,Table9[Mondays],Table9[ACT Public Holidays])=0,"",_xlfn.XLOOKUP(TY3,Table9[Mondays],Table9[ACT Public Holidays])),"")</f>
        <v/>
      </c>
      <c r="TZ4" s="160" t="str">
        <f xml:space="preserve">
IFERROR(IF(_xlfn.XLOOKUP(TZ3,Table9[Mondays],Table9[ACT Public Holidays])=0,"",_xlfn.XLOOKUP(TZ3,Table9[Mondays],Table9[ACT Public Holidays])),"")</f>
        <v/>
      </c>
      <c r="UA4" s="160" t="str">
        <f xml:space="preserve">
IFERROR(IF(_xlfn.XLOOKUP(UA3,Table9[Mondays],Table9[ACT Public Holidays])=0,"",_xlfn.XLOOKUP(UA3,Table9[Mondays],Table9[ACT Public Holidays])),"")</f>
        <v/>
      </c>
      <c r="UB4" s="160" t="str">
        <f xml:space="preserve">
IFERROR(IF(_xlfn.XLOOKUP(UB3,Table9[Mondays],Table9[ACT Public Holidays])=0,"",_xlfn.XLOOKUP(UB3,Table9[Mondays],Table9[ACT Public Holidays])),"")</f>
        <v/>
      </c>
      <c r="UC4" s="160" t="str">
        <f xml:space="preserve">
IFERROR(IF(_xlfn.XLOOKUP(UC3,Table9[Mondays],Table9[ACT Public Holidays])=0,"",_xlfn.XLOOKUP(UC3,Table9[Mondays],Table9[ACT Public Holidays])),"")</f>
        <v/>
      </c>
      <c r="UD4" s="160" t="str">
        <f xml:space="preserve">
IFERROR(IF(_xlfn.XLOOKUP(UD3,Table9[Mondays],Table9[ACT Public Holidays])=0,"",_xlfn.XLOOKUP(UD3,Table9[Mondays],Table9[ACT Public Holidays])),"")</f>
        <v/>
      </c>
      <c r="UE4" s="160" t="str">
        <f xml:space="preserve">
IFERROR(IF(_xlfn.XLOOKUP(UE3,Table9[Mondays],Table9[ACT Public Holidays])=0,"",_xlfn.XLOOKUP(UE3,Table9[Mondays],Table9[ACT Public Holidays])),"")</f>
        <v/>
      </c>
      <c r="UF4" s="160" t="str">
        <f xml:space="preserve">
IFERROR(IF(_xlfn.XLOOKUP(UF3,Table9[Mondays],Table9[ACT Public Holidays])=0,"",_xlfn.XLOOKUP(UF3,Table9[Mondays],Table9[ACT Public Holidays])),"")</f>
        <v/>
      </c>
      <c r="UG4" s="160" t="str">
        <f xml:space="preserve">
IFERROR(IF(_xlfn.XLOOKUP(UG3,Table9[Mondays],Table9[ACT Public Holidays])=0,"",_xlfn.XLOOKUP(UG3,Table9[Mondays],Table9[ACT Public Holidays])),"")</f>
        <v/>
      </c>
      <c r="UH4" s="160" t="str">
        <f xml:space="preserve">
IFERROR(IF(_xlfn.XLOOKUP(UH3,Table9[Mondays],Table9[ACT Public Holidays])=0,"",_xlfn.XLOOKUP(UH3,Table9[Mondays],Table9[ACT Public Holidays])),"")</f>
        <v/>
      </c>
      <c r="UI4" s="160" t="str">
        <f xml:space="preserve">
IFERROR(IF(_xlfn.XLOOKUP(UI3,Table9[Mondays],Table9[ACT Public Holidays])=0,"",_xlfn.XLOOKUP(UI3,Table9[Mondays],Table9[ACT Public Holidays])),"")</f>
        <v/>
      </c>
      <c r="UJ4" s="160" t="str">
        <f xml:space="preserve">
IFERROR(IF(_xlfn.XLOOKUP(UJ3,Table9[Mondays],Table9[ACT Public Holidays])=0,"",_xlfn.XLOOKUP(UJ3,Table9[Mondays],Table9[ACT Public Holidays])),"")</f>
        <v/>
      </c>
      <c r="UK4" s="160" t="str">
        <f xml:space="preserve">
IFERROR(IF(_xlfn.XLOOKUP(UK3,Table9[Mondays],Table9[ACT Public Holidays])=0,"",_xlfn.XLOOKUP(UK3,Table9[Mondays],Table9[ACT Public Holidays])),"")</f>
        <v/>
      </c>
      <c r="UL4" s="160" t="str">
        <f xml:space="preserve">
IFERROR(IF(_xlfn.XLOOKUP(UL3,Table9[Mondays],Table9[ACT Public Holidays])=0,"",_xlfn.XLOOKUP(UL3,Table9[Mondays],Table9[ACT Public Holidays])),"")</f>
        <v/>
      </c>
      <c r="UM4" s="160" t="str">
        <f xml:space="preserve">
IFERROR(IF(_xlfn.XLOOKUP(UM3,Table9[Mondays],Table9[ACT Public Holidays])=0,"",_xlfn.XLOOKUP(UM3,Table9[Mondays],Table9[ACT Public Holidays])),"")</f>
        <v/>
      </c>
      <c r="UN4" s="160" t="str">
        <f xml:space="preserve">
IFERROR(IF(_xlfn.XLOOKUP(UN3,Table9[Mondays],Table9[ACT Public Holidays])=0,"",_xlfn.XLOOKUP(UN3,Table9[Mondays],Table9[ACT Public Holidays])),"")</f>
        <v/>
      </c>
      <c r="UO4" s="160" t="str">
        <f xml:space="preserve">
IFERROR(IF(_xlfn.XLOOKUP(UO3,Table9[Mondays],Table9[ACT Public Holidays])=0,"",_xlfn.XLOOKUP(UO3,Table9[Mondays],Table9[ACT Public Holidays])),"")</f>
        <v/>
      </c>
      <c r="UP4" s="160" t="str">
        <f xml:space="preserve">
IFERROR(IF(_xlfn.XLOOKUP(UP3,Table9[Mondays],Table9[ACT Public Holidays])=0,"",_xlfn.XLOOKUP(UP3,Table9[Mondays],Table9[ACT Public Holidays])),"")</f>
        <v/>
      </c>
      <c r="UQ4" s="160" t="str">
        <f xml:space="preserve">
IFERROR(IF(_xlfn.XLOOKUP(UQ3,Table9[Mondays],Table9[ACT Public Holidays])=0,"",_xlfn.XLOOKUP(UQ3,Table9[Mondays],Table9[ACT Public Holidays])),"")</f>
        <v/>
      </c>
      <c r="UR4" s="160" t="str">
        <f xml:space="preserve">
IFERROR(IF(_xlfn.XLOOKUP(UR3,Table9[Mondays],Table9[ACT Public Holidays])=0,"",_xlfn.XLOOKUP(UR3,Table9[Mondays],Table9[ACT Public Holidays])),"")</f>
        <v/>
      </c>
      <c r="US4" s="160" t="str">
        <f xml:space="preserve">
IFERROR(IF(_xlfn.XLOOKUP(US3,Table9[Mondays],Table9[ACT Public Holidays])=0,"",_xlfn.XLOOKUP(US3,Table9[Mondays],Table9[ACT Public Holidays])),"")</f>
        <v/>
      </c>
      <c r="UT4" s="160" t="str">
        <f xml:space="preserve">
IFERROR(IF(_xlfn.XLOOKUP(UT3,Table9[Mondays],Table9[ACT Public Holidays])=0,"",_xlfn.XLOOKUP(UT3,Table9[Mondays],Table9[ACT Public Holidays])),"")</f>
        <v/>
      </c>
      <c r="UU4" s="160" t="str">
        <f xml:space="preserve">
IFERROR(IF(_xlfn.XLOOKUP(UU3,Table9[Mondays],Table9[ACT Public Holidays])=0,"",_xlfn.XLOOKUP(UU3,Table9[Mondays],Table9[ACT Public Holidays])),"")</f>
        <v/>
      </c>
      <c r="UV4" s="160" t="str">
        <f xml:space="preserve">
IFERROR(IF(_xlfn.XLOOKUP(UV3,Table9[Mondays],Table9[ACT Public Holidays])=0,"",_xlfn.XLOOKUP(UV3,Table9[Mondays],Table9[ACT Public Holidays])),"")</f>
        <v/>
      </c>
      <c r="UW4" s="160" t="str">
        <f xml:space="preserve">
IFERROR(IF(_xlfn.XLOOKUP(UW3,Table9[Mondays],Table9[ACT Public Holidays])=0,"",_xlfn.XLOOKUP(UW3,Table9[Mondays],Table9[ACT Public Holidays])),"")</f>
        <v/>
      </c>
      <c r="UX4" s="160" t="str">
        <f xml:space="preserve">
IFERROR(IF(_xlfn.XLOOKUP(UX3,Table9[Mondays],Table9[ACT Public Holidays])=0,"",_xlfn.XLOOKUP(UX3,Table9[Mondays],Table9[ACT Public Holidays])),"")</f>
        <v/>
      </c>
      <c r="UY4" s="160" t="str">
        <f xml:space="preserve">
IFERROR(IF(_xlfn.XLOOKUP(UY3,Table9[Mondays],Table9[ACT Public Holidays])=0,"",_xlfn.XLOOKUP(UY3,Table9[Mondays],Table9[ACT Public Holidays])),"")</f>
        <v/>
      </c>
      <c r="UZ4" s="160" t="str">
        <f xml:space="preserve">
IFERROR(IF(_xlfn.XLOOKUP(UZ3,Table9[Mondays],Table9[ACT Public Holidays])=0,"",_xlfn.XLOOKUP(UZ3,Table9[Mondays],Table9[ACT Public Holidays])),"")</f>
        <v/>
      </c>
      <c r="VA4" s="160" t="str">
        <f xml:space="preserve">
IFERROR(IF(_xlfn.XLOOKUP(VA3,Table9[Mondays],Table9[ACT Public Holidays])=0,"",_xlfn.XLOOKUP(VA3,Table9[Mondays],Table9[ACT Public Holidays])),"")</f>
        <v/>
      </c>
      <c r="VB4" s="160" t="str">
        <f xml:space="preserve">
IFERROR(IF(_xlfn.XLOOKUP(VB3,Table9[Mondays],Table9[ACT Public Holidays])=0,"",_xlfn.XLOOKUP(VB3,Table9[Mondays],Table9[ACT Public Holidays])),"")</f>
        <v/>
      </c>
      <c r="VC4" s="160" t="str">
        <f xml:space="preserve">
IFERROR(IF(_xlfn.XLOOKUP(VC3,Table9[Mondays],Table9[ACT Public Holidays])=0,"",_xlfn.XLOOKUP(VC3,Table9[Mondays],Table9[ACT Public Holidays])),"")</f>
        <v/>
      </c>
      <c r="VD4" s="160" t="str">
        <f xml:space="preserve">
IFERROR(IF(_xlfn.XLOOKUP(VD3,Table9[Mondays],Table9[ACT Public Holidays])=0,"",_xlfn.XLOOKUP(VD3,Table9[Mondays],Table9[ACT Public Holidays])),"")</f>
        <v/>
      </c>
      <c r="VE4" s="160" t="str">
        <f xml:space="preserve">
IFERROR(IF(_xlfn.XLOOKUP(VE3,Table9[Mondays],Table9[ACT Public Holidays])=0,"",_xlfn.XLOOKUP(VE3,Table9[Mondays],Table9[ACT Public Holidays])),"")</f>
        <v/>
      </c>
      <c r="VF4" s="160" t="str">
        <f xml:space="preserve">
IFERROR(IF(_xlfn.XLOOKUP(VF3,Table9[Mondays],Table9[ACT Public Holidays])=0,"",_xlfn.XLOOKUP(VF3,Table9[Mondays],Table9[ACT Public Holidays])),"")</f>
        <v/>
      </c>
      <c r="VG4" s="160" t="str">
        <f xml:space="preserve">
IFERROR(IF(_xlfn.XLOOKUP(VG3,Table9[Mondays],Table9[ACT Public Holidays])=0,"",_xlfn.XLOOKUP(VG3,Table9[Mondays],Table9[ACT Public Holidays])),"")</f>
        <v/>
      </c>
      <c r="VH4" s="160" t="str">
        <f xml:space="preserve">
IFERROR(IF(_xlfn.XLOOKUP(VH3,Table9[Mondays],Table9[ACT Public Holidays])=0,"",_xlfn.XLOOKUP(VH3,Table9[Mondays],Table9[ACT Public Holidays])),"")</f>
        <v/>
      </c>
      <c r="VI4" s="160" t="str">
        <f xml:space="preserve">
IFERROR(IF(_xlfn.XLOOKUP(VI3,Table9[Mondays],Table9[ACT Public Holidays])=0,"",_xlfn.XLOOKUP(VI3,Table9[Mondays],Table9[ACT Public Holidays])),"")</f>
        <v/>
      </c>
      <c r="VJ4" s="160" t="str">
        <f xml:space="preserve">
IFERROR(IF(_xlfn.XLOOKUP(VJ3,Table9[Mondays],Table9[ACT Public Holidays])=0,"",_xlfn.XLOOKUP(VJ3,Table9[Mondays],Table9[ACT Public Holidays])),"")</f>
        <v/>
      </c>
      <c r="VK4" s="160" t="str">
        <f xml:space="preserve">
IFERROR(IF(_xlfn.XLOOKUP(VK3,Table9[Mondays],Table9[ACT Public Holidays])=0,"",_xlfn.XLOOKUP(VK3,Table9[Mondays],Table9[ACT Public Holidays])),"")</f>
        <v/>
      </c>
      <c r="VL4" s="160" t="str">
        <f xml:space="preserve">
IFERROR(IF(_xlfn.XLOOKUP(VL3,Table9[Mondays],Table9[ACT Public Holidays])=0,"",_xlfn.XLOOKUP(VL3,Table9[Mondays],Table9[ACT Public Holidays])),"")</f>
        <v/>
      </c>
      <c r="VM4" s="160" t="str">
        <f xml:space="preserve">
IFERROR(IF(_xlfn.XLOOKUP(VM3,Table9[Mondays],Table9[ACT Public Holidays])=0,"",_xlfn.XLOOKUP(VM3,Table9[Mondays],Table9[ACT Public Holidays])),"")</f>
        <v/>
      </c>
      <c r="VN4" s="160" t="str">
        <f xml:space="preserve">
IFERROR(IF(_xlfn.XLOOKUP(VN3,Table9[Mondays],Table9[ACT Public Holidays])=0,"",_xlfn.XLOOKUP(VN3,Table9[Mondays],Table9[ACT Public Holidays])),"")</f>
        <v/>
      </c>
      <c r="VO4" s="160" t="str">
        <f xml:space="preserve">
IFERROR(IF(_xlfn.XLOOKUP(VO3,Table9[Mondays],Table9[ACT Public Holidays])=0,"",_xlfn.XLOOKUP(VO3,Table9[Mondays],Table9[ACT Public Holidays])),"")</f>
        <v/>
      </c>
      <c r="VP4" s="160" t="str">
        <f xml:space="preserve">
IFERROR(IF(_xlfn.XLOOKUP(VP3,Table9[Mondays],Table9[ACT Public Holidays])=0,"",_xlfn.XLOOKUP(VP3,Table9[Mondays],Table9[ACT Public Holidays])),"")</f>
        <v/>
      </c>
      <c r="VQ4" s="160" t="str">
        <f xml:space="preserve">
IFERROR(IF(_xlfn.XLOOKUP(VQ3,Table9[Mondays],Table9[ACT Public Holidays])=0,"",_xlfn.XLOOKUP(VQ3,Table9[Mondays],Table9[ACT Public Holidays])),"")</f>
        <v/>
      </c>
      <c r="VR4" s="160" t="str">
        <f xml:space="preserve">
IFERROR(IF(_xlfn.XLOOKUP(VR3,Table9[Mondays],Table9[ACT Public Holidays])=0,"",_xlfn.XLOOKUP(VR3,Table9[Mondays],Table9[ACT Public Holidays])),"")</f>
        <v/>
      </c>
      <c r="VS4" s="160" t="str">
        <f xml:space="preserve">
IFERROR(IF(_xlfn.XLOOKUP(VS3,Table9[Mondays],Table9[ACT Public Holidays])=0,"",_xlfn.XLOOKUP(VS3,Table9[Mondays],Table9[ACT Public Holidays])),"")</f>
        <v/>
      </c>
      <c r="VT4" s="160" t="str">
        <f xml:space="preserve">
IFERROR(IF(_xlfn.XLOOKUP(VT3,Table9[Mondays],Table9[ACT Public Holidays])=0,"",_xlfn.XLOOKUP(VT3,Table9[Mondays],Table9[ACT Public Holidays])),"")</f>
        <v/>
      </c>
      <c r="VU4" s="160" t="str">
        <f xml:space="preserve">
IFERROR(IF(_xlfn.XLOOKUP(VU3,Table9[Mondays],Table9[ACT Public Holidays])=0,"",_xlfn.XLOOKUP(VU3,Table9[Mondays],Table9[ACT Public Holidays])),"")</f>
        <v/>
      </c>
      <c r="VV4" s="160" t="str">
        <f xml:space="preserve">
IFERROR(IF(_xlfn.XLOOKUP(VV3,Table9[Mondays],Table9[ACT Public Holidays])=0,"",_xlfn.XLOOKUP(VV3,Table9[Mondays],Table9[ACT Public Holidays])),"")</f>
        <v/>
      </c>
      <c r="VW4" s="160" t="str">
        <f xml:space="preserve">
IFERROR(IF(_xlfn.XLOOKUP(VW3,Table9[Mondays],Table9[ACT Public Holidays])=0,"",_xlfn.XLOOKUP(VW3,Table9[Mondays],Table9[ACT Public Holidays])),"")</f>
        <v/>
      </c>
      <c r="VX4" s="160" t="str">
        <f xml:space="preserve">
IFERROR(IF(_xlfn.XLOOKUP(VX3,Table9[Mondays],Table9[ACT Public Holidays])=0,"",_xlfn.XLOOKUP(VX3,Table9[Mondays],Table9[ACT Public Holidays])),"")</f>
        <v/>
      </c>
      <c r="VY4" s="160" t="str">
        <f xml:space="preserve">
IFERROR(IF(_xlfn.XLOOKUP(VY3,Table9[Mondays],Table9[ACT Public Holidays])=0,"",_xlfn.XLOOKUP(VY3,Table9[Mondays],Table9[ACT Public Holidays])),"")</f>
        <v/>
      </c>
      <c r="VZ4" s="160" t="str">
        <f xml:space="preserve">
IFERROR(IF(_xlfn.XLOOKUP(VZ3,Table9[Mondays],Table9[ACT Public Holidays])=0,"",_xlfn.XLOOKUP(VZ3,Table9[Mondays],Table9[ACT Public Holidays])),"")</f>
        <v/>
      </c>
      <c r="WA4" s="160" t="str">
        <f xml:space="preserve">
IFERROR(IF(_xlfn.XLOOKUP(WA3,Table9[Mondays],Table9[ACT Public Holidays])=0,"",_xlfn.XLOOKUP(WA3,Table9[Mondays],Table9[ACT Public Holidays])),"")</f>
        <v/>
      </c>
      <c r="WB4" s="160" t="str">
        <f xml:space="preserve">
IFERROR(IF(_xlfn.XLOOKUP(WB3,Table9[Mondays],Table9[ACT Public Holidays])=0,"",_xlfn.XLOOKUP(WB3,Table9[Mondays],Table9[ACT Public Holidays])),"")</f>
        <v/>
      </c>
      <c r="WC4" s="160" t="str">
        <f xml:space="preserve">
IFERROR(IF(_xlfn.XLOOKUP(WC3,Table9[Mondays],Table9[ACT Public Holidays])=0,"",_xlfn.XLOOKUP(WC3,Table9[Mondays],Table9[ACT Public Holidays])),"")</f>
        <v/>
      </c>
      <c r="WD4" s="160" t="str">
        <f xml:space="preserve">
IFERROR(IF(_xlfn.XLOOKUP(WD3,Table9[Mondays],Table9[ACT Public Holidays])=0,"",_xlfn.XLOOKUP(WD3,Table9[Mondays],Table9[ACT Public Holidays])),"")</f>
        <v/>
      </c>
      <c r="WE4" s="160" t="str">
        <f xml:space="preserve">
IFERROR(IF(_xlfn.XLOOKUP(WE3,Table9[Mondays],Table9[ACT Public Holidays])=0,"",_xlfn.XLOOKUP(WE3,Table9[Mondays],Table9[ACT Public Holidays])),"")</f>
        <v/>
      </c>
      <c r="WF4" s="160" t="str">
        <f xml:space="preserve">
IFERROR(IF(_xlfn.XLOOKUP(WF3,Table9[Mondays],Table9[ACT Public Holidays])=0,"",_xlfn.XLOOKUP(WF3,Table9[Mondays],Table9[ACT Public Holidays])),"")</f>
        <v/>
      </c>
      <c r="WG4" s="160" t="str">
        <f xml:space="preserve">
IFERROR(IF(_xlfn.XLOOKUP(WG3,Table9[Mondays],Table9[ACT Public Holidays])=0,"",_xlfn.XLOOKUP(WG3,Table9[Mondays],Table9[ACT Public Holidays])),"")</f>
        <v/>
      </c>
      <c r="WH4" s="160" t="str">
        <f xml:space="preserve">
IFERROR(IF(_xlfn.XLOOKUP(WH3,Table9[Mondays],Table9[ACT Public Holidays])=0,"",_xlfn.XLOOKUP(WH3,Table9[Mondays],Table9[ACT Public Holidays])),"")</f>
        <v/>
      </c>
      <c r="WI4" s="160" t="str">
        <f xml:space="preserve">
IFERROR(IF(_xlfn.XLOOKUP(WI3,Table9[Mondays],Table9[ACT Public Holidays])=0,"",_xlfn.XLOOKUP(WI3,Table9[Mondays],Table9[ACT Public Holidays])),"")</f>
        <v/>
      </c>
      <c r="WJ4" s="160" t="str">
        <f xml:space="preserve">
IFERROR(IF(_xlfn.XLOOKUP(WJ3,Table9[Mondays],Table9[ACT Public Holidays])=0,"",_xlfn.XLOOKUP(WJ3,Table9[Mondays],Table9[ACT Public Holidays])),"")</f>
        <v/>
      </c>
      <c r="WK4" s="160" t="str">
        <f xml:space="preserve">
IFERROR(IF(_xlfn.XLOOKUP(WK3,Table9[Mondays],Table9[ACT Public Holidays])=0,"",_xlfn.XLOOKUP(WK3,Table9[Mondays],Table9[ACT Public Holidays])),"")</f>
        <v/>
      </c>
      <c r="WL4" s="160" t="str">
        <f xml:space="preserve">
IFERROR(IF(_xlfn.XLOOKUP(WL3,Table9[Mondays],Table9[ACT Public Holidays])=0,"",_xlfn.XLOOKUP(WL3,Table9[Mondays],Table9[ACT Public Holidays])),"")</f>
        <v/>
      </c>
      <c r="WM4" s="160" t="str">
        <f xml:space="preserve">
IFERROR(IF(_xlfn.XLOOKUP(WM3,Table9[Mondays],Table9[ACT Public Holidays])=0,"",_xlfn.XLOOKUP(WM3,Table9[Mondays],Table9[ACT Public Holidays])),"")</f>
        <v/>
      </c>
      <c r="WN4" s="160" t="str">
        <f xml:space="preserve">
IFERROR(IF(_xlfn.XLOOKUP(WN3,Table9[Mondays],Table9[ACT Public Holidays])=0,"",_xlfn.XLOOKUP(WN3,Table9[Mondays],Table9[ACT Public Holidays])),"")</f>
        <v/>
      </c>
      <c r="WO4" s="160" t="str">
        <f xml:space="preserve">
IFERROR(IF(_xlfn.XLOOKUP(WO3,Table9[Mondays],Table9[ACT Public Holidays])=0,"",_xlfn.XLOOKUP(WO3,Table9[Mondays],Table9[ACT Public Holidays])),"")</f>
        <v/>
      </c>
      <c r="WP4" s="160" t="str">
        <f xml:space="preserve">
IFERROR(IF(_xlfn.XLOOKUP(WP3,Table9[Mondays],Table9[ACT Public Holidays])=0,"",_xlfn.XLOOKUP(WP3,Table9[Mondays],Table9[ACT Public Holidays])),"")</f>
        <v/>
      </c>
      <c r="WQ4" s="160" t="str">
        <f xml:space="preserve">
IFERROR(IF(_xlfn.XLOOKUP(WQ3,Table9[Mondays],Table9[ACT Public Holidays])=0,"",_xlfn.XLOOKUP(WQ3,Table9[Mondays],Table9[ACT Public Holidays])),"")</f>
        <v/>
      </c>
    </row>
    <row r="5" spans="1:615" s="46" customFormat="1" ht="36" customHeight="1" thickBot="1" x14ac:dyDescent="0.3">
      <c r="A5" s="32"/>
      <c r="B5" s="107"/>
      <c r="C5" s="236" t="s">
        <v>105</v>
      </c>
      <c r="D5" s="106" t="s">
        <v>222</v>
      </c>
      <c r="E5" s="236" t="s">
        <v>46</v>
      </c>
      <c r="F5" s="241" t="s">
        <v>223</v>
      </c>
      <c r="G5" s="39"/>
      <c r="H5" s="37"/>
      <c r="I5" s="38"/>
      <c r="J5" s="37"/>
      <c r="K5" s="82"/>
      <c r="L5" s="39">
        <f t="shared" ref="L5:Q5" si="20">SUM(L6:L221)</f>
        <v>0</v>
      </c>
      <c r="M5" s="40">
        <f t="shared" ca="1" si="20"/>
        <v>0</v>
      </c>
      <c r="N5" s="41">
        <f t="shared" si="20"/>
        <v>0</v>
      </c>
      <c r="O5" s="40">
        <f t="shared" ca="1" si="20"/>
        <v>0</v>
      </c>
      <c r="P5" s="40">
        <f t="shared" ca="1" si="20"/>
        <v>0</v>
      </c>
      <c r="Q5" s="42">
        <f t="shared" si="20"/>
        <v>0</v>
      </c>
      <c r="R5" s="43">
        <f ca="1">IFERROR(((U5+O5)-(V5+Q5))/(U5+O5),"")</f>
        <v>1</v>
      </c>
      <c r="S5" s="37">
        <f ca="1">SUM(S6:S221)</f>
        <v>2992</v>
      </c>
      <c r="T5" s="37">
        <f ca="1">SUM(T6:T221)</f>
        <v>374</v>
      </c>
      <c r="U5" s="109">
        <f ca="1">SUM(U6:U221)</f>
        <v>701300</v>
      </c>
      <c r="V5" s="97">
        <f ca="1">SUM(V6:V221)</f>
        <v>0</v>
      </c>
      <c r="W5" s="98">
        <f ca="1">SUM(W6:W221)</f>
        <v>-701300</v>
      </c>
      <c r="X5" s="44" t="str">
        <f ca="1">IFERROR(W5/M5,"")</f>
        <v/>
      </c>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row>
    <row r="6" spans="1:615" ht="20.25" customHeight="1" x14ac:dyDescent="0.25">
      <c r="B6" s="242" t="s">
        <v>224</v>
      </c>
      <c r="C6" t="s">
        <v>225</v>
      </c>
      <c r="D6" s="15" t="s">
        <v>226</v>
      </c>
      <c r="E6" s="15" t="s">
        <v>227</v>
      </c>
      <c r="F6" s="21"/>
      <c r="G6" s="86" cm="1">
        <f t="array" aca="1" ref="G6" ca="1">IFERROR(INDEX(Panel_Rates[[1]:[12]],MATCH(Panel_New&amp;Category_New,Panel_Rates[Panel]&amp;Panel_Rates[Category],0),MATCH('Time Plan HY'!E6,OFFSET(Variable!$AF$2,MATCH(Panel_New&amp;Category_New,Panel_Rates[Panel]&amp;Panel_Rates[Category],0)-1,0,1,12),0))/8,"")</f>
        <v>275</v>
      </c>
      <c r="H6" s="87"/>
      <c r="I6" s="88">
        <f t="shared" ref="I6:I124" ca="1" si="21">IFERROR(G6*(1-H6),"")</f>
        <v>275</v>
      </c>
      <c r="J6" s="89">
        <f t="shared" ref="J6:J124" ca="1" si="22">IFERROR(G6*8,"")</f>
        <v>2200</v>
      </c>
      <c r="K6" s="91" t="str">
        <f>IFERROR(_xlfn.XLOOKUP(D6,CostTableLookup[Name],CostTableLookup[Gross Cost]),"")</f>
        <v/>
      </c>
      <c r="L6" s="22"/>
      <c r="M6" s="81">
        <f ca="1">IFERROR(L6*I6,"")</f>
        <v>0</v>
      </c>
      <c r="N6" s="23"/>
      <c r="O6" s="81">
        <f ca="1">IFERROR(N6*I6,"")</f>
        <v>0</v>
      </c>
      <c r="P6" s="81">
        <f t="shared" ref="P6:P124" ca="1" si="23">IFERROR(M6-O6,"")</f>
        <v>0</v>
      </c>
      <c r="Q6" s="24" t="str">
        <f t="shared" ref="Q6:Q124" si="24">IFERROR(N6*K6,"")</f>
        <v/>
      </c>
      <c r="R6" s="110" t="str">
        <f ca="1">IFERROR(((U6+O6)-(V6+Q6))/(U6+O6),"")</f>
        <v/>
      </c>
      <c r="S6" s="114">
        <f ca="1">IFERROR(SUM(OFFSET(Y6,0,MATCH(Forecast_New,$Y$3:$WQ$3,0)-1,1,500))*40,"")</f>
        <v>92</v>
      </c>
      <c r="T6" s="115">
        <f ca="1">IFERROR(S6/8,"")</f>
        <v>11.5</v>
      </c>
      <c r="U6" s="116">
        <f ca="1">IFERROR($S6*I6,"")</f>
        <v>25300</v>
      </c>
      <c r="V6" s="99" t="str">
        <f ca="1">IFERROR($S6*K6,"")</f>
        <v/>
      </c>
      <c r="W6" s="100">
        <f ca="1">IFERROR(M6-(O6+U6),"")</f>
        <v>-25300</v>
      </c>
      <c r="X6" s="83" t="str">
        <f ca="1">IFERROR(W6/M6,"")</f>
        <v/>
      </c>
      <c r="Y6" s="25">
        <v>0.8</v>
      </c>
      <c r="Z6" s="25">
        <v>0.5</v>
      </c>
      <c r="AA6" s="25">
        <v>0.5</v>
      </c>
      <c r="AB6" s="25">
        <v>0.5</v>
      </c>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c r="IS6" s="25"/>
      <c r="IT6" s="25"/>
      <c r="IU6" s="25"/>
      <c r="IV6" s="25"/>
      <c r="IW6" s="25"/>
      <c r="IX6" s="25"/>
      <c r="IY6" s="25"/>
      <c r="IZ6" s="25"/>
      <c r="JA6" s="25"/>
      <c r="JB6" s="25"/>
      <c r="JC6" s="25"/>
      <c r="JD6" s="25"/>
      <c r="JE6" s="25"/>
      <c r="JF6" s="25"/>
      <c r="JG6" s="25"/>
      <c r="JH6" s="25"/>
      <c r="JI6" s="25"/>
      <c r="JJ6" s="25"/>
      <c r="JK6" s="25"/>
      <c r="JL6" s="25"/>
      <c r="JM6" s="25"/>
      <c r="JN6" s="25"/>
    </row>
    <row r="7" spans="1:615" ht="20.25" customHeight="1" x14ac:dyDescent="0.25">
      <c r="B7" s="242" t="s">
        <v>224</v>
      </c>
      <c r="C7" t="s">
        <v>225</v>
      </c>
      <c r="D7" s="15" t="s">
        <v>228</v>
      </c>
      <c r="E7" s="15" t="s">
        <v>229</v>
      </c>
      <c r="F7" s="21"/>
      <c r="G7" s="86" cm="1">
        <f t="array" aca="1" ref="G7" ca="1">IFERROR(INDEX(Panel_Rates[[1]:[12]],MATCH(Panel_New&amp;Category_New,Panel_Rates[Panel]&amp;Panel_Rates[Category],0),MATCH('Time Plan HY'!E7,OFFSET(Variable!$AF$2,MATCH(Panel_New&amp;Category_New,Panel_Rates[Panel]&amp;Panel_Rates[Category],0)-1,0,1,12),0))/8,"")</f>
        <v>190</v>
      </c>
      <c r="H7" s="87"/>
      <c r="I7" s="88">
        <f t="shared" ca="1" si="21"/>
        <v>190</v>
      </c>
      <c r="J7" s="89">
        <f t="shared" ca="1" si="22"/>
        <v>1520</v>
      </c>
      <c r="K7" s="91" t="str">
        <f>IFERROR(_xlfn.XLOOKUP(D7,CostTableLookup[Name],CostTableLookup[Gross Cost]),"")</f>
        <v/>
      </c>
      <c r="L7" s="22"/>
      <c r="M7" s="81">
        <f ca="1">IFERROR(L7*I7,"")</f>
        <v>0</v>
      </c>
      <c r="N7" s="23"/>
      <c r="O7" s="81">
        <f ca="1">IFERROR(N7*I7,"")</f>
        <v>0</v>
      </c>
      <c r="P7" s="81">
        <f t="shared" ca="1" si="23"/>
        <v>0</v>
      </c>
      <c r="Q7" s="24" t="str">
        <f t="shared" si="24"/>
        <v/>
      </c>
      <c r="R7" s="110" t="str">
        <f ca="1">IFERROR(((U7+O7)-(V7+Q7))/(U7+O7),"")</f>
        <v/>
      </c>
      <c r="S7" s="114">
        <f ca="1">IFERROR(SUM(OFFSET(Y7,0,MATCH(Forecast_New,$Y$3:$WQ$3,0)-1,1,500))*40,"")</f>
        <v>100</v>
      </c>
      <c r="T7" s="115">
        <f ca="1">IFERROR(S7/8,"")</f>
        <v>12.5</v>
      </c>
      <c r="U7" s="116">
        <f ca="1">IFERROR($S7*I7,"")</f>
        <v>19000</v>
      </c>
      <c r="V7" s="99" t="str">
        <f ca="1">IFERROR($S7*K7,"")</f>
        <v/>
      </c>
      <c r="W7" s="100">
        <f ca="1">IFERROR(M7-(O7+U7),"")</f>
        <v>-19000</v>
      </c>
      <c r="X7" s="83" t="str">
        <f ca="1">IFERROR(W7/M7,"")</f>
        <v/>
      </c>
      <c r="Y7" s="25">
        <v>1</v>
      </c>
      <c r="Z7" s="25">
        <v>0.5</v>
      </c>
      <c r="AA7" s="25">
        <v>0.5</v>
      </c>
      <c r="AB7" s="25">
        <v>0.5</v>
      </c>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c r="GT7" s="25"/>
      <c r="GU7" s="25"/>
      <c r="GV7" s="25"/>
      <c r="GW7" s="25"/>
      <c r="GX7" s="25"/>
      <c r="GY7" s="25"/>
      <c r="GZ7" s="25"/>
      <c r="HA7" s="25"/>
      <c r="HB7" s="25"/>
      <c r="HC7" s="25"/>
      <c r="HD7" s="25"/>
      <c r="HE7" s="25"/>
      <c r="HF7" s="25"/>
      <c r="HG7" s="25"/>
      <c r="HH7" s="25"/>
      <c r="HI7" s="25"/>
      <c r="HJ7" s="25"/>
      <c r="HK7" s="25"/>
      <c r="HL7" s="25"/>
      <c r="HM7" s="25"/>
      <c r="HN7" s="25"/>
      <c r="HO7" s="25"/>
      <c r="HP7" s="25"/>
      <c r="HQ7" s="25"/>
      <c r="HR7" s="25"/>
      <c r="HS7" s="25"/>
      <c r="HT7" s="25"/>
      <c r="HU7" s="25"/>
      <c r="HV7" s="25"/>
      <c r="HW7" s="25"/>
      <c r="HX7" s="25"/>
      <c r="HY7" s="25"/>
      <c r="HZ7" s="25"/>
      <c r="IA7" s="25"/>
      <c r="IB7" s="25"/>
      <c r="IC7" s="25"/>
      <c r="ID7" s="25"/>
      <c r="IE7" s="25"/>
      <c r="IF7" s="25"/>
      <c r="IG7" s="25"/>
      <c r="IH7" s="25"/>
      <c r="II7" s="25"/>
      <c r="IJ7" s="25"/>
      <c r="IK7" s="25"/>
      <c r="IL7" s="25"/>
      <c r="IM7" s="25"/>
      <c r="IN7" s="25"/>
      <c r="IO7" s="25"/>
      <c r="IP7" s="25"/>
      <c r="IQ7" s="25"/>
      <c r="IR7" s="25"/>
      <c r="IS7" s="25"/>
      <c r="IT7" s="25"/>
      <c r="IU7" s="25"/>
      <c r="IV7" s="25"/>
      <c r="IW7" s="25"/>
      <c r="IX7" s="25"/>
      <c r="IY7" s="25"/>
      <c r="IZ7" s="25"/>
      <c r="JA7" s="25"/>
      <c r="JB7" s="25"/>
      <c r="JC7" s="25"/>
      <c r="JD7" s="25"/>
      <c r="JE7" s="25"/>
      <c r="JF7" s="25"/>
      <c r="JG7" s="25"/>
      <c r="JH7" s="25"/>
      <c r="JI7" s="25"/>
      <c r="JJ7" s="25"/>
      <c r="JK7" s="25"/>
      <c r="JL7" s="25"/>
      <c r="JM7" s="25"/>
      <c r="JN7" s="25"/>
    </row>
    <row r="8" spans="1:615" ht="20.25" customHeight="1" x14ac:dyDescent="0.25">
      <c r="B8" s="242" t="s">
        <v>224</v>
      </c>
      <c r="C8" t="s">
        <v>225</v>
      </c>
      <c r="D8" s="15" t="s">
        <v>230</v>
      </c>
      <c r="E8" s="15" t="s">
        <v>227</v>
      </c>
      <c r="F8" s="21" t="s">
        <v>231</v>
      </c>
      <c r="G8" s="86" cm="1">
        <f t="array" aca="1" ref="G8" ca="1">IFERROR(INDEX(Panel_Rates[[1]:[12]],MATCH(Panel_New&amp;Category_New,Panel_Rates[Panel]&amp;Panel_Rates[Category],0),MATCH('Time Plan HY'!E8,OFFSET(Variable!$AF$2,MATCH(Panel_New&amp;Category_New,Panel_Rates[Panel]&amp;Panel_Rates[Category],0)-1,0,1,12),0))/8,"")</f>
        <v>275</v>
      </c>
      <c r="H8" s="87"/>
      <c r="I8" s="88">
        <f t="shared" ca="1" si="21"/>
        <v>275</v>
      </c>
      <c r="J8" s="89">
        <f t="shared" ca="1" si="22"/>
        <v>2200</v>
      </c>
      <c r="K8" s="91" t="str">
        <f>IFERROR(_xlfn.XLOOKUP(D8,CostTableLookup[Name],CostTableLookup[Gross Cost]),"")</f>
        <v/>
      </c>
      <c r="L8" s="22"/>
      <c r="M8" s="81">
        <f t="shared" ref="M8:M126" ca="1" si="25">IFERROR(L8*I8,"")</f>
        <v>0</v>
      </c>
      <c r="N8" s="23"/>
      <c r="O8" s="81">
        <f t="shared" ref="O8:O126" ca="1" si="26">IFERROR(N8*I8,"")</f>
        <v>0</v>
      </c>
      <c r="P8" s="81">
        <f t="shared" ca="1" si="23"/>
        <v>0</v>
      </c>
      <c r="Q8" s="24" t="str">
        <f t="shared" si="24"/>
        <v/>
      </c>
      <c r="R8" s="110" t="str">
        <f t="shared" ref="R8:R126" ca="1" si="27">IFERROR(((U8+O8)-(V8+Q8))/(U8+O8),"")</f>
        <v/>
      </c>
      <c r="S8" s="114">
        <f t="shared" ref="S8" ca="1" si="28">IFERROR(SUM(OFFSET(Y8,0,MATCH(Forecast_New,$Y$3:$WQ$3,0)-1,1,500))*40,"")</f>
        <v>100</v>
      </c>
      <c r="T8" s="115">
        <f t="shared" ref="T8:T126" ca="1" si="29">IFERROR(S8/8,"")</f>
        <v>12.5</v>
      </c>
      <c r="U8" s="116">
        <f t="shared" ref="U8:U55" ca="1" si="30">IFERROR($S8*I8,"")</f>
        <v>27500</v>
      </c>
      <c r="V8" s="99" t="str">
        <f t="shared" ref="V8:V55" ca="1" si="31">IFERROR($S8*K8,"")</f>
        <v/>
      </c>
      <c r="W8" s="100">
        <f t="shared" ref="W8:W126" ca="1" si="32">IFERROR(M8-(O8+U8),"")</f>
        <v>-27500</v>
      </c>
      <c r="X8" s="83" t="str">
        <f t="shared" ref="X8:X126" ca="1" si="33">IFERROR(W8/M8,"")</f>
        <v/>
      </c>
      <c r="Y8" s="25">
        <v>1</v>
      </c>
      <c r="Z8" s="25">
        <v>0.5</v>
      </c>
      <c r="AA8" s="25">
        <v>0.5</v>
      </c>
      <c r="AB8" s="25">
        <v>0.5</v>
      </c>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row>
    <row r="9" spans="1:615" ht="20.25" customHeight="1" x14ac:dyDescent="0.25">
      <c r="B9" s="242" t="s">
        <v>224</v>
      </c>
      <c r="C9" t="s">
        <v>225</v>
      </c>
      <c r="D9" s="15" t="s">
        <v>232</v>
      </c>
      <c r="E9" s="15" t="s">
        <v>233</v>
      </c>
      <c r="F9" s="21" t="s">
        <v>234</v>
      </c>
      <c r="G9" s="86" cm="1">
        <f t="array" aca="1" ref="G9" ca="1">IFERROR(INDEX(Panel_Rates[[1]:[12]],MATCH(Panel_New&amp;Category_New,Panel_Rates[Panel]&amp;Panel_Rates[Category],0),MATCH('Time Plan HY'!E9,OFFSET(Variable!$AF$2,MATCH(Panel_New&amp;Category_New,Panel_Rates[Panel]&amp;Panel_Rates[Category],0)-1,0,1,12),0))/8,"")</f>
        <v>165</v>
      </c>
      <c r="H9" s="87"/>
      <c r="I9" s="88">
        <f t="shared" ca="1" si="21"/>
        <v>165</v>
      </c>
      <c r="J9" s="89">
        <f t="shared" ca="1" si="22"/>
        <v>1320</v>
      </c>
      <c r="K9" s="91" t="str">
        <f>IFERROR(_xlfn.XLOOKUP(D9,CostTableLookup[Name],CostTableLookup[Gross Cost]),"")</f>
        <v/>
      </c>
      <c r="L9" s="22"/>
      <c r="M9" s="81">
        <f t="shared" ca="1" si="25"/>
        <v>0</v>
      </c>
      <c r="N9" s="23"/>
      <c r="O9" s="81">
        <f t="shared" ca="1" si="26"/>
        <v>0</v>
      </c>
      <c r="P9" s="81">
        <f t="shared" ca="1" si="23"/>
        <v>0</v>
      </c>
      <c r="Q9" s="24" t="str">
        <f t="shared" si="24"/>
        <v/>
      </c>
      <c r="R9" s="110" t="str">
        <f t="shared" ca="1" si="27"/>
        <v/>
      </c>
      <c r="S9" s="114">
        <f t="shared" ref="S9" ca="1" si="34">IFERROR(SUM(OFFSET(Y9,0,MATCH(Forecast_New,$Y$3:$WQ$3,0)-1,1,500))*40,"")</f>
        <v>60</v>
      </c>
      <c r="T9" s="115">
        <f t="shared" ca="1" si="29"/>
        <v>7.5</v>
      </c>
      <c r="U9" s="116">
        <f t="shared" ca="1" si="30"/>
        <v>9900</v>
      </c>
      <c r="V9" s="99" t="str">
        <f t="shared" ca="1" si="31"/>
        <v/>
      </c>
      <c r="W9" s="100">
        <f t="shared" ca="1" si="32"/>
        <v>-9900</v>
      </c>
      <c r="X9" s="83" t="str">
        <f t="shared" ca="1" si="33"/>
        <v/>
      </c>
      <c r="Y9" s="25">
        <v>0.5</v>
      </c>
      <c r="Z9" s="25">
        <v>0.5</v>
      </c>
      <c r="AA9" s="25">
        <v>0.25</v>
      </c>
      <c r="AB9" s="25">
        <v>0.25</v>
      </c>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row>
    <row r="10" spans="1:615" ht="20.25" customHeight="1" x14ac:dyDescent="0.25">
      <c r="B10" s="242" t="s">
        <v>224</v>
      </c>
      <c r="C10" t="s">
        <v>235</v>
      </c>
      <c r="D10" s="15" t="s">
        <v>226</v>
      </c>
      <c r="E10" s="15" t="s">
        <v>227</v>
      </c>
      <c r="F10" s="21"/>
      <c r="G10" s="86" cm="1">
        <f t="array" aca="1" ref="G10" ca="1">IFERROR(INDEX(Panel_Rates[[1]:[12]],MATCH(Panel_New&amp;Category_New,Panel_Rates[Panel]&amp;Panel_Rates[Category],0),MATCH('Time Plan HY'!E10,OFFSET(Variable!$AF$2,MATCH(Panel_New&amp;Category_New,Panel_Rates[Panel]&amp;Panel_Rates[Category],0)-1,0,1,12),0))/8,"")</f>
        <v>275</v>
      </c>
      <c r="H10" s="87"/>
      <c r="I10" s="88">
        <f t="shared" ca="1" si="21"/>
        <v>275</v>
      </c>
      <c r="J10" s="89">
        <f t="shared" ca="1" si="22"/>
        <v>2200</v>
      </c>
      <c r="K10" s="91" t="str">
        <f>IFERROR(_xlfn.XLOOKUP(D10,CostTableLookup[Name],CostTableLookup[Gross Cost]),"")</f>
        <v/>
      </c>
      <c r="L10" s="22"/>
      <c r="M10" s="81">
        <f t="shared" ca="1" si="25"/>
        <v>0</v>
      </c>
      <c r="N10" s="23"/>
      <c r="O10" s="81">
        <f t="shared" ca="1" si="26"/>
        <v>0</v>
      </c>
      <c r="P10" s="81">
        <f t="shared" ca="1" si="23"/>
        <v>0</v>
      </c>
      <c r="Q10" s="24" t="str">
        <f t="shared" si="24"/>
        <v/>
      </c>
      <c r="R10" s="110" t="str">
        <f t="shared" ca="1" si="27"/>
        <v/>
      </c>
      <c r="S10" s="114">
        <f t="shared" ref="S10" ca="1" si="35">IFERROR(SUM(OFFSET(Y10,0,MATCH(Forecast_New,$Y$3:$WQ$3,0)-1,1,500))*40,"")</f>
        <v>32</v>
      </c>
      <c r="T10" s="115">
        <f t="shared" ca="1" si="29"/>
        <v>4</v>
      </c>
      <c r="U10" s="116">
        <f t="shared" ca="1" si="30"/>
        <v>8800</v>
      </c>
      <c r="V10" s="99" t="str">
        <f t="shared" ca="1" si="31"/>
        <v/>
      </c>
      <c r="W10" s="100">
        <f t="shared" ca="1" si="32"/>
        <v>-8800</v>
      </c>
      <c r="X10" s="83" t="str">
        <f t="shared" ca="1" si="33"/>
        <v/>
      </c>
      <c r="Y10" s="25">
        <v>0.2</v>
      </c>
      <c r="Z10" s="25">
        <v>0.2</v>
      </c>
      <c r="AA10" s="25">
        <v>0.2</v>
      </c>
      <c r="AB10" s="25">
        <v>0.2</v>
      </c>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row>
    <row r="11" spans="1:615" ht="20.25" customHeight="1" x14ac:dyDescent="0.25">
      <c r="B11" s="242"/>
      <c r="C11"/>
      <c r="F11" s="21"/>
      <c r="G11" s="86"/>
      <c r="H11" s="87"/>
      <c r="I11" s="88"/>
      <c r="J11" s="89"/>
      <c r="K11" s="91"/>
      <c r="L11" s="22"/>
      <c r="M11" s="81"/>
      <c r="N11" s="23"/>
      <c r="O11" s="81"/>
      <c r="P11" s="81"/>
      <c r="Q11" s="24"/>
      <c r="R11" s="110"/>
      <c r="S11" s="114"/>
      <c r="T11" s="115"/>
      <c r="U11" s="116"/>
      <c r="V11" s="99"/>
      <c r="W11" s="100"/>
      <c r="X11" s="83"/>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row>
    <row r="12" spans="1:615" ht="20.25" customHeight="1" x14ac:dyDescent="0.25">
      <c r="B12" s="243" t="s">
        <v>236</v>
      </c>
      <c r="C12" t="s">
        <v>237</v>
      </c>
      <c r="D12" s="15" t="s">
        <v>226</v>
      </c>
      <c r="E12" s="15" t="s">
        <v>227</v>
      </c>
      <c r="F12" s="21"/>
      <c r="G12" s="86" cm="1">
        <f t="array" aca="1" ref="G12" ca="1">IFERROR(INDEX(Panel_Rates[[1]:[12]],MATCH(Panel_New&amp;Category_New,Panel_Rates[Panel]&amp;Panel_Rates[Category],0),MATCH('Time Plan HY'!E12,OFFSET(Variable!$AF$2,MATCH(Panel_New&amp;Category_New,Panel_Rates[Panel]&amp;Panel_Rates[Category],0)-1,0,1,12),0))/8,"")</f>
        <v>275</v>
      </c>
      <c r="H12" s="87"/>
      <c r="I12" s="88">
        <f t="shared" ca="1" si="21"/>
        <v>275</v>
      </c>
      <c r="J12" s="89">
        <f t="shared" ca="1" si="22"/>
        <v>2200</v>
      </c>
      <c r="K12" s="91" t="str">
        <f>IFERROR(_xlfn.XLOOKUP(D12,CostTableLookup[Name],CostTableLookup[Gross Cost]),"")</f>
        <v/>
      </c>
      <c r="L12" s="22"/>
      <c r="M12" s="81">
        <f t="shared" ca="1" si="25"/>
        <v>0</v>
      </c>
      <c r="N12" s="23"/>
      <c r="O12" s="81">
        <f t="shared" ca="1" si="26"/>
        <v>0</v>
      </c>
      <c r="P12" s="81">
        <f t="shared" ca="1" si="23"/>
        <v>0</v>
      </c>
      <c r="Q12" s="24" t="str">
        <f t="shared" si="24"/>
        <v/>
      </c>
      <c r="R12" s="110" t="str">
        <f t="shared" ca="1" si="27"/>
        <v/>
      </c>
      <c r="S12" s="114">
        <f t="shared" ref="S12" ca="1" si="36">IFERROR(SUM(OFFSET(Y12,0,MATCH(Forecast_New,$Y$3:$WQ$3,0)-1,1,500))*40,"")</f>
        <v>272</v>
      </c>
      <c r="T12" s="115">
        <f t="shared" ca="1" si="29"/>
        <v>34</v>
      </c>
      <c r="U12" s="116">
        <f t="shared" ca="1" si="30"/>
        <v>74800</v>
      </c>
      <c r="V12" s="99" t="str">
        <f t="shared" ca="1" si="31"/>
        <v/>
      </c>
      <c r="W12" s="100">
        <f t="shared" ca="1" si="32"/>
        <v>-74800</v>
      </c>
      <c r="X12" s="83" t="str">
        <f t="shared" ca="1" si="33"/>
        <v/>
      </c>
      <c r="Y12" s="25"/>
      <c r="Z12" s="25"/>
      <c r="AA12" s="25"/>
      <c r="AB12" s="25"/>
      <c r="AC12" s="25">
        <v>0.5</v>
      </c>
      <c r="AD12" s="25">
        <v>0.5</v>
      </c>
      <c r="AE12" s="25">
        <v>0.5</v>
      </c>
      <c r="AF12" s="25"/>
      <c r="AG12" s="25"/>
      <c r="AH12" s="25">
        <v>0.5</v>
      </c>
      <c r="AI12" s="25">
        <v>0.5</v>
      </c>
      <c r="AJ12" s="25">
        <v>0.5</v>
      </c>
      <c r="AK12" s="25">
        <v>0.4</v>
      </c>
      <c r="AL12" s="25">
        <v>0.5</v>
      </c>
      <c r="AM12" s="25">
        <v>0.5</v>
      </c>
      <c r="AN12" s="25">
        <v>0.5</v>
      </c>
      <c r="AO12" s="25">
        <v>0.5</v>
      </c>
      <c r="AP12" s="25">
        <v>0.5</v>
      </c>
      <c r="AQ12" s="25">
        <v>0.4</v>
      </c>
      <c r="AR12" s="25">
        <v>0.5</v>
      </c>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row>
    <row r="13" spans="1:615" ht="20.25" customHeight="1" x14ac:dyDescent="0.25">
      <c r="B13" s="243" t="s">
        <v>236</v>
      </c>
      <c r="C13" t="s">
        <v>237</v>
      </c>
      <c r="D13" s="15" t="s">
        <v>230</v>
      </c>
      <c r="E13" s="15" t="s">
        <v>227</v>
      </c>
      <c r="F13" s="21"/>
      <c r="G13" s="86" cm="1">
        <f t="array" aca="1" ref="G13" ca="1">IFERROR(INDEX(Panel_Rates[[1]:[12]],MATCH(Panel_New&amp;Category_New,Panel_Rates[Panel]&amp;Panel_Rates[Category],0),MATCH('Time Plan HY'!E13,OFFSET(Variable!$AF$2,MATCH(Panel_New&amp;Category_New,Panel_Rates[Panel]&amp;Panel_Rates[Category],0)-1,0,1,12),0))/8,"")</f>
        <v>275</v>
      </c>
      <c r="H13" s="87"/>
      <c r="I13" s="88">
        <f t="shared" ca="1" si="21"/>
        <v>275</v>
      </c>
      <c r="J13" s="89">
        <f t="shared" ca="1" si="22"/>
        <v>2200</v>
      </c>
      <c r="K13" s="91" t="str">
        <f>IFERROR(_xlfn.XLOOKUP(D13,CostTableLookup[Name],CostTableLookup[Gross Cost]),"")</f>
        <v/>
      </c>
      <c r="L13" s="22"/>
      <c r="M13" s="81">
        <f t="shared" ca="1" si="25"/>
        <v>0</v>
      </c>
      <c r="N13" s="23"/>
      <c r="O13" s="81">
        <f t="shared" ca="1" si="26"/>
        <v>0</v>
      </c>
      <c r="P13" s="81">
        <f t="shared" ca="1" si="23"/>
        <v>0</v>
      </c>
      <c r="Q13" s="24" t="str">
        <f t="shared" si="24"/>
        <v/>
      </c>
      <c r="R13" s="110" t="str">
        <f t="shared" ca="1" si="27"/>
        <v/>
      </c>
      <c r="S13" s="114">
        <f t="shared" ref="S13" ca="1" si="37">IFERROR(SUM(OFFSET(Y13,0,MATCH(Forecast_New,$Y$3:$WQ$3,0)-1,1,500))*40,"")</f>
        <v>140</v>
      </c>
      <c r="T13" s="115">
        <f t="shared" ca="1" si="29"/>
        <v>17.5</v>
      </c>
      <c r="U13" s="116">
        <f t="shared" ca="1" si="30"/>
        <v>38500</v>
      </c>
      <c r="V13" s="99" t="str">
        <f t="shared" ca="1" si="31"/>
        <v/>
      </c>
      <c r="W13" s="100">
        <f t="shared" ca="1" si="32"/>
        <v>-38500</v>
      </c>
      <c r="X13" s="83" t="str">
        <f t="shared" ca="1" si="33"/>
        <v/>
      </c>
      <c r="Y13" s="25"/>
      <c r="Z13" s="25"/>
      <c r="AA13" s="25"/>
      <c r="AB13" s="25"/>
      <c r="AC13" s="25">
        <v>0.25</v>
      </c>
      <c r="AD13" s="25">
        <v>0.25</v>
      </c>
      <c r="AE13" s="25">
        <v>0.25</v>
      </c>
      <c r="AF13" s="25"/>
      <c r="AG13" s="25"/>
      <c r="AH13" s="25">
        <v>0.25</v>
      </c>
      <c r="AI13" s="25">
        <v>0.25</v>
      </c>
      <c r="AJ13" s="25">
        <v>0.25</v>
      </c>
      <c r="AK13" s="25">
        <v>0.25</v>
      </c>
      <c r="AL13" s="25">
        <v>0.25</v>
      </c>
      <c r="AM13" s="25">
        <v>0.25</v>
      </c>
      <c r="AN13" s="25">
        <v>0.25</v>
      </c>
      <c r="AO13" s="25">
        <v>0.25</v>
      </c>
      <c r="AP13" s="25">
        <v>0.25</v>
      </c>
      <c r="AQ13" s="25">
        <v>0.25</v>
      </c>
      <c r="AR13" s="25">
        <v>0.25</v>
      </c>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row>
    <row r="14" spans="1:615" ht="20.25" customHeight="1" x14ac:dyDescent="0.25">
      <c r="B14" s="243" t="s">
        <v>236</v>
      </c>
      <c r="C14" t="s">
        <v>237</v>
      </c>
      <c r="D14" s="15" t="s">
        <v>238</v>
      </c>
      <c r="E14" s="15" t="s">
        <v>229</v>
      </c>
      <c r="F14" s="21"/>
      <c r="G14" s="86" cm="1">
        <f t="array" aca="1" ref="G14" ca="1">IFERROR(INDEX(Panel_Rates[[1]:[12]],MATCH(Panel_New&amp;Category_New,Panel_Rates[Panel]&amp;Panel_Rates[Category],0),MATCH('Time Plan HY'!E14,OFFSET(Variable!$AF$2,MATCH(Panel_New&amp;Category_New,Panel_Rates[Panel]&amp;Panel_Rates[Category],0)-1,0,1,12),0))/8,"")</f>
        <v>190</v>
      </c>
      <c r="H14" s="87"/>
      <c r="I14" s="88">
        <f t="shared" ca="1" si="21"/>
        <v>190</v>
      </c>
      <c r="J14" s="89">
        <f t="shared" ca="1" si="22"/>
        <v>1520</v>
      </c>
      <c r="K14" s="91" t="str">
        <f>IFERROR(_xlfn.XLOOKUP(D14,CostTableLookup[Name],CostTableLookup[Gross Cost]),"")</f>
        <v/>
      </c>
      <c r="L14" s="22"/>
      <c r="M14" s="81">
        <f t="shared" ca="1" si="25"/>
        <v>0</v>
      </c>
      <c r="N14" s="23"/>
      <c r="O14" s="81">
        <f t="shared" ca="1" si="26"/>
        <v>0</v>
      </c>
      <c r="P14" s="81">
        <f t="shared" ca="1" si="23"/>
        <v>0</v>
      </c>
      <c r="Q14" s="24" t="str">
        <f t="shared" si="24"/>
        <v/>
      </c>
      <c r="R14" s="110" t="str">
        <f t="shared" ca="1" si="27"/>
        <v/>
      </c>
      <c r="S14" s="114">
        <f t="shared" ref="S14" ca="1" si="38">IFERROR(SUM(OFFSET(Y14,0,MATCH(Forecast_New,$Y$3:$WQ$3,0)-1,1,500))*40,"")</f>
        <v>280</v>
      </c>
      <c r="T14" s="115">
        <f t="shared" ca="1" si="29"/>
        <v>35</v>
      </c>
      <c r="U14" s="116">
        <f t="shared" ca="1" si="30"/>
        <v>53200</v>
      </c>
      <c r="V14" s="99" t="str">
        <f t="shared" ca="1" si="31"/>
        <v/>
      </c>
      <c r="W14" s="100">
        <f t="shared" ca="1" si="32"/>
        <v>-53200</v>
      </c>
      <c r="X14" s="83" t="str">
        <f t="shared" ca="1" si="33"/>
        <v/>
      </c>
      <c r="Y14" s="25"/>
      <c r="Z14" s="25"/>
      <c r="AA14" s="25"/>
      <c r="AB14" s="25"/>
      <c r="AC14" s="25">
        <v>0.5</v>
      </c>
      <c r="AD14" s="25">
        <v>0.5</v>
      </c>
      <c r="AE14" s="25">
        <v>0.5</v>
      </c>
      <c r="AF14" s="25"/>
      <c r="AG14" s="25"/>
      <c r="AH14" s="25">
        <v>0.5</v>
      </c>
      <c r="AI14" s="25">
        <v>0.5</v>
      </c>
      <c r="AJ14" s="25">
        <v>0.5</v>
      </c>
      <c r="AK14" s="25">
        <v>0.5</v>
      </c>
      <c r="AL14" s="25">
        <v>0.5</v>
      </c>
      <c r="AM14" s="25">
        <v>0.5</v>
      </c>
      <c r="AN14" s="25">
        <v>0.5</v>
      </c>
      <c r="AO14" s="25">
        <v>0.5</v>
      </c>
      <c r="AP14" s="25">
        <v>0.5</v>
      </c>
      <c r="AQ14" s="25">
        <v>0.5</v>
      </c>
      <c r="AR14" s="25">
        <v>0.5</v>
      </c>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row>
    <row r="15" spans="1:615" ht="20.25" customHeight="1" x14ac:dyDescent="0.25">
      <c r="B15" s="243" t="s">
        <v>236</v>
      </c>
      <c r="C15" t="s">
        <v>237</v>
      </c>
      <c r="D15" s="15" t="s">
        <v>232</v>
      </c>
      <c r="E15" s="15" t="s">
        <v>227</v>
      </c>
      <c r="F15" s="21"/>
      <c r="G15" s="86" cm="1">
        <f t="array" aca="1" ref="G15" ca="1">IFERROR(INDEX(Panel_Rates[[1]:[12]],MATCH(Panel_New&amp;Category_New,Panel_Rates[Panel]&amp;Panel_Rates[Category],0),MATCH('Time Plan HY'!E15,OFFSET(Variable!$AF$2,MATCH(Panel_New&amp;Category_New,Panel_Rates[Panel]&amp;Panel_Rates[Category],0)-1,0,1,12),0))/8,"")</f>
        <v>275</v>
      </c>
      <c r="H15" s="87"/>
      <c r="I15" s="88">
        <f t="shared" ca="1" si="21"/>
        <v>275</v>
      </c>
      <c r="J15" s="89">
        <f t="shared" ca="1" si="22"/>
        <v>2200</v>
      </c>
      <c r="K15" s="91" t="str">
        <f>IFERROR(_xlfn.XLOOKUP(D15,CostTableLookup[Name],CostTableLookup[Gross Cost]),"")</f>
        <v/>
      </c>
      <c r="L15" s="22"/>
      <c r="M15" s="81">
        <f t="shared" ca="1" si="25"/>
        <v>0</v>
      </c>
      <c r="N15" s="23"/>
      <c r="O15" s="81">
        <f t="shared" ca="1" si="26"/>
        <v>0</v>
      </c>
      <c r="P15" s="81">
        <f t="shared" ca="1" si="23"/>
        <v>0</v>
      </c>
      <c r="Q15" s="24" t="str">
        <f t="shared" si="24"/>
        <v/>
      </c>
      <c r="R15" s="110" t="str">
        <f t="shared" ca="1" si="27"/>
        <v/>
      </c>
      <c r="S15" s="114">
        <f t="shared" ref="S15" ca="1" si="39">IFERROR(SUM(OFFSET(Y15,0,MATCH(Forecast_New,$Y$3:$WQ$3,0)-1,1,500))*40,"")</f>
        <v>280</v>
      </c>
      <c r="T15" s="115">
        <f t="shared" ca="1" si="29"/>
        <v>35</v>
      </c>
      <c r="U15" s="116">
        <f t="shared" ca="1" si="30"/>
        <v>77000</v>
      </c>
      <c r="V15" s="99" t="str">
        <f t="shared" ca="1" si="31"/>
        <v/>
      </c>
      <c r="W15" s="100">
        <f t="shared" ca="1" si="32"/>
        <v>-77000</v>
      </c>
      <c r="X15" s="83" t="str">
        <f t="shared" ca="1" si="33"/>
        <v/>
      </c>
      <c r="Y15" s="25"/>
      <c r="Z15" s="25"/>
      <c r="AA15" s="25"/>
      <c r="AB15" s="25"/>
      <c r="AC15" s="25">
        <v>0.5</v>
      </c>
      <c r="AD15" s="25">
        <v>0.5</v>
      </c>
      <c r="AE15" s="25">
        <v>0.5</v>
      </c>
      <c r="AF15" s="25"/>
      <c r="AG15" s="25"/>
      <c r="AH15" s="25">
        <v>0.5</v>
      </c>
      <c r="AI15" s="25">
        <v>0.5</v>
      </c>
      <c r="AJ15" s="25">
        <v>0.5</v>
      </c>
      <c r="AK15" s="25">
        <v>0.5</v>
      </c>
      <c r="AL15" s="25">
        <v>0.5</v>
      </c>
      <c r="AM15" s="25">
        <v>0.5</v>
      </c>
      <c r="AN15" s="25">
        <v>0.5</v>
      </c>
      <c r="AO15" s="25">
        <v>0.5</v>
      </c>
      <c r="AP15" s="25">
        <v>0.5</v>
      </c>
      <c r="AQ15" s="25">
        <v>0.5</v>
      </c>
      <c r="AR15" s="25">
        <v>0.5</v>
      </c>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row>
    <row r="16" spans="1:615" ht="20.25" customHeight="1" x14ac:dyDescent="0.25">
      <c r="B16" s="243" t="s">
        <v>236</v>
      </c>
      <c r="C16" t="s">
        <v>237</v>
      </c>
      <c r="D16" s="15" t="s">
        <v>232</v>
      </c>
      <c r="E16" s="15" t="s">
        <v>233</v>
      </c>
      <c r="F16" s="21"/>
      <c r="G16" s="86" cm="1">
        <f t="array" aca="1" ref="G16" ca="1">IFERROR(INDEX(Panel_Rates[[1]:[12]],MATCH(Panel_New&amp;Category_New,Panel_Rates[Panel]&amp;Panel_Rates[Category],0),MATCH('Time Plan HY'!E16,OFFSET(Variable!$AF$2,MATCH(Panel_New&amp;Category_New,Panel_Rates[Panel]&amp;Panel_Rates[Category],0)-1,0,1,12),0))/8,"")</f>
        <v>165</v>
      </c>
      <c r="H16" s="87"/>
      <c r="I16" s="88">
        <f t="shared" ca="1" si="21"/>
        <v>165</v>
      </c>
      <c r="J16" s="89">
        <f t="shared" ca="1" si="22"/>
        <v>1320</v>
      </c>
      <c r="K16" s="91" t="str">
        <f>IFERROR(_xlfn.XLOOKUP(D16,CostTableLookup[Name],CostTableLookup[Gross Cost]),"")</f>
        <v/>
      </c>
      <c r="L16" s="22"/>
      <c r="M16" s="81">
        <f t="shared" ca="1" si="25"/>
        <v>0</v>
      </c>
      <c r="N16" s="23"/>
      <c r="O16" s="81">
        <f t="shared" ca="1" si="26"/>
        <v>0</v>
      </c>
      <c r="P16" s="81">
        <f t="shared" ca="1" si="23"/>
        <v>0</v>
      </c>
      <c r="Q16" s="24" t="str">
        <f t="shared" si="24"/>
        <v/>
      </c>
      <c r="R16" s="110" t="str">
        <f t="shared" ca="1" si="27"/>
        <v/>
      </c>
      <c r="S16" s="114">
        <f t="shared" ref="S16" ca="1" si="40">IFERROR(SUM(OFFSET(Y16,0,MATCH(Forecast_New,$Y$3:$WQ$3,0)-1,1,500))*40,"")</f>
        <v>280</v>
      </c>
      <c r="T16" s="115">
        <f t="shared" ca="1" si="29"/>
        <v>35</v>
      </c>
      <c r="U16" s="116">
        <f t="shared" ca="1" si="30"/>
        <v>46200</v>
      </c>
      <c r="V16" s="99" t="str">
        <f t="shared" ca="1" si="31"/>
        <v/>
      </c>
      <c r="W16" s="100">
        <f t="shared" ca="1" si="32"/>
        <v>-46200</v>
      </c>
      <c r="X16" s="83" t="str">
        <f t="shared" ca="1" si="33"/>
        <v/>
      </c>
      <c r="Y16" s="25"/>
      <c r="Z16" s="25"/>
      <c r="AA16" s="25"/>
      <c r="AB16" s="25"/>
      <c r="AC16" s="25">
        <v>0.5</v>
      </c>
      <c r="AD16" s="25">
        <v>0.5</v>
      </c>
      <c r="AE16" s="25">
        <v>0.5</v>
      </c>
      <c r="AF16" s="25"/>
      <c r="AG16" s="25"/>
      <c r="AH16" s="25">
        <v>0.5</v>
      </c>
      <c r="AI16" s="25">
        <v>0.5</v>
      </c>
      <c r="AJ16" s="25">
        <v>0.5</v>
      </c>
      <c r="AK16" s="25">
        <v>0.5</v>
      </c>
      <c r="AL16" s="25">
        <v>0.5</v>
      </c>
      <c r="AM16" s="25">
        <v>0.5</v>
      </c>
      <c r="AN16" s="25">
        <v>0.5</v>
      </c>
      <c r="AO16" s="25">
        <v>0.5</v>
      </c>
      <c r="AP16" s="25">
        <v>0.5</v>
      </c>
      <c r="AQ16" s="25">
        <v>0.5</v>
      </c>
      <c r="AR16" s="25">
        <v>0.5</v>
      </c>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row>
    <row r="17" spans="2:274" ht="20.25" customHeight="1" x14ac:dyDescent="0.25">
      <c r="B17" s="243" t="s">
        <v>236</v>
      </c>
      <c r="C17" t="s">
        <v>237</v>
      </c>
      <c r="D17" s="15" t="s">
        <v>232</v>
      </c>
      <c r="E17" s="15" t="s">
        <v>233</v>
      </c>
      <c r="F17" s="21"/>
      <c r="G17" s="86" cm="1">
        <f t="array" aca="1" ref="G17" ca="1">IFERROR(INDEX(Panel_Rates[[1]:[12]],MATCH(Panel_New&amp;Category_New,Panel_Rates[Panel]&amp;Panel_Rates[Category],0),MATCH('Time Plan HY'!E17,OFFSET(Variable!$AF$2,MATCH(Panel_New&amp;Category_New,Panel_Rates[Panel]&amp;Panel_Rates[Category],0)-1,0,1,12),0))/8,"")</f>
        <v>165</v>
      </c>
      <c r="H17" s="87"/>
      <c r="I17" s="88">
        <f t="shared" ca="1" si="21"/>
        <v>165</v>
      </c>
      <c r="J17" s="89">
        <f t="shared" ca="1" si="22"/>
        <v>1320</v>
      </c>
      <c r="K17" s="91" t="str">
        <f>IFERROR(_xlfn.XLOOKUP(D17,CostTableLookup[Name],CostTableLookup[Gross Cost]),"")</f>
        <v/>
      </c>
      <c r="L17" s="22"/>
      <c r="M17" s="81">
        <f t="shared" ca="1" si="25"/>
        <v>0</v>
      </c>
      <c r="N17" s="23"/>
      <c r="O17" s="81">
        <f t="shared" ca="1" si="26"/>
        <v>0</v>
      </c>
      <c r="P17" s="81">
        <f t="shared" ca="1" si="23"/>
        <v>0</v>
      </c>
      <c r="Q17" s="24" t="str">
        <f t="shared" si="24"/>
        <v/>
      </c>
      <c r="R17" s="110" t="str">
        <f t="shared" ca="1" si="27"/>
        <v/>
      </c>
      <c r="S17" s="114">
        <f t="shared" ref="S17" ca="1" si="41">IFERROR(SUM(OFFSET(Y17,0,MATCH(Forecast_New,$Y$3:$WQ$3,0)-1,1,500))*40,"")</f>
        <v>280</v>
      </c>
      <c r="T17" s="115">
        <f t="shared" ca="1" si="29"/>
        <v>35</v>
      </c>
      <c r="U17" s="116">
        <f t="shared" ca="1" si="30"/>
        <v>46200</v>
      </c>
      <c r="V17" s="99" t="str">
        <f t="shared" ca="1" si="31"/>
        <v/>
      </c>
      <c r="W17" s="100">
        <f t="shared" ca="1" si="32"/>
        <v>-46200</v>
      </c>
      <c r="X17" s="83" t="str">
        <f t="shared" ca="1" si="33"/>
        <v/>
      </c>
      <c r="Y17" s="25"/>
      <c r="Z17" s="25"/>
      <c r="AA17" s="25"/>
      <c r="AB17" s="25"/>
      <c r="AC17" s="25">
        <v>0.5</v>
      </c>
      <c r="AD17" s="25">
        <v>0.5</v>
      </c>
      <c r="AE17" s="25">
        <v>0.5</v>
      </c>
      <c r="AF17" s="25"/>
      <c r="AG17" s="25"/>
      <c r="AH17" s="25">
        <v>0.5</v>
      </c>
      <c r="AI17" s="25">
        <v>0.5</v>
      </c>
      <c r="AJ17" s="25">
        <v>0.5</v>
      </c>
      <c r="AK17" s="25">
        <v>0.5</v>
      </c>
      <c r="AL17" s="25">
        <v>0.5</v>
      </c>
      <c r="AM17" s="25">
        <v>0.5</v>
      </c>
      <c r="AN17" s="25">
        <v>0.5</v>
      </c>
      <c r="AO17" s="25">
        <v>0.5</v>
      </c>
      <c r="AP17" s="25">
        <v>0.5</v>
      </c>
      <c r="AQ17" s="25">
        <v>0.5</v>
      </c>
      <c r="AR17" s="25">
        <v>0.5</v>
      </c>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row>
    <row r="18" spans="2:274" ht="20.25" customHeight="1" x14ac:dyDescent="0.25">
      <c r="B18" s="243"/>
      <c r="C18" t="s">
        <v>237</v>
      </c>
      <c r="D18" s="15" t="s">
        <v>239</v>
      </c>
      <c r="E18" s="15" t="s">
        <v>227</v>
      </c>
      <c r="F18" s="21"/>
      <c r="G18" s="86"/>
      <c r="H18" s="87"/>
      <c r="I18" s="88"/>
      <c r="J18" s="89"/>
      <c r="K18" s="91"/>
      <c r="L18" s="22"/>
      <c r="M18" s="81"/>
      <c r="N18" s="23"/>
      <c r="O18" s="81"/>
      <c r="P18" s="81"/>
      <c r="Q18" s="24"/>
      <c r="R18" s="110"/>
      <c r="S18" s="114"/>
      <c r="T18" s="115"/>
      <c r="U18" s="116"/>
      <c r="V18" s="99"/>
      <c r="W18" s="100"/>
      <c r="X18" s="83"/>
      <c r="Y18" s="25"/>
      <c r="Z18" s="25"/>
      <c r="AA18" s="25"/>
      <c r="AB18" s="25"/>
      <c r="AC18" s="25">
        <v>0.25</v>
      </c>
      <c r="AD18" s="25">
        <v>0.25</v>
      </c>
      <c r="AE18" s="25">
        <v>0.25</v>
      </c>
      <c r="AF18" s="25"/>
      <c r="AG18" s="25"/>
      <c r="AH18" s="25">
        <v>0.25</v>
      </c>
      <c r="AI18" s="25">
        <v>0.25</v>
      </c>
      <c r="AJ18" s="25">
        <v>0.25</v>
      </c>
      <c r="AK18" s="25">
        <v>0.25</v>
      </c>
      <c r="AL18" s="25">
        <v>0.25</v>
      </c>
      <c r="AM18" s="25">
        <v>0.25</v>
      </c>
      <c r="AN18" s="25">
        <v>0.25</v>
      </c>
      <c r="AO18" s="25">
        <v>0.25</v>
      </c>
      <c r="AP18" s="25">
        <v>0.25</v>
      </c>
      <c r="AQ18" s="25">
        <v>0.25</v>
      </c>
      <c r="AR18" s="25">
        <v>0.25</v>
      </c>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row>
    <row r="19" spans="2:274" ht="20.25" customHeight="1" x14ac:dyDescent="0.25">
      <c r="B19" s="243" t="s">
        <v>236</v>
      </c>
      <c r="C19"/>
      <c r="F19" s="21"/>
      <c r="G19" s="86"/>
      <c r="H19" s="87"/>
      <c r="I19" s="88"/>
      <c r="J19" s="89"/>
      <c r="K19" s="91"/>
      <c r="L19" s="22"/>
      <c r="M19" s="81"/>
      <c r="N19" s="23"/>
      <c r="O19" s="81"/>
      <c r="P19" s="81"/>
      <c r="Q19" s="24"/>
      <c r="R19" s="110"/>
      <c r="S19" s="114"/>
      <c r="T19" s="115"/>
      <c r="U19" s="116"/>
      <c r="V19" s="99"/>
      <c r="W19" s="100"/>
      <c r="X19" s="83"/>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row>
    <row r="20" spans="2:274" ht="20.25" customHeight="1" x14ac:dyDescent="0.25">
      <c r="B20" s="243" t="s">
        <v>236</v>
      </c>
      <c r="C20" t="s">
        <v>240</v>
      </c>
      <c r="D20" s="15" t="s">
        <v>226</v>
      </c>
      <c r="E20" s="15" t="s">
        <v>227</v>
      </c>
      <c r="F20" s="21"/>
      <c r="G20" s="86"/>
      <c r="H20" s="87"/>
      <c r="I20" s="88"/>
      <c r="J20" s="89"/>
      <c r="K20" s="91"/>
      <c r="L20" s="22"/>
      <c r="M20" s="81"/>
      <c r="N20" s="23"/>
      <c r="O20" s="81"/>
      <c r="P20" s="81"/>
      <c r="Q20" s="24"/>
      <c r="R20" s="110"/>
      <c r="S20" s="114"/>
      <c r="T20" s="115"/>
      <c r="U20" s="116"/>
      <c r="V20" s="99"/>
      <c r="W20" s="100"/>
      <c r="X20" s="83"/>
      <c r="Y20" s="25"/>
      <c r="Z20" s="25"/>
      <c r="AA20" s="25"/>
      <c r="AB20" s="25"/>
      <c r="AC20" s="25"/>
      <c r="AD20" s="25"/>
      <c r="AE20" s="25"/>
      <c r="AF20" s="25"/>
      <c r="AG20" s="25"/>
      <c r="AH20" s="25"/>
      <c r="AI20" s="25"/>
      <c r="AJ20" s="25"/>
      <c r="AK20" s="25"/>
      <c r="AL20" s="25"/>
      <c r="AM20" s="25"/>
      <c r="AN20" s="25"/>
      <c r="AO20" s="25"/>
      <c r="AP20" s="25"/>
      <c r="AQ20" s="25"/>
      <c r="AR20" s="25"/>
      <c r="AS20" s="25">
        <v>0.5</v>
      </c>
      <c r="AT20" s="25">
        <v>0.5</v>
      </c>
      <c r="AU20" s="25">
        <v>0.5</v>
      </c>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row>
    <row r="21" spans="2:274" ht="20.25" customHeight="1" x14ac:dyDescent="0.25">
      <c r="B21" s="243" t="s">
        <v>236</v>
      </c>
      <c r="C21" t="s">
        <v>240</v>
      </c>
      <c r="D21" s="15" t="s">
        <v>228</v>
      </c>
      <c r="E21" s="15" t="s">
        <v>229</v>
      </c>
      <c r="F21" s="21"/>
      <c r="G21" s="86"/>
      <c r="H21" s="87"/>
      <c r="I21" s="88"/>
      <c r="J21" s="89"/>
      <c r="K21" s="91"/>
      <c r="L21" s="22"/>
      <c r="M21" s="81"/>
      <c r="N21" s="23"/>
      <c r="O21" s="81"/>
      <c r="P21" s="81"/>
      <c r="Q21" s="24"/>
      <c r="R21" s="110"/>
      <c r="S21" s="114"/>
      <c r="T21" s="115"/>
      <c r="U21" s="116"/>
      <c r="V21" s="99"/>
      <c r="W21" s="100"/>
      <c r="X21" s="83"/>
      <c r="Y21" s="25"/>
      <c r="Z21" s="25"/>
      <c r="AA21" s="25"/>
      <c r="AB21" s="25"/>
      <c r="AC21" s="25"/>
      <c r="AD21" s="25"/>
      <c r="AE21" s="25"/>
      <c r="AF21" s="25"/>
      <c r="AG21" s="25"/>
      <c r="AH21" s="25"/>
      <c r="AI21" s="25"/>
      <c r="AJ21" s="25"/>
      <c r="AK21" s="25"/>
      <c r="AL21" s="25"/>
      <c r="AM21" s="25"/>
      <c r="AN21" s="25"/>
      <c r="AO21" s="25"/>
      <c r="AP21" s="25"/>
      <c r="AQ21" s="25"/>
      <c r="AR21" s="25"/>
      <c r="AS21" s="25">
        <v>0.5</v>
      </c>
      <c r="AT21" s="25">
        <v>0.5</v>
      </c>
      <c r="AU21" s="25">
        <v>0.5</v>
      </c>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row>
    <row r="22" spans="2:274" ht="20.25" customHeight="1" x14ac:dyDescent="0.25">
      <c r="B22" s="243" t="s">
        <v>236</v>
      </c>
      <c r="C22" t="s">
        <v>240</v>
      </c>
      <c r="D22" s="15" t="s">
        <v>232</v>
      </c>
      <c r="E22" s="15" t="s">
        <v>233</v>
      </c>
      <c r="F22" s="21"/>
      <c r="G22" s="86"/>
      <c r="H22" s="87"/>
      <c r="I22" s="88"/>
      <c r="J22" s="89"/>
      <c r="K22" s="91"/>
      <c r="L22" s="22"/>
      <c r="M22" s="81"/>
      <c r="N22" s="23"/>
      <c r="O22" s="81"/>
      <c r="P22" s="81"/>
      <c r="Q22" s="24"/>
      <c r="R22" s="110"/>
      <c r="S22" s="114"/>
      <c r="T22" s="115"/>
      <c r="U22" s="116"/>
      <c r="V22" s="99"/>
      <c r="W22" s="100"/>
      <c r="X22" s="83"/>
      <c r="Y22" s="25"/>
      <c r="Z22" s="25"/>
      <c r="AA22" s="25"/>
      <c r="AB22" s="25"/>
      <c r="AC22" s="25"/>
      <c r="AD22" s="25"/>
      <c r="AE22" s="25"/>
      <c r="AF22" s="25"/>
      <c r="AG22" s="25"/>
      <c r="AH22" s="25"/>
      <c r="AI22" s="25"/>
      <c r="AJ22" s="25"/>
      <c r="AK22" s="25"/>
      <c r="AL22" s="25"/>
      <c r="AM22" s="25"/>
      <c r="AN22" s="25"/>
      <c r="AO22" s="25"/>
      <c r="AP22" s="25"/>
      <c r="AQ22" s="25"/>
      <c r="AR22" s="25"/>
      <c r="AS22" s="25">
        <v>0.25</v>
      </c>
      <c r="AT22" s="25">
        <v>0.25</v>
      </c>
      <c r="AU22" s="25">
        <v>0.25</v>
      </c>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row>
    <row r="23" spans="2:274" ht="20.25" customHeight="1" x14ac:dyDescent="0.25">
      <c r="B23" s="243"/>
      <c r="C23" t="s">
        <v>240</v>
      </c>
      <c r="D23" s="15" t="s">
        <v>238</v>
      </c>
      <c r="E23" s="15" t="s">
        <v>229</v>
      </c>
      <c r="F23" s="21"/>
      <c r="G23" s="86"/>
      <c r="H23" s="87"/>
      <c r="I23" s="88"/>
      <c r="J23" s="89"/>
      <c r="K23" s="91"/>
      <c r="L23" s="22"/>
      <c r="M23" s="81"/>
      <c r="N23" s="23"/>
      <c r="O23" s="81"/>
      <c r="P23" s="81"/>
      <c r="Q23" s="24"/>
      <c r="R23" s="110"/>
      <c r="S23" s="114"/>
      <c r="T23" s="115"/>
      <c r="U23" s="116"/>
      <c r="V23" s="99"/>
      <c r="W23" s="100"/>
      <c r="X23" s="83"/>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row>
    <row r="24" spans="2:274" ht="20.25" customHeight="1" x14ac:dyDescent="0.25">
      <c r="B24" s="243" t="s">
        <v>236</v>
      </c>
      <c r="C24"/>
      <c r="F24" s="21"/>
      <c r="G24" s="86"/>
      <c r="H24" s="87"/>
      <c r="I24" s="88"/>
      <c r="J24" s="89"/>
      <c r="K24" s="91"/>
      <c r="L24" s="22"/>
      <c r="M24" s="81"/>
      <c r="N24" s="23"/>
      <c r="O24" s="81"/>
      <c r="P24" s="81"/>
      <c r="Q24" s="24"/>
      <c r="R24" s="110"/>
      <c r="S24" s="114"/>
      <c r="T24" s="115"/>
      <c r="U24" s="116"/>
      <c r="V24" s="99"/>
      <c r="W24" s="100"/>
      <c r="X24" s="83"/>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row>
    <row r="25" spans="2:274" ht="20.25" customHeight="1" x14ac:dyDescent="0.25">
      <c r="B25" s="243" t="s">
        <v>236</v>
      </c>
      <c r="C25" t="s">
        <v>241</v>
      </c>
      <c r="D25" s="15" t="s">
        <v>226</v>
      </c>
      <c r="E25" s="15" t="s">
        <v>227</v>
      </c>
      <c r="F25" s="21"/>
      <c r="G25" s="86"/>
      <c r="H25" s="87"/>
      <c r="I25" s="88"/>
      <c r="J25" s="89"/>
      <c r="K25" s="91"/>
      <c r="L25" s="22"/>
      <c r="M25" s="81"/>
      <c r="N25" s="23"/>
      <c r="O25" s="81"/>
      <c r="P25" s="81"/>
      <c r="Q25" s="24"/>
      <c r="R25" s="110"/>
      <c r="S25" s="114"/>
      <c r="T25" s="115"/>
      <c r="U25" s="116"/>
      <c r="V25" s="99"/>
      <c r="W25" s="100"/>
      <c r="X25" s="83"/>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v>0.5</v>
      </c>
      <c r="AW25" s="25">
        <v>0.5</v>
      </c>
      <c r="AX25" s="25">
        <v>0.5</v>
      </c>
      <c r="AY25" s="25">
        <v>0.5</v>
      </c>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row>
    <row r="26" spans="2:274" ht="20.25" customHeight="1" x14ac:dyDescent="0.25">
      <c r="B26" s="243" t="s">
        <v>236</v>
      </c>
      <c r="C26" t="s">
        <v>241</v>
      </c>
      <c r="D26" s="15" t="s">
        <v>232</v>
      </c>
      <c r="E26" s="15" t="s">
        <v>233</v>
      </c>
      <c r="F26" s="21"/>
      <c r="G26" s="86"/>
      <c r="H26" s="87"/>
      <c r="I26" s="88"/>
      <c r="J26" s="89"/>
      <c r="K26" s="91"/>
      <c r="L26" s="22"/>
      <c r="M26" s="81"/>
      <c r="N26" s="23"/>
      <c r="O26" s="81"/>
      <c r="P26" s="81"/>
      <c r="Q26" s="24"/>
      <c r="R26" s="110"/>
      <c r="S26" s="114"/>
      <c r="T26" s="115"/>
      <c r="U26" s="116"/>
      <c r="V26" s="99"/>
      <c r="W26" s="100"/>
      <c r="X26" s="83"/>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v>0.5</v>
      </c>
      <c r="AW26" s="25">
        <v>0.5</v>
      </c>
      <c r="AX26" s="25">
        <v>0.5</v>
      </c>
      <c r="AY26" s="25">
        <v>0.5</v>
      </c>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row>
    <row r="27" spans="2:274" ht="20.25" customHeight="1" x14ac:dyDescent="0.25">
      <c r="B27" s="243" t="s">
        <v>236</v>
      </c>
      <c r="C27" t="s">
        <v>241</v>
      </c>
      <c r="D27" s="15" t="s">
        <v>232</v>
      </c>
      <c r="E27" s="15" t="s">
        <v>227</v>
      </c>
      <c r="F27" s="21"/>
      <c r="G27" s="86"/>
      <c r="H27" s="87"/>
      <c r="I27" s="88"/>
      <c r="J27" s="89"/>
      <c r="K27" s="91"/>
      <c r="L27" s="22"/>
      <c r="M27" s="81"/>
      <c r="N27" s="23"/>
      <c r="O27" s="81"/>
      <c r="P27" s="81"/>
      <c r="Q27" s="24"/>
      <c r="R27" s="110"/>
      <c r="S27" s="114"/>
      <c r="T27" s="115"/>
      <c r="U27" s="116"/>
      <c r="V27" s="99"/>
      <c r="W27" s="100"/>
      <c r="X27" s="83"/>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v>0.5</v>
      </c>
      <c r="AW27" s="25">
        <v>0.5</v>
      </c>
      <c r="AX27" s="25">
        <v>0.5</v>
      </c>
      <c r="AY27" s="25">
        <v>0.5</v>
      </c>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row>
    <row r="28" spans="2:274" ht="20.25" customHeight="1" x14ac:dyDescent="0.25">
      <c r="B28" s="243" t="s">
        <v>236</v>
      </c>
      <c r="C28" t="s">
        <v>241</v>
      </c>
      <c r="D28" s="15" t="s">
        <v>239</v>
      </c>
      <c r="E28" s="15" t="s">
        <v>227</v>
      </c>
      <c r="F28" s="21"/>
      <c r="G28" s="86"/>
      <c r="H28" s="87"/>
      <c r="I28" s="88"/>
      <c r="J28" s="89"/>
      <c r="K28" s="91"/>
      <c r="L28" s="22"/>
      <c r="M28" s="81"/>
      <c r="N28" s="23"/>
      <c r="O28" s="81"/>
      <c r="P28" s="81"/>
      <c r="Q28" s="24"/>
      <c r="R28" s="110"/>
      <c r="S28" s="114"/>
      <c r="T28" s="115"/>
      <c r="U28" s="116"/>
      <c r="V28" s="99"/>
      <c r="W28" s="100"/>
      <c r="X28" s="83"/>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v>0.5</v>
      </c>
      <c r="AW28" s="25">
        <v>0.5</v>
      </c>
      <c r="AX28" s="25">
        <v>0.5</v>
      </c>
      <c r="AY28" s="25">
        <v>0.5</v>
      </c>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row>
    <row r="29" spans="2:274" ht="20.25" customHeight="1" x14ac:dyDescent="0.25">
      <c r="B29" s="243" t="s">
        <v>236</v>
      </c>
      <c r="C29"/>
      <c r="F29" s="21"/>
      <c r="G29" s="86"/>
      <c r="H29" s="87"/>
      <c r="I29" s="88"/>
      <c r="J29" s="89"/>
      <c r="K29" s="91"/>
      <c r="L29" s="22"/>
      <c r="M29" s="81"/>
      <c r="N29" s="23"/>
      <c r="O29" s="81"/>
      <c r="P29" s="81"/>
      <c r="Q29" s="24"/>
      <c r="R29" s="110"/>
      <c r="S29" s="114"/>
      <c r="T29" s="115"/>
      <c r="U29" s="116"/>
      <c r="V29" s="99"/>
      <c r="W29" s="100"/>
      <c r="X29" s="83"/>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row>
    <row r="30" spans="2:274" ht="20.25" customHeight="1" x14ac:dyDescent="0.25">
      <c r="B30" s="243" t="s">
        <v>236</v>
      </c>
      <c r="C30" t="s">
        <v>242</v>
      </c>
      <c r="D30" s="15" t="s">
        <v>226</v>
      </c>
      <c r="E30" s="15" t="s">
        <v>227</v>
      </c>
      <c r="F30" s="21"/>
      <c r="G30" s="86"/>
      <c r="H30" s="87"/>
      <c r="I30" s="88"/>
      <c r="J30" s="89"/>
      <c r="K30" s="91"/>
      <c r="L30" s="22"/>
      <c r="M30" s="81"/>
      <c r="N30" s="23"/>
      <c r="O30" s="81"/>
      <c r="P30" s="81"/>
      <c r="Q30" s="24"/>
      <c r="R30" s="110"/>
      <c r="S30" s="114"/>
      <c r="T30" s="115"/>
      <c r="U30" s="116"/>
      <c r="V30" s="99"/>
      <c r="W30" s="100"/>
      <c r="X30" s="83"/>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v>0.5</v>
      </c>
      <c r="BA30" s="25">
        <v>0.5</v>
      </c>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row>
    <row r="31" spans="2:274" ht="20.25" customHeight="1" x14ac:dyDescent="0.25">
      <c r="B31" s="243" t="s">
        <v>236</v>
      </c>
      <c r="C31" t="s">
        <v>242</v>
      </c>
      <c r="D31" s="15" t="s">
        <v>232</v>
      </c>
      <c r="E31" s="15" t="s">
        <v>233</v>
      </c>
      <c r="F31" s="21"/>
      <c r="G31" s="86"/>
      <c r="H31" s="87"/>
      <c r="I31" s="88"/>
      <c r="J31" s="89"/>
      <c r="K31" s="91"/>
      <c r="L31" s="22"/>
      <c r="M31" s="81"/>
      <c r="N31" s="23"/>
      <c r="O31" s="81"/>
      <c r="P31" s="81"/>
      <c r="Q31" s="24"/>
      <c r="R31" s="110"/>
      <c r="S31" s="114"/>
      <c r="T31" s="115"/>
      <c r="U31" s="116"/>
      <c r="V31" s="99"/>
      <c r="W31" s="100"/>
      <c r="X31" s="83"/>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v>0.5</v>
      </c>
      <c r="BA31" s="25">
        <v>0.5</v>
      </c>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row>
    <row r="32" spans="2:274" ht="20.25" customHeight="1" x14ac:dyDescent="0.25">
      <c r="B32" s="243" t="s">
        <v>236</v>
      </c>
      <c r="C32" t="s">
        <v>242</v>
      </c>
      <c r="D32" s="15" t="s">
        <v>232</v>
      </c>
      <c r="E32" s="15" t="s">
        <v>227</v>
      </c>
      <c r="F32" s="21"/>
      <c r="G32" s="86"/>
      <c r="H32" s="87"/>
      <c r="I32" s="88"/>
      <c r="J32" s="89"/>
      <c r="K32" s="91"/>
      <c r="L32" s="22"/>
      <c r="M32" s="81"/>
      <c r="N32" s="23"/>
      <c r="O32" s="81"/>
      <c r="P32" s="81"/>
      <c r="Q32" s="24"/>
      <c r="R32" s="110"/>
      <c r="S32" s="114"/>
      <c r="T32" s="115"/>
      <c r="U32" s="116"/>
      <c r="V32" s="99"/>
      <c r="W32" s="100"/>
      <c r="X32" s="83"/>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v>0.5</v>
      </c>
      <c r="BA32" s="25">
        <v>0.5</v>
      </c>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c r="IY32" s="25"/>
      <c r="IZ32" s="25"/>
      <c r="JA32" s="25"/>
      <c r="JB32" s="25"/>
      <c r="JC32" s="25"/>
      <c r="JD32" s="25"/>
      <c r="JE32" s="25"/>
      <c r="JF32" s="25"/>
      <c r="JG32" s="25"/>
      <c r="JH32" s="25"/>
      <c r="JI32" s="25"/>
      <c r="JJ32" s="25"/>
      <c r="JK32" s="25"/>
      <c r="JL32" s="25"/>
      <c r="JM32" s="25"/>
      <c r="JN32" s="25"/>
    </row>
    <row r="33" spans="2:274" ht="20.25" customHeight="1" x14ac:dyDescent="0.25">
      <c r="B33" s="243" t="s">
        <v>236</v>
      </c>
      <c r="C33" t="s">
        <v>242</v>
      </c>
      <c r="D33" s="15" t="s">
        <v>239</v>
      </c>
      <c r="E33" s="15" t="s">
        <v>227</v>
      </c>
      <c r="F33" s="21"/>
      <c r="G33" s="86"/>
      <c r="H33" s="87"/>
      <c r="I33" s="88"/>
      <c r="J33" s="89"/>
      <c r="K33" s="91"/>
      <c r="L33" s="22"/>
      <c r="M33" s="81"/>
      <c r="N33" s="23"/>
      <c r="O33" s="81"/>
      <c r="P33" s="81"/>
      <c r="Q33" s="24"/>
      <c r="R33" s="110"/>
      <c r="S33" s="114"/>
      <c r="T33" s="115"/>
      <c r="U33" s="116"/>
      <c r="V33" s="99"/>
      <c r="W33" s="100"/>
      <c r="X33" s="83"/>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v>0.5</v>
      </c>
      <c r="BA33" s="25">
        <v>0.5</v>
      </c>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c r="IV33" s="25"/>
      <c r="IW33" s="25"/>
      <c r="IX33" s="25"/>
      <c r="IY33" s="25"/>
      <c r="IZ33" s="25"/>
      <c r="JA33" s="25"/>
      <c r="JB33" s="25"/>
      <c r="JC33" s="25"/>
      <c r="JD33" s="25"/>
      <c r="JE33" s="25"/>
      <c r="JF33" s="25"/>
      <c r="JG33" s="25"/>
      <c r="JH33" s="25"/>
      <c r="JI33" s="25"/>
      <c r="JJ33" s="25"/>
      <c r="JK33" s="25"/>
      <c r="JL33" s="25"/>
      <c r="JM33" s="25"/>
      <c r="JN33" s="25"/>
    </row>
    <row r="34" spans="2:274" ht="20.25" customHeight="1" x14ac:dyDescent="0.25">
      <c r="B34" s="243"/>
      <c r="C34"/>
      <c r="F34" s="21"/>
      <c r="G34" s="86"/>
      <c r="H34" s="87"/>
      <c r="I34" s="88"/>
      <c r="J34" s="89"/>
      <c r="K34" s="91"/>
      <c r="L34" s="22"/>
      <c r="M34" s="81"/>
      <c r="N34" s="23"/>
      <c r="O34" s="81"/>
      <c r="P34" s="81"/>
      <c r="Q34" s="24"/>
      <c r="R34" s="110"/>
      <c r="S34" s="114"/>
      <c r="T34" s="115"/>
      <c r="U34" s="116"/>
      <c r="V34" s="99"/>
      <c r="W34" s="100"/>
      <c r="X34" s="83"/>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row>
    <row r="35" spans="2:274" ht="20.25" customHeight="1" x14ac:dyDescent="0.25">
      <c r="B35" s="243" t="s">
        <v>236</v>
      </c>
      <c r="C35" s="1" t="s">
        <v>243</v>
      </c>
      <c r="D35" s="15" t="s">
        <v>226</v>
      </c>
      <c r="E35" s="15" t="s">
        <v>227</v>
      </c>
      <c r="F35" s="21"/>
      <c r="G35" s="86" cm="1">
        <f t="array" aca="1" ref="G35" ca="1">IFERROR(INDEX(Panel_Rates[[1]:[12]],MATCH(Panel_New&amp;Category_New,Panel_Rates[Panel]&amp;Panel_Rates[Category],0),MATCH('Time Plan HY'!E35,OFFSET(Variable!$AF$2,MATCH(Panel_New&amp;Category_New,Panel_Rates[Panel]&amp;Panel_Rates[Category],0)-1,0,1,12),0))/8,"")</f>
        <v>275</v>
      </c>
      <c r="H35" s="87"/>
      <c r="I35" s="88">
        <f t="shared" ca="1" si="21"/>
        <v>275</v>
      </c>
      <c r="J35" s="89">
        <f t="shared" ca="1" si="22"/>
        <v>2200</v>
      </c>
      <c r="K35" s="91" t="str">
        <f>IFERROR(_xlfn.XLOOKUP(D35,CostTableLookup[Name],CostTableLookup[Gross Cost]),"")</f>
        <v/>
      </c>
      <c r="L35" s="22"/>
      <c r="M35" s="81">
        <f t="shared" ca="1" si="25"/>
        <v>0</v>
      </c>
      <c r="N35" s="23"/>
      <c r="O35" s="81">
        <f t="shared" ca="1" si="26"/>
        <v>0</v>
      </c>
      <c r="P35" s="81">
        <f t="shared" ca="1" si="23"/>
        <v>0</v>
      </c>
      <c r="Q35" s="24" t="str">
        <f t="shared" si="24"/>
        <v/>
      </c>
      <c r="R35" s="110" t="str">
        <f t="shared" ca="1" si="27"/>
        <v/>
      </c>
      <c r="S35" s="114">
        <f t="shared" ref="S35" ca="1" si="42">IFERROR(SUM(OFFSET(Y35,0,MATCH(Forecast_New,$Y$3:$WQ$3,0)-1,1,500))*40,"")</f>
        <v>40</v>
      </c>
      <c r="T35" s="115">
        <f t="shared" ca="1" si="29"/>
        <v>5</v>
      </c>
      <c r="U35" s="116">
        <f t="shared" ca="1" si="30"/>
        <v>11000</v>
      </c>
      <c r="V35" s="99" t="str">
        <f t="shared" ca="1" si="31"/>
        <v/>
      </c>
      <c r="W35" s="100">
        <f t="shared" ca="1" si="32"/>
        <v>-11000</v>
      </c>
      <c r="X35" s="83" t="str">
        <f t="shared" ca="1" si="33"/>
        <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1"/>
      <c r="BB35" s="251">
        <v>0.25</v>
      </c>
      <c r="BC35" s="251">
        <v>0.25</v>
      </c>
      <c r="BD35" s="251">
        <v>0.25</v>
      </c>
      <c r="BE35" s="251">
        <v>0.25</v>
      </c>
      <c r="BF35" s="251"/>
      <c r="BG35" s="251"/>
      <c r="BH35" s="251"/>
      <c r="BI35" s="251"/>
      <c r="BJ35" s="251"/>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row>
    <row r="36" spans="2:274" ht="20.25" customHeight="1" x14ac:dyDescent="0.25">
      <c r="B36" s="243" t="s">
        <v>236</v>
      </c>
      <c r="C36" s="1" t="s">
        <v>244</v>
      </c>
      <c r="D36" s="15" t="s">
        <v>232</v>
      </c>
      <c r="E36" s="15" t="s">
        <v>233</v>
      </c>
      <c r="F36" s="21"/>
      <c r="G36" s="86" cm="1">
        <f t="array" aca="1" ref="G36" ca="1">IFERROR(INDEX(Panel_Rates[[1]:[12]],MATCH(Panel_New&amp;Category_New,Panel_Rates[Panel]&amp;Panel_Rates[Category],0),MATCH('Time Plan HY'!E36,OFFSET(Variable!$AF$2,MATCH(Panel_New&amp;Category_New,Panel_Rates[Panel]&amp;Panel_Rates[Category],0)-1,0,1,12),0))/8,"")</f>
        <v>165</v>
      </c>
      <c r="H36" s="87"/>
      <c r="I36" s="88">
        <f t="shared" ca="1" si="21"/>
        <v>165</v>
      </c>
      <c r="J36" s="89">
        <f t="shared" ca="1" si="22"/>
        <v>1320</v>
      </c>
      <c r="K36" s="91" t="str">
        <f>IFERROR(_xlfn.XLOOKUP(D36,CostTableLookup[Name],CostTableLookup[Gross Cost]),"")</f>
        <v/>
      </c>
      <c r="L36" s="22"/>
      <c r="M36" s="81">
        <f t="shared" ca="1" si="25"/>
        <v>0</v>
      </c>
      <c r="N36" s="23"/>
      <c r="O36" s="81">
        <f t="shared" ca="1" si="26"/>
        <v>0</v>
      </c>
      <c r="P36" s="81">
        <f t="shared" ca="1" si="23"/>
        <v>0</v>
      </c>
      <c r="Q36" s="24" t="str">
        <f t="shared" si="24"/>
        <v/>
      </c>
      <c r="R36" s="110" t="str">
        <f t="shared" ca="1" si="27"/>
        <v/>
      </c>
      <c r="S36" s="114">
        <f t="shared" ref="S36" ca="1" si="43">IFERROR(SUM(OFFSET(Y36,0,MATCH(Forecast_New,$Y$3:$WQ$3,0)-1,1,500))*40,"")</f>
        <v>80</v>
      </c>
      <c r="T36" s="115">
        <f t="shared" ca="1" si="29"/>
        <v>10</v>
      </c>
      <c r="U36" s="116">
        <f t="shared" ca="1" si="30"/>
        <v>13200</v>
      </c>
      <c r="V36" s="99" t="str">
        <f t="shared" ca="1" si="31"/>
        <v/>
      </c>
      <c r="W36" s="100">
        <f t="shared" ca="1" si="32"/>
        <v>-13200</v>
      </c>
      <c r="X36" s="83" t="str">
        <f t="shared" ca="1" si="33"/>
        <v/>
      </c>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1"/>
      <c r="BB36" s="251">
        <v>0.5</v>
      </c>
      <c r="BC36" s="251">
        <v>0.5</v>
      </c>
      <c r="BD36" s="251">
        <v>0.5</v>
      </c>
      <c r="BE36" s="251">
        <v>0.5</v>
      </c>
      <c r="BF36" s="251"/>
      <c r="BG36" s="251"/>
      <c r="BH36" s="251"/>
      <c r="BI36" s="251"/>
      <c r="BJ36" s="251"/>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row>
    <row r="37" spans="2:274" ht="20.25" customHeight="1" x14ac:dyDescent="0.25">
      <c r="B37" s="243" t="s">
        <v>236</v>
      </c>
      <c r="C37" s="1" t="s">
        <v>245</v>
      </c>
      <c r="D37" s="15" t="s">
        <v>239</v>
      </c>
      <c r="E37" s="15" t="s">
        <v>227</v>
      </c>
      <c r="F37" s="21"/>
      <c r="G37" s="86" cm="1">
        <f t="array" aca="1" ref="G37" ca="1">IFERROR(INDEX(Panel_Rates[[1]:[12]],MATCH(Panel_New&amp;Category_New,Panel_Rates[Panel]&amp;Panel_Rates[Category],0),MATCH('Time Plan HY'!E37,OFFSET(Variable!$AF$2,MATCH(Panel_New&amp;Category_New,Panel_Rates[Panel]&amp;Panel_Rates[Category],0)-1,0,1,12),0))/8,"")</f>
        <v>275</v>
      </c>
      <c r="H37" s="87"/>
      <c r="I37" s="88">
        <f t="shared" ca="1" si="21"/>
        <v>275</v>
      </c>
      <c r="J37" s="89">
        <f t="shared" ca="1" si="22"/>
        <v>2200</v>
      </c>
      <c r="K37" s="91" t="str">
        <f>IFERROR(_xlfn.XLOOKUP(D37,CostTableLookup[Name],CostTableLookup[Gross Cost]),"")</f>
        <v/>
      </c>
      <c r="L37" s="22"/>
      <c r="M37" s="81">
        <f t="shared" ca="1" si="25"/>
        <v>0</v>
      </c>
      <c r="N37" s="23"/>
      <c r="O37" s="81">
        <f t="shared" ca="1" si="26"/>
        <v>0</v>
      </c>
      <c r="P37" s="81">
        <f t="shared" ca="1" si="23"/>
        <v>0</v>
      </c>
      <c r="Q37" s="24" t="str">
        <f t="shared" si="24"/>
        <v/>
      </c>
      <c r="R37" s="110" t="str">
        <f t="shared" ca="1" si="27"/>
        <v/>
      </c>
      <c r="S37" s="114">
        <f t="shared" ref="S37" ca="1" si="44">IFERROR(SUM(OFFSET(Y37,0,MATCH(Forecast_New,$Y$3:$WQ$3,0)-1,1,500))*40,"")</f>
        <v>40</v>
      </c>
      <c r="T37" s="115">
        <f t="shared" ca="1" si="29"/>
        <v>5</v>
      </c>
      <c r="U37" s="116">
        <f t="shared" ca="1" si="30"/>
        <v>11000</v>
      </c>
      <c r="V37" s="99" t="str">
        <f t="shared" ca="1" si="31"/>
        <v/>
      </c>
      <c r="W37" s="100">
        <f t="shared" ca="1" si="32"/>
        <v>-11000</v>
      </c>
      <c r="X37" s="83" t="str">
        <f t="shared" ca="1" si="33"/>
        <v/>
      </c>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1"/>
      <c r="BB37" s="251">
        <v>0.25</v>
      </c>
      <c r="BC37" s="251">
        <v>0.25</v>
      </c>
      <c r="BD37" s="251">
        <v>0.25</v>
      </c>
      <c r="BE37" s="251">
        <v>0.25</v>
      </c>
      <c r="BF37" s="251"/>
      <c r="BG37" s="251"/>
      <c r="BH37" s="251"/>
      <c r="BI37" s="251"/>
      <c r="BJ37" s="251"/>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c r="IS37" s="25"/>
      <c r="IT37" s="25"/>
      <c r="IU37" s="25"/>
      <c r="IV37" s="25"/>
      <c r="IW37" s="25"/>
      <c r="IX37" s="25"/>
      <c r="IY37" s="25"/>
      <c r="IZ37" s="25"/>
      <c r="JA37" s="25"/>
      <c r="JB37" s="25"/>
      <c r="JC37" s="25"/>
      <c r="JD37" s="25"/>
      <c r="JE37" s="25"/>
      <c r="JF37" s="25"/>
      <c r="JG37" s="25"/>
      <c r="JH37" s="25"/>
      <c r="JI37" s="25"/>
      <c r="JJ37" s="25"/>
      <c r="JK37" s="25"/>
      <c r="JL37" s="25"/>
      <c r="JM37" s="25"/>
      <c r="JN37" s="25"/>
    </row>
    <row r="38" spans="2:274" ht="20.25" customHeight="1" x14ac:dyDescent="0.25">
      <c r="B38" s="243" t="s">
        <v>236</v>
      </c>
      <c r="C38" s="1"/>
      <c r="F38" s="21"/>
      <c r="G38" s="86"/>
      <c r="H38" s="87"/>
      <c r="I38" s="88"/>
      <c r="J38" s="89"/>
      <c r="K38" s="91"/>
      <c r="L38" s="22"/>
      <c r="M38" s="81"/>
      <c r="N38" s="23"/>
      <c r="O38" s="81"/>
      <c r="P38" s="81"/>
      <c r="Q38" s="24"/>
      <c r="R38" s="110"/>
      <c r="S38" s="114"/>
      <c r="T38" s="115"/>
      <c r="U38" s="116"/>
      <c r="V38" s="99"/>
      <c r="W38" s="100"/>
      <c r="X38" s="83"/>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1"/>
      <c r="BB38" s="251"/>
      <c r="BC38" s="251"/>
      <c r="BD38" s="251"/>
      <c r="BE38" s="251"/>
      <c r="BF38" s="251"/>
      <c r="BG38" s="251"/>
      <c r="BH38" s="251"/>
      <c r="BI38" s="251"/>
      <c r="BJ38" s="251"/>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row>
    <row r="39" spans="2:274" ht="20.25" customHeight="1" x14ac:dyDescent="0.25">
      <c r="B39" s="244" t="s">
        <v>246</v>
      </c>
      <c r="C39" t="s">
        <v>247</v>
      </c>
      <c r="D39" s="15" t="s">
        <v>226</v>
      </c>
      <c r="E39" s="15" t="s">
        <v>227</v>
      </c>
      <c r="F39" s="21"/>
      <c r="G39" s="86" cm="1">
        <f t="array" aca="1" ref="G39" ca="1">IFERROR(INDEX(Panel_Rates[[1]:[12]],MATCH(Panel_New&amp;Category_New,Panel_Rates[Panel]&amp;Panel_Rates[Category],0),MATCH('Time Plan HY'!E39,OFFSET(Variable!$AF$2,MATCH(Panel_New&amp;Category_New,Panel_Rates[Panel]&amp;Panel_Rates[Category],0)-1,0,1,12),0))/8,"")</f>
        <v>275</v>
      </c>
      <c r="H39" s="87"/>
      <c r="I39" s="88">
        <f t="shared" ca="1" si="21"/>
        <v>275</v>
      </c>
      <c r="J39" s="89">
        <f t="shared" ca="1" si="22"/>
        <v>2200</v>
      </c>
      <c r="K39" s="91" t="str">
        <f>IFERROR(_xlfn.XLOOKUP(D39,CostTableLookup[Name],CostTableLookup[Gross Cost]),"")</f>
        <v/>
      </c>
      <c r="L39" s="22"/>
      <c r="M39" s="81">
        <f t="shared" ca="1" si="25"/>
        <v>0</v>
      </c>
      <c r="N39" s="23"/>
      <c r="O39" s="81">
        <f t="shared" ca="1" si="26"/>
        <v>0</v>
      </c>
      <c r="P39" s="81">
        <f t="shared" ca="1" si="23"/>
        <v>0</v>
      </c>
      <c r="Q39" s="24" t="str">
        <f t="shared" si="24"/>
        <v/>
      </c>
      <c r="R39" s="110" t="str">
        <f t="shared" ca="1" si="27"/>
        <v/>
      </c>
      <c r="S39" s="114">
        <f t="shared" ref="S39" ca="1" si="45">IFERROR(SUM(OFFSET(Y39,0,MATCH(Forecast_New,$Y$3:$WQ$3,0)-1,1,500))*40,"")</f>
        <v>12</v>
      </c>
      <c r="T39" s="115">
        <f t="shared" ca="1" si="29"/>
        <v>1.5</v>
      </c>
      <c r="U39" s="116">
        <f t="shared" ca="1" si="30"/>
        <v>3300</v>
      </c>
      <c r="V39" s="99" t="str">
        <f t="shared" ca="1" si="31"/>
        <v/>
      </c>
      <c r="W39" s="100">
        <f t="shared" ca="1" si="32"/>
        <v>-3300</v>
      </c>
      <c r="X39" s="83" t="str">
        <f t="shared" ca="1" si="33"/>
        <v/>
      </c>
      <c r="Y39" s="25"/>
      <c r="Z39" s="25"/>
      <c r="AA39" s="25"/>
      <c r="AB39" s="25">
        <v>0.3</v>
      </c>
      <c r="AC39" s="25"/>
      <c r="AD39" s="25"/>
      <c r="AE39" s="25"/>
      <c r="AF39" s="25"/>
      <c r="AG39" s="25"/>
      <c r="AH39" s="25"/>
      <c r="AI39" s="25"/>
      <c r="AJ39" s="25"/>
      <c r="AK39" s="25"/>
      <c r="AL39" s="25"/>
      <c r="AM39" s="25"/>
      <c r="AN39" s="25"/>
      <c r="AO39" s="25"/>
      <c r="AP39" s="251"/>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row>
    <row r="40" spans="2:274" ht="20.25" customHeight="1" x14ac:dyDescent="0.25">
      <c r="B40" s="244" t="s">
        <v>246</v>
      </c>
      <c r="C40" t="s">
        <v>247</v>
      </c>
      <c r="D40" s="15" t="s">
        <v>228</v>
      </c>
      <c r="E40" s="15" t="s">
        <v>229</v>
      </c>
      <c r="F40" s="21"/>
      <c r="G40" s="86"/>
      <c r="H40" s="87"/>
      <c r="I40" s="88"/>
      <c r="J40" s="89"/>
      <c r="K40" s="91"/>
      <c r="L40" s="22"/>
      <c r="M40" s="81"/>
      <c r="N40" s="23"/>
      <c r="O40" s="81"/>
      <c r="P40" s="81"/>
      <c r="Q40" s="24"/>
      <c r="R40" s="110"/>
      <c r="S40" s="114"/>
      <c r="T40" s="115"/>
      <c r="U40" s="116"/>
      <c r="V40" s="99"/>
      <c r="W40" s="100"/>
      <c r="X40" s="83"/>
      <c r="Y40" s="25"/>
      <c r="Z40" s="25"/>
      <c r="AA40" s="25"/>
      <c r="AB40" s="25">
        <v>0.5</v>
      </c>
      <c r="AC40" s="25"/>
      <c r="AD40" s="25"/>
      <c r="AE40" s="25"/>
      <c r="AF40" s="25"/>
      <c r="AG40" s="25"/>
      <c r="AH40" s="25"/>
      <c r="AI40" s="25"/>
      <c r="AJ40" s="25"/>
      <c r="AK40" s="25"/>
      <c r="AL40" s="25"/>
      <c r="AM40" s="25"/>
      <c r="AN40" s="25"/>
      <c r="AO40" s="25"/>
      <c r="AP40" s="251"/>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c r="IS40" s="25"/>
      <c r="IT40" s="25"/>
      <c r="IU40" s="25"/>
      <c r="IV40" s="25"/>
      <c r="IW40" s="25"/>
      <c r="IX40" s="25"/>
      <c r="IY40" s="25"/>
      <c r="IZ40" s="25"/>
      <c r="JA40" s="25"/>
      <c r="JB40" s="25"/>
      <c r="JC40" s="25"/>
      <c r="JD40" s="25"/>
      <c r="JE40" s="25"/>
      <c r="JF40" s="25"/>
      <c r="JG40" s="25"/>
      <c r="JH40" s="25"/>
      <c r="JI40" s="25"/>
      <c r="JJ40" s="25"/>
      <c r="JK40" s="25"/>
      <c r="JL40" s="25"/>
      <c r="JM40" s="25"/>
      <c r="JN40" s="25"/>
    </row>
    <row r="41" spans="2:274" ht="20.25" customHeight="1" x14ac:dyDescent="0.25">
      <c r="B41" s="244" t="s">
        <v>246</v>
      </c>
      <c r="C41" t="s">
        <v>247</v>
      </c>
      <c r="D41" s="15" t="s">
        <v>230</v>
      </c>
      <c r="E41" s="15" t="s">
        <v>227</v>
      </c>
      <c r="F41" s="21"/>
      <c r="G41" s="86"/>
      <c r="H41" s="87"/>
      <c r="I41" s="88"/>
      <c r="J41" s="89"/>
      <c r="K41" s="91"/>
      <c r="L41" s="22"/>
      <c r="M41" s="81"/>
      <c r="N41" s="23"/>
      <c r="O41" s="81"/>
      <c r="P41" s="81"/>
      <c r="Q41" s="24"/>
      <c r="R41" s="110"/>
      <c r="S41" s="114"/>
      <c r="T41" s="115"/>
      <c r="U41" s="116"/>
      <c r="V41" s="99"/>
      <c r="W41" s="100"/>
      <c r="X41" s="83"/>
      <c r="Y41" s="25"/>
      <c r="Z41" s="25"/>
      <c r="AA41" s="25"/>
      <c r="AB41" s="25">
        <v>0.5</v>
      </c>
      <c r="AC41" s="25"/>
      <c r="AD41" s="25"/>
      <c r="AE41" s="25"/>
      <c r="AF41" s="25"/>
      <c r="AG41" s="25"/>
      <c r="AH41" s="25"/>
      <c r="AI41" s="25"/>
      <c r="AJ41" s="25"/>
      <c r="AK41" s="25"/>
      <c r="AL41" s="25"/>
      <c r="AM41" s="25"/>
      <c r="AN41" s="25"/>
      <c r="AO41" s="25"/>
      <c r="AP41" s="251"/>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5"/>
      <c r="HA41" s="25"/>
      <c r="HB41" s="25"/>
      <c r="HC41" s="25"/>
      <c r="HD41" s="25"/>
      <c r="HE41" s="25"/>
      <c r="HF41" s="25"/>
      <c r="HG41" s="25"/>
      <c r="HH41" s="25"/>
      <c r="HI41" s="25"/>
      <c r="HJ41" s="25"/>
      <c r="HK41" s="25"/>
      <c r="HL41" s="25"/>
      <c r="HM41" s="25"/>
      <c r="HN41" s="25"/>
      <c r="HO41" s="25"/>
      <c r="HP41" s="25"/>
      <c r="HQ41" s="25"/>
      <c r="HR41" s="25"/>
      <c r="HS41" s="25"/>
      <c r="HT41" s="25"/>
      <c r="HU41" s="25"/>
      <c r="HV41" s="25"/>
      <c r="HW41" s="25"/>
      <c r="HX41" s="25"/>
      <c r="HY41" s="25"/>
      <c r="HZ41" s="25"/>
      <c r="IA41" s="25"/>
      <c r="IB41" s="25"/>
      <c r="IC41" s="25"/>
      <c r="ID41" s="25"/>
      <c r="IE41" s="25"/>
      <c r="IF41" s="25"/>
      <c r="IG41" s="25"/>
      <c r="IH41" s="25"/>
      <c r="II41" s="25"/>
      <c r="IJ41" s="25"/>
      <c r="IK41" s="25"/>
      <c r="IL41" s="25"/>
      <c r="IM41" s="25"/>
      <c r="IN41" s="25"/>
      <c r="IO41" s="25"/>
      <c r="IP41" s="25"/>
      <c r="IQ41" s="25"/>
      <c r="IR41" s="25"/>
      <c r="IS41" s="25"/>
      <c r="IT41" s="25"/>
      <c r="IU41" s="25"/>
      <c r="IV41" s="25"/>
      <c r="IW41" s="25"/>
      <c r="IX41" s="25"/>
      <c r="IY41" s="25"/>
      <c r="IZ41" s="25"/>
      <c r="JA41" s="25"/>
      <c r="JB41" s="25"/>
      <c r="JC41" s="25"/>
      <c r="JD41" s="25"/>
      <c r="JE41" s="25"/>
      <c r="JF41" s="25"/>
      <c r="JG41" s="25"/>
      <c r="JH41" s="25"/>
      <c r="JI41" s="25"/>
      <c r="JJ41" s="25"/>
      <c r="JK41" s="25"/>
      <c r="JL41" s="25"/>
      <c r="JM41" s="25"/>
      <c r="JN41" s="25"/>
    </row>
    <row r="42" spans="2:274" ht="20.25" customHeight="1" x14ac:dyDescent="0.25">
      <c r="B42" s="244" t="s">
        <v>246</v>
      </c>
      <c r="C42" t="s">
        <v>247</v>
      </c>
      <c r="D42" s="15" t="s">
        <v>232</v>
      </c>
      <c r="E42" s="15" t="s">
        <v>233</v>
      </c>
      <c r="F42" s="21"/>
      <c r="G42" s="86"/>
      <c r="H42" s="87"/>
      <c r="I42" s="88"/>
      <c r="J42" s="89"/>
      <c r="K42" s="91"/>
      <c r="L42" s="22"/>
      <c r="M42" s="81"/>
      <c r="N42" s="23"/>
      <c r="O42" s="81"/>
      <c r="P42" s="81"/>
      <c r="Q42" s="24"/>
      <c r="R42" s="110"/>
      <c r="S42" s="114"/>
      <c r="T42" s="115"/>
      <c r="U42" s="116"/>
      <c r="V42" s="99"/>
      <c r="W42" s="100"/>
      <c r="X42" s="83"/>
      <c r="Y42" s="25"/>
      <c r="Z42" s="25"/>
      <c r="AA42" s="25"/>
      <c r="AB42" s="25">
        <v>0.25</v>
      </c>
      <c r="AC42" s="25"/>
      <c r="AD42" s="25"/>
      <c r="AE42" s="25"/>
      <c r="AF42" s="25"/>
      <c r="AG42" s="25"/>
      <c r="AH42" s="25"/>
      <c r="AI42" s="25"/>
      <c r="AJ42" s="25"/>
      <c r="AK42" s="25"/>
      <c r="AL42" s="25"/>
      <c r="AM42" s="25"/>
      <c r="AN42" s="25"/>
      <c r="AO42" s="25"/>
      <c r="AP42" s="251"/>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row>
    <row r="43" spans="2:274" ht="20.25" customHeight="1" x14ac:dyDescent="0.25">
      <c r="B43" s="244" t="s">
        <v>246</v>
      </c>
      <c r="C43"/>
      <c r="F43" s="21"/>
      <c r="G43" s="86" t="str" cm="1">
        <f t="array" aca="1" ref="G43" ca="1">IFERROR(INDEX(Panel_Rates[[1]:[12]],MATCH(Panel_New&amp;Category_New,Panel_Rates[Panel]&amp;Panel_Rates[Category],0),MATCH('Time Plan HY'!E43,OFFSET(Variable!$AF$2,MATCH(Panel_New&amp;Category_New,Panel_Rates[Panel]&amp;Panel_Rates[Category],0)-1,0,1,12),0))/8,"")</f>
        <v/>
      </c>
      <c r="H43" s="87"/>
      <c r="I43" s="88" t="str">
        <f t="shared" ca="1" si="21"/>
        <v/>
      </c>
      <c r="J43" s="89" t="str">
        <f t="shared" ca="1" si="22"/>
        <v/>
      </c>
      <c r="K43" s="91" t="str">
        <f>IFERROR(_xlfn.XLOOKUP(D43,CostTableLookup[Name],CostTableLookup[Gross Cost]),"")</f>
        <v/>
      </c>
      <c r="L43" s="22"/>
      <c r="M43" s="81" t="str">
        <f t="shared" ca="1" si="25"/>
        <v/>
      </c>
      <c r="N43" s="23"/>
      <c r="O43" s="81" t="str">
        <f t="shared" ca="1" si="26"/>
        <v/>
      </c>
      <c r="P43" s="81" t="str">
        <f t="shared" ca="1" si="23"/>
        <v/>
      </c>
      <c r="Q43" s="24" t="str">
        <f t="shared" si="24"/>
        <v/>
      </c>
      <c r="R43" s="110" t="str">
        <f t="shared" ca="1" si="27"/>
        <v/>
      </c>
      <c r="S43" s="114">
        <f t="shared" ref="S43" ca="1" si="46">IFERROR(SUM(OFFSET(Y43,0,MATCH(Forecast_New,$Y$3:$WQ$3,0)-1,1,500))*40,"")</f>
        <v>0</v>
      </c>
      <c r="T43" s="115">
        <f t="shared" ca="1" si="29"/>
        <v>0</v>
      </c>
      <c r="U43" s="116" t="str">
        <f t="shared" ca="1" si="30"/>
        <v/>
      </c>
      <c r="V43" s="99" t="str">
        <f t="shared" ca="1" si="31"/>
        <v/>
      </c>
      <c r="W43" s="100" t="str">
        <f t="shared" ca="1" si="32"/>
        <v/>
      </c>
      <c r="X43" s="83" t="str">
        <f t="shared" ca="1" si="33"/>
        <v/>
      </c>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row>
    <row r="44" spans="2:274" ht="20.25" customHeight="1" x14ac:dyDescent="0.25">
      <c r="B44" s="244" t="s">
        <v>246</v>
      </c>
      <c r="C44" t="s">
        <v>248</v>
      </c>
      <c r="D44" s="15" t="s">
        <v>226</v>
      </c>
      <c r="E44" s="15" t="s">
        <v>227</v>
      </c>
      <c r="F44" s="21"/>
      <c r="G44" s="86" cm="1">
        <f t="array" aca="1" ref="G44" ca="1">IFERROR(INDEX(Panel_Rates[[1]:[12]],MATCH(Panel_New&amp;Category_New,Panel_Rates[Panel]&amp;Panel_Rates[Category],0),MATCH('Time Plan HY'!E44,OFFSET(Variable!$AF$2,MATCH(Panel_New&amp;Category_New,Panel_Rates[Panel]&amp;Panel_Rates[Category],0)-1,0,1,12),0))/8,"")</f>
        <v>275</v>
      </c>
      <c r="H44" s="87"/>
      <c r="I44" s="88">
        <f t="shared" ca="1" si="21"/>
        <v>275</v>
      </c>
      <c r="J44" s="89">
        <f t="shared" ca="1" si="22"/>
        <v>2200</v>
      </c>
      <c r="K44" s="91" t="str">
        <f>IFERROR(_xlfn.XLOOKUP(D44,CostTableLookup[Name],CostTableLookup[Gross Cost]),"")</f>
        <v/>
      </c>
      <c r="L44" s="22"/>
      <c r="M44" s="81">
        <f t="shared" ca="1" si="25"/>
        <v>0</v>
      </c>
      <c r="N44" s="23"/>
      <c r="O44" s="81">
        <f t="shared" ca="1" si="26"/>
        <v>0</v>
      </c>
      <c r="P44" s="81">
        <f t="shared" ca="1" si="23"/>
        <v>0</v>
      </c>
      <c r="Q44" s="24" t="str">
        <f t="shared" si="24"/>
        <v/>
      </c>
      <c r="R44" s="110" t="str">
        <f t="shared" ca="1" si="27"/>
        <v/>
      </c>
      <c r="S44" s="114">
        <f t="shared" ref="S44" ca="1" si="47">IFERROR(SUM(OFFSET(Y44,0,MATCH(Forecast_New,$Y$3:$WQ$3,0)-1,1,500))*40,"")</f>
        <v>80</v>
      </c>
      <c r="T44" s="115">
        <f t="shared" ca="1" si="29"/>
        <v>10</v>
      </c>
      <c r="U44" s="116">
        <f t="shared" ca="1" si="30"/>
        <v>22000</v>
      </c>
      <c r="V44" s="99" t="str">
        <f t="shared" ca="1" si="31"/>
        <v/>
      </c>
      <c r="W44" s="100">
        <f t="shared" ca="1" si="32"/>
        <v>-22000</v>
      </c>
      <c r="X44" s="83" t="str">
        <f t="shared" ca="1" si="33"/>
        <v/>
      </c>
      <c r="Y44" s="25"/>
      <c r="Z44" s="25"/>
      <c r="AA44" s="25"/>
      <c r="AB44" s="25"/>
      <c r="AC44" s="25"/>
      <c r="AD44" s="25"/>
      <c r="AE44" s="25"/>
      <c r="AF44" s="25"/>
      <c r="AG44" s="25"/>
      <c r="AH44" s="25"/>
      <c r="AI44" s="25">
        <v>0.5</v>
      </c>
      <c r="AJ44" s="25">
        <v>0.5</v>
      </c>
      <c r="AK44" s="25">
        <v>0.5</v>
      </c>
      <c r="AL44" s="25">
        <v>0.5</v>
      </c>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row>
    <row r="45" spans="2:274" ht="20.25" customHeight="1" x14ac:dyDescent="0.25">
      <c r="B45" s="244" t="s">
        <v>246</v>
      </c>
      <c r="C45" t="s">
        <v>248</v>
      </c>
      <c r="D45" s="15" t="s">
        <v>230</v>
      </c>
      <c r="E45" s="15" t="s">
        <v>227</v>
      </c>
      <c r="G45" s="86"/>
      <c r="H45" s="87"/>
      <c r="I45" s="88"/>
      <c r="J45" s="89"/>
      <c r="K45" s="91"/>
      <c r="L45" s="22"/>
      <c r="M45" s="81"/>
      <c r="N45" s="23"/>
      <c r="O45" s="81"/>
      <c r="P45" s="81"/>
      <c r="Q45" s="24"/>
      <c r="R45" s="110"/>
      <c r="S45" s="114"/>
      <c r="T45" s="115"/>
      <c r="U45" s="116"/>
      <c r="V45" s="99"/>
      <c r="W45" s="100"/>
      <c r="X45" s="83"/>
      <c r="Y45" s="25"/>
      <c r="Z45" s="25"/>
      <c r="AA45" s="25"/>
      <c r="AB45" s="25"/>
      <c r="AC45" s="25"/>
      <c r="AD45" s="25"/>
      <c r="AE45" s="25"/>
      <c r="AF45" s="25"/>
      <c r="AG45" s="25"/>
      <c r="AH45" s="25"/>
      <c r="AI45" s="25">
        <v>0.25</v>
      </c>
      <c r="AJ45" s="25">
        <v>0.25</v>
      </c>
      <c r="AK45" s="25">
        <v>0.25</v>
      </c>
      <c r="AL45" s="25">
        <v>0.25</v>
      </c>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row>
    <row r="46" spans="2:274" ht="20.25" customHeight="1" x14ac:dyDescent="0.25">
      <c r="B46" s="244" t="s">
        <v>246</v>
      </c>
      <c r="C46" t="s">
        <v>248</v>
      </c>
      <c r="D46" s="15" t="s">
        <v>232</v>
      </c>
      <c r="E46" s="15" t="s">
        <v>233</v>
      </c>
      <c r="G46" s="86"/>
      <c r="H46" s="87"/>
      <c r="I46" s="88"/>
      <c r="J46" s="89"/>
      <c r="K46" s="91"/>
      <c r="L46" s="22"/>
      <c r="M46" s="81"/>
      <c r="N46" s="23"/>
      <c r="O46" s="81"/>
      <c r="P46" s="81"/>
      <c r="Q46" s="24"/>
      <c r="R46" s="110"/>
      <c r="S46" s="114"/>
      <c r="T46" s="115"/>
      <c r="U46" s="116"/>
      <c r="V46" s="99"/>
      <c r="W46" s="100"/>
      <c r="X46" s="83"/>
      <c r="Y46" s="25"/>
      <c r="Z46" s="25"/>
      <c r="AA46" s="25"/>
      <c r="AB46" s="25"/>
      <c r="AC46" s="25"/>
      <c r="AD46" s="25"/>
      <c r="AE46" s="25"/>
      <c r="AF46" s="25"/>
      <c r="AG46" s="25"/>
      <c r="AH46" s="25"/>
      <c r="AI46" s="25">
        <v>0.5</v>
      </c>
      <c r="AJ46" s="25">
        <v>0.5</v>
      </c>
      <c r="AK46" s="25">
        <v>0.5</v>
      </c>
      <c r="AL46" s="25">
        <v>0.5</v>
      </c>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row>
    <row r="47" spans="2:274" ht="20.25" customHeight="1" x14ac:dyDescent="0.25">
      <c r="B47" s="244"/>
      <c r="C47"/>
      <c r="G47" s="86"/>
      <c r="H47" s="87"/>
      <c r="I47" s="88"/>
      <c r="J47" s="89"/>
      <c r="K47" s="91"/>
      <c r="L47" s="22"/>
      <c r="M47" s="81"/>
      <c r="N47" s="23"/>
      <c r="O47" s="81"/>
      <c r="P47" s="81"/>
      <c r="Q47" s="24"/>
      <c r="R47" s="110"/>
      <c r="S47" s="114"/>
      <c r="T47" s="115"/>
      <c r="U47" s="116"/>
      <c r="V47" s="99"/>
      <c r="W47" s="100"/>
      <c r="X47" s="83"/>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row>
    <row r="48" spans="2:274" ht="20.25" customHeight="1" x14ac:dyDescent="0.25">
      <c r="B48" s="244" t="s">
        <v>246</v>
      </c>
      <c r="C48" t="s">
        <v>249</v>
      </c>
      <c r="D48" s="15" t="s">
        <v>226</v>
      </c>
      <c r="E48" s="15" t="s">
        <v>227</v>
      </c>
      <c r="G48" s="86" cm="1">
        <f t="array" aca="1" ref="G48" ca="1">IFERROR(INDEX(Panel_Rates[[1]:[12]],MATCH(Panel_New&amp;Category_New,Panel_Rates[Panel]&amp;Panel_Rates[Category],0),MATCH('Time Plan HY'!E48,OFFSET(Variable!$AF$2,MATCH(Panel_New&amp;Category_New,Panel_Rates[Panel]&amp;Panel_Rates[Category],0)-1,0,1,12),0))/8,"")</f>
        <v>275</v>
      </c>
      <c r="H48" s="87"/>
      <c r="I48" s="88">
        <f t="shared" ca="1" si="21"/>
        <v>275</v>
      </c>
      <c r="J48" s="89">
        <f t="shared" ca="1" si="22"/>
        <v>2200</v>
      </c>
      <c r="K48" s="91" t="str">
        <f>IFERROR(_xlfn.XLOOKUP(D48,CostTableLookup[Name],CostTableLookup[Gross Cost]),"")</f>
        <v/>
      </c>
      <c r="L48" s="22"/>
      <c r="M48" s="81">
        <f t="shared" ca="1" si="25"/>
        <v>0</v>
      </c>
      <c r="N48" s="23"/>
      <c r="O48" s="81">
        <f t="shared" ca="1" si="26"/>
        <v>0</v>
      </c>
      <c r="P48" s="81">
        <f t="shared" ca="1" si="23"/>
        <v>0</v>
      </c>
      <c r="Q48" s="24" t="str">
        <f t="shared" si="24"/>
        <v/>
      </c>
      <c r="R48" s="110" t="str">
        <f t="shared" ca="1" si="27"/>
        <v/>
      </c>
      <c r="S48" s="114">
        <f t="shared" ref="S48" ca="1" si="48">IFERROR(SUM(OFFSET(Y48,0,MATCH(Forecast_New,$Y$3:$WQ$3,0)-1,1,500))*40,"")</f>
        <v>40</v>
      </c>
      <c r="T48" s="115">
        <f t="shared" ca="1" si="29"/>
        <v>5</v>
      </c>
      <c r="U48" s="116">
        <f t="shared" ca="1" si="30"/>
        <v>11000</v>
      </c>
      <c r="V48" s="99" t="str">
        <f t="shared" ca="1" si="31"/>
        <v/>
      </c>
      <c r="W48" s="100">
        <f t="shared" ca="1" si="32"/>
        <v>-11000</v>
      </c>
      <c r="X48" s="83" t="str">
        <f t="shared" ca="1" si="33"/>
        <v/>
      </c>
      <c r="Y48" s="25"/>
      <c r="Z48" s="25"/>
      <c r="AA48" s="25"/>
      <c r="AB48" s="25"/>
      <c r="AC48" s="25"/>
      <c r="AD48" s="25"/>
      <c r="AE48" s="25"/>
      <c r="AF48" s="25"/>
      <c r="AG48" s="25"/>
      <c r="AH48" s="25"/>
      <c r="AI48" s="25"/>
      <c r="AJ48" s="25"/>
      <c r="AK48" s="25"/>
      <c r="AL48" s="25"/>
      <c r="AM48" s="25">
        <v>0.5</v>
      </c>
      <c r="AN48" s="25">
        <v>0.5</v>
      </c>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row>
    <row r="49" spans="2:274" ht="20.25" customHeight="1" x14ac:dyDescent="0.25">
      <c r="B49" s="244" t="s">
        <v>246</v>
      </c>
      <c r="C49" t="s">
        <v>249</v>
      </c>
      <c r="D49" s="15" t="s">
        <v>228</v>
      </c>
      <c r="E49" s="15" t="s">
        <v>229</v>
      </c>
      <c r="G49" s="86"/>
      <c r="H49" s="87"/>
      <c r="I49" s="88"/>
      <c r="J49" s="89"/>
      <c r="K49" s="91"/>
      <c r="L49" s="22"/>
      <c r="M49" s="81"/>
      <c r="N49" s="23"/>
      <c r="O49" s="81"/>
      <c r="P49" s="81"/>
      <c r="Q49" s="24"/>
      <c r="R49" s="110"/>
      <c r="S49" s="114"/>
      <c r="T49" s="115"/>
      <c r="U49" s="116"/>
      <c r="V49" s="99"/>
      <c r="W49" s="100"/>
      <c r="X49" s="83"/>
      <c r="Y49" s="25"/>
      <c r="Z49" s="25"/>
      <c r="AA49" s="25"/>
      <c r="AB49" s="25"/>
      <c r="AC49" s="25"/>
      <c r="AD49" s="25"/>
      <c r="AE49" s="25"/>
      <c r="AF49" s="25"/>
      <c r="AG49" s="25"/>
      <c r="AH49" s="25"/>
      <c r="AI49" s="25"/>
      <c r="AJ49" s="25"/>
      <c r="AK49" s="25"/>
      <c r="AL49" s="25"/>
      <c r="AM49" s="25">
        <v>0.5</v>
      </c>
      <c r="AN49" s="25">
        <v>0.5</v>
      </c>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row>
    <row r="50" spans="2:274" ht="20.25" customHeight="1" x14ac:dyDescent="0.25">
      <c r="B50" s="244" t="s">
        <v>246</v>
      </c>
      <c r="C50" t="s">
        <v>249</v>
      </c>
      <c r="D50" s="15" t="s">
        <v>230</v>
      </c>
      <c r="E50" s="15" t="s">
        <v>227</v>
      </c>
      <c r="G50" s="86"/>
      <c r="H50" s="87"/>
      <c r="I50" s="88"/>
      <c r="J50" s="89"/>
      <c r="K50" s="91"/>
      <c r="L50" s="22"/>
      <c r="M50" s="81"/>
      <c r="N50" s="23"/>
      <c r="O50" s="81"/>
      <c r="P50" s="81"/>
      <c r="Q50" s="24"/>
      <c r="R50" s="110"/>
      <c r="S50" s="114"/>
      <c r="T50" s="115"/>
      <c r="U50" s="116"/>
      <c r="V50" s="99"/>
      <c r="W50" s="100"/>
      <c r="X50" s="83"/>
      <c r="Y50" s="25"/>
      <c r="Z50" s="25"/>
      <c r="AA50" s="25"/>
      <c r="AB50" s="25"/>
      <c r="AC50" s="25"/>
      <c r="AD50" s="25"/>
      <c r="AE50" s="25"/>
      <c r="AF50" s="25"/>
      <c r="AG50" s="25"/>
      <c r="AH50" s="25"/>
      <c r="AI50" s="25"/>
      <c r="AJ50" s="25"/>
      <c r="AK50" s="25"/>
      <c r="AL50" s="25"/>
      <c r="AM50" s="25">
        <v>0.5</v>
      </c>
      <c r="AN50" s="25">
        <v>0.5</v>
      </c>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row>
    <row r="51" spans="2:274" ht="20.25" customHeight="1" x14ac:dyDescent="0.25">
      <c r="B51" s="244"/>
      <c r="C51"/>
      <c r="G51" s="86"/>
      <c r="H51" s="87"/>
      <c r="I51" s="88"/>
      <c r="J51" s="89"/>
      <c r="K51" s="91"/>
      <c r="L51" s="22"/>
      <c r="M51" s="81"/>
      <c r="N51" s="23"/>
      <c r="O51" s="81"/>
      <c r="P51" s="81"/>
      <c r="Q51" s="24"/>
      <c r="R51" s="110"/>
      <c r="S51" s="114"/>
      <c r="T51" s="115"/>
      <c r="U51" s="116"/>
      <c r="V51" s="99"/>
      <c r="W51" s="100"/>
      <c r="X51" s="83"/>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5"/>
      <c r="HA51" s="25"/>
      <c r="HB51" s="25"/>
      <c r="HC51" s="25"/>
      <c r="HD51" s="25"/>
      <c r="HE51" s="25"/>
      <c r="HF51" s="25"/>
      <c r="HG51" s="25"/>
      <c r="HH51" s="25"/>
      <c r="HI51" s="25"/>
      <c r="HJ51" s="25"/>
      <c r="HK51" s="25"/>
      <c r="HL51" s="25"/>
      <c r="HM51" s="25"/>
      <c r="HN51" s="25"/>
      <c r="HO51" s="25"/>
      <c r="HP51" s="25"/>
      <c r="HQ51" s="25"/>
      <c r="HR51" s="25"/>
      <c r="HS51" s="25"/>
      <c r="HT51" s="25"/>
      <c r="HU51" s="25"/>
      <c r="HV51" s="25"/>
      <c r="HW51" s="25"/>
      <c r="HX51" s="25"/>
      <c r="HY51" s="25"/>
      <c r="HZ51" s="25"/>
      <c r="IA51" s="25"/>
      <c r="IB51" s="25"/>
      <c r="IC51" s="25"/>
      <c r="ID51" s="25"/>
      <c r="IE51" s="25"/>
      <c r="IF51" s="25"/>
      <c r="IG51" s="25"/>
      <c r="IH51" s="25"/>
      <c r="II51" s="25"/>
      <c r="IJ51" s="25"/>
      <c r="IK51" s="25"/>
      <c r="IL51" s="25"/>
      <c r="IM51" s="25"/>
      <c r="IN51" s="25"/>
      <c r="IO51" s="25"/>
      <c r="IP51" s="25"/>
      <c r="IQ51" s="25"/>
      <c r="IR51" s="25"/>
      <c r="IS51" s="25"/>
      <c r="IT51" s="25"/>
      <c r="IU51" s="25"/>
      <c r="IV51" s="25"/>
      <c r="IW51" s="25"/>
      <c r="IX51" s="25"/>
      <c r="IY51" s="25"/>
      <c r="IZ51" s="25"/>
      <c r="JA51" s="25"/>
      <c r="JB51" s="25"/>
      <c r="JC51" s="25"/>
      <c r="JD51" s="25"/>
      <c r="JE51" s="25"/>
      <c r="JF51" s="25"/>
      <c r="JG51" s="25"/>
      <c r="JH51" s="25"/>
      <c r="JI51" s="25"/>
      <c r="JJ51" s="25"/>
      <c r="JK51" s="25"/>
      <c r="JL51" s="25"/>
      <c r="JM51" s="25"/>
      <c r="JN51" s="25"/>
    </row>
    <row r="52" spans="2:274" ht="20.25" customHeight="1" x14ac:dyDescent="0.25">
      <c r="B52" s="245" t="s">
        <v>250</v>
      </c>
      <c r="C52" t="s">
        <v>251</v>
      </c>
      <c r="D52" s="15" t="s">
        <v>226</v>
      </c>
      <c r="E52" s="15" t="s">
        <v>227</v>
      </c>
      <c r="F52" s="21"/>
      <c r="G52" s="86" cm="1">
        <f t="array" aca="1" ref="G52" ca="1">IFERROR(INDEX(Panel_Rates[[1]:[12]],MATCH(Panel_New&amp;Category_New,Panel_Rates[Panel]&amp;Panel_Rates[Category],0),MATCH('Time Plan HY'!E52,OFFSET(Variable!$AF$2,MATCH(Panel_New&amp;Category_New,Panel_Rates[Panel]&amp;Panel_Rates[Category],0)-1,0,1,12),0))/8,"")</f>
        <v>275</v>
      </c>
      <c r="H52" s="92"/>
      <c r="I52" s="88">
        <f t="shared" ca="1" si="21"/>
        <v>275</v>
      </c>
      <c r="J52" s="89">
        <f t="shared" ca="1" si="22"/>
        <v>2200</v>
      </c>
      <c r="K52" s="91" t="str">
        <f>IFERROR(_xlfn.XLOOKUP(D52,CostTableLookup[Name],CostTableLookup[Gross Cost]),"")</f>
        <v/>
      </c>
      <c r="L52" s="22"/>
      <c r="M52" s="81">
        <f t="shared" ca="1" si="25"/>
        <v>0</v>
      </c>
      <c r="N52" s="23"/>
      <c r="O52" s="81">
        <f t="shared" ca="1" si="26"/>
        <v>0</v>
      </c>
      <c r="P52" s="81">
        <f t="shared" ca="1" si="23"/>
        <v>0</v>
      </c>
      <c r="Q52" s="24" t="str">
        <f t="shared" si="24"/>
        <v/>
      </c>
      <c r="R52" s="110" t="str">
        <f t="shared" ca="1" si="27"/>
        <v/>
      </c>
      <c r="S52" s="114">
        <f t="shared" ref="S52" ca="1" si="49">IFERROR(SUM(OFFSET(Y52,0,MATCH(Forecast_New,$Y$3:$WQ$3,0)-1,1,500))*40,"")</f>
        <v>24</v>
      </c>
      <c r="T52" s="115">
        <f t="shared" ca="1" si="29"/>
        <v>3</v>
      </c>
      <c r="U52" s="116">
        <f t="shared" ca="1" si="30"/>
        <v>6600</v>
      </c>
      <c r="V52" s="99" t="str">
        <f t="shared" ca="1" si="31"/>
        <v/>
      </c>
      <c r="W52" s="100">
        <f t="shared" ca="1" si="32"/>
        <v>-6600</v>
      </c>
      <c r="X52" s="83" t="str">
        <f t="shared" ca="1" si="33"/>
        <v/>
      </c>
      <c r="Y52" s="25"/>
      <c r="Z52" s="25">
        <v>0.3</v>
      </c>
      <c r="AA52" s="25">
        <v>0.3</v>
      </c>
      <c r="AB52" s="25"/>
      <c r="AC52" s="25"/>
      <c r="AD52" s="25"/>
      <c r="AE52" s="25"/>
      <c r="AF52" s="25"/>
      <c r="AG52" s="25"/>
      <c r="AH52" s="25"/>
      <c r="AI52" s="25"/>
      <c r="AJ52" s="25"/>
      <c r="AK52" s="25"/>
      <c r="AL52" s="25"/>
      <c r="AM52" s="25"/>
      <c r="AN52" s="25"/>
      <c r="AO52" s="25"/>
      <c r="AP52" s="25"/>
      <c r="AQ52" s="25"/>
      <c r="AR52" s="25"/>
      <c r="AS52" s="25"/>
      <c r="AT52" s="25"/>
      <c r="AU52" s="251"/>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5"/>
      <c r="HA52" s="25"/>
      <c r="HB52" s="25"/>
      <c r="HC52" s="25"/>
      <c r="HD52" s="25"/>
      <c r="HE52" s="25"/>
      <c r="HF52" s="25"/>
      <c r="HG52" s="25"/>
      <c r="HH52" s="25"/>
      <c r="HI52" s="25"/>
      <c r="HJ52" s="25"/>
      <c r="HK52" s="25"/>
      <c r="HL52" s="25"/>
      <c r="HM52" s="25"/>
      <c r="HN52" s="25"/>
      <c r="HO52" s="25"/>
      <c r="HP52" s="25"/>
      <c r="HQ52" s="25"/>
      <c r="HR52" s="25"/>
      <c r="HS52" s="25"/>
      <c r="HT52" s="25"/>
      <c r="HU52" s="25"/>
      <c r="HV52" s="25"/>
      <c r="HW52" s="25"/>
      <c r="HX52" s="25"/>
      <c r="HY52" s="25"/>
      <c r="HZ52" s="25"/>
      <c r="IA52" s="25"/>
      <c r="IB52" s="25"/>
      <c r="IC52" s="25"/>
      <c r="ID52" s="25"/>
      <c r="IE52" s="25"/>
      <c r="IF52" s="25"/>
      <c r="IG52" s="25"/>
      <c r="IH52" s="25"/>
      <c r="II52" s="25"/>
      <c r="IJ52" s="25"/>
      <c r="IK52" s="25"/>
      <c r="IL52" s="25"/>
      <c r="IM52" s="25"/>
      <c r="IN52" s="25"/>
      <c r="IO52" s="25"/>
      <c r="IP52" s="25"/>
      <c r="IQ52" s="25"/>
      <c r="IR52" s="25"/>
      <c r="IS52" s="25"/>
      <c r="IT52" s="25"/>
      <c r="IU52" s="25"/>
      <c r="IV52" s="25"/>
      <c r="IW52" s="25"/>
      <c r="IX52" s="25"/>
      <c r="IY52" s="25"/>
      <c r="IZ52" s="25"/>
      <c r="JA52" s="25"/>
      <c r="JB52" s="25"/>
      <c r="JC52" s="25"/>
      <c r="JD52" s="25"/>
      <c r="JE52" s="25"/>
      <c r="JF52" s="25"/>
      <c r="JG52" s="25"/>
      <c r="JH52" s="25"/>
      <c r="JI52" s="25"/>
      <c r="JJ52" s="25"/>
      <c r="JK52" s="25"/>
      <c r="JL52" s="25"/>
      <c r="JM52" s="25"/>
      <c r="JN52" s="25"/>
    </row>
    <row r="53" spans="2:274" ht="20.25" customHeight="1" x14ac:dyDescent="0.25">
      <c r="B53" s="245" t="s">
        <v>250</v>
      </c>
      <c r="C53" t="s">
        <v>251</v>
      </c>
      <c r="D53" s="15" t="s">
        <v>228</v>
      </c>
      <c r="E53" s="15" t="s">
        <v>229</v>
      </c>
      <c r="F53" s="21"/>
      <c r="G53" s="86" cm="1">
        <f t="array" aca="1" ref="G53" ca="1">IFERROR(INDEX(Panel_Rates[[1]:[12]],MATCH(Panel_New&amp;Category_New,Panel_Rates[Panel]&amp;Panel_Rates[Category],0),MATCH('Time Plan HY'!E53,OFFSET(Variable!$AF$2,MATCH(Panel_New&amp;Category_New,Panel_Rates[Panel]&amp;Panel_Rates[Category],0)-1,0,1,12),0))/8,"")</f>
        <v>190</v>
      </c>
      <c r="H53" s="92"/>
      <c r="I53" s="88">
        <f t="shared" ca="1" si="21"/>
        <v>190</v>
      </c>
      <c r="J53" s="89">
        <f t="shared" ca="1" si="22"/>
        <v>1520</v>
      </c>
      <c r="K53" s="91" t="str">
        <f>IFERROR(_xlfn.XLOOKUP(D53,CostTableLookup[Name],CostTableLookup[Gross Cost]),"")</f>
        <v/>
      </c>
      <c r="L53" s="22"/>
      <c r="M53" s="81">
        <f t="shared" ca="1" si="25"/>
        <v>0</v>
      </c>
      <c r="N53" s="23"/>
      <c r="O53" s="81">
        <f t="shared" ca="1" si="26"/>
        <v>0</v>
      </c>
      <c r="P53" s="81">
        <f t="shared" ca="1" si="23"/>
        <v>0</v>
      </c>
      <c r="Q53" s="24" t="str">
        <f t="shared" si="24"/>
        <v/>
      </c>
      <c r="R53" s="110" t="str">
        <f t="shared" ca="1" si="27"/>
        <v/>
      </c>
      <c r="S53" s="114">
        <f t="shared" ref="S53" ca="1" si="50">IFERROR(SUM(OFFSET(Y53,0,MATCH(Forecast_New,$Y$3:$WQ$3,0)-1,1,500))*40,"")</f>
        <v>40</v>
      </c>
      <c r="T53" s="115">
        <f t="shared" ca="1" si="29"/>
        <v>5</v>
      </c>
      <c r="U53" s="116">
        <f t="shared" ca="1" si="30"/>
        <v>7600</v>
      </c>
      <c r="V53" s="99" t="str">
        <f t="shared" ca="1" si="31"/>
        <v/>
      </c>
      <c r="W53" s="100">
        <f t="shared" ca="1" si="32"/>
        <v>-7600</v>
      </c>
      <c r="X53" s="83" t="str">
        <f t="shared" ca="1" si="33"/>
        <v/>
      </c>
      <c r="Y53" s="25"/>
      <c r="Z53" s="25">
        <v>0.5</v>
      </c>
      <c r="AA53" s="25">
        <v>0.5</v>
      </c>
      <c r="AB53" s="25"/>
      <c r="AC53" s="25"/>
      <c r="AD53" s="25"/>
      <c r="AE53" s="25"/>
      <c r="AF53" s="25"/>
      <c r="AG53" s="25"/>
      <c r="AH53" s="25"/>
      <c r="AI53" s="25"/>
      <c r="AJ53" s="25"/>
      <c r="AK53" s="25"/>
      <c r="AL53" s="25"/>
      <c r="AM53" s="25"/>
      <c r="AN53" s="25"/>
      <c r="AO53" s="25"/>
      <c r="AP53" s="25"/>
      <c r="AQ53" s="25"/>
      <c r="AR53" s="25"/>
      <c r="AS53" s="25"/>
      <c r="AT53" s="25"/>
      <c r="AU53" s="251"/>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c r="HV53" s="25"/>
      <c r="HW53" s="25"/>
      <c r="HX53" s="25"/>
      <c r="HY53" s="25"/>
      <c r="HZ53" s="25"/>
      <c r="IA53" s="25"/>
      <c r="IB53" s="25"/>
      <c r="IC53" s="25"/>
      <c r="ID53" s="25"/>
      <c r="IE53" s="25"/>
      <c r="IF53" s="25"/>
      <c r="IG53" s="25"/>
      <c r="IH53" s="25"/>
      <c r="II53" s="25"/>
      <c r="IJ53" s="25"/>
      <c r="IK53" s="25"/>
      <c r="IL53" s="25"/>
      <c r="IM53" s="25"/>
      <c r="IN53" s="25"/>
      <c r="IO53" s="25"/>
      <c r="IP53" s="25"/>
      <c r="IQ53" s="25"/>
      <c r="IR53" s="25"/>
      <c r="IS53" s="25"/>
      <c r="IT53" s="25"/>
      <c r="IU53" s="25"/>
      <c r="IV53" s="25"/>
      <c r="IW53" s="25"/>
      <c r="IX53" s="25"/>
      <c r="IY53" s="25"/>
      <c r="IZ53" s="25"/>
      <c r="JA53" s="25"/>
      <c r="JB53" s="25"/>
      <c r="JC53" s="25"/>
      <c r="JD53" s="25"/>
      <c r="JE53" s="25"/>
      <c r="JF53" s="25"/>
      <c r="JG53" s="25"/>
      <c r="JH53" s="25"/>
      <c r="JI53" s="25"/>
      <c r="JJ53" s="25"/>
      <c r="JK53" s="25"/>
      <c r="JL53" s="25"/>
      <c r="JM53" s="25"/>
      <c r="JN53" s="25"/>
    </row>
    <row r="54" spans="2:274" ht="20.25" customHeight="1" x14ac:dyDescent="0.25">
      <c r="B54" s="245" t="s">
        <v>250</v>
      </c>
      <c r="C54" t="s">
        <v>251</v>
      </c>
      <c r="D54" s="15" t="s">
        <v>230</v>
      </c>
      <c r="E54" s="15" t="s">
        <v>227</v>
      </c>
      <c r="F54" s="21"/>
      <c r="G54" s="86" cm="1">
        <f t="array" aca="1" ref="G54" ca="1">IFERROR(INDEX(Panel_Rates[[1]:[12]],MATCH(Panel_New&amp;Category_New,Panel_Rates[Panel]&amp;Panel_Rates[Category],0),MATCH('Time Plan HY'!E54,OFFSET(Variable!$AF$2,MATCH(Panel_New&amp;Category_New,Panel_Rates[Panel]&amp;Panel_Rates[Category],0)-1,0,1,12),0))/8,"")</f>
        <v>275</v>
      </c>
      <c r="H54" s="92"/>
      <c r="I54" s="88">
        <f t="shared" ca="1" si="21"/>
        <v>275</v>
      </c>
      <c r="J54" s="89">
        <f t="shared" ca="1" si="22"/>
        <v>2200</v>
      </c>
      <c r="K54" s="91" t="str">
        <f>IFERROR(_xlfn.XLOOKUP(D54,CostTableLookup[Name],CostTableLookup[Gross Cost]),"")</f>
        <v/>
      </c>
      <c r="L54" s="22"/>
      <c r="M54" s="81">
        <f t="shared" ca="1" si="25"/>
        <v>0</v>
      </c>
      <c r="N54" s="23"/>
      <c r="O54" s="81">
        <f t="shared" ca="1" si="26"/>
        <v>0</v>
      </c>
      <c r="P54" s="81">
        <f t="shared" ca="1" si="23"/>
        <v>0</v>
      </c>
      <c r="Q54" s="24" t="str">
        <f t="shared" si="24"/>
        <v/>
      </c>
      <c r="R54" s="110" t="str">
        <f t="shared" ca="1" si="27"/>
        <v/>
      </c>
      <c r="S54" s="114">
        <f t="shared" ref="S54" ca="1" si="51">IFERROR(SUM(OFFSET(Y54,0,MATCH(Forecast_New,$Y$3:$WQ$3,0)-1,1,500))*40,"")</f>
        <v>40</v>
      </c>
      <c r="T54" s="115">
        <f t="shared" ca="1" si="29"/>
        <v>5</v>
      </c>
      <c r="U54" s="116">
        <f t="shared" ca="1" si="30"/>
        <v>11000</v>
      </c>
      <c r="V54" s="99" t="str">
        <f t="shared" ca="1" si="31"/>
        <v/>
      </c>
      <c r="W54" s="100">
        <f t="shared" ca="1" si="32"/>
        <v>-11000</v>
      </c>
      <c r="X54" s="83" t="str">
        <f t="shared" ca="1" si="33"/>
        <v/>
      </c>
      <c r="Y54" s="25"/>
      <c r="Z54" s="25">
        <v>0.5</v>
      </c>
      <c r="AA54" s="25">
        <v>0.5</v>
      </c>
      <c r="AB54" s="25"/>
      <c r="AC54" s="25"/>
      <c r="AD54" s="25"/>
      <c r="AE54" s="25"/>
      <c r="AF54" s="25"/>
      <c r="AG54" s="25"/>
      <c r="AH54" s="25"/>
      <c r="AI54" s="25"/>
      <c r="AJ54" s="25"/>
      <c r="AK54" s="25"/>
      <c r="AL54" s="25"/>
      <c r="AM54" s="25"/>
      <c r="AN54" s="25"/>
      <c r="AO54" s="25"/>
      <c r="AP54" s="25"/>
      <c r="AQ54" s="25"/>
      <c r="AR54" s="25"/>
      <c r="AS54" s="25"/>
      <c r="AT54" s="25"/>
      <c r="AU54" s="251"/>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5"/>
      <c r="HA54" s="25"/>
      <c r="HB54" s="25"/>
      <c r="HC54" s="25"/>
      <c r="HD54" s="25"/>
      <c r="HE54" s="25"/>
      <c r="HF54" s="25"/>
      <c r="HG54" s="25"/>
      <c r="HH54" s="25"/>
      <c r="HI54" s="25"/>
      <c r="HJ54" s="25"/>
      <c r="HK54" s="25"/>
      <c r="HL54" s="25"/>
      <c r="HM54" s="25"/>
      <c r="HN54" s="25"/>
      <c r="HO54" s="25"/>
      <c r="HP54" s="25"/>
      <c r="HQ54" s="25"/>
      <c r="HR54" s="25"/>
      <c r="HS54" s="25"/>
      <c r="HT54" s="25"/>
      <c r="HU54" s="25"/>
      <c r="HV54" s="25"/>
      <c r="HW54" s="25"/>
      <c r="HX54" s="25"/>
      <c r="HY54" s="25"/>
      <c r="HZ54" s="25"/>
      <c r="IA54" s="25"/>
      <c r="IB54" s="25"/>
      <c r="IC54" s="25"/>
      <c r="ID54" s="25"/>
      <c r="IE54" s="25"/>
      <c r="IF54" s="25"/>
      <c r="IG54" s="25"/>
      <c r="IH54" s="25"/>
      <c r="II54" s="25"/>
      <c r="IJ54" s="25"/>
      <c r="IK54" s="25"/>
      <c r="IL54" s="25"/>
      <c r="IM54" s="25"/>
      <c r="IN54" s="25"/>
      <c r="IO54" s="25"/>
      <c r="IP54" s="25"/>
      <c r="IQ54" s="25"/>
      <c r="IR54" s="25"/>
      <c r="IS54" s="25"/>
      <c r="IT54" s="25"/>
      <c r="IU54" s="25"/>
      <c r="IV54" s="25"/>
      <c r="IW54" s="25"/>
      <c r="IX54" s="25"/>
      <c r="IY54" s="25"/>
      <c r="IZ54" s="25"/>
      <c r="JA54" s="25"/>
      <c r="JB54" s="25"/>
      <c r="JC54" s="25"/>
      <c r="JD54" s="25"/>
      <c r="JE54" s="25"/>
      <c r="JF54" s="25"/>
      <c r="JG54" s="25"/>
      <c r="JH54" s="25"/>
      <c r="JI54" s="25"/>
      <c r="JJ54" s="25"/>
      <c r="JK54" s="25"/>
      <c r="JL54" s="25"/>
      <c r="JM54" s="25"/>
      <c r="JN54" s="25"/>
    </row>
    <row r="55" spans="2:274" ht="20.25" customHeight="1" x14ac:dyDescent="0.25">
      <c r="B55" s="245" t="s">
        <v>250</v>
      </c>
      <c r="C55" t="s">
        <v>251</v>
      </c>
      <c r="D55" s="15" t="s">
        <v>232</v>
      </c>
      <c r="E55" s="15" t="s">
        <v>233</v>
      </c>
      <c r="F55" s="21"/>
      <c r="G55" s="86" cm="1">
        <f t="array" aca="1" ref="G55" ca="1">IFERROR(INDEX(Panel_Rates[[1]:[12]],MATCH(Panel_New&amp;Category_New,Panel_Rates[Panel]&amp;Panel_Rates[Category],0),MATCH('Time Plan HY'!E55,OFFSET(Variable!$AF$2,MATCH(Panel_New&amp;Category_New,Panel_Rates[Panel]&amp;Panel_Rates[Category],0)-1,0,1,12),0))/8,"")</f>
        <v>165</v>
      </c>
      <c r="H55" s="92"/>
      <c r="I55" s="88">
        <f t="shared" ca="1" si="21"/>
        <v>165</v>
      </c>
      <c r="J55" s="89">
        <f t="shared" ca="1" si="22"/>
        <v>1320</v>
      </c>
      <c r="K55" s="91" t="str">
        <f>IFERROR(_xlfn.XLOOKUP(D55,CostTableLookup[Name],CostTableLookup[Gross Cost]),"")</f>
        <v/>
      </c>
      <c r="L55" s="22"/>
      <c r="M55" s="81">
        <f t="shared" ca="1" si="25"/>
        <v>0</v>
      </c>
      <c r="N55" s="23"/>
      <c r="O55" s="81">
        <f t="shared" ca="1" si="26"/>
        <v>0</v>
      </c>
      <c r="P55" s="81">
        <f t="shared" ca="1" si="23"/>
        <v>0</v>
      </c>
      <c r="Q55" s="24" t="str">
        <f t="shared" si="24"/>
        <v/>
      </c>
      <c r="R55" s="110" t="str">
        <f t="shared" ca="1" si="27"/>
        <v/>
      </c>
      <c r="S55" s="114">
        <f t="shared" ref="S55" ca="1" si="52">IFERROR(SUM(OFFSET(Y55,0,MATCH(Forecast_New,$Y$3:$WQ$3,0)-1,1,500))*40,"")</f>
        <v>20</v>
      </c>
      <c r="T55" s="115">
        <f t="shared" ca="1" si="29"/>
        <v>2.5</v>
      </c>
      <c r="U55" s="116">
        <f t="shared" ca="1" si="30"/>
        <v>3300</v>
      </c>
      <c r="V55" s="99" t="str">
        <f t="shared" ca="1" si="31"/>
        <v/>
      </c>
      <c r="W55" s="100">
        <f t="shared" ca="1" si="32"/>
        <v>-3300</v>
      </c>
      <c r="X55" s="83" t="str">
        <f t="shared" ca="1" si="33"/>
        <v/>
      </c>
      <c r="Y55" s="25"/>
      <c r="Z55" s="25">
        <v>0.25</v>
      </c>
      <c r="AA55" s="25">
        <v>0.25</v>
      </c>
      <c r="AB55" s="25"/>
      <c r="AC55" s="25"/>
      <c r="AD55" s="25"/>
      <c r="AE55" s="25"/>
      <c r="AF55" s="25"/>
      <c r="AG55" s="25"/>
      <c r="AH55" s="25"/>
      <c r="AI55" s="25"/>
      <c r="AJ55" s="25"/>
      <c r="AK55" s="25"/>
      <c r="AL55" s="25"/>
      <c r="AM55" s="25"/>
      <c r="AN55" s="25"/>
      <c r="AO55" s="25"/>
      <c r="AP55" s="25"/>
      <c r="AQ55" s="25"/>
      <c r="AR55" s="25"/>
      <c r="AS55" s="25"/>
      <c r="AT55" s="25"/>
      <c r="AU55" s="251"/>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5"/>
      <c r="HA55" s="25"/>
      <c r="HB55" s="25"/>
      <c r="HC55" s="25"/>
      <c r="HD55" s="25"/>
      <c r="HE55" s="25"/>
      <c r="HF55" s="25"/>
      <c r="HG55" s="25"/>
      <c r="HH55" s="25"/>
      <c r="HI55" s="25"/>
      <c r="HJ55" s="25"/>
      <c r="HK55" s="25"/>
      <c r="HL55" s="25"/>
      <c r="HM55" s="25"/>
      <c r="HN55" s="25"/>
      <c r="HO55" s="25"/>
      <c r="HP55" s="25"/>
      <c r="HQ55" s="25"/>
      <c r="HR55" s="25"/>
      <c r="HS55" s="25"/>
      <c r="HT55" s="25"/>
      <c r="HU55" s="25"/>
      <c r="HV55" s="25"/>
      <c r="HW55" s="25"/>
      <c r="HX55" s="25"/>
      <c r="HY55" s="25"/>
      <c r="HZ55" s="25"/>
      <c r="IA55" s="25"/>
      <c r="IB55" s="25"/>
      <c r="IC55" s="25"/>
      <c r="ID55" s="25"/>
      <c r="IE55" s="25"/>
      <c r="IF55" s="25"/>
      <c r="IG55" s="25"/>
      <c r="IH55" s="25"/>
      <c r="II55" s="25"/>
      <c r="IJ55" s="25"/>
      <c r="IK55" s="25"/>
      <c r="IL55" s="25"/>
      <c r="IM55" s="25"/>
      <c r="IN55" s="25"/>
      <c r="IO55" s="25"/>
      <c r="IP55" s="25"/>
      <c r="IQ55" s="25"/>
      <c r="IR55" s="25"/>
      <c r="IS55" s="25"/>
      <c r="IT55" s="25"/>
      <c r="IU55" s="25"/>
      <c r="IV55" s="25"/>
      <c r="IW55" s="25"/>
      <c r="IX55" s="25"/>
      <c r="IY55" s="25"/>
      <c r="IZ55" s="25"/>
      <c r="JA55" s="25"/>
      <c r="JB55" s="25"/>
      <c r="JC55" s="25"/>
      <c r="JD55" s="25"/>
      <c r="JE55" s="25"/>
      <c r="JF55" s="25"/>
      <c r="JG55" s="25"/>
      <c r="JH55" s="25"/>
      <c r="JI55" s="25"/>
      <c r="JJ55" s="25"/>
      <c r="JK55" s="25"/>
      <c r="JL55" s="25"/>
      <c r="JM55" s="25"/>
      <c r="JN55" s="25"/>
    </row>
    <row r="56" spans="2:274" ht="20.25" customHeight="1" x14ac:dyDescent="0.25">
      <c r="B56" s="245" t="s">
        <v>250</v>
      </c>
      <c r="C56"/>
      <c r="F56" s="21"/>
      <c r="G56" s="86"/>
      <c r="H56" s="92"/>
      <c r="I56" s="88"/>
      <c r="J56" s="89"/>
      <c r="K56" s="91"/>
      <c r="L56" s="22"/>
      <c r="M56" s="81"/>
      <c r="N56" s="23"/>
      <c r="O56" s="81"/>
      <c r="P56" s="81"/>
      <c r="Q56" s="24"/>
      <c r="R56" s="110"/>
      <c r="S56" s="114"/>
      <c r="T56" s="115"/>
      <c r="U56" s="116"/>
      <c r="V56" s="99"/>
      <c r="W56" s="100"/>
      <c r="X56" s="83"/>
      <c r="Y56" s="25"/>
      <c r="Z56" s="25"/>
      <c r="AA56" s="25"/>
      <c r="AB56" s="25"/>
      <c r="AC56" s="25"/>
      <c r="AD56" s="25"/>
      <c r="AE56" s="25"/>
      <c r="AF56" s="25"/>
      <c r="AG56" s="25"/>
      <c r="AH56" s="25"/>
      <c r="AI56" s="25"/>
      <c r="AJ56" s="25"/>
      <c r="AK56" s="25"/>
      <c r="AL56" s="25"/>
      <c r="AM56" s="25"/>
      <c r="AN56" s="25"/>
      <c r="AO56" s="25"/>
      <c r="AP56" s="25"/>
      <c r="AQ56" s="25"/>
      <c r="AR56" s="25"/>
      <c r="AS56" s="25"/>
      <c r="AT56" s="25"/>
      <c r="AU56" s="251"/>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row>
    <row r="57" spans="2:274" ht="20.25" customHeight="1" x14ac:dyDescent="0.25">
      <c r="B57" s="245" t="s">
        <v>250</v>
      </c>
      <c r="C57" t="s">
        <v>252</v>
      </c>
      <c r="D57" s="15" t="s">
        <v>226</v>
      </c>
      <c r="E57" s="15" t="s">
        <v>227</v>
      </c>
      <c r="F57" s="21"/>
      <c r="G57" s="86" cm="1">
        <f t="array" aca="1" ref="G57" ca="1">IFERROR(INDEX(Panel_Rates[[1]:[12]],MATCH(Panel_New&amp;Category_New,Panel_Rates[Panel]&amp;Panel_Rates[Category],0),MATCH('Time Plan HY'!E57,OFFSET(Variable!$AF$2,MATCH(Panel_New&amp;Category_New,Panel_Rates[Panel]&amp;Panel_Rates[Category],0)-1,0,1,12),0))/8,"")</f>
        <v>275</v>
      </c>
      <c r="H57" s="92"/>
      <c r="I57" s="88">
        <f t="shared" ca="1" si="21"/>
        <v>275</v>
      </c>
      <c r="J57" s="89">
        <f t="shared" ca="1" si="22"/>
        <v>2200</v>
      </c>
      <c r="K57" s="90" t="str">
        <f>IFERROR(_xlfn.XLOOKUP(D57,CostTableLookup[Name],CostTableLookup[Gross Cost]),"")</f>
        <v/>
      </c>
      <c r="L57" s="22"/>
      <c r="M57" s="81">
        <f t="shared" ca="1" si="25"/>
        <v>0</v>
      </c>
      <c r="N57" s="23"/>
      <c r="O57" s="81">
        <f t="shared" ca="1" si="26"/>
        <v>0</v>
      </c>
      <c r="P57" s="81">
        <f t="shared" ca="1" si="23"/>
        <v>0</v>
      </c>
      <c r="Q57" s="24" t="str">
        <f t="shared" si="24"/>
        <v/>
      </c>
      <c r="R57" s="110" t="str">
        <f t="shared" ca="1" si="27"/>
        <v/>
      </c>
      <c r="S57" s="114">
        <f t="shared" ref="S57" ca="1" si="53">IFERROR(SUM(OFFSET(Y57,0,MATCH(Forecast_New,$Y$3:$WQ$3,0)-1,1,500))*40,"")</f>
        <v>120</v>
      </c>
      <c r="T57" s="115">
        <f t="shared" ca="1" si="29"/>
        <v>15</v>
      </c>
      <c r="U57" s="116">
        <f ca="1">IFERROR($S57*I57,"")</f>
        <v>33000</v>
      </c>
      <c r="V57" s="99" t="str">
        <f ca="1">IFERROR($S57*K57,"")</f>
        <v/>
      </c>
      <c r="W57" s="100">
        <f t="shared" ca="1" si="32"/>
        <v>-33000</v>
      </c>
      <c r="X57" s="83" t="str">
        <f t="shared" ca="1" si="33"/>
        <v/>
      </c>
      <c r="Y57" s="25"/>
      <c r="Z57" s="25"/>
      <c r="AA57" s="25"/>
      <c r="AB57" s="25"/>
      <c r="AC57" s="25">
        <v>0.5</v>
      </c>
      <c r="AD57" s="25">
        <v>0.5</v>
      </c>
      <c r="AE57" s="25">
        <v>0.5</v>
      </c>
      <c r="AF57" s="25">
        <v>0.5</v>
      </c>
      <c r="AG57" s="25">
        <v>0.5</v>
      </c>
      <c r="AH57" s="25">
        <v>0.5</v>
      </c>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row>
    <row r="58" spans="2:274" ht="20.25" customHeight="1" x14ac:dyDescent="0.25">
      <c r="B58" s="245" t="s">
        <v>250</v>
      </c>
      <c r="C58" t="s">
        <v>252</v>
      </c>
      <c r="D58" s="15" t="s">
        <v>230</v>
      </c>
      <c r="E58" s="15" t="s">
        <v>227</v>
      </c>
      <c r="F58" s="21"/>
      <c r="G58" s="86"/>
      <c r="H58" s="92"/>
      <c r="I58" s="88"/>
      <c r="J58" s="89"/>
      <c r="K58" s="90"/>
      <c r="L58" s="22"/>
      <c r="M58" s="81"/>
      <c r="N58" s="23"/>
      <c r="O58" s="81"/>
      <c r="P58" s="81"/>
      <c r="Q58" s="24"/>
      <c r="R58" s="110"/>
      <c r="S58" s="114"/>
      <c r="T58" s="115"/>
      <c r="U58" s="116"/>
      <c r="V58" s="99"/>
      <c r="W58" s="100"/>
      <c r="X58" s="83"/>
      <c r="Y58" s="25"/>
      <c r="Z58" s="25"/>
      <c r="AA58" s="25"/>
      <c r="AB58" s="25"/>
      <c r="AC58" s="25">
        <v>0.25</v>
      </c>
      <c r="AD58" s="25">
        <v>0.25</v>
      </c>
      <c r="AE58" s="25">
        <v>0.25</v>
      </c>
      <c r="AF58" s="25">
        <v>0.25</v>
      </c>
      <c r="AG58" s="25">
        <v>0.25</v>
      </c>
      <c r="AH58" s="25">
        <v>0.25</v>
      </c>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row>
    <row r="59" spans="2:274" ht="20.25" customHeight="1" x14ac:dyDescent="0.25">
      <c r="B59" s="245" t="s">
        <v>250</v>
      </c>
      <c r="C59" t="s">
        <v>252</v>
      </c>
      <c r="D59" s="15" t="s">
        <v>232</v>
      </c>
      <c r="E59" s="15" t="s">
        <v>233</v>
      </c>
      <c r="F59" s="21"/>
      <c r="G59" s="86"/>
      <c r="H59" s="92"/>
      <c r="I59" s="88"/>
      <c r="J59" s="89"/>
      <c r="K59" s="90"/>
      <c r="L59" s="22"/>
      <c r="M59" s="81"/>
      <c r="N59" s="23"/>
      <c r="O59" s="81"/>
      <c r="P59" s="81"/>
      <c r="Q59" s="24"/>
      <c r="R59" s="110"/>
      <c r="S59" s="114"/>
      <c r="T59" s="115"/>
      <c r="U59" s="116"/>
      <c r="V59" s="99"/>
      <c r="W59" s="100"/>
      <c r="X59" s="83"/>
      <c r="Y59" s="25"/>
      <c r="Z59" s="25"/>
      <c r="AA59" s="25"/>
      <c r="AB59" s="25"/>
      <c r="AC59" s="25">
        <v>0.5</v>
      </c>
      <c r="AD59" s="25">
        <v>0.5</v>
      </c>
      <c r="AE59" s="25">
        <v>0.5</v>
      </c>
      <c r="AF59" s="25">
        <v>0.5</v>
      </c>
      <c r="AG59" s="25">
        <v>0.5</v>
      </c>
      <c r="AH59" s="25">
        <v>0.5</v>
      </c>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row>
    <row r="60" spans="2:274" ht="20.25" customHeight="1" x14ac:dyDescent="0.25">
      <c r="B60" s="245"/>
      <c r="C60" t="s">
        <v>252</v>
      </c>
      <c r="D60" s="15" t="s">
        <v>232</v>
      </c>
      <c r="E60" s="15" t="s">
        <v>227</v>
      </c>
      <c r="F60" s="21"/>
      <c r="G60" s="86"/>
      <c r="H60" s="92"/>
      <c r="I60" s="88"/>
      <c r="J60" s="89"/>
      <c r="K60" s="90"/>
      <c r="L60" s="22"/>
      <c r="M60" s="81"/>
      <c r="N60" s="23"/>
      <c r="O60" s="81"/>
      <c r="P60" s="81"/>
      <c r="Q60" s="24"/>
      <c r="R60" s="110"/>
      <c r="S60" s="114"/>
      <c r="T60" s="115"/>
      <c r="U60" s="116"/>
      <c r="V60" s="99"/>
      <c r="W60" s="100"/>
      <c r="X60" s="83"/>
      <c r="Y60" s="25"/>
      <c r="Z60" s="25"/>
      <c r="AA60" s="25"/>
      <c r="AB60" s="25"/>
      <c r="AC60" s="25">
        <v>0.5</v>
      </c>
      <c r="AD60" s="25">
        <v>0.5</v>
      </c>
      <c r="AE60" s="25">
        <v>0.5</v>
      </c>
      <c r="AF60" s="25">
        <v>0.5</v>
      </c>
      <c r="AG60" s="25">
        <v>0.5</v>
      </c>
      <c r="AH60" s="25">
        <v>0.5</v>
      </c>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5"/>
      <c r="HA60" s="25"/>
      <c r="HB60" s="25"/>
      <c r="HC60" s="25"/>
      <c r="HD60" s="25"/>
      <c r="HE60" s="25"/>
      <c r="HF60" s="25"/>
      <c r="HG60" s="25"/>
      <c r="HH60" s="25"/>
      <c r="HI60" s="25"/>
      <c r="HJ60" s="25"/>
      <c r="HK60" s="25"/>
      <c r="HL60" s="25"/>
      <c r="HM60" s="25"/>
      <c r="HN60" s="25"/>
      <c r="HO60" s="25"/>
      <c r="HP60" s="25"/>
      <c r="HQ60" s="25"/>
      <c r="HR60" s="25"/>
      <c r="HS60" s="25"/>
      <c r="HT60" s="25"/>
      <c r="HU60" s="25"/>
      <c r="HV60" s="25"/>
      <c r="HW60" s="25"/>
      <c r="HX60" s="25"/>
      <c r="HY60" s="25"/>
      <c r="HZ60" s="25"/>
      <c r="IA60" s="25"/>
      <c r="IB60" s="25"/>
      <c r="IC60" s="25"/>
      <c r="ID60" s="25"/>
      <c r="IE60" s="25"/>
      <c r="IF60" s="25"/>
      <c r="IG60" s="25"/>
      <c r="IH60" s="25"/>
      <c r="II60" s="25"/>
      <c r="IJ60" s="25"/>
      <c r="IK60" s="25"/>
      <c r="IL60" s="25"/>
      <c r="IM60" s="25"/>
      <c r="IN60" s="25"/>
      <c r="IO60" s="25"/>
      <c r="IP60" s="25"/>
      <c r="IQ60" s="25"/>
      <c r="IR60" s="25"/>
      <c r="IS60" s="25"/>
      <c r="IT60" s="25"/>
      <c r="IU60" s="25"/>
      <c r="IV60" s="25"/>
      <c r="IW60" s="25"/>
      <c r="IX60" s="25"/>
      <c r="IY60" s="25"/>
      <c r="IZ60" s="25"/>
      <c r="JA60" s="25"/>
      <c r="JB60" s="25"/>
      <c r="JC60" s="25"/>
      <c r="JD60" s="25"/>
      <c r="JE60" s="25"/>
      <c r="JF60" s="25"/>
      <c r="JG60" s="25"/>
      <c r="JH60" s="25"/>
      <c r="JI60" s="25"/>
      <c r="JJ60" s="25"/>
      <c r="JK60" s="25"/>
      <c r="JL60" s="25"/>
      <c r="JM60" s="25"/>
      <c r="JN60" s="25"/>
    </row>
    <row r="61" spans="2:274" ht="20.25" customHeight="1" x14ac:dyDescent="0.25">
      <c r="B61" s="245"/>
      <c r="C61" t="s">
        <v>252</v>
      </c>
      <c r="D61" s="15" t="s">
        <v>239</v>
      </c>
      <c r="E61" s="15" t="s">
        <v>227</v>
      </c>
      <c r="F61" s="21"/>
      <c r="G61" s="86"/>
      <c r="H61" s="92"/>
      <c r="I61" s="88"/>
      <c r="J61" s="89"/>
      <c r="K61" s="90"/>
      <c r="L61" s="22"/>
      <c r="M61" s="81"/>
      <c r="N61" s="23"/>
      <c r="O61" s="81"/>
      <c r="P61" s="81"/>
      <c r="Q61" s="24"/>
      <c r="R61" s="110"/>
      <c r="S61" s="114"/>
      <c r="T61" s="115"/>
      <c r="U61" s="116"/>
      <c r="V61" s="99"/>
      <c r="W61" s="100"/>
      <c r="X61" s="83"/>
      <c r="Y61" s="25"/>
      <c r="Z61" s="25"/>
      <c r="AA61" s="25"/>
      <c r="AB61" s="25"/>
      <c r="AC61" s="25">
        <v>0.25</v>
      </c>
      <c r="AD61" s="25">
        <v>0.25</v>
      </c>
      <c r="AE61" s="25">
        <v>0.25</v>
      </c>
      <c r="AF61" s="25">
        <v>0.25</v>
      </c>
      <c r="AG61" s="25">
        <v>0.25</v>
      </c>
      <c r="AH61" s="25">
        <v>0.25</v>
      </c>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c r="HJ61" s="25"/>
      <c r="HK61" s="25"/>
      <c r="HL61" s="25"/>
      <c r="HM61" s="25"/>
      <c r="HN61" s="25"/>
      <c r="HO61" s="25"/>
      <c r="HP61" s="25"/>
      <c r="HQ61" s="25"/>
      <c r="HR61" s="25"/>
      <c r="HS61" s="25"/>
      <c r="HT61" s="25"/>
      <c r="HU61" s="25"/>
      <c r="HV61" s="25"/>
      <c r="HW61" s="25"/>
      <c r="HX61" s="25"/>
      <c r="HY61" s="25"/>
      <c r="HZ61" s="25"/>
      <c r="IA61" s="25"/>
      <c r="IB61" s="25"/>
      <c r="IC61" s="25"/>
      <c r="ID61" s="25"/>
      <c r="IE61" s="25"/>
      <c r="IF61" s="25"/>
      <c r="IG61" s="25"/>
      <c r="IH61" s="25"/>
      <c r="II61" s="25"/>
      <c r="IJ61" s="25"/>
      <c r="IK61" s="25"/>
      <c r="IL61" s="25"/>
      <c r="IM61" s="25"/>
      <c r="IN61" s="25"/>
      <c r="IO61" s="25"/>
      <c r="IP61" s="25"/>
      <c r="IQ61" s="25"/>
      <c r="IR61" s="25"/>
      <c r="IS61" s="25"/>
      <c r="IT61" s="25"/>
      <c r="IU61" s="25"/>
      <c r="IV61" s="25"/>
      <c r="IW61" s="25"/>
      <c r="IX61" s="25"/>
      <c r="IY61" s="25"/>
      <c r="IZ61" s="25"/>
      <c r="JA61" s="25"/>
      <c r="JB61" s="25"/>
      <c r="JC61" s="25"/>
      <c r="JD61" s="25"/>
      <c r="JE61" s="25"/>
      <c r="JF61" s="25"/>
      <c r="JG61" s="25"/>
      <c r="JH61" s="25"/>
      <c r="JI61" s="25"/>
      <c r="JJ61" s="25"/>
      <c r="JK61" s="25"/>
      <c r="JL61" s="25"/>
      <c r="JM61" s="25"/>
      <c r="JN61" s="25"/>
    </row>
    <row r="62" spans="2:274" ht="20.25" customHeight="1" x14ac:dyDescent="0.25">
      <c r="B62" s="245" t="s">
        <v>250</v>
      </c>
      <c r="C62"/>
      <c r="F62" s="21"/>
      <c r="G62" s="86"/>
      <c r="H62" s="92"/>
      <c r="I62" s="88"/>
      <c r="J62" s="89"/>
      <c r="K62" s="90"/>
      <c r="L62" s="22"/>
      <c r="M62" s="81"/>
      <c r="N62" s="23"/>
      <c r="O62" s="81"/>
      <c r="P62" s="81"/>
      <c r="Q62" s="24"/>
      <c r="R62" s="110"/>
      <c r="S62" s="114"/>
      <c r="T62" s="115"/>
      <c r="U62" s="116"/>
      <c r="V62" s="99"/>
      <c r="W62" s="100"/>
      <c r="X62" s="83"/>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row>
    <row r="63" spans="2:274" ht="20.25" customHeight="1" x14ac:dyDescent="0.25">
      <c r="B63" s="245" t="s">
        <v>250</v>
      </c>
      <c r="C63" t="s">
        <v>253</v>
      </c>
      <c r="D63" s="15" t="s">
        <v>226</v>
      </c>
      <c r="E63" s="15" t="s">
        <v>227</v>
      </c>
      <c r="F63" s="21"/>
      <c r="G63" s="86"/>
      <c r="H63" s="92"/>
      <c r="I63" s="88"/>
      <c r="J63" s="89"/>
      <c r="K63" s="90"/>
      <c r="L63" s="22"/>
      <c r="M63" s="81"/>
      <c r="N63" s="23"/>
      <c r="O63" s="81"/>
      <c r="P63" s="81"/>
      <c r="Q63" s="24"/>
      <c r="R63" s="110"/>
      <c r="S63" s="114"/>
      <c r="T63" s="115"/>
      <c r="U63" s="116"/>
      <c r="V63" s="99"/>
      <c r="W63" s="100"/>
      <c r="X63" s="83"/>
      <c r="Y63" s="25"/>
      <c r="Z63" s="25"/>
      <c r="AA63" s="25"/>
      <c r="AB63" s="25"/>
      <c r="AC63" s="25"/>
      <c r="AD63" s="25"/>
      <c r="AE63" s="25"/>
      <c r="AF63" s="25"/>
      <c r="AG63" s="25"/>
      <c r="AH63" s="25"/>
      <c r="AI63" s="25"/>
      <c r="AJ63" s="25"/>
      <c r="AK63" s="25"/>
      <c r="AL63" s="25"/>
      <c r="AM63" s="25"/>
      <c r="AN63" s="25"/>
      <c r="AO63" s="25"/>
      <c r="AP63" s="25"/>
      <c r="AQ63" s="25"/>
      <c r="AR63" s="25"/>
      <c r="AS63" s="25">
        <v>0.5</v>
      </c>
      <c r="AT63" s="25">
        <v>0.5</v>
      </c>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row>
    <row r="64" spans="2:274" ht="20.25" customHeight="1" x14ac:dyDescent="0.25">
      <c r="B64" s="245" t="s">
        <v>250</v>
      </c>
      <c r="C64" t="s">
        <v>253</v>
      </c>
      <c r="D64" s="15" t="s">
        <v>228</v>
      </c>
      <c r="E64" s="15" t="s">
        <v>229</v>
      </c>
      <c r="F64" s="21"/>
      <c r="G64" s="86"/>
      <c r="H64" s="92"/>
      <c r="I64" s="88"/>
      <c r="J64" s="89"/>
      <c r="K64" s="90"/>
      <c r="L64" s="22"/>
      <c r="M64" s="81"/>
      <c r="N64" s="23"/>
      <c r="O64" s="81"/>
      <c r="P64" s="81"/>
      <c r="Q64" s="24"/>
      <c r="R64" s="110"/>
      <c r="S64" s="114"/>
      <c r="T64" s="115"/>
      <c r="U64" s="116"/>
      <c r="V64" s="99"/>
      <c r="W64" s="100"/>
      <c r="X64" s="83"/>
      <c r="Y64" s="25"/>
      <c r="Z64" s="25"/>
      <c r="AA64" s="25"/>
      <c r="AB64" s="25"/>
      <c r="AC64" s="25"/>
      <c r="AD64" s="25"/>
      <c r="AE64" s="25"/>
      <c r="AF64" s="25"/>
      <c r="AG64" s="25"/>
      <c r="AH64" s="25"/>
      <c r="AI64" s="25"/>
      <c r="AJ64" s="25"/>
      <c r="AK64" s="25"/>
      <c r="AL64" s="25"/>
      <c r="AM64" s="25"/>
      <c r="AN64" s="25"/>
      <c r="AO64" s="25"/>
      <c r="AP64" s="25"/>
      <c r="AQ64" s="25"/>
      <c r="AR64" s="25"/>
      <c r="AS64" s="25">
        <v>0.5</v>
      </c>
      <c r="AT64" s="25">
        <v>0.5</v>
      </c>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5"/>
      <c r="HA64" s="25"/>
      <c r="HB64" s="25"/>
      <c r="HC64" s="25"/>
      <c r="HD64" s="25"/>
      <c r="HE64" s="25"/>
      <c r="HF64" s="25"/>
      <c r="HG64" s="25"/>
      <c r="HH64" s="25"/>
      <c r="HI64" s="25"/>
      <c r="HJ64" s="25"/>
      <c r="HK64" s="25"/>
      <c r="HL64" s="25"/>
      <c r="HM64" s="25"/>
      <c r="HN64" s="25"/>
      <c r="HO64" s="25"/>
      <c r="HP64" s="25"/>
      <c r="HQ64" s="25"/>
      <c r="HR64" s="25"/>
      <c r="HS64" s="25"/>
      <c r="HT64" s="25"/>
      <c r="HU64" s="25"/>
      <c r="HV64" s="25"/>
      <c r="HW64" s="25"/>
      <c r="HX64" s="25"/>
      <c r="HY64" s="25"/>
      <c r="HZ64" s="25"/>
      <c r="IA64" s="25"/>
      <c r="IB64" s="25"/>
      <c r="IC64" s="25"/>
      <c r="ID64" s="25"/>
      <c r="IE64" s="25"/>
      <c r="IF64" s="25"/>
      <c r="IG64" s="25"/>
      <c r="IH64" s="25"/>
      <c r="II64" s="25"/>
      <c r="IJ64" s="25"/>
      <c r="IK64" s="25"/>
      <c r="IL64" s="25"/>
      <c r="IM64" s="25"/>
      <c r="IN64" s="25"/>
      <c r="IO64" s="25"/>
      <c r="IP64" s="25"/>
      <c r="IQ64" s="25"/>
      <c r="IR64" s="25"/>
      <c r="IS64" s="25"/>
      <c r="IT64" s="25"/>
      <c r="IU64" s="25"/>
      <c r="IV64" s="25"/>
      <c r="IW64" s="25"/>
      <c r="IX64" s="25"/>
      <c r="IY64" s="25"/>
      <c r="IZ64" s="25"/>
      <c r="JA64" s="25"/>
      <c r="JB64" s="25"/>
      <c r="JC64" s="25"/>
      <c r="JD64" s="25"/>
      <c r="JE64" s="25"/>
      <c r="JF64" s="25"/>
      <c r="JG64" s="25"/>
      <c r="JH64" s="25"/>
      <c r="JI64" s="25"/>
      <c r="JJ64" s="25"/>
      <c r="JK64" s="25"/>
      <c r="JL64" s="25"/>
      <c r="JM64" s="25"/>
      <c r="JN64" s="25"/>
    </row>
    <row r="65" spans="2:274" ht="20.25" customHeight="1" x14ac:dyDescent="0.25">
      <c r="B65" s="245" t="s">
        <v>250</v>
      </c>
      <c r="C65" t="s">
        <v>253</v>
      </c>
      <c r="D65" s="15" t="s">
        <v>232</v>
      </c>
      <c r="E65" s="15" t="s">
        <v>233</v>
      </c>
      <c r="F65" s="21"/>
      <c r="G65" s="86"/>
      <c r="H65" s="92"/>
      <c r="I65" s="88"/>
      <c r="J65" s="89"/>
      <c r="K65" s="90"/>
      <c r="L65" s="22"/>
      <c r="M65" s="81"/>
      <c r="N65" s="23"/>
      <c r="O65" s="81"/>
      <c r="P65" s="81"/>
      <c r="Q65" s="24"/>
      <c r="R65" s="110"/>
      <c r="S65" s="114"/>
      <c r="T65" s="115"/>
      <c r="U65" s="116"/>
      <c r="V65" s="99"/>
      <c r="W65" s="100"/>
      <c r="X65" s="83"/>
      <c r="Y65" s="25"/>
      <c r="Z65" s="25"/>
      <c r="AA65" s="25"/>
      <c r="AB65" s="25"/>
      <c r="AC65" s="25"/>
      <c r="AD65" s="25"/>
      <c r="AE65" s="25"/>
      <c r="AF65" s="25"/>
      <c r="AG65" s="25"/>
      <c r="AH65" s="25"/>
      <c r="AI65" s="25"/>
      <c r="AJ65" s="25"/>
      <c r="AK65" s="25"/>
      <c r="AL65" s="25"/>
      <c r="AM65" s="25"/>
      <c r="AN65" s="25"/>
      <c r="AO65" s="25"/>
      <c r="AP65" s="25"/>
      <c r="AQ65" s="25"/>
      <c r="AR65" s="25"/>
      <c r="AS65" s="25">
        <v>0.5</v>
      </c>
      <c r="AT65" s="25">
        <v>0.5</v>
      </c>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row>
    <row r="66" spans="2:274" ht="20.25" customHeight="1" x14ac:dyDescent="0.25">
      <c r="B66" s="245"/>
      <c r="C66" t="s">
        <v>253</v>
      </c>
      <c r="D66" s="15" t="s">
        <v>238</v>
      </c>
      <c r="E66" s="15" t="s">
        <v>229</v>
      </c>
      <c r="F66" s="21"/>
      <c r="G66" s="86"/>
      <c r="H66" s="92"/>
      <c r="I66" s="88"/>
      <c r="J66" s="89"/>
      <c r="K66" s="90"/>
      <c r="L66" s="22"/>
      <c r="M66" s="81"/>
      <c r="N66" s="23"/>
      <c r="O66" s="81"/>
      <c r="P66" s="81"/>
      <c r="Q66" s="24"/>
      <c r="R66" s="110"/>
      <c r="S66" s="114"/>
      <c r="T66" s="115"/>
      <c r="U66" s="116"/>
      <c r="V66" s="99"/>
      <c r="W66" s="100"/>
      <c r="X66" s="83"/>
      <c r="Y66" s="25"/>
      <c r="Z66" s="25"/>
      <c r="AA66" s="25"/>
      <c r="AB66" s="25"/>
      <c r="AC66" s="25"/>
      <c r="AD66" s="25"/>
      <c r="AE66" s="25"/>
      <c r="AF66" s="25"/>
      <c r="AG66" s="25"/>
      <c r="AH66" s="25"/>
      <c r="AI66" s="25"/>
      <c r="AJ66" s="25"/>
      <c r="AK66" s="25"/>
      <c r="AL66" s="25"/>
      <c r="AM66" s="25"/>
      <c r="AN66" s="25"/>
      <c r="AO66" s="25"/>
      <c r="AP66" s="25"/>
      <c r="AQ66" s="25"/>
      <c r="AR66" s="25"/>
      <c r="AS66" s="25">
        <v>0.5</v>
      </c>
      <c r="AT66" s="25">
        <v>0.5</v>
      </c>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row>
    <row r="67" spans="2:274" ht="20.25" customHeight="1" x14ac:dyDescent="0.25">
      <c r="B67" s="245"/>
      <c r="C67"/>
      <c r="F67" s="21"/>
      <c r="G67" s="86"/>
      <c r="H67" s="92"/>
      <c r="I67" s="88"/>
      <c r="J67" s="89"/>
      <c r="K67" s="90"/>
      <c r="L67" s="22"/>
      <c r="M67" s="81"/>
      <c r="N67" s="23"/>
      <c r="O67" s="81"/>
      <c r="P67" s="81"/>
      <c r="Q67" s="24"/>
      <c r="R67" s="110"/>
      <c r="S67" s="114"/>
      <c r="T67" s="115"/>
      <c r="U67" s="116"/>
      <c r="V67" s="99"/>
      <c r="W67" s="100"/>
      <c r="X67" s="83"/>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row>
    <row r="68" spans="2:274" ht="20.25" customHeight="1" x14ac:dyDescent="0.25">
      <c r="B68" s="245" t="s">
        <v>250</v>
      </c>
      <c r="C68" t="s">
        <v>254</v>
      </c>
      <c r="D68" s="15" t="s">
        <v>226</v>
      </c>
      <c r="E68" s="15" t="s">
        <v>227</v>
      </c>
      <c r="F68" s="21"/>
      <c r="G68" s="86" cm="1">
        <f t="array" aca="1" ref="G68" ca="1">IFERROR(INDEX(Panel_Rates[[1]:[12]],MATCH(Panel_New&amp;Category_New,Panel_Rates[Panel]&amp;Panel_Rates[Category],0),MATCH('Time Plan HY'!E68,OFFSET(Variable!$AF$2,MATCH(Panel_New&amp;Category_New,Panel_Rates[Panel]&amp;Panel_Rates[Category],0)-1,0,1,12),0))/8,"")</f>
        <v>275</v>
      </c>
      <c r="H68" s="92"/>
      <c r="I68" s="88">
        <f t="shared" ca="1" si="21"/>
        <v>275</v>
      </c>
      <c r="J68" s="89">
        <f t="shared" ca="1" si="22"/>
        <v>2200</v>
      </c>
      <c r="K68" s="90" t="str">
        <f>IFERROR(_xlfn.XLOOKUP(D68,CostTableLookup[Name],CostTableLookup[Gross Cost]),"")</f>
        <v/>
      </c>
      <c r="L68" s="22"/>
      <c r="M68" s="81">
        <f t="shared" ca="1" si="25"/>
        <v>0</v>
      </c>
      <c r="N68" s="23"/>
      <c r="O68" s="81">
        <f t="shared" ca="1" si="26"/>
        <v>0</v>
      </c>
      <c r="P68" s="81">
        <f t="shared" ca="1" si="23"/>
        <v>0</v>
      </c>
      <c r="Q68" s="24" t="str">
        <f t="shared" si="24"/>
        <v/>
      </c>
      <c r="R68" s="110" t="str">
        <f t="shared" ca="1" si="27"/>
        <v/>
      </c>
      <c r="S68" s="114">
        <f t="shared" ref="S68" ca="1" si="54">IFERROR(SUM(OFFSET(Y68,0,MATCH(Forecast_New,$Y$3:$WQ$3,0)-1,1,500))*40,"")</f>
        <v>140</v>
      </c>
      <c r="T68" s="115">
        <f t="shared" ca="1" si="29"/>
        <v>17.5</v>
      </c>
      <c r="U68" s="116">
        <f t="shared" ref="U68:U151" ca="1" si="55">IFERROR($S68*I68,"")</f>
        <v>38500</v>
      </c>
      <c r="V68" s="99" t="str">
        <f t="shared" ref="V68:V151" ca="1" si="56">IFERROR($S68*K68,"")</f>
        <v/>
      </c>
      <c r="W68" s="100">
        <f t="shared" ca="1" si="32"/>
        <v>-38500</v>
      </c>
      <c r="X68" s="83" t="str">
        <f t="shared" ca="1" si="33"/>
        <v/>
      </c>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v>0.5</v>
      </c>
      <c r="AX68" s="25">
        <v>0.5</v>
      </c>
      <c r="AY68" s="25">
        <v>0.5</v>
      </c>
      <c r="AZ68" s="25"/>
      <c r="BA68" s="25"/>
      <c r="BB68" s="25"/>
      <c r="BC68" s="25"/>
      <c r="BD68" s="25">
        <v>1</v>
      </c>
      <c r="BE68" s="25">
        <v>1</v>
      </c>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row>
    <row r="69" spans="2:274" ht="20.25" customHeight="1" x14ac:dyDescent="0.25">
      <c r="B69" s="245" t="s">
        <v>250</v>
      </c>
      <c r="C69" t="s">
        <v>254</v>
      </c>
      <c r="D69" s="15" t="s">
        <v>232</v>
      </c>
      <c r="E69" s="15" t="s">
        <v>233</v>
      </c>
      <c r="F69" s="21"/>
      <c r="G69" s="86"/>
      <c r="H69" s="92"/>
      <c r="I69" s="88"/>
      <c r="J69" s="89"/>
      <c r="K69" s="90"/>
      <c r="L69" s="22"/>
      <c r="M69" s="81"/>
      <c r="N69" s="23"/>
      <c r="O69" s="81"/>
      <c r="P69" s="81"/>
      <c r="Q69" s="24"/>
      <c r="R69" s="110"/>
      <c r="S69" s="114"/>
      <c r="T69" s="115"/>
      <c r="U69" s="116"/>
      <c r="V69" s="99"/>
      <c r="W69" s="100"/>
      <c r="X69" s="83"/>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v>0.5</v>
      </c>
      <c r="AX69" s="25">
        <v>0.5</v>
      </c>
      <c r="AY69" s="25">
        <v>0.5</v>
      </c>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row>
    <row r="70" spans="2:274" ht="20.25" customHeight="1" x14ac:dyDescent="0.25">
      <c r="B70" s="245"/>
      <c r="C70" t="s">
        <v>254</v>
      </c>
      <c r="D70" s="15" t="s">
        <v>232</v>
      </c>
      <c r="E70" s="15" t="s">
        <v>233</v>
      </c>
      <c r="F70" s="21"/>
      <c r="G70" s="86"/>
      <c r="H70" s="92"/>
      <c r="I70" s="88"/>
      <c r="J70" s="89"/>
      <c r="K70" s="90"/>
      <c r="L70" s="22"/>
      <c r="M70" s="81"/>
      <c r="N70" s="23"/>
      <c r="O70" s="81"/>
      <c r="P70" s="81"/>
      <c r="Q70" s="24"/>
      <c r="R70" s="110"/>
      <c r="S70" s="114"/>
      <c r="T70" s="115"/>
      <c r="U70" s="116"/>
      <c r="V70" s="99"/>
      <c r="W70" s="100"/>
      <c r="X70" s="83"/>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v>0.5</v>
      </c>
      <c r="AX70" s="25">
        <v>0.5</v>
      </c>
      <c r="AY70" s="25">
        <v>0.5</v>
      </c>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row>
    <row r="71" spans="2:274" ht="20.25" customHeight="1" x14ac:dyDescent="0.25">
      <c r="B71" s="245" t="s">
        <v>250</v>
      </c>
      <c r="C71" t="s">
        <v>254</v>
      </c>
      <c r="D71" s="15" t="s">
        <v>239</v>
      </c>
      <c r="E71" s="15" t="s">
        <v>227</v>
      </c>
      <c r="F71" s="21"/>
      <c r="G71" s="86"/>
      <c r="H71" s="92"/>
      <c r="I71" s="88"/>
      <c r="J71" s="89"/>
      <c r="K71" s="90"/>
      <c r="L71" s="22"/>
      <c r="M71" s="81"/>
      <c r="N71" s="23"/>
      <c r="O71" s="81"/>
      <c r="P71" s="81"/>
      <c r="Q71" s="24"/>
      <c r="R71" s="110"/>
      <c r="S71" s="114"/>
      <c r="T71" s="115"/>
      <c r="U71" s="116"/>
      <c r="V71" s="99"/>
      <c r="W71" s="100"/>
      <c r="X71" s="83"/>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v>0.5</v>
      </c>
      <c r="AX71" s="25">
        <v>0.5</v>
      </c>
      <c r="AY71" s="25">
        <v>0.5</v>
      </c>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row>
    <row r="72" spans="2:274" ht="20.25" customHeight="1" x14ac:dyDescent="0.25">
      <c r="B72" s="245" t="s">
        <v>250</v>
      </c>
      <c r="C72"/>
      <c r="F72" s="21"/>
      <c r="G72" s="86"/>
      <c r="H72" s="92"/>
      <c r="I72" s="88"/>
      <c r="J72" s="89"/>
      <c r="K72" s="90"/>
      <c r="L72" s="22"/>
      <c r="M72" s="81"/>
      <c r="N72" s="23"/>
      <c r="O72" s="81"/>
      <c r="P72" s="81"/>
      <c r="Q72" s="24"/>
      <c r="R72" s="110"/>
      <c r="S72" s="114"/>
      <c r="T72" s="115"/>
      <c r="U72" s="116"/>
      <c r="V72" s="99"/>
      <c r="W72" s="100"/>
      <c r="X72" s="83"/>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5"/>
      <c r="HA72" s="25"/>
      <c r="HB72" s="25"/>
      <c r="HC72" s="25"/>
      <c r="HD72" s="25"/>
      <c r="HE72" s="25"/>
      <c r="HF72" s="25"/>
      <c r="HG72" s="25"/>
      <c r="HH72" s="25"/>
      <c r="HI72" s="25"/>
      <c r="HJ72" s="25"/>
      <c r="HK72" s="25"/>
      <c r="HL72" s="25"/>
      <c r="HM72" s="25"/>
      <c r="HN72" s="25"/>
      <c r="HO72" s="25"/>
      <c r="HP72" s="25"/>
      <c r="HQ72" s="25"/>
      <c r="HR72" s="25"/>
      <c r="HS72" s="25"/>
      <c r="HT72" s="25"/>
      <c r="HU72" s="25"/>
      <c r="HV72" s="25"/>
      <c r="HW72" s="25"/>
      <c r="HX72" s="25"/>
      <c r="HY72" s="25"/>
      <c r="HZ72" s="25"/>
      <c r="IA72" s="25"/>
      <c r="IB72" s="25"/>
      <c r="IC72" s="25"/>
      <c r="ID72" s="25"/>
      <c r="IE72" s="25"/>
      <c r="IF72" s="25"/>
      <c r="IG72" s="25"/>
      <c r="IH72" s="25"/>
      <c r="II72" s="25"/>
      <c r="IJ72" s="25"/>
      <c r="IK72" s="25"/>
      <c r="IL72" s="25"/>
      <c r="IM72" s="25"/>
      <c r="IN72" s="25"/>
      <c r="IO72" s="25"/>
      <c r="IP72" s="25"/>
      <c r="IQ72" s="25"/>
      <c r="IR72" s="25"/>
      <c r="IS72" s="25"/>
      <c r="IT72" s="25"/>
      <c r="IU72" s="25"/>
      <c r="IV72" s="25"/>
      <c r="IW72" s="25"/>
      <c r="IX72" s="25"/>
      <c r="IY72" s="25"/>
      <c r="IZ72" s="25"/>
      <c r="JA72" s="25"/>
      <c r="JB72" s="25"/>
      <c r="JC72" s="25"/>
      <c r="JD72" s="25"/>
      <c r="JE72" s="25"/>
      <c r="JF72" s="25"/>
      <c r="JG72" s="25"/>
      <c r="JH72" s="25"/>
      <c r="JI72" s="25"/>
      <c r="JJ72" s="25"/>
      <c r="JK72" s="25"/>
      <c r="JL72" s="25"/>
      <c r="JM72" s="25"/>
      <c r="JN72" s="25"/>
    </row>
    <row r="73" spans="2:274" ht="20.25" customHeight="1" x14ac:dyDescent="0.25">
      <c r="B73" s="245" t="s">
        <v>250</v>
      </c>
      <c r="C73" t="s">
        <v>242</v>
      </c>
      <c r="D73" s="15" t="s">
        <v>226</v>
      </c>
      <c r="E73" s="15" t="s">
        <v>227</v>
      </c>
      <c r="F73" s="21"/>
      <c r="G73" s="86"/>
      <c r="H73" s="92"/>
      <c r="I73" s="88"/>
      <c r="J73" s="89"/>
      <c r="K73" s="90"/>
      <c r="L73" s="22"/>
      <c r="M73" s="81"/>
      <c r="N73" s="23"/>
      <c r="O73" s="81"/>
      <c r="P73" s="81"/>
      <c r="Q73" s="24"/>
      <c r="R73" s="110"/>
      <c r="S73" s="114"/>
      <c r="T73" s="115"/>
      <c r="U73" s="116"/>
      <c r="V73" s="99"/>
      <c r="W73" s="100"/>
      <c r="X73" s="83"/>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v>0.5</v>
      </c>
      <c r="BA73" s="25">
        <v>0.5</v>
      </c>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5"/>
      <c r="HA73" s="25"/>
      <c r="HB73" s="25"/>
      <c r="HC73" s="25"/>
      <c r="HD73" s="25"/>
      <c r="HE73" s="25"/>
      <c r="HF73" s="25"/>
      <c r="HG73" s="25"/>
      <c r="HH73" s="25"/>
      <c r="HI73" s="25"/>
      <c r="HJ73" s="25"/>
      <c r="HK73" s="25"/>
      <c r="HL73" s="25"/>
      <c r="HM73" s="25"/>
      <c r="HN73" s="25"/>
      <c r="HO73" s="25"/>
      <c r="HP73" s="25"/>
      <c r="HQ73" s="25"/>
      <c r="HR73" s="25"/>
      <c r="HS73" s="25"/>
      <c r="HT73" s="25"/>
      <c r="HU73" s="25"/>
      <c r="HV73" s="25"/>
      <c r="HW73" s="25"/>
      <c r="HX73" s="25"/>
      <c r="HY73" s="25"/>
      <c r="HZ73" s="25"/>
      <c r="IA73" s="25"/>
      <c r="IB73" s="25"/>
      <c r="IC73" s="25"/>
      <c r="ID73" s="25"/>
      <c r="IE73" s="25"/>
      <c r="IF73" s="25"/>
      <c r="IG73" s="25"/>
      <c r="IH73" s="25"/>
      <c r="II73" s="25"/>
      <c r="IJ73" s="25"/>
      <c r="IK73" s="25"/>
      <c r="IL73" s="25"/>
      <c r="IM73" s="25"/>
      <c r="IN73" s="25"/>
      <c r="IO73" s="25"/>
      <c r="IP73" s="25"/>
      <c r="IQ73" s="25"/>
      <c r="IR73" s="25"/>
      <c r="IS73" s="25"/>
      <c r="IT73" s="25"/>
      <c r="IU73" s="25"/>
      <c r="IV73" s="25"/>
      <c r="IW73" s="25"/>
      <c r="IX73" s="25"/>
      <c r="IY73" s="25"/>
      <c r="IZ73" s="25"/>
      <c r="JA73" s="25"/>
      <c r="JB73" s="25"/>
      <c r="JC73" s="25"/>
      <c r="JD73" s="25"/>
      <c r="JE73" s="25"/>
      <c r="JF73" s="25"/>
      <c r="JG73" s="25"/>
      <c r="JH73" s="25"/>
      <c r="JI73" s="25"/>
      <c r="JJ73" s="25"/>
      <c r="JK73" s="25"/>
      <c r="JL73" s="25"/>
      <c r="JM73" s="25"/>
      <c r="JN73" s="25"/>
    </row>
    <row r="74" spans="2:274" ht="20.25" customHeight="1" x14ac:dyDescent="0.25">
      <c r="B74" s="245" t="s">
        <v>250</v>
      </c>
      <c r="C74" t="s">
        <v>242</v>
      </c>
      <c r="D74" s="15" t="s">
        <v>232</v>
      </c>
      <c r="E74" s="15" t="s">
        <v>233</v>
      </c>
      <c r="F74" s="21"/>
      <c r="G74" s="86"/>
      <c r="H74" s="92"/>
      <c r="I74" s="88"/>
      <c r="J74" s="89"/>
      <c r="K74" s="90"/>
      <c r="L74" s="22"/>
      <c r="M74" s="81"/>
      <c r="N74" s="23"/>
      <c r="O74" s="81"/>
      <c r="P74" s="81"/>
      <c r="Q74" s="24"/>
      <c r="R74" s="110"/>
      <c r="S74" s="114"/>
      <c r="T74" s="115"/>
      <c r="U74" s="116"/>
      <c r="V74" s="99"/>
      <c r="W74" s="100"/>
      <c r="X74" s="83"/>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v>0.5</v>
      </c>
      <c r="BA74" s="25">
        <v>0.5</v>
      </c>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5"/>
      <c r="HA74" s="25"/>
      <c r="HB74" s="25"/>
      <c r="HC74" s="25"/>
      <c r="HD74" s="25"/>
      <c r="HE74" s="25"/>
      <c r="HF74" s="25"/>
      <c r="HG74" s="25"/>
      <c r="HH74" s="25"/>
      <c r="HI74" s="25"/>
      <c r="HJ74" s="25"/>
      <c r="HK74" s="25"/>
      <c r="HL74" s="25"/>
      <c r="HM74" s="25"/>
      <c r="HN74" s="25"/>
      <c r="HO74" s="25"/>
      <c r="HP74" s="25"/>
      <c r="HQ74" s="25"/>
      <c r="HR74" s="25"/>
      <c r="HS74" s="25"/>
      <c r="HT74" s="25"/>
      <c r="HU74" s="25"/>
      <c r="HV74" s="25"/>
      <c r="HW74" s="25"/>
      <c r="HX74" s="25"/>
      <c r="HY74" s="25"/>
      <c r="HZ74" s="25"/>
      <c r="IA74" s="25"/>
      <c r="IB74" s="25"/>
      <c r="IC74" s="25"/>
      <c r="ID74" s="25"/>
      <c r="IE74" s="25"/>
      <c r="IF74" s="25"/>
      <c r="IG74" s="25"/>
      <c r="IH74" s="25"/>
      <c r="II74" s="25"/>
      <c r="IJ74" s="25"/>
      <c r="IK74" s="25"/>
      <c r="IL74" s="25"/>
      <c r="IM74" s="25"/>
      <c r="IN74" s="25"/>
      <c r="IO74" s="25"/>
      <c r="IP74" s="25"/>
      <c r="IQ74" s="25"/>
      <c r="IR74" s="25"/>
      <c r="IS74" s="25"/>
      <c r="IT74" s="25"/>
      <c r="IU74" s="25"/>
      <c r="IV74" s="25"/>
      <c r="IW74" s="25"/>
      <c r="IX74" s="25"/>
      <c r="IY74" s="25"/>
      <c r="IZ74" s="25"/>
      <c r="JA74" s="25"/>
      <c r="JB74" s="25"/>
      <c r="JC74" s="25"/>
      <c r="JD74" s="25"/>
      <c r="JE74" s="25"/>
      <c r="JF74" s="25"/>
      <c r="JG74" s="25"/>
      <c r="JH74" s="25"/>
      <c r="JI74" s="25"/>
      <c r="JJ74" s="25"/>
      <c r="JK74" s="25"/>
      <c r="JL74" s="25"/>
      <c r="JM74" s="25"/>
      <c r="JN74" s="25"/>
    </row>
    <row r="75" spans="2:274" ht="20.25" customHeight="1" x14ac:dyDescent="0.25">
      <c r="B75" s="245" t="s">
        <v>250</v>
      </c>
      <c r="C75" t="s">
        <v>242</v>
      </c>
      <c r="D75" s="15" t="s">
        <v>232</v>
      </c>
      <c r="E75" s="15" t="s">
        <v>227</v>
      </c>
      <c r="F75" s="21"/>
      <c r="G75" s="86"/>
      <c r="H75" s="92"/>
      <c r="I75" s="88"/>
      <c r="J75" s="89"/>
      <c r="K75" s="90"/>
      <c r="L75" s="22"/>
      <c r="M75" s="81"/>
      <c r="N75" s="23"/>
      <c r="O75" s="81"/>
      <c r="P75" s="81"/>
      <c r="Q75" s="24"/>
      <c r="R75" s="110"/>
      <c r="S75" s="114"/>
      <c r="T75" s="115"/>
      <c r="U75" s="116"/>
      <c r="V75" s="99"/>
      <c r="W75" s="100"/>
      <c r="X75" s="83"/>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v>0.5</v>
      </c>
      <c r="BA75" s="25">
        <v>0.5</v>
      </c>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5"/>
      <c r="GA75" s="25"/>
      <c r="GB75" s="25"/>
      <c r="GC75" s="25"/>
      <c r="GD75" s="25"/>
      <c r="GE75" s="25"/>
      <c r="GF75" s="25"/>
      <c r="GG75" s="25"/>
      <c r="GH75" s="25"/>
      <c r="GI75" s="25"/>
      <c r="GJ75" s="25"/>
      <c r="GK75" s="25"/>
      <c r="GL75" s="25"/>
      <c r="GM75" s="25"/>
      <c r="GN75" s="25"/>
      <c r="GO75" s="25"/>
      <c r="GP75" s="25"/>
      <c r="GQ75" s="25"/>
      <c r="GR75" s="25"/>
      <c r="GS75" s="25"/>
      <c r="GT75" s="25"/>
      <c r="GU75" s="25"/>
      <c r="GV75" s="25"/>
      <c r="GW75" s="25"/>
      <c r="GX75" s="25"/>
      <c r="GY75" s="25"/>
      <c r="GZ75" s="25"/>
      <c r="HA75" s="25"/>
      <c r="HB75" s="25"/>
      <c r="HC75" s="25"/>
      <c r="HD75" s="25"/>
      <c r="HE75" s="25"/>
      <c r="HF75" s="25"/>
      <c r="HG75" s="25"/>
      <c r="HH75" s="25"/>
      <c r="HI75" s="25"/>
      <c r="HJ75" s="25"/>
      <c r="HK75" s="25"/>
      <c r="HL75" s="25"/>
      <c r="HM75" s="25"/>
      <c r="HN75" s="25"/>
      <c r="HO75" s="25"/>
      <c r="HP75" s="25"/>
      <c r="HQ75" s="25"/>
      <c r="HR75" s="25"/>
      <c r="HS75" s="25"/>
      <c r="HT75" s="25"/>
      <c r="HU75" s="25"/>
      <c r="HV75" s="25"/>
      <c r="HW75" s="25"/>
      <c r="HX75" s="25"/>
      <c r="HY75" s="25"/>
      <c r="HZ75" s="25"/>
      <c r="IA75" s="25"/>
      <c r="IB75" s="25"/>
      <c r="IC75" s="25"/>
      <c r="ID75" s="25"/>
      <c r="IE75" s="25"/>
      <c r="IF75" s="25"/>
      <c r="IG75" s="25"/>
      <c r="IH75" s="25"/>
      <c r="II75" s="25"/>
      <c r="IJ75" s="25"/>
      <c r="IK75" s="25"/>
      <c r="IL75" s="25"/>
      <c r="IM75" s="25"/>
      <c r="IN75" s="25"/>
      <c r="IO75" s="25"/>
      <c r="IP75" s="25"/>
      <c r="IQ75" s="25"/>
      <c r="IR75" s="25"/>
      <c r="IS75" s="25"/>
      <c r="IT75" s="25"/>
      <c r="IU75" s="25"/>
      <c r="IV75" s="25"/>
      <c r="IW75" s="25"/>
      <c r="IX75" s="25"/>
      <c r="IY75" s="25"/>
      <c r="IZ75" s="25"/>
      <c r="JA75" s="25"/>
      <c r="JB75" s="25"/>
      <c r="JC75" s="25"/>
      <c r="JD75" s="25"/>
      <c r="JE75" s="25"/>
      <c r="JF75" s="25"/>
      <c r="JG75" s="25"/>
      <c r="JH75" s="25"/>
      <c r="JI75" s="25"/>
      <c r="JJ75" s="25"/>
      <c r="JK75" s="25"/>
      <c r="JL75" s="25"/>
      <c r="JM75" s="25"/>
      <c r="JN75" s="25"/>
    </row>
    <row r="76" spans="2:274" ht="20.25" customHeight="1" x14ac:dyDescent="0.25">
      <c r="B76" s="245" t="s">
        <v>250</v>
      </c>
      <c r="C76" t="s">
        <v>242</v>
      </c>
      <c r="D76" s="15" t="s">
        <v>239</v>
      </c>
      <c r="E76" s="15" t="s">
        <v>227</v>
      </c>
      <c r="F76" s="21"/>
      <c r="G76" s="86"/>
      <c r="H76" s="92"/>
      <c r="I76" s="88"/>
      <c r="J76" s="89"/>
      <c r="K76" s="90"/>
      <c r="L76" s="22"/>
      <c r="M76" s="81"/>
      <c r="N76" s="23"/>
      <c r="O76" s="81"/>
      <c r="P76" s="81"/>
      <c r="Q76" s="24"/>
      <c r="R76" s="110"/>
      <c r="S76" s="114"/>
      <c r="T76" s="115"/>
      <c r="U76" s="116"/>
      <c r="V76" s="99"/>
      <c r="W76" s="100"/>
      <c r="X76" s="83"/>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v>0.5</v>
      </c>
      <c r="BA76" s="25">
        <v>0.5</v>
      </c>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c r="GC76" s="25"/>
      <c r="GD76" s="25"/>
      <c r="GE76" s="25"/>
      <c r="GF76" s="25"/>
      <c r="GG76" s="25"/>
      <c r="GH76" s="25"/>
      <c r="GI76" s="25"/>
      <c r="GJ76" s="25"/>
      <c r="GK76" s="25"/>
      <c r="GL76" s="25"/>
      <c r="GM76" s="25"/>
      <c r="GN76" s="25"/>
      <c r="GO76" s="25"/>
      <c r="GP76" s="25"/>
      <c r="GQ76" s="25"/>
      <c r="GR76" s="25"/>
      <c r="GS76" s="25"/>
      <c r="GT76" s="25"/>
      <c r="GU76" s="25"/>
      <c r="GV76" s="25"/>
      <c r="GW76" s="25"/>
      <c r="GX76" s="25"/>
      <c r="GY76" s="25"/>
      <c r="GZ76" s="25"/>
      <c r="HA76" s="25"/>
      <c r="HB76" s="25"/>
      <c r="HC76" s="25"/>
      <c r="HD76" s="25"/>
      <c r="HE76" s="25"/>
      <c r="HF76" s="25"/>
      <c r="HG76" s="25"/>
      <c r="HH76" s="25"/>
      <c r="HI76" s="25"/>
      <c r="HJ76" s="25"/>
      <c r="HK76" s="25"/>
      <c r="HL76" s="25"/>
      <c r="HM76" s="25"/>
      <c r="HN76" s="25"/>
      <c r="HO76" s="25"/>
      <c r="HP76" s="25"/>
      <c r="HQ76" s="25"/>
      <c r="HR76" s="25"/>
      <c r="HS76" s="25"/>
      <c r="HT76" s="25"/>
      <c r="HU76" s="25"/>
      <c r="HV76" s="25"/>
      <c r="HW76" s="25"/>
      <c r="HX76" s="25"/>
      <c r="HY76" s="25"/>
      <c r="HZ76" s="25"/>
      <c r="IA76" s="25"/>
      <c r="IB76" s="25"/>
      <c r="IC76" s="25"/>
      <c r="ID76" s="25"/>
      <c r="IE76" s="25"/>
      <c r="IF76" s="25"/>
      <c r="IG76" s="25"/>
      <c r="IH76" s="25"/>
      <c r="II76" s="25"/>
      <c r="IJ76" s="25"/>
      <c r="IK76" s="25"/>
      <c r="IL76" s="25"/>
      <c r="IM76" s="25"/>
      <c r="IN76" s="25"/>
      <c r="IO76" s="25"/>
      <c r="IP76" s="25"/>
      <c r="IQ76" s="25"/>
      <c r="IR76" s="25"/>
      <c r="IS76" s="25"/>
      <c r="IT76" s="25"/>
      <c r="IU76" s="25"/>
      <c r="IV76" s="25"/>
      <c r="IW76" s="25"/>
      <c r="IX76" s="25"/>
      <c r="IY76" s="25"/>
      <c r="IZ76" s="25"/>
      <c r="JA76" s="25"/>
      <c r="JB76" s="25"/>
      <c r="JC76" s="25"/>
      <c r="JD76" s="25"/>
      <c r="JE76" s="25"/>
      <c r="JF76" s="25"/>
      <c r="JG76" s="25"/>
      <c r="JH76" s="25"/>
      <c r="JI76" s="25"/>
      <c r="JJ76" s="25"/>
      <c r="JK76" s="25"/>
      <c r="JL76" s="25"/>
      <c r="JM76" s="25"/>
      <c r="JN76" s="25"/>
    </row>
    <row r="77" spans="2:274" ht="20.25" customHeight="1" x14ac:dyDescent="0.25">
      <c r="B77" s="245" t="s">
        <v>250</v>
      </c>
      <c r="C77"/>
      <c r="F77" s="21"/>
      <c r="G77" s="86"/>
      <c r="H77" s="92"/>
      <c r="I77" s="88"/>
      <c r="J77" s="89"/>
      <c r="K77" s="90"/>
      <c r="L77" s="22"/>
      <c r="M77" s="81"/>
      <c r="N77" s="23"/>
      <c r="O77" s="81"/>
      <c r="P77" s="81"/>
      <c r="Q77" s="24"/>
      <c r="R77" s="110"/>
      <c r="S77" s="114"/>
      <c r="T77" s="115"/>
      <c r="U77" s="116"/>
      <c r="V77" s="99"/>
      <c r="W77" s="100"/>
      <c r="X77" s="83"/>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5"/>
      <c r="HA77" s="25"/>
      <c r="HB77" s="25"/>
      <c r="HC77" s="25"/>
      <c r="HD77" s="25"/>
      <c r="HE77" s="25"/>
      <c r="HF77" s="25"/>
      <c r="HG77" s="25"/>
      <c r="HH77" s="25"/>
      <c r="HI77" s="25"/>
      <c r="HJ77" s="25"/>
      <c r="HK77" s="25"/>
      <c r="HL77" s="25"/>
      <c r="HM77" s="25"/>
      <c r="HN77" s="25"/>
      <c r="HO77" s="25"/>
      <c r="HP77" s="25"/>
      <c r="HQ77" s="25"/>
      <c r="HR77" s="25"/>
      <c r="HS77" s="25"/>
      <c r="HT77" s="25"/>
      <c r="HU77" s="25"/>
      <c r="HV77" s="25"/>
      <c r="HW77" s="25"/>
      <c r="HX77" s="25"/>
      <c r="HY77" s="25"/>
      <c r="HZ77" s="25"/>
      <c r="IA77" s="25"/>
      <c r="IB77" s="25"/>
      <c r="IC77" s="25"/>
      <c r="ID77" s="25"/>
      <c r="IE77" s="25"/>
      <c r="IF77" s="25"/>
      <c r="IG77" s="25"/>
      <c r="IH77" s="25"/>
      <c r="II77" s="25"/>
      <c r="IJ77" s="25"/>
      <c r="IK77" s="25"/>
      <c r="IL77" s="25"/>
      <c r="IM77" s="25"/>
      <c r="IN77" s="25"/>
      <c r="IO77" s="25"/>
      <c r="IP77" s="25"/>
      <c r="IQ77" s="25"/>
      <c r="IR77" s="25"/>
      <c r="IS77" s="25"/>
      <c r="IT77" s="25"/>
      <c r="IU77" s="25"/>
      <c r="IV77" s="25"/>
      <c r="IW77" s="25"/>
      <c r="IX77" s="25"/>
      <c r="IY77" s="25"/>
      <c r="IZ77" s="25"/>
      <c r="JA77" s="25"/>
      <c r="JB77" s="25"/>
      <c r="JC77" s="25"/>
      <c r="JD77" s="25"/>
      <c r="JE77" s="25"/>
      <c r="JF77" s="25"/>
      <c r="JG77" s="25"/>
      <c r="JH77" s="25"/>
      <c r="JI77" s="25"/>
      <c r="JJ77" s="25"/>
      <c r="JK77" s="25"/>
      <c r="JL77" s="25"/>
      <c r="JM77" s="25"/>
      <c r="JN77" s="25"/>
    </row>
    <row r="78" spans="2:274" ht="20.25" customHeight="1" x14ac:dyDescent="0.25">
      <c r="B78" s="248" t="s">
        <v>255</v>
      </c>
      <c r="C78" t="s">
        <v>256</v>
      </c>
      <c r="D78" s="15" t="s">
        <v>226</v>
      </c>
      <c r="E78" s="15" t="s">
        <v>227</v>
      </c>
      <c r="F78" s="21"/>
      <c r="G78" s="86" cm="1">
        <f t="array" aca="1" ref="G78" ca="1">IFERROR(INDEX(Panel_Rates[[1]:[12]],MATCH(Panel_New&amp;Category_New,Panel_Rates[Panel]&amp;Panel_Rates[Category],0),MATCH('Time Plan HY'!E78,OFFSET(Variable!$AF$2,MATCH(Panel_New&amp;Category_New,Panel_Rates[Panel]&amp;Panel_Rates[Category],0)-1,0,1,12),0))/8,"")</f>
        <v>275</v>
      </c>
      <c r="H78" s="92"/>
      <c r="I78" s="88">
        <f t="shared" ca="1" si="21"/>
        <v>275</v>
      </c>
      <c r="J78" s="89">
        <f t="shared" ca="1" si="22"/>
        <v>2200</v>
      </c>
      <c r="K78" s="90" t="str">
        <f>IFERROR(_xlfn.XLOOKUP(D78,CostTableLookup[Name],CostTableLookup[Gross Cost]),"")</f>
        <v/>
      </c>
      <c r="L78" s="22"/>
      <c r="M78" s="81">
        <f t="shared" ca="1" si="25"/>
        <v>0</v>
      </c>
      <c r="N78" s="23"/>
      <c r="O78" s="81">
        <f t="shared" ca="1" si="26"/>
        <v>0</v>
      </c>
      <c r="P78" s="81">
        <f t="shared" ca="1" si="23"/>
        <v>0</v>
      </c>
      <c r="Q78" s="24" t="str">
        <f t="shared" si="24"/>
        <v/>
      </c>
      <c r="R78" s="110" t="str">
        <f t="shared" ca="1" si="27"/>
        <v/>
      </c>
      <c r="S78" s="114">
        <f t="shared" ref="S78" ca="1" si="57">IFERROR(SUM(OFFSET(Y78,0,MATCH(Forecast_New,$Y$3:$WQ$3,0)-1,1,500))*40,"")</f>
        <v>220</v>
      </c>
      <c r="T78" s="115">
        <f t="shared" ca="1" si="29"/>
        <v>27.5</v>
      </c>
      <c r="U78" s="116">
        <f t="shared" ca="1" si="55"/>
        <v>60500</v>
      </c>
      <c r="V78" s="99" t="str">
        <f t="shared" ca="1" si="56"/>
        <v/>
      </c>
      <c r="W78" s="100">
        <f t="shared" ca="1" si="32"/>
        <v>-60500</v>
      </c>
      <c r="X78" s="83" t="str">
        <f t="shared" ca="1" si="33"/>
        <v/>
      </c>
      <c r="Y78" s="25"/>
      <c r="Z78" s="25"/>
      <c r="AA78" s="25"/>
      <c r="AB78" s="25"/>
      <c r="AC78" s="25"/>
      <c r="AD78" s="25"/>
      <c r="AE78" s="25"/>
      <c r="AF78" s="25"/>
      <c r="AG78" s="25"/>
      <c r="AH78" s="25"/>
      <c r="AI78" s="25"/>
      <c r="AJ78" s="25"/>
      <c r="AK78" s="25"/>
      <c r="AL78" s="25"/>
      <c r="AM78" s="25"/>
      <c r="AN78" s="25"/>
      <c r="AO78" s="25">
        <v>0.5</v>
      </c>
      <c r="AP78" s="25">
        <v>0.5</v>
      </c>
      <c r="AQ78" s="25">
        <v>0.5</v>
      </c>
      <c r="AR78" s="25">
        <v>1</v>
      </c>
      <c r="AS78" s="25">
        <v>0.5</v>
      </c>
      <c r="AT78" s="25">
        <v>0.5</v>
      </c>
      <c r="AU78" s="25"/>
      <c r="AV78" s="25"/>
      <c r="AW78" s="25"/>
      <c r="AX78" s="25"/>
      <c r="AY78" s="25"/>
      <c r="AZ78" s="25"/>
      <c r="BA78" s="25"/>
      <c r="BB78" s="25"/>
      <c r="BC78" s="25"/>
      <c r="BD78" s="25">
        <v>1</v>
      </c>
      <c r="BE78" s="25">
        <v>1</v>
      </c>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5"/>
      <c r="HA78" s="25"/>
      <c r="HB78" s="25"/>
      <c r="HC78" s="25"/>
      <c r="HD78" s="25"/>
      <c r="HE78" s="25"/>
      <c r="HF78" s="25"/>
      <c r="HG78" s="25"/>
      <c r="HH78" s="25"/>
      <c r="HI78" s="25"/>
      <c r="HJ78" s="25"/>
      <c r="HK78" s="25"/>
      <c r="HL78" s="25"/>
      <c r="HM78" s="25"/>
      <c r="HN78" s="25"/>
      <c r="HO78" s="25"/>
      <c r="HP78" s="25"/>
      <c r="HQ78" s="25"/>
      <c r="HR78" s="25"/>
      <c r="HS78" s="25"/>
      <c r="HT78" s="25"/>
      <c r="HU78" s="25"/>
      <c r="HV78" s="25"/>
      <c r="HW78" s="25"/>
      <c r="HX78" s="25"/>
      <c r="HY78" s="25"/>
      <c r="HZ78" s="25"/>
      <c r="IA78" s="25"/>
      <c r="IB78" s="25"/>
      <c r="IC78" s="25"/>
      <c r="ID78" s="25"/>
      <c r="IE78" s="25"/>
      <c r="IF78" s="25"/>
      <c r="IG78" s="25"/>
      <c r="IH78" s="25"/>
      <c r="II78" s="25"/>
      <c r="IJ78" s="25"/>
      <c r="IK78" s="25"/>
      <c r="IL78" s="25"/>
      <c r="IM78" s="25"/>
      <c r="IN78" s="25"/>
      <c r="IO78" s="25"/>
      <c r="IP78" s="25"/>
      <c r="IQ78" s="25"/>
      <c r="IR78" s="25"/>
      <c r="IS78" s="25"/>
      <c r="IT78" s="25"/>
      <c r="IU78" s="25"/>
      <c r="IV78" s="25"/>
      <c r="IW78" s="25"/>
      <c r="IX78" s="25"/>
      <c r="IY78" s="25"/>
      <c r="IZ78" s="25"/>
      <c r="JA78" s="25"/>
      <c r="JB78" s="25"/>
      <c r="JC78" s="25"/>
      <c r="JD78" s="25"/>
      <c r="JE78" s="25"/>
      <c r="JF78" s="25"/>
      <c r="JG78" s="25"/>
      <c r="JH78" s="25"/>
      <c r="JI78" s="25"/>
      <c r="JJ78" s="25"/>
      <c r="JK78" s="25"/>
      <c r="JL78" s="25"/>
      <c r="JM78" s="25"/>
      <c r="JN78" s="25"/>
    </row>
    <row r="79" spans="2:274" ht="20.25" customHeight="1" x14ac:dyDescent="0.25">
      <c r="B79" s="248" t="s">
        <v>255</v>
      </c>
      <c r="C79" t="s">
        <v>256</v>
      </c>
      <c r="D79" s="15" t="s">
        <v>230</v>
      </c>
      <c r="E79" s="15" t="s">
        <v>227</v>
      </c>
      <c r="F79" s="21"/>
      <c r="G79" s="86"/>
      <c r="H79" s="92"/>
      <c r="I79" s="88"/>
      <c r="J79" s="89"/>
      <c r="K79" s="90"/>
      <c r="L79" s="22"/>
      <c r="M79" s="81"/>
      <c r="N79" s="23"/>
      <c r="O79" s="81"/>
      <c r="P79" s="81"/>
      <c r="Q79" s="24"/>
      <c r="R79" s="110"/>
      <c r="S79" s="114"/>
      <c r="T79" s="115"/>
      <c r="U79" s="116"/>
      <c r="V79" s="99"/>
      <c r="W79" s="100"/>
      <c r="X79" s="83"/>
      <c r="Y79" s="25"/>
      <c r="Z79" s="25"/>
      <c r="AA79" s="25"/>
      <c r="AB79" s="25"/>
      <c r="AC79" s="25"/>
      <c r="AD79" s="25"/>
      <c r="AE79" s="25"/>
      <c r="AF79" s="25"/>
      <c r="AG79" s="25"/>
      <c r="AH79" s="25"/>
      <c r="AI79" s="25"/>
      <c r="AJ79" s="25"/>
      <c r="AK79" s="25"/>
      <c r="AL79" s="25"/>
      <c r="AM79" s="25"/>
      <c r="AN79" s="25"/>
      <c r="AO79" s="25">
        <v>0.5</v>
      </c>
      <c r="AP79" s="25">
        <v>0.5</v>
      </c>
      <c r="AQ79" s="25">
        <v>0.5</v>
      </c>
      <c r="AR79" s="25">
        <v>1</v>
      </c>
      <c r="AS79" s="25">
        <v>0.5</v>
      </c>
      <c r="AT79" s="25">
        <v>0.5</v>
      </c>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c r="FD79" s="25"/>
      <c r="FE79" s="25"/>
      <c r="FF79" s="25"/>
      <c r="FG79" s="25"/>
      <c r="FH79" s="25"/>
      <c r="FI79" s="25"/>
      <c r="FJ79" s="25"/>
      <c r="FK79" s="25"/>
      <c r="FL79" s="25"/>
      <c r="FM79" s="25"/>
      <c r="FN79" s="25"/>
      <c r="FO79" s="25"/>
      <c r="FP79" s="25"/>
      <c r="FQ79" s="25"/>
      <c r="FR79" s="25"/>
      <c r="FS79" s="25"/>
      <c r="FT79" s="25"/>
      <c r="FU79" s="25"/>
      <c r="FV79" s="25"/>
      <c r="FW79" s="25"/>
      <c r="FX79" s="25"/>
      <c r="FY79" s="25"/>
      <c r="FZ79" s="25"/>
      <c r="GA79" s="25"/>
      <c r="GB79" s="25"/>
      <c r="GC79" s="25"/>
      <c r="GD79" s="25"/>
      <c r="GE79" s="25"/>
      <c r="GF79" s="25"/>
      <c r="GG79" s="25"/>
      <c r="GH79" s="25"/>
      <c r="GI79" s="25"/>
      <c r="GJ79" s="25"/>
      <c r="GK79" s="25"/>
      <c r="GL79" s="25"/>
      <c r="GM79" s="25"/>
      <c r="GN79" s="25"/>
      <c r="GO79" s="25"/>
      <c r="GP79" s="25"/>
      <c r="GQ79" s="25"/>
      <c r="GR79" s="25"/>
      <c r="GS79" s="25"/>
      <c r="GT79" s="25"/>
      <c r="GU79" s="25"/>
      <c r="GV79" s="25"/>
      <c r="GW79" s="25"/>
      <c r="GX79" s="25"/>
      <c r="GY79" s="25"/>
      <c r="GZ79" s="25"/>
      <c r="HA79" s="25"/>
      <c r="HB79" s="25"/>
      <c r="HC79" s="25"/>
      <c r="HD79" s="25"/>
      <c r="HE79" s="25"/>
      <c r="HF79" s="25"/>
      <c r="HG79" s="25"/>
      <c r="HH79" s="25"/>
      <c r="HI79" s="25"/>
      <c r="HJ79" s="25"/>
      <c r="HK79" s="25"/>
      <c r="HL79" s="25"/>
      <c r="HM79" s="25"/>
      <c r="HN79" s="25"/>
      <c r="HO79" s="25"/>
      <c r="HP79" s="25"/>
      <c r="HQ79" s="25"/>
      <c r="HR79" s="25"/>
      <c r="HS79" s="25"/>
      <c r="HT79" s="25"/>
      <c r="HU79" s="25"/>
      <c r="HV79" s="25"/>
      <c r="HW79" s="25"/>
      <c r="HX79" s="25"/>
      <c r="HY79" s="25"/>
      <c r="HZ79" s="25"/>
      <c r="IA79" s="25"/>
      <c r="IB79" s="25"/>
      <c r="IC79" s="25"/>
      <c r="ID79" s="25"/>
      <c r="IE79" s="25"/>
      <c r="IF79" s="25"/>
      <c r="IG79" s="25"/>
      <c r="IH79" s="25"/>
      <c r="II79" s="25"/>
      <c r="IJ79" s="25"/>
      <c r="IK79" s="25"/>
      <c r="IL79" s="25"/>
      <c r="IM79" s="25"/>
      <c r="IN79" s="25"/>
      <c r="IO79" s="25"/>
      <c r="IP79" s="25"/>
      <c r="IQ79" s="25"/>
      <c r="IR79" s="25"/>
      <c r="IS79" s="25"/>
      <c r="IT79" s="25"/>
      <c r="IU79" s="25"/>
      <c r="IV79" s="25"/>
      <c r="IW79" s="25"/>
      <c r="IX79" s="25"/>
      <c r="IY79" s="25"/>
      <c r="IZ79" s="25"/>
      <c r="JA79" s="25"/>
      <c r="JB79" s="25"/>
      <c r="JC79" s="25"/>
      <c r="JD79" s="25"/>
      <c r="JE79" s="25"/>
      <c r="JF79" s="25"/>
      <c r="JG79" s="25"/>
      <c r="JH79" s="25"/>
      <c r="JI79" s="25"/>
      <c r="JJ79" s="25"/>
      <c r="JK79" s="25"/>
      <c r="JL79" s="25"/>
      <c r="JM79" s="25"/>
      <c r="JN79" s="25"/>
    </row>
    <row r="80" spans="2:274" ht="20.25" customHeight="1" x14ac:dyDescent="0.25">
      <c r="B80" s="248" t="s">
        <v>255</v>
      </c>
      <c r="C80" t="s">
        <v>256</v>
      </c>
      <c r="D80" s="15" t="s">
        <v>232</v>
      </c>
      <c r="E80" s="15" t="s">
        <v>233</v>
      </c>
      <c r="F80" s="21"/>
      <c r="G80" s="86"/>
      <c r="H80" s="92"/>
      <c r="I80" s="88"/>
      <c r="J80" s="89"/>
      <c r="K80" s="90"/>
      <c r="L80" s="22"/>
      <c r="M80" s="81"/>
      <c r="N80" s="23"/>
      <c r="O80" s="81"/>
      <c r="P80" s="81"/>
      <c r="Q80" s="24"/>
      <c r="R80" s="110"/>
      <c r="S80" s="114"/>
      <c r="T80" s="115"/>
      <c r="U80" s="116"/>
      <c r="V80" s="99"/>
      <c r="W80" s="100"/>
      <c r="X80" s="83"/>
      <c r="Y80" s="25"/>
      <c r="Z80" s="25"/>
      <c r="AA80" s="25"/>
      <c r="AB80" s="25"/>
      <c r="AC80" s="25"/>
      <c r="AD80" s="25"/>
      <c r="AE80" s="25"/>
      <c r="AF80" s="25"/>
      <c r="AG80" s="25"/>
      <c r="AH80" s="25"/>
      <c r="AI80" s="25"/>
      <c r="AJ80" s="25"/>
      <c r="AK80" s="25"/>
      <c r="AL80" s="25"/>
      <c r="AM80" s="25"/>
      <c r="AN80" s="25"/>
      <c r="AO80" s="25">
        <v>0.5</v>
      </c>
      <c r="AP80" s="25">
        <v>0.5</v>
      </c>
      <c r="AQ80" s="25">
        <v>0.5</v>
      </c>
      <c r="AR80" s="25">
        <v>1</v>
      </c>
      <c r="AS80" s="25">
        <v>0.5</v>
      </c>
      <c r="AT80" s="25">
        <v>0.5</v>
      </c>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c r="GC80" s="25"/>
      <c r="GD80" s="25"/>
      <c r="GE80" s="25"/>
      <c r="GF80" s="25"/>
      <c r="GG80" s="25"/>
      <c r="GH80" s="25"/>
      <c r="GI80" s="25"/>
      <c r="GJ80" s="25"/>
      <c r="GK80" s="25"/>
      <c r="GL80" s="25"/>
      <c r="GM80" s="25"/>
      <c r="GN80" s="25"/>
      <c r="GO80" s="25"/>
      <c r="GP80" s="25"/>
      <c r="GQ80" s="25"/>
      <c r="GR80" s="25"/>
      <c r="GS80" s="25"/>
      <c r="GT80" s="25"/>
      <c r="GU80" s="25"/>
      <c r="GV80" s="25"/>
      <c r="GW80" s="25"/>
      <c r="GX80" s="25"/>
      <c r="GY80" s="25"/>
      <c r="GZ80" s="25"/>
      <c r="HA80" s="25"/>
      <c r="HB80" s="25"/>
      <c r="HC80" s="25"/>
      <c r="HD80" s="25"/>
      <c r="HE80" s="25"/>
      <c r="HF80" s="25"/>
      <c r="HG80" s="25"/>
      <c r="HH80" s="25"/>
      <c r="HI80" s="25"/>
      <c r="HJ80" s="25"/>
      <c r="HK80" s="25"/>
      <c r="HL80" s="25"/>
      <c r="HM80" s="25"/>
      <c r="HN80" s="25"/>
      <c r="HO80" s="25"/>
      <c r="HP80" s="25"/>
      <c r="HQ80" s="25"/>
      <c r="HR80" s="25"/>
      <c r="HS80" s="25"/>
      <c r="HT80" s="25"/>
      <c r="HU80" s="25"/>
      <c r="HV80" s="25"/>
      <c r="HW80" s="25"/>
      <c r="HX80" s="25"/>
      <c r="HY80" s="25"/>
      <c r="HZ80" s="25"/>
      <c r="IA80" s="25"/>
      <c r="IB80" s="25"/>
      <c r="IC80" s="25"/>
      <c r="ID80" s="25"/>
      <c r="IE80" s="25"/>
      <c r="IF80" s="25"/>
      <c r="IG80" s="25"/>
      <c r="IH80" s="25"/>
      <c r="II80" s="25"/>
      <c r="IJ80" s="25"/>
      <c r="IK80" s="25"/>
      <c r="IL80" s="25"/>
      <c r="IM80" s="25"/>
      <c r="IN80" s="25"/>
      <c r="IO80" s="25"/>
      <c r="IP80" s="25"/>
      <c r="IQ80" s="25"/>
      <c r="IR80" s="25"/>
      <c r="IS80" s="25"/>
      <c r="IT80" s="25"/>
      <c r="IU80" s="25"/>
      <c r="IV80" s="25"/>
      <c r="IW80" s="25"/>
      <c r="IX80" s="25"/>
      <c r="IY80" s="25"/>
      <c r="IZ80" s="25"/>
      <c r="JA80" s="25"/>
      <c r="JB80" s="25"/>
      <c r="JC80" s="25"/>
      <c r="JD80" s="25"/>
      <c r="JE80" s="25"/>
      <c r="JF80" s="25"/>
      <c r="JG80" s="25"/>
      <c r="JH80" s="25"/>
      <c r="JI80" s="25"/>
      <c r="JJ80" s="25"/>
      <c r="JK80" s="25"/>
      <c r="JL80" s="25"/>
      <c r="JM80" s="25"/>
      <c r="JN80" s="25"/>
    </row>
    <row r="81" spans="2:274" ht="20.25" customHeight="1" x14ac:dyDescent="0.25">
      <c r="B81" s="248"/>
      <c r="C81" t="s">
        <v>256</v>
      </c>
      <c r="D81" s="15" t="s">
        <v>239</v>
      </c>
      <c r="E81" s="15" t="s">
        <v>227</v>
      </c>
      <c r="F81" s="21"/>
      <c r="G81" s="86"/>
      <c r="H81" s="92"/>
      <c r="I81" s="88"/>
      <c r="J81" s="89"/>
      <c r="K81" s="90"/>
      <c r="L81" s="22"/>
      <c r="M81" s="81"/>
      <c r="N81" s="23"/>
      <c r="O81" s="81"/>
      <c r="P81" s="81"/>
      <c r="Q81" s="24"/>
      <c r="R81" s="110"/>
      <c r="S81" s="114"/>
      <c r="T81" s="115"/>
      <c r="U81" s="116"/>
      <c r="V81" s="99"/>
      <c r="W81" s="100"/>
      <c r="X81" s="83"/>
      <c r="Y81" s="25"/>
      <c r="Z81" s="25"/>
      <c r="AA81" s="25"/>
      <c r="AB81" s="25"/>
      <c r="AC81" s="25"/>
      <c r="AD81" s="25"/>
      <c r="AE81" s="25"/>
      <c r="AF81" s="25"/>
      <c r="AG81" s="25"/>
      <c r="AH81" s="25"/>
      <c r="AI81" s="25"/>
      <c r="AJ81" s="25"/>
      <c r="AK81" s="25"/>
      <c r="AL81" s="25"/>
      <c r="AM81" s="25"/>
      <c r="AN81" s="25"/>
      <c r="AO81" s="25">
        <v>0.5</v>
      </c>
      <c r="AP81" s="25">
        <v>0.5</v>
      </c>
      <c r="AQ81" s="25">
        <v>0.5</v>
      </c>
      <c r="AR81" s="25">
        <v>1</v>
      </c>
      <c r="AS81" s="25">
        <v>0.5</v>
      </c>
      <c r="AT81" s="25">
        <v>0.5</v>
      </c>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c r="FL81" s="25"/>
      <c r="FM81" s="25"/>
      <c r="FN81" s="25"/>
      <c r="FO81" s="25"/>
      <c r="FP81" s="25"/>
      <c r="FQ81" s="25"/>
      <c r="FR81" s="25"/>
      <c r="FS81" s="25"/>
      <c r="FT81" s="25"/>
      <c r="FU81" s="25"/>
      <c r="FV81" s="25"/>
      <c r="FW81" s="25"/>
      <c r="FX81" s="25"/>
      <c r="FY81" s="25"/>
      <c r="FZ81" s="25"/>
      <c r="GA81" s="25"/>
      <c r="GB81" s="25"/>
      <c r="GC81" s="25"/>
      <c r="GD81" s="25"/>
      <c r="GE81" s="25"/>
      <c r="GF81" s="25"/>
      <c r="GG81" s="25"/>
      <c r="GH81" s="25"/>
      <c r="GI81" s="25"/>
      <c r="GJ81" s="25"/>
      <c r="GK81" s="25"/>
      <c r="GL81" s="25"/>
      <c r="GM81" s="25"/>
      <c r="GN81" s="25"/>
      <c r="GO81" s="25"/>
      <c r="GP81" s="25"/>
      <c r="GQ81" s="25"/>
      <c r="GR81" s="25"/>
      <c r="GS81" s="25"/>
      <c r="GT81" s="25"/>
      <c r="GU81" s="25"/>
      <c r="GV81" s="25"/>
      <c r="GW81" s="25"/>
      <c r="GX81" s="25"/>
      <c r="GY81" s="25"/>
      <c r="GZ81" s="25"/>
      <c r="HA81" s="25"/>
      <c r="HB81" s="25"/>
      <c r="HC81" s="25"/>
      <c r="HD81" s="25"/>
      <c r="HE81" s="25"/>
      <c r="HF81" s="25"/>
      <c r="HG81" s="25"/>
      <c r="HH81" s="25"/>
      <c r="HI81" s="25"/>
      <c r="HJ81" s="25"/>
      <c r="HK81" s="25"/>
      <c r="HL81" s="25"/>
      <c r="HM81" s="25"/>
      <c r="HN81" s="25"/>
      <c r="HO81" s="25"/>
      <c r="HP81" s="25"/>
      <c r="HQ81" s="25"/>
      <c r="HR81" s="25"/>
      <c r="HS81" s="25"/>
      <c r="HT81" s="25"/>
      <c r="HU81" s="25"/>
      <c r="HV81" s="25"/>
      <c r="HW81" s="25"/>
      <c r="HX81" s="25"/>
      <c r="HY81" s="25"/>
      <c r="HZ81" s="25"/>
      <c r="IA81" s="25"/>
      <c r="IB81" s="25"/>
      <c r="IC81" s="25"/>
      <c r="ID81" s="25"/>
      <c r="IE81" s="25"/>
      <c r="IF81" s="25"/>
      <c r="IG81" s="25"/>
      <c r="IH81" s="25"/>
      <c r="II81" s="25"/>
      <c r="IJ81" s="25"/>
      <c r="IK81" s="25"/>
      <c r="IL81" s="25"/>
      <c r="IM81" s="25"/>
      <c r="IN81" s="25"/>
      <c r="IO81" s="25"/>
      <c r="IP81" s="25"/>
      <c r="IQ81" s="25"/>
      <c r="IR81" s="25"/>
      <c r="IS81" s="25"/>
      <c r="IT81" s="25"/>
      <c r="IU81" s="25"/>
      <c r="IV81" s="25"/>
      <c r="IW81" s="25"/>
      <c r="IX81" s="25"/>
      <c r="IY81" s="25"/>
      <c r="IZ81" s="25"/>
      <c r="JA81" s="25"/>
      <c r="JB81" s="25"/>
      <c r="JC81" s="25"/>
      <c r="JD81" s="25"/>
      <c r="JE81" s="25"/>
      <c r="JF81" s="25"/>
      <c r="JG81" s="25"/>
      <c r="JH81" s="25"/>
      <c r="JI81" s="25"/>
      <c r="JJ81" s="25"/>
      <c r="JK81" s="25"/>
      <c r="JL81" s="25"/>
      <c r="JM81" s="25"/>
      <c r="JN81" s="25"/>
    </row>
    <row r="82" spans="2:274" ht="20.25" customHeight="1" x14ac:dyDescent="0.25">
      <c r="B82" s="248" t="s">
        <v>255</v>
      </c>
      <c r="C82"/>
      <c r="F82" s="21"/>
      <c r="G82" s="86"/>
      <c r="H82" s="92"/>
      <c r="I82" s="88"/>
      <c r="J82" s="89"/>
      <c r="K82" s="90"/>
      <c r="L82" s="22"/>
      <c r="M82" s="81"/>
      <c r="N82" s="23"/>
      <c r="O82" s="81"/>
      <c r="P82" s="81"/>
      <c r="Q82" s="24"/>
      <c r="R82" s="110"/>
      <c r="S82" s="114"/>
      <c r="T82" s="115"/>
      <c r="U82" s="116"/>
      <c r="V82" s="99"/>
      <c r="W82" s="100"/>
      <c r="X82" s="83"/>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c r="FY82" s="25"/>
      <c r="FZ82" s="25"/>
      <c r="GA82" s="25"/>
      <c r="GB82" s="25"/>
      <c r="GC82" s="25"/>
      <c r="GD82" s="25"/>
      <c r="GE82" s="25"/>
      <c r="GF82" s="25"/>
      <c r="GG82" s="25"/>
      <c r="GH82" s="25"/>
      <c r="GI82" s="25"/>
      <c r="GJ82" s="25"/>
      <c r="GK82" s="25"/>
      <c r="GL82" s="25"/>
      <c r="GM82" s="25"/>
      <c r="GN82" s="25"/>
      <c r="GO82" s="25"/>
      <c r="GP82" s="25"/>
      <c r="GQ82" s="25"/>
      <c r="GR82" s="25"/>
      <c r="GS82" s="25"/>
      <c r="GT82" s="25"/>
      <c r="GU82" s="25"/>
      <c r="GV82" s="25"/>
      <c r="GW82" s="25"/>
      <c r="GX82" s="25"/>
      <c r="GY82" s="25"/>
      <c r="GZ82" s="25"/>
      <c r="HA82" s="25"/>
      <c r="HB82" s="25"/>
      <c r="HC82" s="25"/>
      <c r="HD82" s="25"/>
      <c r="HE82" s="25"/>
      <c r="HF82" s="25"/>
      <c r="HG82" s="25"/>
      <c r="HH82" s="25"/>
      <c r="HI82" s="25"/>
      <c r="HJ82" s="25"/>
      <c r="HK82" s="25"/>
      <c r="HL82" s="25"/>
      <c r="HM82" s="25"/>
      <c r="HN82" s="25"/>
      <c r="HO82" s="25"/>
      <c r="HP82" s="25"/>
      <c r="HQ82" s="25"/>
      <c r="HR82" s="25"/>
      <c r="HS82" s="25"/>
      <c r="HT82" s="25"/>
      <c r="HU82" s="25"/>
      <c r="HV82" s="25"/>
      <c r="HW82" s="25"/>
      <c r="HX82" s="25"/>
      <c r="HY82" s="25"/>
      <c r="HZ82" s="25"/>
      <c r="IA82" s="25"/>
      <c r="IB82" s="25"/>
      <c r="IC82" s="25"/>
      <c r="ID82" s="25"/>
      <c r="IE82" s="25"/>
      <c r="IF82" s="25"/>
      <c r="IG82" s="25"/>
      <c r="IH82" s="25"/>
      <c r="II82" s="25"/>
      <c r="IJ82" s="25"/>
      <c r="IK82" s="25"/>
      <c r="IL82" s="25"/>
      <c r="IM82" s="25"/>
      <c r="IN82" s="25"/>
      <c r="IO82" s="25"/>
      <c r="IP82" s="25"/>
      <c r="IQ82" s="25"/>
      <c r="IR82" s="25"/>
      <c r="IS82" s="25"/>
      <c r="IT82" s="25"/>
      <c r="IU82" s="25"/>
      <c r="IV82" s="25"/>
      <c r="IW82" s="25"/>
      <c r="IX82" s="25"/>
      <c r="IY82" s="25"/>
      <c r="IZ82" s="25"/>
      <c r="JA82" s="25"/>
      <c r="JB82" s="25"/>
      <c r="JC82" s="25"/>
      <c r="JD82" s="25"/>
      <c r="JE82" s="25"/>
      <c r="JF82" s="25"/>
      <c r="JG82" s="25"/>
      <c r="JH82" s="25"/>
      <c r="JI82" s="25"/>
      <c r="JJ82" s="25"/>
      <c r="JK82" s="25"/>
      <c r="JL82" s="25"/>
      <c r="JM82" s="25"/>
      <c r="JN82" s="25"/>
    </row>
    <row r="83" spans="2:274" ht="20.25" customHeight="1" x14ac:dyDescent="0.25">
      <c r="B83" s="248" t="s">
        <v>255</v>
      </c>
      <c r="C83" t="s">
        <v>257</v>
      </c>
      <c r="D83" s="15" t="s">
        <v>226</v>
      </c>
      <c r="E83" s="15" t="s">
        <v>227</v>
      </c>
      <c r="F83" s="21"/>
      <c r="G83" s="86"/>
      <c r="H83" s="92"/>
      <c r="I83" s="88"/>
      <c r="J83" s="89"/>
      <c r="K83" s="90"/>
      <c r="L83" s="22"/>
      <c r="M83" s="81"/>
      <c r="N83" s="23"/>
      <c r="O83" s="81"/>
      <c r="P83" s="81"/>
      <c r="Q83" s="24"/>
      <c r="R83" s="110"/>
      <c r="S83" s="114"/>
      <c r="T83" s="115"/>
      <c r="U83" s="116"/>
      <c r="V83" s="99"/>
      <c r="W83" s="100"/>
      <c r="X83" s="83"/>
      <c r="Y83" s="25"/>
      <c r="Z83" s="25"/>
      <c r="AA83" s="25"/>
      <c r="AB83" s="25"/>
      <c r="AC83" s="25"/>
      <c r="AD83" s="25"/>
      <c r="AE83" s="25"/>
      <c r="AF83" s="25"/>
      <c r="AG83" s="25"/>
      <c r="AH83" s="25"/>
      <c r="AI83" s="25"/>
      <c r="AJ83" s="25"/>
      <c r="AK83" s="25"/>
      <c r="AL83" s="25"/>
      <c r="AM83" s="25"/>
      <c r="AN83" s="25"/>
      <c r="AO83" s="25"/>
      <c r="AP83" s="25"/>
      <c r="AQ83" s="25"/>
      <c r="AR83" s="25"/>
      <c r="AS83" s="25"/>
      <c r="AT83" s="25"/>
      <c r="AU83" s="25">
        <v>0.5</v>
      </c>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5"/>
      <c r="EN83" s="25"/>
      <c r="EO83" s="25"/>
      <c r="EP83" s="25"/>
      <c r="EQ83" s="25"/>
      <c r="ER83" s="25"/>
      <c r="ES83" s="25"/>
      <c r="ET83" s="25"/>
      <c r="EU83" s="25"/>
      <c r="EV83" s="25"/>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5"/>
      <c r="GA83" s="25"/>
      <c r="GB83" s="25"/>
      <c r="GC83" s="25"/>
      <c r="GD83" s="25"/>
      <c r="GE83" s="25"/>
      <c r="GF83" s="25"/>
      <c r="GG83" s="25"/>
      <c r="GH83" s="25"/>
      <c r="GI83" s="25"/>
      <c r="GJ83" s="25"/>
      <c r="GK83" s="25"/>
      <c r="GL83" s="25"/>
      <c r="GM83" s="25"/>
      <c r="GN83" s="25"/>
      <c r="GO83" s="25"/>
      <c r="GP83" s="25"/>
      <c r="GQ83" s="25"/>
      <c r="GR83" s="25"/>
      <c r="GS83" s="25"/>
      <c r="GT83" s="25"/>
      <c r="GU83" s="25"/>
      <c r="GV83" s="25"/>
      <c r="GW83" s="25"/>
      <c r="GX83" s="25"/>
      <c r="GY83" s="25"/>
      <c r="GZ83" s="25"/>
      <c r="HA83" s="25"/>
      <c r="HB83" s="25"/>
      <c r="HC83" s="25"/>
      <c r="HD83" s="25"/>
      <c r="HE83" s="25"/>
      <c r="HF83" s="25"/>
      <c r="HG83" s="25"/>
      <c r="HH83" s="25"/>
      <c r="HI83" s="25"/>
      <c r="HJ83" s="25"/>
      <c r="HK83" s="25"/>
      <c r="HL83" s="25"/>
      <c r="HM83" s="25"/>
      <c r="HN83" s="25"/>
      <c r="HO83" s="25"/>
      <c r="HP83" s="25"/>
      <c r="HQ83" s="25"/>
      <c r="HR83" s="25"/>
      <c r="HS83" s="25"/>
      <c r="HT83" s="25"/>
      <c r="HU83" s="25"/>
      <c r="HV83" s="25"/>
      <c r="HW83" s="25"/>
      <c r="HX83" s="25"/>
      <c r="HY83" s="25"/>
      <c r="HZ83" s="25"/>
      <c r="IA83" s="25"/>
      <c r="IB83" s="25"/>
      <c r="IC83" s="25"/>
      <c r="ID83" s="25"/>
      <c r="IE83" s="25"/>
      <c r="IF83" s="25"/>
      <c r="IG83" s="25"/>
      <c r="IH83" s="25"/>
      <c r="II83" s="25"/>
      <c r="IJ83" s="25"/>
      <c r="IK83" s="25"/>
      <c r="IL83" s="25"/>
      <c r="IM83" s="25"/>
      <c r="IN83" s="25"/>
      <c r="IO83" s="25"/>
      <c r="IP83" s="25"/>
      <c r="IQ83" s="25"/>
      <c r="IR83" s="25"/>
      <c r="IS83" s="25"/>
      <c r="IT83" s="25"/>
      <c r="IU83" s="25"/>
      <c r="IV83" s="25"/>
      <c r="IW83" s="25"/>
      <c r="IX83" s="25"/>
      <c r="IY83" s="25"/>
      <c r="IZ83" s="25"/>
      <c r="JA83" s="25"/>
      <c r="JB83" s="25"/>
      <c r="JC83" s="25"/>
      <c r="JD83" s="25"/>
      <c r="JE83" s="25"/>
      <c r="JF83" s="25"/>
      <c r="JG83" s="25"/>
      <c r="JH83" s="25"/>
      <c r="JI83" s="25"/>
      <c r="JJ83" s="25"/>
      <c r="JK83" s="25"/>
      <c r="JL83" s="25"/>
      <c r="JM83" s="25"/>
      <c r="JN83" s="25"/>
    </row>
    <row r="84" spans="2:274" ht="20.25" customHeight="1" x14ac:dyDescent="0.25">
      <c r="B84" s="248" t="s">
        <v>255</v>
      </c>
      <c r="C84" t="s">
        <v>257</v>
      </c>
      <c r="D84" s="15" t="s">
        <v>228</v>
      </c>
      <c r="E84" s="15" t="s">
        <v>229</v>
      </c>
      <c r="F84" s="21"/>
      <c r="G84" s="86"/>
      <c r="H84" s="92"/>
      <c r="I84" s="88"/>
      <c r="J84" s="89"/>
      <c r="K84" s="90"/>
      <c r="L84" s="22"/>
      <c r="M84" s="81"/>
      <c r="N84" s="23"/>
      <c r="O84" s="81"/>
      <c r="P84" s="81"/>
      <c r="Q84" s="24"/>
      <c r="R84" s="110"/>
      <c r="S84" s="114"/>
      <c r="T84" s="115"/>
      <c r="U84" s="116"/>
      <c r="V84" s="99"/>
      <c r="W84" s="100"/>
      <c r="X84" s="83"/>
      <c r="Y84" s="25"/>
      <c r="Z84" s="25"/>
      <c r="AA84" s="25"/>
      <c r="AB84" s="25"/>
      <c r="AC84" s="25"/>
      <c r="AD84" s="25"/>
      <c r="AE84" s="25"/>
      <c r="AF84" s="25"/>
      <c r="AG84" s="25"/>
      <c r="AH84" s="25"/>
      <c r="AI84" s="25"/>
      <c r="AJ84" s="25"/>
      <c r="AK84" s="25"/>
      <c r="AL84" s="25"/>
      <c r="AM84" s="25"/>
      <c r="AN84" s="25"/>
      <c r="AO84" s="25"/>
      <c r="AP84" s="25"/>
      <c r="AQ84" s="25"/>
      <c r="AR84" s="25"/>
      <c r="AS84" s="25"/>
      <c r="AT84" s="25"/>
      <c r="AU84" s="25">
        <v>0.5</v>
      </c>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5"/>
      <c r="FT84" s="25"/>
      <c r="FU84" s="25"/>
      <c r="FV84" s="25"/>
      <c r="FW84" s="25"/>
      <c r="FX84" s="25"/>
      <c r="FY84" s="25"/>
      <c r="FZ84" s="25"/>
      <c r="GA84" s="25"/>
      <c r="GB84" s="25"/>
      <c r="GC84" s="25"/>
      <c r="GD84" s="25"/>
      <c r="GE84" s="25"/>
      <c r="GF84" s="25"/>
      <c r="GG84" s="25"/>
      <c r="GH84" s="25"/>
      <c r="GI84" s="25"/>
      <c r="GJ84" s="25"/>
      <c r="GK84" s="25"/>
      <c r="GL84" s="25"/>
      <c r="GM84" s="25"/>
      <c r="GN84" s="25"/>
      <c r="GO84" s="25"/>
      <c r="GP84" s="25"/>
      <c r="GQ84" s="25"/>
      <c r="GR84" s="25"/>
      <c r="GS84" s="25"/>
      <c r="GT84" s="25"/>
      <c r="GU84" s="25"/>
      <c r="GV84" s="25"/>
      <c r="GW84" s="25"/>
      <c r="GX84" s="25"/>
      <c r="GY84" s="25"/>
      <c r="GZ84" s="25"/>
      <c r="HA84" s="25"/>
      <c r="HB84" s="25"/>
      <c r="HC84" s="25"/>
      <c r="HD84" s="25"/>
      <c r="HE84" s="25"/>
      <c r="HF84" s="25"/>
      <c r="HG84" s="25"/>
      <c r="HH84" s="25"/>
      <c r="HI84" s="25"/>
      <c r="HJ84" s="25"/>
      <c r="HK84" s="25"/>
      <c r="HL84" s="25"/>
      <c r="HM84" s="25"/>
      <c r="HN84" s="25"/>
      <c r="HO84" s="25"/>
      <c r="HP84" s="25"/>
      <c r="HQ84" s="25"/>
      <c r="HR84" s="25"/>
      <c r="HS84" s="25"/>
      <c r="HT84" s="25"/>
      <c r="HU84" s="25"/>
      <c r="HV84" s="25"/>
      <c r="HW84" s="25"/>
      <c r="HX84" s="25"/>
      <c r="HY84" s="25"/>
      <c r="HZ84" s="25"/>
      <c r="IA84" s="25"/>
      <c r="IB84" s="25"/>
      <c r="IC84" s="25"/>
      <c r="ID84" s="25"/>
      <c r="IE84" s="25"/>
      <c r="IF84" s="25"/>
      <c r="IG84" s="25"/>
      <c r="IH84" s="25"/>
      <c r="II84" s="25"/>
      <c r="IJ84" s="25"/>
      <c r="IK84" s="25"/>
      <c r="IL84" s="25"/>
      <c r="IM84" s="25"/>
      <c r="IN84" s="25"/>
      <c r="IO84" s="25"/>
      <c r="IP84" s="25"/>
      <c r="IQ84" s="25"/>
      <c r="IR84" s="25"/>
      <c r="IS84" s="25"/>
      <c r="IT84" s="25"/>
      <c r="IU84" s="25"/>
      <c r="IV84" s="25"/>
      <c r="IW84" s="25"/>
      <c r="IX84" s="25"/>
      <c r="IY84" s="25"/>
      <c r="IZ84" s="25"/>
      <c r="JA84" s="25"/>
      <c r="JB84" s="25"/>
      <c r="JC84" s="25"/>
      <c r="JD84" s="25"/>
      <c r="JE84" s="25"/>
      <c r="JF84" s="25"/>
      <c r="JG84" s="25"/>
      <c r="JH84" s="25"/>
      <c r="JI84" s="25"/>
      <c r="JJ84" s="25"/>
      <c r="JK84" s="25"/>
      <c r="JL84" s="25"/>
      <c r="JM84" s="25"/>
      <c r="JN84" s="25"/>
    </row>
    <row r="85" spans="2:274" ht="20.25" customHeight="1" x14ac:dyDescent="0.25">
      <c r="B85" s="248" t="s">
        <v>255</v>
      </c>
      <c r="C85" t="s">
        <v>257</v>
      </c>
      <c r="D85" s="15" t="s">
        <v>232</v>
      </c>
      <c r="E85" s="15" t="s">
        <v>233</v>
      </c>
      <c r="F85" s="21"/>
      <c r="G85" s="86" cm="1">
        <f t="array" aca="1" ref="G85" ca="1">IFERROR(INDEX(Panel_Rates[[1]:[12]],MATCH(Panel_New&amp;Category_New,Panel_Rates[Panel]&amp;Panel_Rates[Category],0),MATCH('Time Plan HY'!E85,OFFSET(Variable!$AF$2,MATCH(Panel_New&amp;Category_New,Panel_Rates[Panel]&amp;Panel_Rates[Category],0)-1,0,1,12),0))/8,"")</f>
        <v>165</v>
      </c>
      <c r="H85" s="92"/>
      <c r="I85" s="88">
        <f t="shared" ca="1" si="21"/>
        <v>165</v>
      </c>
      <c r="J85" s="89">
        <f t="shared" ca="1" si="22"/>
        <v>1320</v>
      </c>
      <c r="K85" s="90" t="str">
        <f>IFERROR(_xlfn.XLOOKUP(D85,CostTableLookup[Name],CostTableLookup[Gross Cost]),"")</f>
        <v/>
      </c>
      <c r="L85" s="22"/>
      <c r="M85" s="81">
        <f t="shared" ca="1" si="25"/>
        <v>0</v>
      </c>
      <c r="N85" s="23"/>
      <c r="O85" s="81">
        <f t="shared" ca="1" si="26"/>
        <v>0</v>
      </c>
      <c r="P85" s="81">
        <f t="shared" ca="1" si="23"/>
        <v>0</v>
      </c>
      <c r="Q85" s="24" t="str">
        <f t="shared" si="24"/>
        <v/>
      </c>
      <c r="R85" s="110" t="str">
        <f t="shared" ca="1" si="27"/>
        <v/>
      </c>
      <c r="S85" s="114">
        <f t="shared" ref="S85" ca="1" si="58">IFERROR(SUM(OFFSET(Y85,0,MATCH(Forecast_New,$Y$3:$WQ$3,0)-1,1,500))*40,"")</f>
        <v>20</v>
      </c>
      <c r="T85" s="115">
        <f t="shared" ca="1" si="29"/>
        <v>2.5</v>
      </c>
      <c r="U85" s="116">
        <f t="shared" ca="1" si="55"/>
        <v>3300</v>
      </c>
      <c r="V85" s="99" t="str">
        <f t="shared" ca="1" si="56"/>
        <v/>
      </c>
      <c r="W85" s="100">
        <f t="shared" ca="1" si="32"/>
        <v>-3300</v>
      </c>
      <c r="X85" s="83" t="str">
        <f t="shared" ca="1" si="33"/>
        <v/>
      </c>
      <c r="Y85" s="25"/>
      <c r="Z85" s="25"/>
      <c r="AA85" s="25"/>
      <c r="AB85" s="25"/>
      <c r="AC85" s="25"/>
      <c r="AD85" s="25"/>
      <c r="AE85" s="25"/>
      <c r="AF85" s="25"/>
      <c r="AG85" s="25"/>
      <c r="AH85" s="25"/>
      <c r="AI85" s="25"/>
      <c r="AJ85" s="25"/>
      <c r="AK85" s="25"/>
      <c r="AL85" s="25"/>
      <c r="AM85" s="25"/>
      <c r="AN85" s="25"/>
      <c r="AO85" s="25"/>
      <c r="AP85" s="25"/>
      <c r="AQ85" s="25"/>
      <c r="AR85" s="25"/>
      <c r="AS85" s="25"/>
      <c r="AT85" s="25"/>
      <c r="AU85" s="25">
        <v>0.5</v>
      </c>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5"/>
      <c r="GA85" s="25"/>
      <c r="GB85" s="25"/>
      <c r="GC85" s="25"/>
      <c r="GD85" s="25"/>
      <c r="GE85" s="25"/>
      <c r="GF85" s="25"/>
      <c r="GG85" s="25"/>
      <c r="GH85" s="25"/>
      <c r="GI85" s="25"/>
      <c r="GJ85" s="25"/>
      <c r="GK85" s="25"/>
      <c r="GL85" s="25"/>
      <c r="GM85" s="25"/>
      <c r="GN85" s="25"/>
      <c r="GO85" s="25"/>
      <c r="GP85" s="25"/>
      <c r="GQ85" s="25"/>
      <c r="GR85" s="25"/>
      <c r="GS85" s="25"/>
      <c r="GT85" s="25"/>
      <c r="GU85" s="25"/>
      <c r="GV85" s="25"/>
      <c r="GW85" s="25"/>
      <c r="GX85" s="25"/>
      <c r="GY85" s="25"/>
      <c r="GZ85" s="25"/>
      <c r="HA85" s="25"/>
      <c r="HB85" s="25"/>
      <c r="HC85" s="25"/>
      <c r="HD85" s="25"/>
      <c r="HE85" s="25"/>
      <c r="HF85" s="25"/>
      <c r="HG85" s="25"/>
      <c r="HH85" s="25"/>
      <c r="HI85" s="25"/>
      <c r="HJ85" s="25"/>
      <c r="HK85" s="25"/>
      <c r="HL85" s="25"/>
      <c r="HM85" s="25"/>
      <c r="HN85" s="25"/>
      <c r="HO85" s="25"/>
      <c r="HP85" s="25"/>
      <c r="HQ85" s="25"/>
      <c r="HR85" s="25"/>
      <c r="HS85" s="25"/>
      <c r="HT85" s="25"/>
      <c r="HU85" s="25"/>
      <c r="HV85" s="25"/>
      <c r="HW85" s="25"/>
      <c r="HX85" s="25"/>
      <c r="HY85" s="25"/>
      <c r="HZ85" s="25"/>
      <c r="IA85" s="25"/>
      <c r="IB85" s="25"/>
      <c r="IC85" s="25"/>
      <c r="ID85" s="25"/>
      <c r="IE85" s="25"/>
      <c r="IF85" s="25"/>
      <c r="IG85" s="25"/>
      <c r="IH85" s="25"/>
      <c r="II85" s="25"/>
      <c r="IJ85" s="25"/>
      <c r="IK85" s="25"/>
      <c r="IL85" s="25"/>
      <c r="IM85" s="25"/>
      <c r="IN85" s="25"/>
      <c r="IO85" s="25"/>
      <c r="IP85" s="25"/>
      <c r="IQ85" s="25"/>
      <c r="IR85" s="25"/>
      <c r="IS85" s="25"/>
      <c r="IT85" s="25"/>
      <c r="IU85" s="25"/>
      <c r="IV85" s="25"/>
      <c r="IW85" s="25"/>
      <c r="IX85" s="25"/>
      <c r="IY85" s="25"/>
      <c r="IZ85" s="25"/>
      <c r="JA85" s="25"/>
      <c r="JB85" s="25"/>
      <c r="JC85" s="25"/>
      <c r="JD85" s="25"/>
      <c r="JE85" s="25"/>
      <c r="JF85" s="25"/>
      <c r="JG85" s="25"/>
      <c r="JH85" s="25"/>
      <c r="JI85" s="25"/>
      <c r="JJ85" s="25"/>
      <c r="JK85" s="25"/>
      <c r="JL85" s="25"/>
      <c r="JM85" s="25"/>
      <c r="JN85" s="25"/>
    </row>
    <row r="86" spans="2:274" ht="20.25" customHeight="1" x14ac:dyDescent="0.25">
      <c r="B86" s="248" t="s">
        <v>255</v>
      </c>
      <c r="C86" t="s">
        <v>257</v>
      </c>
      <c r="D86" s="15" t="s">
        <v>238</v>
      </c>
      <c r="E86" s="15" t="s">
        <v>229</v>
      </c>
      <c r="F86" s="21"/>
      <c r="G86" s="86"/>
      <c r="H86" s="92"/>
      <c r="I86" s="88"/>
      <c r="J86" s="89"/>
      <c r="K86" s="90"/>
      <c r="L86" s="22"/>
      <c r="M86" s="81"/>
      <c r="N86" s="23"/>
      <c r="O86" s="81"/>
      <c r="P86" s="81"/>
      <c r="Q86" s="24"/>
      <c r="R86" s="110"/>
      <c r="S86" s="114"/>
      <c r="T86" s="115"/>
      <c r="U86" s="116"/>
      <c r="V86" s="99"/>
      <c r="W86" s="100"/>
      <c r="X86" s="83"/>
      <c r="Y86" s="25"/>
      <c r="Z86" s="25"/>
      <c r="AA86" s="25"/>
      <c r="AB86" s="25"/>
      <c r="AC86" s="25"/>
      <c r="AD86" s="25"/>
      <c r="AE86" s="25"/>
      <c r="AF86" s="25"/>
      <c r="AG86" s="25"/>
      <c r="AH86" s="25"/>
      <c r="AI86" s="25"/>
      <c r="AJ86" s="25"/>
      <c r="AK86" s="25"/>
      <c r="AL86" s="25"/>
      <c r="AM86" s="25"/>
      <c r="AN86" s="25"/>
      <c r="AO86" s="25"/>
      <c r="AP86" s="25"/>
      <c r="AQ86" s="25"/>
      <c r="AR86" s="25"/>
      <c r="AS86" s="25"/>
      <c r="AT86" s="25"/>
      <c r="AU86" s="25">
        <v>0.5</v>
      </c>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5"/>
      <c r="HA86" s="25"/>
      <c r="HB86" s="25"/>
      <c r="HC86" s="25"/>
      <c r="HD86" s="25"/>
      <c r="HE86" s="25"/>
      <c r="HF86" s="25"/>
      <c r="HG86" s="25"/>
      <c r="HH86" s="25"/>
      <c r="HI86" s="25"/>
      <c r="HJ86" s="25"/>
      <c r="HK86" s="25"/>
      <c r="HL86" s="25"/>
      <c r="HM86" s="25"/>
      <c r="HN86" s="25"/>
      <c r="HO86" s="25"/>
      <c r="HP86" s="25"/>
      <c r="HQ86" s="25"/>
      <c r="HR86" s="25"/>
      <c r="HS86" s="25"/>
      <c r="HT86" s="25"/>
      <c r="HU86" s="25"/>
      <c r="HV86" s="25"/>
      <c r="HW86" s="25"/>
      <c r="HX86" s="25"/>
      <c r="HY86" s="25"/>
      <c r="HZ86" s="25"/>
      <c r="IA86" s="25"/>
      <c r="IB86" s="25"/>
      <c r="IC86" s="25"/>
      <c r="ID86" s="25"/>
      <c r="IE86" s="25"/>
      <c r="IF86" s="25"/>
      <c r="IG86" s="25"/>
      <c r="IH86" s="25"/>
      <c r="II86" s="25"/>
      <c r="IJ86" s="25"/>
      <c r="IK86" s="25"/>
      <c r="IL86" s="25"/>
      <c r="IM86" s="25"/>
      <c r="IN86" s="25"/>
      <c r="IO86" s="25"/>
      <c r="IP86" s="25"/>
      <c r="IQ86" s="25"/>
      <c r="IR86" s="25"/>
      <c r="IS86" s="25"/>
      <c r="IT86" s="25"/>
      <c r="IU86" s="25"/>
      <c r="IV86" s="25"/>
      <c r="IW86" s="25"/>
      <c r="IX86" s="25"/>
      <c r="IY86" s="25"/>
      <c r="IZ86" s="25"/>
      <c r="JA86" s="25"/>
      <c r="JB86" s="25"/>
      <c r="JC86" s="25"/>
      <c r="JD86" s="25"/>
      <c r="JE86" s="25"/>
      <c r="JF86" s="25"/>
      <c r="JG86" s="25"/>
      <c r="JH86" s="25"/>
      <c r="JI86" s="25"/>
      <c r="JJ86" s="25"/>
      <c r="JK86" s="25"/>
      <c r="JL86" s="25"/>
      <c r="JM86" s="25"/>
      <c r="JN86" s="25"/>
    </row>
    <row r="87" spans="2:274" ht="20.25" customHeight="1" x14ac:dyDescent="0.25">
      <c r="B87" s="248" t="s">
        <v>255</v>
      </c>
      <c r="C87"/>
      <c r="F87" s="21"/>
      <c r="G87" s="86"/>
      <c r="H87" s="92"/>
      <c r="I87" s="88"/>
      <c r="J87" s="89"/>
      <c r="K87" s="90"/>
      <c r="L87" s="22"/>
      <c r="M87" s="81"/>
      <c r="N87" s="23"/>
      <c r="O87" s="81"/>
      <c r="P87" s="81"/>
      <c r="Q87" s="24"/>
      <c r="R87" s="110"/>
      <c r="S87" s="114"/>
      <c r="T87" s="115"/>
      <c r="U87" s="116"/>
      <c r="V87" s="99"/>
      <c r="W87" s="100"/>
      <c r="X87" s="83"/>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25"/>
      <c r="ET87" s="25"/>
      <c r="EU87" s="25"/>
      <c r="EV87" s="25"/>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5"/>
      <c r="GA87" s="25"/>
      <c r="GB87" s="25"/>
      <c r="GC87" s="25"/>
      <c r="GD87" s="25"/>
      <c r="GE87" s="25"/>
      <c r="GF87" s="25"/>
      <c r="GG87" s="25"/>
      <c r="GH87" s="25"/>
      <c r="GI87" s="25"/>
      <c r="GJ87" s="25"/>
      <c r="GK87" s="25"/>
      <c r="GL87" s="25"/>
      <c r="GM87" s="25"/>
      <c r="GN87" s="25"/>
      <c r="GO87" s="25"/>
      <c r="GP87" s="25"/>
      <c r="GQ87" s="25"/>
      <c r="GR87" s="25"/>
      <c r="GS87" s="25"/>
      <c r="GT87" s="25"/>
      <c r="GU87" s="25"/>
      <c r="GV87" s="25"/>
      <c r="GW87" s="25"/>
      <c r="GX87" s="25"/>
      <c r="GY87" s="25"/>
      <c r="GZ87" s="25"/>
      <c r="HA87" s="25"/>
      <c r="HB87" s="25"/>
      <c r="HC87" s="25"/>
      <c r="HD87" s="25"/>
      <c r="HE87" s="25"/>
      <c r="HF87" s="25"/>
      <c r="HG87" s="25"/>
      <c r="HH87" s="25"/>
      <c r="HI87" s="25"/>
      <c r="HJ87" s="25"/>
      <c r="HK87" s="25"/>
      <c r="HL87" s="25"/>
      <c r="HM87" s="25"/>
      <c r="HN87" s="25"/>
      <c r="HO87" s="25"/>
      <c r="HP87" s="25"/>
      <c r="HQ87" s="25"/>
      <c r="HR87" s="25"/>
      <c r="HS87" s="25"/>
      <c r="HT87" s="25"/>
      <c r="HU87" s="25"/>
      <c r="HV87" s="25"/>
      <c r="HW87" s="25"/>
      <c r="HX87" s="25"/>
      <c r="HY87" s="25"/>
      <c r="HZ87" s="25"/>
      <c r="IA87" s="25"/>
      <c r="IB87" s="25"/>
      <c r="IC87" s="25"/>
      <c r="ID87" s="25"/>
      <c r="IE87" s="25"/>
      <c r="IF87" s="25"/>
      <c r="IG87" s="25"/>
      <c r="IH87" s="25"/>
      <c r="II87" s="25"/>
      <c r="IJ87" s="25"/>
      <c r="IK87" s="25"/>
      <c r="IL87" s="25"/>
      <c r="IM87" s="25"/>
      <c r="IN87" s="25"/>
      <c r="IO87" s="25"/>
      <c r="IP87" s="25"/>
      <c r="IQ87" s="25"/>
      <c r="IR87" s="25"/>
      <c r="IS87" s="25"/>
      <c r="IT87" s="25"/>
      <c r="IU87" s="25"/>
      <c r="IV87" s="25"/>
      <c r="IW87" s="25"/>
      <c r="IX87" s="25"/>
      <c r="IY87" s="25"/>
      <c r="IZ87" s="25"/>
      <c r="JA87" s="25"/>
      <c r="JB87" s="25"/>
      <c r="JC87" s="25"/>
      <c r="JD87" s="25"/>
      <c r="JE87" s="25"/>
      <c r="JF87" s="25"/>
      <c r="JG87" s="25"/>
      <c r="JH87" s="25"/>
      <c r="JI87" s="25"/>
      <c r="JJ87" s="25"/>
      <c r="JK87" s="25"/>
      <c r="JL87" s="25"/>
      <c r="JM87" s="25"/>
      <c r="JN87" s="25"/>
    </row>
    <row r="88" spans="2:274" ht="20.25" customHeight="1" x14ac:dyDescent="0.25">
      <c r="B88" s="248" t="s">
        <v>255</v>
      </c>
      <c r="C88" t="s">
        <v>258</v>
      </c>
      <c r="D88" s="15" t="s">
        <v>226</v>
      </c>
      <c r="E88" s="15" t="s">
        <v>227</v>
      </c>
      <c r="F88" s="21"/>
      <c r="G88" s="86"/>
      <c r="H88" s="92"/>
      <c r="I88" s="88"/>
      <c r="J88" s="89"/>
      <c r="K88" s="90"/>
      <c r="L88" s="22"/>
      <c r="M88" s="81"/>
      <c r="N88" s="23"/>
      <c r="O88" s="81"/>
      <c r="P88" s="81"/>
      <c r="Q88" s="24"/>
      <c r="R88" s="110"/>
      <c r="S88" s="114"/>
      <c r="T88" s="115"/>
      <c r="U88" s="116"/>
      <c r="V88" s="99"/>
      <c r="W88" s="100"/>
      <c r="X88" s="83"/>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v>0.5</v>
      </c>
      <c r="AX88" s="25">
        <v>0.5</v>
      </c>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25"/>
      <c r="ET88" s="25"/>
      <c r="EU88" s="25"/>
      <c r="EV88" s="25"/>
      <c r="EW88" s="25"/>
      <c r="EX88" s="25"/>
      <c r="EY88" s="25"/>
      <c r="EZ88" s="25"/>
      <c r="FA88" s="25"/>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5"/>
      <c r="GA88" s="25"/>
      <c r="GB88" s="25"/>
      <c r="GC88" s="25"/>
      <c r="GD88" s="25"/>
      <c r="GE88" s="25"/>
      <c r="GF88" s="25"/>
      <c r="GG88" s="25"/>
      <c r="GH88" s="25"/>
      <c r="GI88" s="25"/>
      <c r="GJ88" s="25"/>
      <c r="GK88" s="25"/>
      <c r="GL88" s="25"/>
      <c r="GM88" s="25"/>
      <c r="GN88" s="25"/>
      <c r="GO88" s="25"/>
      <c r="GP88" s="25"/>
      <c r="GQ88" s="25"/>
      <c r="GR88" s="25"/>
      <c r="GS88" s="25"/>
      <c r="GT88" s="25"/>
      <c r="GU88" s="25"/>
      <c r="GV88" s="25"/>
      <c r="GW88" s="25"/>
      <c r="GX88" s="25"/>
      <c r="GY88" s="25"/>
      <c r="GZ88" s="25"/>
      <c r="HA88" s="25"/>
      <c r="HB88" s="25"/>
      <c r="HC88" s="25"/>
      <c r="HD88" s="25"/>
      <c r="HE88" s="25"/>
      <c r="HF88" s="25"/>
      <c r="HG88" s="25"/>
      <c r="HH88" s="25"/>
      <c r="HI88" s="25"/>
      <c r="HJ88" s="25"/>
      <c r="HK88" s="25"/>
      <c r="HL88" s="25"/>
      <c r="HM88" s="25"/>
      <c r="HN88" s="25"/>
      <c r="HO88" s="25"/>
      <c r="HP88" s="25"/>
      <c r="HQ88" s="25"/>
      <c r="HR88" s="25"/>
      <c r="HS88" s="25"/>
      <c r="HT88" s="25"/>
      <c r="HU88" s="25"/>
      <c r="HV88" s="25"/>
      <c r="HW88" s="25"/>
      <c r="HX88" s="25"/>
      <c r="HY88" s="25"/>
      <c r="HZ88" s="25"/>
      <c r="IA88" s="25"/>
      <c r="IB88" s="25"/>
      <c r="IC88" s="25"/>
      <c r="ID88" s="25"/>
      <c r="IE88" s="25"/>
      <c r="IF88" s="25"/>
      <c r="IG88" s="25"/>
      <c r="IH88" s="25"/>
      <c r="II88" s="25"/>
      <c r="IJ88" s="25"/>
      <c r="IK88" s="25"/>
      <c r="IL88" s="25"/>
      <c r="IM88" s="25"/>
      <c r="IN88" s="25"/>
      <c r="IO88" s="25"/>
      <c r="IP88" s="25"/>
      <c r="IQ88" s="25"/>
      <c r="IR88" s="25"/>
      <c r="IS88" s="25"/>
      <c r="IT88" s="25"/>
      <c r="IU88" s="25"/>
      <c r="IV88" s="25"/>
      <c r="IW88" s="25"/>
      <c r="IX88" s="25"/>
      <c r="IY88" s="25"/>
      <c r="IZ88" s="25"/>
      <c r="JA88" s="25"/>
      <c r="JB88" s="25"/>
      <c r="JC88" s="25"/>
      <c r="JD88" s="25"/>
      <c r="JE88" s="25"/>
      <c r="JF88" s="25"/>
      <c r="JG88" s="25"/>
      <c r="JH88" s="25"/>
      <c r="JI88" s="25"/>
      <c r="JJ88" s="25"/>
      <c r="JK88" s="25"/>
      <c r="JL88" s="25"/>
      <c r="JM88" s="25"/>
      <c r="JN88" s="25"/>
    </row>
    <row r="89" spans="2:274" ht="20.25" customHeight="1" x14ac:dyDescent="0.25">
      <c r="B89" s="248" t="s">
        <v>255</v>
      </c>
      <c r="C89" t="s">
        <v>258</v>
      </c>
      <c r="D89" s="15" t="s">
        <v>232</v>
      </c>
      <c r="E89" s="15" t="s">
        <v>233</v>
      </c>
      <c r="F89" s="21"/>
      <c r="G89" s="86"/>
      <c r="H89" s="92"/>
      <c r="I89" s="88"/>
      <c r="J89" s="89"/>
      <c r="K89" s="90"/>
      <c r="L89" s="22"/>
      <c r="M89" s="81"/>
      <c r="N89" s="23"/>
      <c r="O89" s="81"/>
      <c r="P89" s="81"/>
      <c r="Q89" s="24"/>
      <c r="R89" s="110"/>
      <c r="S89" s="114"/>
      <c r="T89" s="115"/>
      <c r="U89" s="116"/>
      <c r="V89" s="99"/>
      <c r="W89" s="100"/>
      <c r="X89" s="83"/>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v>0.5</v>
      </c>
      <c r="AX89" s="25">
        <v>0.5</v>
      </c>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5"/>
      <c r="HA89" s="25"/>
      <c r="HB89" s="25"/>
      <c r="HC89" s="25"/>
      <c r="HD89" s="25"/>
      <c r="HE89" s="25"/>
      <c r="HF89" s="25"/>
      <c r="HG89" s="25"/>
      <c r="HH89" s="25"/>
      <c r="HI89" s="25"/>
      <c r="HJ89" s="25"/>
      <c r="HK89" s="25"/>
      <c r="HL89" s="25"/>
      <c r="HM89" s="25"/>
      <c r="HN89" s="25"/>
      <c r="HO89" s="25"/>
      <c r="HP89" s="25"/>
      <c r="HQ89" s="25"/>
      <c r="HR89" s="25"/>
      <c r="HS89" s="25"/>
      <c r="HT89" s="25"/>
      <c r="HU89" s="25"/>
      <c r="HV89" s="25"/>
      <c r="HW89" s="25"/>
      <c r="HX89" s="25"/>
      <c r="HY89" s="25"/>
      <c r="HZ89" s="25"/>
      <c r="IA89" s="25"/>
      <c r="IB89" s="25"/>
      <c r="IC89" s="25"/>
      <c r="ID89" s="25"/>
      <c r="IE89" s="25"/>
      <c r="IF89" s="25"/>
      <c r="IG89" s="25"/>
      <c r="IH89" s="25"/>
      <c r="II89" s="25"/>
      <c r="IJ89" s="25"/>
      <c r="IK89" s="25"/>
      <c r="IL89" s="25"/>
      <c r="IM89" s="25"/>
      <c r="IN89" s="25"/>
      <c r="IO89" s="25"/>
      <c r="IP89" s="25"/>
      <c r="IQ89" s="25"/>
      <c r="IR89" s="25"/>
      <c r="IS89" s="25"/>
      <c r="IT89" s="25"/>
      <c r="IU89" s="25"/>
      <c r="IV89" s="25"/>
      <c r="IW89" s="25"/>
      <c r="IX89" s="25"/>
      <c r="IY89" s="25"/>
      <c r="IZ89" s="25"/>
      <c r="JA89" s="25"/>
      <c r="JB89" s="25"/>
      <c r="JC89" s="25"/>
      <c r="JD89" s="25"/>
      <c r="JE89" s="25"/>
      <c r="JF89" s="25"/>
      <c r="JG89" s="25"/>
      <c r="JH89" s="25"/>
      <c r="JI89" s="25"/>
      <c r="JJ89" s="25"/>
      <c r="JK89" s="25"/>
      <c r="JL89" s="25"/>
      <c r="JM89" s="25"/>
      <c r="JN89" s="25"/>
    </row>
    <row r="90" spans="2:274" ht="20.25" customHeight="1" x14ac:dyDescent="0.25">
      <c r="B90" s="248" t="s">
        <v>255</v>
      </c>
      <c r="C90" t="s">
        <v>258</v>
      </c>
      <c r="D90" s="15" t="s">
        <v>232</v>
      </c>
      <c r="E90" s="15" t="s">
        <v>233</v>
      </c>
      <c r="F90" s="21"/>
      <c r="G90" s="86"/>
      <c r="H90" s="92"/>
      <c r="I90" s="88"/>
      <c r="J90" s="89"/>
      <c r="K90" s="90"/>
      <c r="L90" s="22"/>
      <c r="M90" s="81"/>
      <c r="N90" s="23"/>
      <c r="O90" s="81"/>
      <c r="P90" s="81"/>
      <c r="Q90" s="24"/>
      <c r="R90" s="110"/>
      <c r="S90" s="114"/>
      <c r="T90" s="115"/>
      <c r="U90" s="116"/>
      <c r="V90" s="99"/>
      <c r="W90" s="100"/>
      <c r="X90" s="83"/>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v>0.5</v>
      </c>
      <c r="AX90" s="25">
        <v>0.5</v>
      </c>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5"/>
      <c r="FT90" s="25"/>
      <c r="FU90" s="25"/>
      <c r="FV90" s="25"/>
      <c r="FW90" s="25"/>
      <c r="FX90" s="25"/>
      <c r="FY90" s="25"/>
      <c r="FZ90" s="25"/>
      <c r="GA90" s="25"/>
      <c r="GB90" s="25"/>
      <c r="GC90" s="25"/>
      <c r="GD90" s="25"/>
      <c r="GE90" s="25"/>
      <c r="GF90" s="25"/>
      <c r="GG90" s="25"/>
      <c r="GH90" s="25"/>
      <c r="GI90" s="25"/>
      <c r="GJ90" s="25"/>
      <c r="GK90" s="25"/>
      <c r="GL90" s="25"/>
      <c r="GM90" s="25"/>
      <c r="GN90" s="25"/>
      <c r="GO90" s="25"/>
      <c r="GP90" s="25"/>
      <c r="GQ90" s="25"/>
      <c r="GR90" s="25"/>
      <c r="GS90" s="25"/>
      <c r="GT90" s="25"/>
      <c r="GU90" s="25"/>
      <c r="GV90" s="25"/>
      <c r="GW90" s="25"/>
      <c r="GX90" s="25"/>
      <c r="GY90" s="25"/>
      <c r="GZ90" s="25"/>
      <c r="HA90" s="25"/>
      <c r="HB90" s="25"/>
      <c r="HC90" s="25"/>
      <c r="HD90" s="25"/>
      <c r="HE90" s="25"/>
      <c r="HF90" s="25"/>
      <c r="HG90" s="25"/>
      <c r="HH90" s="25"/>
      <c r="HI90" s="25"/>
      <c r="HJ90" s="25"/>
      <c r="HK90" s="25"/>
      <c r="HL90" s="25"/>
      <c r="HM90" s="25"/>
      <c r="HN90" s="25"/>
      <c r="HO90" s="25"/>
      <c r="HP90" s="25"/>
      <c r="HQ90" s="25"/>
      <c r="HR90" s="25"/>
      <c r="HS90" s="25"/>
      <c r="HT90" s="25"/>
      <c r="HU90" s="25"/>
      <c r="HV90" s="25"/>
      <c r="HW90" s="25"/>
      <c r="HX90" s="25"/>
      <c r="HY90" s="25"/>
      <c r="HZ90" s="25"/>
      <c r="IA90" s="25"/>
      <c r="IB90" s="25"/>
      <c r="IC90" s="25"/>
      <c r="ID90" s="25"/>
      <c r="IE90" s="25"/>
      <c r="IF90" s="25"/>
      <c r="IG90" s="25"/>
      <c r="IH90" s="25"/>
      <c r="II90" s="25"/>
      <c r="IJ90" s="25"/>
      <c r="IK90" s="25"/>
      <c r="IL90" s="25"/>
      <c r="IM90" s="25"/>
      <c r="IN90" s="25"/>
      <c r="IO90" s="25"/>
      <c r="IP90" s="25"/>
      <c r="IQ90" s="25"/>
      <c r="IR90" s="25"/>
      <c r="IS90" s="25"/>
      <c r="IT90" s="25"/>
      <c r="IU90" s="25"/>
      <c r="IV90" s="25"/>
      <c r="IW90" s="25"/>
      <c r="IX90" s="25"/>
      <c r="IY90" s="25"/>
      <c r="IZ90" s="25"/>
      <c r="JA90" s="25"/>
      <c r="JB90" s="25"/>
      <c r="JC90" s="25"/>
      <c r="JD90" s="25"/>
      <c r="JE90" s="25"/>
      <c r="JF90" s="25"/>
      <c r="JG90" s="25"/>
      <c r="JH90" s="25"/>
      <c r="JI90" s="25"/>
      <c r="JJ90" s="25"/>
      <c r="JK90" s="25"/>
      <c r="JL90" s="25"/>
      <c r="JM90" s="25"/>
      <c r="JN90" s="25"/>
    </row>
    <row r="91" spans="2:274" ht="20.25" customHeight="1" x14ac:dyDescent="0.25">
      <c r="B91" s="248" t="s">
        <v>255</v>
      </c>
      <c r="C91" t="s">
        <v>258</v>
      </c>
      <c r="D91" s="15" t="s">
        <v>239</v>
      </c>
      <c r="E91" s="15" t="s">
        <v>227</v>
      </c>
      <c r="F91" s="21"/>
      <c r="G91" s="86" cm="1">
        <f t="array" aca="1" ref="G91" ca="1">IFERROR(INDEX(Panel_Rates[[1]:[12]],MATCH(Panel_New&amp;Category_New,Panel_Rates[Panel]&amp;Panel_Rates[Category],0),MATCH('Time Plan HY'!E91,OFFSET(Variable!$AF$2,MATCH(Panel_New&amp;Category_New,Panel_Rates[Panel]&amp;Panel_Rates[Category],0)-1,0,1,12),0))/8,"")</f>
        <v>275</v>
      </c>
      <c r="H91" s="92"/>
      <c r="I91" s="88">
        <f t="shared" ca="1" si="21"/>
        <v>275</v>
      </c>
      <c r="J91" s="89">
        <f t="shared" ca="1" si="22"/>
        <v>2200</v>
      </c>
      <c r="K91" s="90" t="str">
        <f>IFERROR(_xlfn.XLOOKUP(D91,CostTableLookup[Name],CostTableLookup[Gross Cost]),"")</f>
        <v/>
      </c>
      <c r="L91" s="22"/>
      <c r="M91" s="81">
        <f t="shared" ca="1" si="25"/>
        <v>0</v>
      </c>
      <c r="N91" s="23"/>
      <c r="O91" s="81">
        <f t="shared" ca="1" si="26"/>
        <v>0</v>
      </c>
      <c r="P91" s="81">
        <f t="shared" ca="1" si="23"/>
        <v>0</v>
      </c>
      <c r="Q91" s="24" t="str">
        <f t="shared" si="24"/>
        <v/>
      </c>
      <c r="R91" s="110" t="str">
        <f t="shared" ca="1" si="27"/>
        <v/>
      </c>
      <c r="S91" s="114">
        <f t="shared" ref="S91" ca="1" si="59">IFERROR(SUM(OFFSET(Y91,0,MATCH(Forecast_New,$Y$3:$WQ$3,0)-1,1,500))*40,"")</f>
        <v>0</v>
      </c>
      <c r="T91" s="115">
        <f t="shared" ca="1" si="29"/>
        <v>0</v>
      </c>
      <c r="U91" s="116">
        <f t="shared" ca="1" si="55"/>
        <v>0</v>
      </c>
      <c r="V91" s="99" t="str">
        <f t="shared" ca="1" si="56"/>
        <v/>
      </c>
      <c r="W91" s="100">
        <f t="shared" ca="1" si="32"/>
        <v>0</v>
      </c>
      <c r="X91" s="83" t="str">
        <f t="shared" ca="1" si="33"/>
        <v/>
      </c>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5"/>
      <c r="GA91" s="25"/>
      <c r="GB91" s="25"/>
      <c r="GC91" s="25"/>
      <c r="GD91" s="25"/>
      <c r="GE91" s="25"/>
      <c r="GF91" s="25"/>
      <c r="GG91" s="25"/>
      <c r="GH91" s="25"/>
      <c r="GI91" s="25"/>
      <c r="GJ91" s="25"/>
      <c r="GK91" s="25"/>
      <c r="GL91" s="25"/>
      <c r="GM91" s="25"/>
      <c r="GN91" s="25"/>
      <c r="GO91" s="25"/>
      <c r="GP91" s="25"/>
      <c r="GQ91" s="25"/>
      <c r="GR91" s="25"/>
      <c r="GS91" s="25"/>
      <c r="GT91" s="25"/>
      <c r="GU91" s="25"/>
      <c r="GV91" s="25"/>
      <c r="GW91" s="25"/>
      <c r="GX91" s="25"/>
      <c r="GY91" s="25"/>
      <c r="GZ91" s="25"/>
      <c r="HA91" s="25"/>
      <c r="HB91" s="25"/>
      <c r="HC91" s="25"/>
      <c r="HD91" s="25"/>
      <c r="HE91" s="25"/>
      <c r="HF91" s="25"/>
      <c r="HG91" s="25"/>
      <c r="HH91" s="25"/>
      <c r="HI91" s="25"/>
      <c r="HJ91" s="25"/>
      <c r="HK91" s="25"/>
      <c r="HL91" s="25"/>
      <c r="HM91" s="25"/>
      <c r="HN91" s="25"/>
      <c r="HO91" s="25"/>
      <c r="HP91" s="25"/>
      <c r="HQ91" s="25"/>
      <c r="HR91" s="25"/>
      <c r="HS91" s="25"/>
      <c r="HT91" s="25"/>
      <c r="HU91" s="25"/>
      <c r="HV91" s="25"/>
      <c r="HW91" s="25"/>
      <c r="HX91" s="25"/>
      <c r="HY91" s="25"/>
      <c r="HZ91" s="25"/>
      <c r="IA91" s="25"/>
      <c r="IB91" s="25"/>
      <c r="IC91" s="25"/>
      <c r="ID91" s="25"/>
      <c r="IE91" s="25"/>
      <c r="IF91" s="25"/>
      <c r="IG91" s="25"/>
      <c r="IH91" s="25"/>
      <c r="II91" s="25"/>
      <c r="IJ91" s="25"/>
      <c r="IK91" s="25"/>
      <c r="IL91" s="25"/>
      <c r="IM91" s="25"/>
      <c r="IN91" s="25"/>
      <c r="IO91" s="25"/>
      <c r="IP91" s="25"/>
      <c r="IQ91" s="25"/>
      <c r="IR91" s="25"/>
      <c r="IS91" s="25"/>
      <c r="IT91" s="25"/>
      <c r="IU91" s="25"/>
      <c r="IV91" s="25"/>
      <c r="IW91" s="25"/>
      <c r="IX91" s="25"/>
      <c r="IY91" s="25"/>
      <c r="IZ91" s="25"/>
      <c r="JA91" s="25"/>
      <c r="JB91" s="25"/>
      <c r="JC91" s="25"/>
      <c r="JD91" s="25"/>
      <c r="JE91" s="25"/>
      <c r="JF91" s="25"/>
      <c r="JG91" s="25"/>
      <c r="JH91" s="25"/>
      <c r="JI91" s="25"/>
      <c r="JJ91" s="25"/>
      <c r="JK91" s="25"/>
      <c r="JL91" s="25"/>
      <c r="JM91" s="25"/>
      <c r="JN91" s="25"/>
    </row>
    <row r="92" spans="2:274" ht="20.25" customHeight="1" x14ac:dyDescent="0.25">
      <c r="B92" s="248" t="s">
        <v>255</v>
      </c>
      <c r="F92" s="21"/>
      <c r="G92" s="86" t="str" cm="1">
        <f t="array" aca="1" ref="G92" ca="1">IFERROR(INDEX(Panel_Rates[[1]:[12]],MATCH(Panel_New&amp;Category_New,Panel_Rates[Panel]&amp;Panel_Rates[Category],0),MATCH('Time Plan HY'!E92,OFFSET(Variable!$AF$2,MATCH(Panel_New&amp;Category_New,Panel_Rates[Panel]&amp;Panel_Rates[Category],0)-1,0,1,12),0))/8,"")</f>
        <v/>
      </c>
      <c r="H92" s="92"/>
      <c r="I92" s="88" t="str">
        <f t="shared" ca="1" si="21"/>
        <v/>
      </c>
      <c r="J92" s="89" t="str">
        <f t="shared" ca="1" si="22"/>
        <v/>
      </c>
      <c r="K92" s="90" t="str">
        <f>IFERROR(_xlfn.XLOOKUP(D92,CostTableLookup[Name],CostTableLookup[Gross Cost]),"")</f>
        <v/>
      </c>
      <c r="L92" s="22"/>
      <c r="M92" s="81" t="str">
        <f t="shared" ca="1" si="25"/>
        <v/>
      </c>
      <c r="N92" s="23"/>
      <c r="O92" s="81" t="str">
        <f t="shared" ca="1" si="26"/>
        <v/>
      </c>
      <c r="P92" s="81" t="str">
        <f t="shared" ca="1" si="23"/>
        <v/>
      </c>
      <c r="Q92" s="24" t="str">
        <f t="shared" si="24"/>
        <v/>
      </c>
      <c r="R92" s="110" t="str">
        <f t="shared" ca="1" si="27"/>
        <v/>
      </c>
      <c r="S92" s="114">
        <f t="shared" ref="S92" ca="1" si="60">IFERROR(SUM(OFFSET(Y92,0,MATCH(Forecast_New,$Y$3:$WQ$3,0)-1,1,500))*40,"")</f>
        <v>0</v>
      </c>
      <c r="T92" s="115">
        <f t="shared" ca="1" si="29"/>
        <v>0</v>
      </c>
      <c r="U92" s="116" t="str">
        <f t="shared" ca="1" si="55"/>
        <v/>
      </c>
      <c r="V92" s="99" t="str">
        <f t="shared" ca="1" si="56"/>
        <v/>
      </c>
      <c r="W92" s="100" t="str">
        <f t="shared" ca="1" si="32"/>
        <v/>
      </c>
      <c r="X92" s="83" t="str">
        <f t="shared" ca="1" si="33"/>
        <v/>
      </c>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row>
    <row r="93" spans="2:274" ht="20.25" customHeight="1" x14ac:dyDescent="0.25">
      <c r="B93" s="248" t="s">
        <v>255</v>
      </c>
      <c r="C93" t="s">
        <v>242</v>
      </c>
      <c r="D93" s="15" t="s">
        <v>226</v>
      </c>
      <c r="E93" s="15" t="s">
        <v>227</v>
      </c>
      <c r="F93" s="21"/>
      <c r="G93" s="86" cm="1">
        <f t="array" aca="1" ref="G93" ca="1">IFERROR(INDEX(Panel_Rates[[1]:[12]],MATCH(Panel_New&amp;Category_New,Panel_Rates[Panel]&amp;Panel_Rates[Category],0),MATCH('Time Plan HY'!E93,OFFSET(Variable!$AF$2,MATCH(Panel_New&amp;Category_New,Panel_Rates[Panel]&amp;Panel_Rates[Category],0)-1,0,1,12),0))/8,"")</f>
        <v>275</v>
      </c>
      <c r="H93" s="92"/>
      <c r="I93" s="88">
        <f t="shared" ca="1" si="21"/>
        <v>275</v>
      </c>
      <c r="J93" s="89">
        <f t="shared" ca="1" si="22"/>
        <v>2200</v>
      </c>
      <c r="K93" s="90" t="str">
        <f>IFERROR(_xlfn.XLOOKUP(D93,CostTableLookup[Name],CostTableLookup[Gross Cost]),"")</f>
        <v/>
      </c>
      <c r="L93" s="22"/>
      <c r="M93" s="81">
        <f t="shared" ca="1" si="25"/>
        <v>0</v>
      </c>
      <c r="N93" s="23"/>
      <c r="O93" s="81">
        <f t="shared" ca="1" si="26"/>
        <v>0</v>
      </c>
      <c r="P93" s="81">
        <f t="shared" ca="1" si="23"/>
        <v>0</v>
      </c>
      <c r="Q93" s="24" t="str">
        <f t="shared" si="24"/>
        <v/>
      </c>
      <c r="R93" s="110" t="str">
        <f t="shared" ca="1" si="27"/>
        <v/>
      </c>
      <c r="S93" s="114">
        <f t="shared" ref="S93" ca="1" si="61">IFERROR(SUM(OFFSET(Y93,0,MATCH(Forecast_New,$Y$3:$WQ$3,0)-1,1,500))*40,"")</f>
        <v>40</v>
      </c>
      <c r="T93" s="115">
        <f t="shared" ca="1" si="29"/>
        <v>5</v>
      </c>
      <c r="U93" s="116">
        <f t="shared" ca="1" si="55"/>
        <v>11000</v>
      </c>
      <c r="V93" s="99" t="str">
        <f t="shared" ca="1" si="56"/>
        <v/>
      </c>
      <c r="W93" s="100">
        <f t="shared" ca="1" si="32"/>
        <v>-11000</v>
      </c>
      <c r="X93" s="83" t="str">
        <f t="shared" ca="1" si="33"/>
        <v/>
      </c>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v>0.5</v>
      </c>
      <c r="BA93" s="25">
        <v>0.5</v>
      </c>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row>
    <row r="94" spans="2:274" ht="20.25" customHeight="1" x14ac:dyDescent="0.25">
      <c r="B94" s="248" t="s">
        <v>255</v>
      </c>
      <c r="C94" t="s">
        <v>242</v>
      </c>
      <c r="D94" s="15" t="s">
        <v>232</v>
      </c>
      <c r="E94" s="15" t="s">
        <v>233</v>
      </c>
      <c r="F94" s="21"/>
      <c r="G94" s="86" cm="1">
        <f t="array" aca="1" ref="G94" ca="1">IFERROR(INDEX(Panel_Rates[[1]:[12]],MATCH(Panel_New&amp;Category_New,Panel_Rates[Panel]&amp;Panel_Rates[Category],0),MATCH('Time Plan HY'!E94,OFFSET(Variable!$AF$2,MATCH(Panel_New&amp;Category_New,Panel_Rates[Panel]&amp;Panel_Rates[Category],0)-1,0,1,12),0))/8,"")</f>
        <v>165</v>
      </c>
      <c r="H94" s="92"/>
      <c r="I94" s="88">
        <f t="shared" ca="1" si="21"/>
        <v>165</v>
      </c>
      <c r="J94" s="89">
        <f t="shared" ca="1" si="22"/>
        <v>1320</v>
      </c>
      <c r="K94" s="90" t="str">
        <f>IFERROR(_xlfn.XLOOKUP(D94,CostTableLookup[Name],CostTableLookup[Gross Cost]),"")</f>
        <v/>
      </c>
      <c r="L94" s="22"/>
      <c r="M94" s="81">
        <f t="shared" ca="1" si="25"/>
        <v>0</v>
      </c>
      <c r="N94" s="23"/>
      <c r="O94" s="81">
        <f t="shared" ca="1" si="26"/>
        <v>0</v>
      </c>
      <c r="P94" s="81">
        <f t="shared" ca="1" si="23"/>
        <v>0</v>
      </c>
      <c r="Q94" s="24" t="str">
        <f t="shared" si="24"/>
        <v/>
      </c>
      <c r="R94" s="110" t="str">
        <f t="shared" ca="1" si="27"/>
        <v/>
      </c>
      <c r="S94" s="114">
        <f t="shared" ref="S94" ca="1" si="62">IFERROR(SUM(OFFSET(Y94,0,MATCH(Forecast_New,$Y$3:$WQ$3,0)-1,1,500))*40,"")</f>
        <v>40</v>
      </c>
      <c r="T94" s="115">
        <f t="shared" ca="1" si="29"/>
        <v>5</v>
      </c>
      <c r="U94" s="116">
        <f t="shared" ca="1" si="55"/>
        <v>6600</v>
      </c>
      <c r="V94" s="99" t="str">
        <f t="shared" ca="1" si="56"/>
        <v/>
      </c>
      <c r="W94" s="100">
        <f t="shared" ca="1" si="32"/>
        <v>-6600</v>
      </c>
      <c r="X94" s="83" t="str">
        <f t="shared" ca="1" si="33"/>
        <v/>
      </c>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v>0.5</v>
      </c>
      <c r="BA94" s="25">
        <v>0.5</v>
      </c>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c r="GC94" s="25"/>
      <c r="GD94" s="25"/>
      <c r="GE94" s="25"/>
      <c r="GF94" s="25"/>
      <c r="GG94" s="25"/>
      <c r="GH94" s="25"/>
      <c r="GI94" s="25"/>
      <c r="GJ94" s="25"/>
      <c r="GK94" s="25"/>
      <c r="GL94" s="25"/>
      <c r="GM94" s="25"/>
      <c r="GN94" s="25"/>
      <c r="GO94" s="25"/>
      <c r="GP94" s="25"/>
      <c r="GQ94" s="25"/>
      <c r="GR94" s="25"/>
      <c r="GS94" s="25"/>
      <c r="GT94" s="25"/>
      <c r="GU94" s="25"/>
      <c r="GV94" s="25"/>
      <c r="GW94" s="25"/>
      <c r="GX94" s="25"/>
      <c r="GY94" s="25"/>
      <c r="GZ94" s="25"/>
      <c r="HA94" s="25"/>
      <c r="HB94" s="25"/>
      <c r="HC94" s="25"/>
      <c r="HD94" s="25"/>
      <c r="HE94" s="25"/>
      <c r="HF94" s="25"/>
      <c r="HG94" s="25"/>
      <c r="HH94" s="25"/>
      <c r="HI94" s="25"/>
      <c r="HJ94" s="25"/>
      <c r="HK94" s="25"/>
      <c r="HL94" s="25"/>
      <c r="HM94" s="25"/>
      <c r="HN94" s="25"/>
      <c r="HO94" s="25"/>
      <c r="HP94" s="25"/>
      <c r="HQ94" s="25"/>
      <c r="HR94" s="25"/>
      <c r="HS94" s="25"/>
      <c r="HT94" s="25"/>
      <c r="HU94" s="25"/>
      <c r="HV94" s="25"/>
      <c r="HW94" s="25"/>
      <c r="HX94" s="25"/>
      <c r="HY94" s="25"/>
      <c r="HZ94" s="25"/>
      <c r="IA94" s="25"/>
      <c r="IB94" s="25"/>
      <c r="IC94" s="25"/>
      <c r="ID94" s="25"/>
      <c r="IE94" s="25"/>
      <c r="IF94" s="25"/>
      <c r="IG94" s="25"/>
      <c r="IH94" s="25"/>
      <c r="II94" s="25"/>
      <c r="IJ94" s="25"/>
      <c r="IK94" s="25"/>
      <c r="IL94" s="25"/>
      <c r="IM94" s="25"/>
      <c r="IN94" s="25"/>
      <c r="IO94" s="25"/>
      <c r="IP94" s="25"/>
      <c r="IQ94" s="25"/>
      <c r="IR94" s="25"/>
      <c r="IS94" s="25"/>
      <c r="IT94" s="25"/>
      <c r="IU94" s="25"/>
      <c r="IV94" s="25"/>
      <c r="IW94" s="25"/>
      <c r="IX94" s="25"/>
      <c r="IY94" s="25"/>
      <c r="IZ94" s="25"/>
      <c r="JA94" s="25"/>
      <c r="JB94" s="25"/>
      <c r="JC94" s="25"/>
      <c r="JD94" s="25"/>
      <c r="JE94" s="25"/>
      <c r="JF94" s="25"/>
      <c r="JG94" s="25"/>
      <c r="JH94" s="25"/>
      <c r="JI94" s="25"/>
      <c r="JJ94" s="25"/>
      <c r="JK94" s="25"/>
      <c r="JL94" s="25"/>
      <c r="JM94" s="25"/>
      <c r="JN94" s="25"/>
    </row>
    <row r="95" spans="2:274" ht="20.25" customHeight="1" x14ac:dyDescent="0.25">
      <c r="B95" s="248" t="s">
        <v>255</v>
      </c>
      <c r="C95" t="s">
        <v>242</v>
      </c>
      <c r="D95" s="15" t="s">
        <v>232</v>
      </c>
      <c r="E95" s="15" t="s">
        <v>227</v>
      </c>
      <c r="F95" s="21"/>
      <c r="G95" s="86" cm="1">
        <f t="array" aca="1" ref="G95" ca="1">IFERROR(INDEX(Panel_Rates[[1]:[12]],MATCH(Panel_New&amp;Category_New,Panel_Rates[Panel]&amp;Panel_Rates[Category],0),MATCH('Time Plan HY'!E95,OFFSET(Variable!$AF$2,MATCH(Panel_New&amp;Category_New,Panel_Rates[Panel]&amp;Panel_Rates[Category],0)-1,0,1,12),0))/8,"")</f>
        <v>275</v>
      </c>
      <c r="H95" s="92"/>
      <c r="I95" s="88">
        <f t="shared" ca="1" si="21"/>
        <v>275</v>
      </c>
      <c r="J95" s="89">
        <f t="shared" ca="1" si="22"/>
        <v>2200</v>
      </c>
      <c r="K95" s="90" t="str">
        <f>IFERROR(_xlfn.XLOOKUP(D95,CostTableLookup[Name],CostTableLookup[Gross Cost]),"")</f>
        <v/>
      </c>
      <c r="L95" s="22"/>
      <c r="M95" s="81">
        <f t="shared" ca="1" si="25"/>
        <v>0</v>
      </c>
      <c r="N95" s="23"/>
      <c r="O95" s="81">
        <f t="shared" ca="1" si="26"/>
        <v>0</v>
      </c>
      <c r="P95" s="81">
        <f t="shared" ca="1" si="23"/>
        <v>0</v>
      </c>
      <c r="Q95" s="24" t="str">
        <f t="shared" si="24"/>
        <v/>
      </c>
      <c r="R95" s="110" t="str">
        <f t="shared" ca="1" si="27"/>
        <v/>
      </c>
      <c r="S95" s="114">
        <f t="shared" ref="S95" ca="1" si="63">IFERROR(SUM(OFFSET(Y95,0,MATCH(Forecast_New,$Y$3:$WQ$3,0)-1,1,500))*40,"")</f>
        <v>40</v>
      </c>
      <c r="T95" s="115">
        <f t="shared" ca="1" si="29"/>
        <v>5</v>
      </c>
      <c r="U95" s="116">
        <f t="shared" ca="1" si="55"/>
        <v>11000</v>
      </c>
      <c r="V95" s="99" t="str">
        <f t="shared" ca="1" si="56"/>
        <v/>
      </c>
      <c r="W95" s="100">
        <f t="shared" ca="1" si="32"/>
        <v>-11000</v>
      </c>
      <c r="X95" s="83" t="str">
        <f t="shared" ca="1" si="33"/>
        <v/>
      </c>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v>0.5</v>
      </c>
      <c r="BA95" s="25">
        <v>0.5</v>
      </c>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c r="GC95" s="25"/>
      <c r="GD95" s="25"/>
      <c r="GE95" s="25"/>
      <c r="GF95" s="25"/>
      <c r="GG95" s="25"/>
      <c r="GH95" s="25"/>
      <c r="GI95" s="25"/>
      <c r="GJ95" s="25"/>
      <c r="GK95" s="25"/>
      <c r="GL95" s="25"/>
      <c r="GM95" s="25"/>
      <c r="GN95" s="25"/>
      <c r="GO95" s="25"/>
      <c r="GP95" s="25"/>
      <c r="GQ95" s="25"/>
      <c r="GR95" s="25"/>
      <c r="GS95" s="25"/>
      <c r="GT95" s="25"/>
      <c r="GU95" s="25"/>
      <c r="GV95" s="25"/>
      <c r="GW95" s="25"/>
      <c r="GX95" s="25"/>
      <c r="GY95" s="25"/>
      <c r="GZ95" s="25"/>
      <c r="HA95" s="25"/>
      <c r="HB95" s="25"/>
      <c r="HC95" s="25"/>
      <c r="HD95" s="25"/>
      <c r="HE95" s="25"/>
      <c r="HF95" s="25"/>
      <c r="HG95" s="25"/>
      <c r="HH95" s="25"/>
      <c r="HI95" s="25"/>
      <c r="HJ95" s="25"/>
      <c r="HK95" s="25"/>
      <c r="HL95" s="25"/>
      <c r="HM95" s="25"/>
      <c r="HN95" s="25"/>
      <c r="HO95" s="25"/>
      <c r="HP95" s="25"/>
      <c r="HQ95" s="25"/>
      <c r="HR95" s="25"/>
      <c r="HS95" s="25"/>
      <c r="HT95" s="25"/>
      <c r="HU95" s="25"/>
      <c r="HV95" s="25"/>
      <c r="HW95" s="25"/>
      <c r="HX95" s="25"/>
      <c r="HY95" s="25"/>
      <c r="HZ95" s="25"/>
      <c r="IA95" s="25"/>
      <c r="IB95" s="25"/>
      <c r="IC95" s="25"/>
      <c r="ID95" s="25"/>
      <c r="IE95" s="25"/>
      <c r="IF95" s="25"/>
      <c r="IG95" s="25"/>
      <c r="IH95" s="25"/>
      <c r="II95" s="25"/>
      <c r="IJ95" s="25"/>
      <c r="IK95" s="25"/>
      <c r="IL95" s="25"/>
      <c r="IM95" s="25"/>
      <c r="IN95" s="25"/>
      <c r="IO95" s="25"/>
      <c r="IP95" s="25"/>
      <c r="IQ95" s="25"/>
      <c r="IR95" s="25"/>
      <c r="IS95" s="25"/>
      <c r="IT95" s="25"/>
      <c r="IU95" s="25"/>
      <c r="IV95" s="25"/>
      <c r="IW95" s="25"/>
      <c r="IX95" s="25"/>
      <c r="IY95" s="25"/>
      <c r="IZ95" s="25"/>
      <c r="JA95" s="25"/>
      <c r="JB95" s="25"/>
      <c r="JC95" s="25"/>
      <c r="JD95" s="25"/>
      <c r="JE95" s="25"/>
      <c r="JF95" s="25"/>
      <c r="JG95" s="25"/>
      <c r="JH95" s="25"/>
      <c r="JI95" s="25"/>
      <c r="JJ95" s="25"/>
      <c r="JK95" s="25"/>
      <c r="JL95" s="25"/>
      <c r="JM95" s="25"/>
      <c r="JN95" s="25"/>
    </row>
    <row r="96" spans="2:274" ht="20.25" customHeight="1" x14ac:dyDescent="0.25">
      <c r="B96" s="248" t="s">
        <v>255</v>
      </c>
      <c r="C96" t="s">
        <v>242</v>
      </c>
      <c r="D96" s="15" t="s">
        <v>239</v>
      </c>
      <c r="E96" s="15" t="s">
        <v>227</v>
      </c>
      <c r="F96" s="21"/>
      <c r="G96" s="86" cm="1">
        <f t="array" aca="1" ref="G96" ca="1">IFERROR(INDEX(Panel_Rates[[1]:[12]],MATCH(Panel_New&amp;Category_New,Panel_Rates[Panel]&amp;Panel_Rates[Category],0),MATCH('Time Plan HY'!E96,OFFSET(Variable!$AF$2,MATCH(Panel_New&amp;Category_New,Panel_Rates[Panel]&amp;Panel_Rates[Category],0)-1,0,1,12),0))/8,"")</f>
        <v>275</v>
      </c>
      <c r="H96" s="92"/>
      <c r="I96" s="88">
        <f t="shared" ca="1" si="21"/>
        <v>275</v>
      </c>
      <c r="J96" s="89">
        <f t="shared" ca="1" si="22"/>
        <v>2200</v>
      </c>
      <c r="K96" s="90" t="str">
        <f>IFERROR(_xlfn.XLOOKUP(D96,CostTableLookup[Name],CostTableLookup[Gross Cost]),"")</f>
        <v/>
      </c>
      <c r="L96" s="22"/>
      <c r="M96" s="81">
        <f t="shared" ca="1" si="25"/>
        <v>0</v>
      </c>
      <c r="N96" s="23"/>
      <c r="O96" s="81">
        <f t="shared" ca="1" si="26"/>
        <v>0</v>
      </c>
      <c r="P96" s="81">
        <f t="shared" ca="1" si="23"/>
        <v>0</v>
      </c>
      <c r="Q96" s="24" t="str">
        <f t="shared" si="24"/>
        <v/>
      </c>
      <c r="R96" s="110" t="str">
        <f t="shared" ca="1" si="27"/>
        <v/>
      </c>
      <c r="S96" s="114">
        <f t="shared" ref="S96" ca="1" si="64">IFERROR(SUM(OFFSET(Y96,0,MATCH(Forecast_New,$Y$3:$WQ$3,0)-1,1,500))*40,"")</f>
        <v>40</v>
      </c>
      <c r="T96" s="115">
        <f t="shared" ca="1" si="29"/>
        <v>5</v>
      </c>
      <c r="U96" s="116">
        <f t="shared" ca="1" si="55"/>
        <v>11000</v>
      </c>
      <c r="V96" s="99" t="str">
        <f t="shared" ca="1" si="56"/>
        <v/>
      </c>
      <c r="W96" s="100">
        <f t="shared" ca="1" si="32"/>
        <v>-11000</v>
      </c>
      <c r="X96" s="83" t="str">
        <f t="shared" ca="1" si="33"/>
        <v/>
      </c>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v>0.5</v>
      </c>
      <c r="BA96" s="25">
        <v>0.5</v>
      </c>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c r="FD96" s="25"/>
      <c r="FE96" s="25"/>
      <c r="FF96" s="25"/>
      <c r="FG96" s="25"/>
      <c r="FH96" s="25"/>
      <c r="FI96" s="25"/>
      <c r="FJ96" s="25"/>
      <c r="FK96" s="25"/>
      <c r="FL96" s="25"/>
      <c r="FM96" s="25"/>
      <c r="FN96" s="25"/>
      <c r="FO96" s="25"/>
      <c r="FP96" s="25"/>
      <c r="FQ96" s="25"/>
      <c r="FR96" s="25"/>
      <c r="FS96" s="25"/>
      <c r="FT96" s="25"/>
      <c r="FU96" s="25"/>
      <c r="FV96" s="25"/>
      <c r="FW96" s="25"/>
      <c r="FX96" s="25"/>
      <c r="FY96" s="25"/>
      <c r="FZ96" s="25"/>
      <c r="GA96" s="25"/>
      <c r="GB96" s="25"/>
      <c r="GC96" s="25"/>
      <c r="GD96" s="25"/>
      <c r="GE96" s="25"/>
      <c r="GF96" s="25"/>
      <c r="GG96" s="25"/>
      <c r="GH96" s="25"/>
      <c r="GI96" s="25"/>
      <c r="GJ96" s="25"/>
      <c r="GK96" s="25"/>
      <c r="GL96" s="25"/>
      <c r="GM96" s="25"/>
      <c r="GN96" s="25"/>
      <c r="GO96" s="25"/>
      <c r="GP96" s="25"/>
      <c r="GQ96" s="25"/>
      <c r="GR96" s="25"/>
      <c r="GS96" s="25"/>
      <c r="GT96" s="25"/>
      <c r="GU96" s="25"/>
      <c r="GV96" s="25"/>
      <c r="GW96" s="25"/>
      <c r="GX96" s="25"/>
      <c r="GY96" s="25"/>
      <c r="GZ96" s="25"/>
      <c r="HA96" s="25"/>
      <c r="HB96" s="25"/>
      <c r="HC96" s="25"/>
      <c r="HD96" s="25"/>
      <c r="HE96" s="25"/>
      <c r="HF96" s="25"/>
      <c r="HG96" s="25"/>
      <c r="HH96" s="25"/>
      <c r="HI96" s="25"/>
      <c r="HJ96" s="25"/>
      <c r="HK96" s="25"/>
      <c r="HL96" s="25"/>
      <c r="HM96" s="25"/>
      <c r="HN96" s="25"/>
      <c r="HO96" s="25"/>
      <c r="HP96" s="25"/>
      <c r="HQ96" s="25"/>
      <c r="HR96" s="25"/>
      <c r="HS96" s="25"/>
      <c r="HT96" s="25"/>
      <c r="HU96" s="25"/>
      <c r="HV96" s="25"/>
      <c r="HW96" s="25"/>
      <c r="HX96" s="25"/>
      <c r="HY96" s="25"/>
      <c r="HZ96" s="25"/>
      <c r="IA96" s="25"/>
      <c r="IB96" s="25"/>
      <c r="IC96" s="25"/>
      <c r="ID96" s="25"/>
      <c r="IE96" s="25"/>
      <c r="IF96" s="25"/>
      <c r="IG96" s="25"/>
      <c r="IH96" s="25"/>
      <c r="II96" s="25"/>
      <c r="IJ96" s="25"/>
      <c r="IK96" s="25"/>
      <c r="IL96" s="25"/>
      <c r="IM96" s="25"/>
      <c r="IN96" s="25"/>
      <c r="IO96" s="25"/>
      <c r="IP96" s="25"/>
      <c r="IQ96" s="25"/>
      <c r="IR96" s="25"/>
      <c r="IS96" s="25"/>
      <c r="IT96" s="25"/>
      <c r="IU96" s="25"/>
      <c r="IV96" s="25"/>
      <c r="IW96" s="25"/>
      <c r="IX96" s="25"/>
      <c r="IY96" s="25"/>
      <c r="IZ96" s="25"/>
      <c r="JA96" s="25"/>
      <c r="JB96" s="25"/>
      <c r="JC96" s="25"/>
      <c r="JD96" s="25"/>
      <c r="JE96" s="25"/>
      <c r="JF96" s="25"/>
      <c r="JG96" s="25"/>
      <c r="JH96" s="25"/>
      <c r="JI96" s="25"/>
      <c r="JJ96" s="25"/>
      <c r="JK96" s="25"/>
      <c r="JL96" s="25"/>
      <c r="JM96" s="25"/>
      <c r="JN96" s="25"/>
    </row>
    <row r="97" spans="2:274" ht="20.25" customHeight="1" x14ac:dyDescent="0.25">
      <c r="B97" s="20"/>
      <c r="F97" s="21"/>
      <c r="G97" s="86" t="str" cm="1">
        <f t="array" aca="1" ref="G97" ca="1">IFERROR(INDEX(Panel_Rates[[1]:[12]],MATCH(Panel_New&amp;Category_New,Panel_Rates[Panel]&amp;Panel_Rates[Category],0),MATCH('Time Plan HY'!E97,OFFSET(Variable!$AF$2,MATCH(Panel_New&amp;Category_New,Panel_Rates[Panel]&amp;Panel_Rates[Category],0)-1,0,1,12),0))/8,"")</f>
        <v/>
      </c>
      <c r="H97" s="92"/>
      <c r="I97" s="88" t="str">
        <f t="shared" ca="1" si="21"/>
        <v/>
      </c>
      <c r="J97" s="89" t="str">
        <f t="shared" ca="1" si="22"/>
        <v/>
      </c>
      <c r="K97" s="90" t="str">
        <f>IFERROR(_xlfn.XLOOKUP(D97,CostTableLookup[Name],CostTableLookup[Gross Cost]),"")</f>
        <v/>
      </c>
      <c r="L97" s="22"/>
      <c r="M97" s="81" t="str">
        <f t="shared" ca="1" si="25"/>
        <v/>
      </c>
      <c r="N97" s="23"/>
      <c r="O97" s="81" t="str">
        <f t="shared" ca="1" si="26"/>
        <v/>
      </c>
      <c r="P97" s="81" t="str">
        <f t="shared" ca="1" si="23"/>
        <v/>
      </c>
      <c r="Q97" s="24" t="str">
        <f t="shared" si="24"/>
        <v/>
      </c>
      <c r="R97" s="110" t="str">
        <f t="shared" ca="1" si="27"/>
        <v/>
      </c>
      <c r="S97" s="114">
        <f t="shared" ref="S97" ca="1" si="65">IFERROR(SUM(OFFSET(Y97,0,MATCH(Forecast_New,$Y$3:$WQ$3,0)-1,1,500))*40,"")</f>
        <v>0</v>
      </c>
      <c r="T97" s="115">
        <f t="shared" ca="1" si="29"/>
        <v>0</v>
      </c>
      <c r="U97" s="116" t="str">
        <f t="shared" ca="1" si="55"/>
        <v/>
      </c>
      <c r="V97" s="99" t="str">
        <f t="shared" ca="1" si="56"/>
        <v/>
      </c>
      <c r="W97" s="100" t="str">
        <f t="shared" ca="1" si="32"/>
        <v/>
      </c>
      <c r="X97" s="83" t="str">
        <f t="shared" ca="1" si="33"/>
        <v/>
      </c>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c r="FY97" s="25"/>
      <c r="FZ97" s="25"/>
      <c r="GA97" s="25"/>
      <c r="GB97" s="25"/>
      <c r="GC97" s="25"/>
      <c r="GD97" s="25"/>
      <c r="GE97" s="25"/>
      <c r="GF97" s="25"/>
      <c r="GG97" s="25"/>
      <c r="GH97" s="25"/>
      <c r="GI97" s="25"/>
      <c r="GJ97" s="25"/>
      <c r="GK97" s="25"/>
      <c r="GL97" s="25"/>
      <c r="GM97" s="25"/>
      <c r="GN97" s="25"/>
      <c r="GO97" s="25"/>
      <c r="GP97" s="25"/>
      <c r="GQ97" s="25"/>
      <c r="GR97" s="25"/>
      <c r="GS97" s="25"/>
      <c r="GT97" s="25"/>
      <c r="GU97" s="25"/>
      <c r="GV97" s="25"/>
      <c r="GW97" s="25"/>
      <c r="GX97" s="25"/>
      <c r="GY97" s="25"/>
      <c r="GZ97" s="25"/>
      <c r="HA97" s="25"/>
      <c r="HB97" s="25"/>
      <c r="HC97" s="25"/>
      <c r="HD97" s="25"/>
      <c r="HE97" s="25"/>
      <c r="HF97" s="25"/>
      <c r="HG97" s="25"/>
      <c r="HH97" s="25"/>
      <c r="HI97" s="25"/>
      <c r="HJ97" s="25"/>
      <c r="HK97" s="25"/>
      <c r="HL97" s="25"/>
      <c r="HM97" s="25"/>
      <c r="HN97" s="25"/>
      <c r="HO97" s="25"/>
      <c r="HP97" s="25"/>
      <c r="HQ97" s="25"/>
      <c r="HR97" s="25"/>
      <c r="HS97" s="25"/>
      <c r="HT97" s="25"/>
      <c r="HU97" s="25"/>
      <c r="HV97" s="25"/>
      <c r="HW97" s="25"/>
      <c r="HX97" s="25"/>
      <c r="HY97" s="25"/>
      <c r="HZ97" s="25"/>
      <c r="IA97" s="25"/>
      <c r="IB97" s="25"/>
      <c r="IC97" s="25"/>
      <c r="ID97" s="25"/>
      <c r="IE97" s="25"/>
      <c r="IF97" s="25"/>
      <c r="IG97" s="25"/>
      <c r="IH97" s="25"/>
      <c r="II97" s="25"/>
      <c r="IJ97" s="25"/>
      <c r="IK97" s="25"/>
      <c r="IL97" s="25"/>
      <c r="IM97" s="25"/>
      <c r="IN97" s="25"/>
      <c r="IO97" s="25"/>
      <c r="IP97" s="25"/>
      <c r="IQ97" s="25"/>
      <c r="IR97" s="25"/>
      <c r="IS97" s="25"/>
      <c r="IT97" s="25"/>
      <c r="IU97" s="25"/>
      <c r="IV97" s="25"/>
      <c r="IW97" s="25"/>
      <c r="IX97" s="25"/>
      <c r="IY97" s="25"/>
      <c r="IZ97" s="25"/>
      <c r="JA97" s="25"/>
      <c r="JB97" s="25"/>
      <c r="JC97" s="25"/>
      <c r="JD97" s="25"/>
      <c r="JE97" s="25"/>
      <c r="JF97" s="25"/>
      <c r="JG97" s="25"/>
      <c r="JH97" s="25"/>
      <c r="JI97" s="25"/>
      <c r="JJ97" s="25"/>
      <c r="JK97" s="25"/>
      <c r="JL97" s="25"/>
      <c r="JM97" s="25"/>
      <c r="JN97" s="25"/>
    </row>
    <row r="98" spans="2:274" ht="20.25" customHeight="1" x14ac:dyDescent="0.25">
      <c r="B98" s="20"/>
      <c r="F98" s="21"/>
      <c r="G98" s="86" t="str" cm="1">
        <f t="array" aca="1" ref="G98" ca="1">IFERROR(INDEX(Panel_Rates[[1]:[12]],MATCH(Panel_New&amp;Category_New,Panel_Rates[Panel]&amp;Panel_Rates[Category],0),MATCH('Time Plan HY'!E98,OFFSET(Variable!$AF$2,MATCH(Panel_New&amp;Category_New,Panel_Rates[Panel]&amp;Panel_Rates[Category],0)-1,0,1,12),0))/8,"")</f>
        <v/>
      </c>
      <c r="H98" s="92"/>
      <c r="I98" s="88" t="str">
        <f t="shared" ca="1" si="21"/>
        <v/>
      </c>
      <c r="J98" s="89" t="str">
        <f t="shared" ca="1" si="22"/>
        <v/>
      </c>
      <c r="K98" s="90" t="str">
        <f>IFERROR(_xlfn.XLOOKUP(D98,CostTableLookup[Name],CostTableLookup[Gross Cost]),"")</f>
        <v/>
      </c>
      <c r="L98" s="22"/>
      <c r="M98" s="81" t="str">
        <f t="shared" ca="1" si="25"/>
        <v/>
      </c>
      <c r="N98" s="23"/>
      <c r="O98" s="81" t="str">
        <f t="shared" ca="1" si="26"/>
        <v/>
      </c>
      <c r="P98" s="81" t="str">
        <f t="shared" ca="1" si="23"/>
        <v/>
      </c>
      <c r="Q98" s="24" t="str">
        <f t="shared" si="24"/>
        <v/>
      </c>
      <c r="R98" s="110" t="str">
        <f t="shared" ca="1" si="27"/>
        <v/>
      </c>
      <c r="S98" s="114">
        <f t="shared" ref="S98" ca="1" si="66">IFERROR(SUM(OFFSET(Y98,0,MATCH(Forecast_New,$Y$3:$WQ$3,0)-1,1,500))*40,"")</f>
        <v>0</v>
      </c>
      <c r="T98" s="115">
        <f t="shared" ca="1" si="29"/>
        <v>0</v>
      </c>
      <c r="U98" s="116" t="str">
        <f t="shared" ca="1" si="55"/>
        <v/>
      </c>
      <c r="V98" s="99" t="str">
        <f t="shared" ca="1" si="56"/>
        <v/>
      </c>
      <c r="W98" s="100" t="str">
        <f t="shared" ca="1" si="32"/>
        <v/>
      </c>
      <c r="X98" s="83" t="str">
        <f t="shared" ca="1" si="33"/>
        <v/>
      </c>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c r="GC98" s="25"/>
      <c r="GD98" s="25"/>
      <c r="GE98" s="25"/>
      <c r="GF98" s="25"/>
      <c r="GG98" s="25"/>
      <c r="GH98" s="25"/>
      <c r="GI98" s="25"/>
      <c r="GJ98" s="25"/>
      <c r="GK98" s="25"/>
      <c r="GL98" s="25"/>
      <c r="GM98" s="25"/>
      <c r="GN98" s="25"/>
      <c r="GO98" s="25"/>
      <c r="GP98" s="25"/>
      <c r="GQ98" s="25"/>
      <c r="GR98" s="25"/>
      <c r="GS98" s="25"/>
      <c r="GT98" s="25"/>
      <c r="GU98" s="25"/>
      <c r="GV98" s="25"/>
      <c r="GW98" s="25"/>
      <c r="GX98" s="25"/>
      <c r="GY98" s="25"/>
      <c r="GZ98" s="25"/>
      <c r="HA98" s="25"/>
      <c r="HB98" s="25"/>
      <c r="HC98" s="25"/>
      <c r="HD98" s="25"/>
      <c r="HE98" s="25"/>
      <c r="HF98" s="25"/>
      <c r="HG98" s="25"/>
      <c r="HH98" s="25"/>
      <c r="HI98" s="25"/>
      <c r="HJ98" s="25"/>
      <c r="HK98" s="25"/>
      <c r="HL98" s="25"/>
      <c r="HM98" s="25"/>
      <c r="HN98" s="25"/>
      <c r="HO98" s="25"/>
      <c r="HP98" s="25"/>
      <c r="HQ98" s="25"/>
      <c r="HR98" s="25"/>
      <c r="HS98" s="25"/>
      <c r="HT98" s="25"/>
      <c r="HU98" s="25"/>
      <c r="HV98" s="25"/>
      <c r="HW98" s="25"/>
      <c r="HX98" s="25"/>
      <c r="HY98" s="25"/>
      <c r="HZ98" s="25"/>
      <c r="IA98" s="25"/>
      <c r="IB98" s="25"/>
      <c r="IC98" s="25"/>
      <c r="ID98" s="25"/>
      <c r="IE98" s="25"/>
      <c r="IF98" s="25"/>
      <c r="IG98" s="25"/>
      <c r="IH98" s="25"/>
      <c r="II98" s="25"/>
      <c r="IJ98" s="25"/>
      <c r="IK98" s="25"/>
      <c r="IL98" s="25"/>
      <c r="IM98" s="25"/>
      <c r="IN98" s="25"/>
      <c r="IO98" s="25"/>
      <c r="IP98" s="25"/>
      <c r="IQ98" s="25"/>
      <c r="IR98" s="25"/>
      <c r="IS98" s="25"/>
      <c r="IT98" s="25"/>
      <c r="IU98" s="25"/>
      <c r="IV98" s="25"/>
      <c r="IW98" s="25"/>
      <c r="IX98" s="25"/>
      <c r="IY98" s="25"/>
      <c r="IZ98" s="25"/>
      <c r="JA98" s="25"/>
      <c r="JB98" s="25"/>
      <c r="JC98" s="25"/>
      <c r="JD98" s="25"/>
      <c r="JE98" s="25"/>
      <c r="JF98" s="25"/>
      <c r="JG98" s="25"/>
      <c r="JH98" s="25"/>
      <c r="JI98" s="25"/>
      <c r="JJ98" s="25"/>
      <c r="JK98" s="25"/>
      <c r="JL98" s="25"/>
      <c r="JM98" s="25"/>
      <c r="JN98" s="25"/>
    </row>
    <row r="99" spans="2:274" ht="20.25" customHeight="1" x14ac:dyDescent="0.25">
      <c r="B99" s="20"/>
      <c r="F99" s="21"/>
      <c r="G99" s="86" t="str" cm="1">
        <f t="array" aca="1" ref="G99" ca="1">IFERROR(INDEX(Panel_Rates[[1]:[12]],MATCH(Panel_New&amp;Category_New,Panel_Rates[Panel]&amp;Panel_Rates[Category],0),MATCH('Time Plan HY'!E99,OFFSET(Variable!$AF$2,MATCH(Panel_New&amp;Category_New,Panel_Rates[Panel]&amp;Panel_Rates[Category],0)-1,0,1,12),0))/8,"")</f>
        <v/>
      </c>
      <c r="H99" s="92"/>
      <c r="I99" s="88" t="str">
        <f t="shared" ca="1" si="21"/>
        <v/>
      </c>
      <c r="J99" s="89" t="str">
        <f t="shared" ca="1" si="22"/>
        <v/>
      </c>
      <c r="K99" s="90" t="str">
        <f>IFERROR(_xlfn.XLOOKUP(D99,CostTableLookup[Name],CostTableLookup[Gross Cost]),"")</f>
        <v/>
      </c>
      <c r="L99" s="22"/>
      <c r="M99" s="81" t="str">
        <f t="shared" ca="1" si="25"/>
        <v/>
      </c>
      <c r="N99" s="23"/>
      <c r="O99" s="81" t="str">
        <f t="shared" ca="1" si="26"/>
        <v/>
      </c>
      <c r="P99" s="81" t="str">
        <f t="shared" ca="1" si="23"/>
        <v/>
      </c>
      <c r="Q99" s="24" t="str">
        <f t="shared" si="24"/>
        <v/>
      </c>
      <c r="R99" s="110" t="str">
        <f t="shared" ca="1" si="27"/>
        <v/>
      </c>
      <c r="S99" s="114">
        <f t="shared" ref="S99" ca="1" si="67">IFERROR(SUM(OFFSET(Y99,0,MATCH(Forecast_New,$Y$3:$WQ$3,0)-1,1,500))*40,"")</f>
        <v>0</v>
      </c>
      <c r="T99" s="115">
        <f t="shared" ca="1" si="29"/>
        <v>0</v>
      </c>
      <c r="U99" s="116" t="str">
        <f t="shared" ca="1" si="55"/>
        <v/>
      </c>
      <c r="V99" s="99" t="str">
        <f t="shared" ca="1" si="56"/>
        <v/>
      </c>
      <c r="W99" s="100" t="str">
        <f t="shared" ca="1" si="32"/>
        <v/>
      </c>
      <c r="X99" s="83" t="str">
        <f t="shared" ca="1" si="33"/>
        <v/>
      </c>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A99" s="25"/>
      <c r="GB99" s="25"/>
      <c r="GC99" s="25"/>
      <c r="GD99" s="25"/>
      <c r="GE99" s="25"/>
      <c r="GF99" s="25"/>
      <c r="GG99" s="25"/>
      <c r="GH99" s="25"/>
      <c r="GI99" s="25"/>
      <c r="GJ99" s="25"/>
      <c r="GK99" s="25"/>
      <c r="GL99" s="25"/>
      <c r="GM99" s="25"/>
      <c r="GN99" s="25"/>
      <c r="GO99" s="25"/>
      <c r="GP99" s="25"/>
      <c r="GQ99" s="25"/>
      <c r="GR99" s="25"/>
      <c r="GS99" s="25"/>
      <c r="GT99" s="25"/>
      <c r="GU99" s="25"/>
      <c r="GV99" s="25"/>
      <c r="GW99" s="25"/>
      <c r="GX99" s="25"/>
      <c r="GY99" s="25"/>
      <c r="GZ99" s="25"/>
      <c r="HA99" s="25"/>
      <c r="HB99" s="25"/>
      <c r="HC99" s="25"/>
      <c r="HD99" s="25"/>
      <c r="HE99" s="25"/>
      <c r="HF99" s="25"/>
      <c r="HG99" s="25"/>
      <c r="HH99" s="25"/>
      <c r="HI99" s="25"/>
      <c r="HJ99" s="25"/>
      <c r="HK99" s="25"/>
      <c r="HL99" s="25"/>
      <c r="HM99" s="25"/>
      <c r="HN99" s="25"/>
      <c r="HO99" s="25"/>
      <c r="HP99" s="25"/>
      <c r="HQ99" s="25"/>
      <c r="HR99" s="25"/>
      <c r="HS99" s="25"/>
      <c r="HT99" s="25"/>
      <c r="HU99" s="25"/>
      <c r="HV99" s="25"/>
      <c r="HW99" s="25"/>
      <c r="HX99" s="25"/>
      <c r="HY99" s="25"/>
      <c r="HZ99" s="25"/>
      <c r="IA99" s="25"/>
      <c r="IB99" s="25"/>
      <c r="IC99" s="25"/>
      <c r="ID99" s="25"/>
      <c r="IE99" s="25"/>
      <c r="IF99" s="25"/>
      <c r="IG99" s="25"/>
      <c r="IH99" s="25"/>
      <c r="II99" s="25"/>
      <c r="IJ99" s="25"/>
      <c r="IK99" s="25"/>
      <c r="IL99" s="25"/>
      <c r="IM99" s="25"/>
      <c r="IN99" s="25"/>
      <c r="IO99" s="25"/>
      <c r="IP99" s="25"/>
      <c r="IQ99" s="25"/>
      <c r="IR99" s="25"/>
      <c r="IS99" s="25"/>
      <c r="IT99" s="25"/>
      <c r="IU99" s="25"/>
      <c r="IV99" s="25"/>
      <c r="IW99" s="25"/>
      <c r="IX99" s="25"/>
      <c r="IY99" s="25"/>
      <c r="IZ99" s="25"/>
      <c r="JA99" s="25"/>
      <c r="JB99" s="25"/>
      <c r="JC99" s="25"/>
      <c r="JD99" s="25"/>
      <c r="JE99" s="25"/>
      <c r="JF99" s="25"/>
      <c r="JG99" s="25"/>
      <c r="JH99" s="25"/>
      <c r="JI99" s="25"/>
      <c r="JJ99" s="25"/>
      <c r="JK99" s="25"/>
      <c r="JL99" s="25"/>
      <c r="JM99" s="25"/>
      <c r="JN99" s="25"/>
    </row>
    <row r="100" spans="2:274" ht="20.25" customHeight="1" x14ac:dyDescent="0.25">
      <c r="B100" s="20"/>
      <c r="F100" s="21"/>
      <c r="G100" s="86" t="str" cm="1">
        <f t="array" aca="1" ref="G100" ca="1">IFERROR(INDEX(Panel_Rates[[1]:[12]],MATCH(Panel_New&amp;Category_New,Panel_Rates[Panel]&amp;Panel_Rates[Category],0),MATCH('Time Plan HY'!E100,OFFSET(Variable!$AF$2,MATCH(Panel_New&amp;Category_New,Panel_Rates[Panel]&amp;Panel_Rates[Category],0)-1,0,1,12),0))/8,"")</f>
        <v/>
      </c>
      <c r="H100" s="92"/>
      <c r="I100" s="88" t="str">
        <f t="shared" ca="1" si="21"/>
        <v/>
      </c>
      <c r="J100" s="89" t="str">
        <f t="shared" ca="1" si="22"/>
        <v/>
      </c>
      <c r="K100" s="90" t="str">
        <f>IFERROR(_xlfn.XLOOKUP(D100,CostTableLookup[Name],CostTableLookup[Gross Cost]),"")</f>
        <v/>
      </c>
      <c r="L100" s="22"/>
      <c r="M100" s="81" t="str">
        <f t="shared" ca="1" si="25"/>
        <v/>
      </c>
      <c r="N100" s="23"/>
      <c r="O100" s="81" t="str">
        <f t="shared" ca="1" si="26"/>
        <v/>
      </c>
      <c r="P100" s="81" t="str">
        <f t="shared" ca="1" si="23"/>
        <v/>
      </c>
      <c r="Q100" s="24" t="str">
        <f t="shared" si="24"/>
        <v/>
      </c>
      <c r="R100" s="110" t="str">
        <f t="shared" ca="1" si="27"/>
        <v/>
      </c>
      <c r="S100" s="114">
        <f t="shared" ref="S100" ca="1" si="68">IFERROR(SUM(OFFSET(Y100,0,MATCH(Forecast_New,$Y$3:$WQ$3,0)-1,1,500))*40,"")</f>
        <v>0</v>
      </c>
      <c r="T100" s="115">
        <f t="shared" ca="1" si="29"/>
        <v>0</v>
      </c>
      <c r="U100" s="116" t="str">
        <f t="shared" ca="1" si="55"/>
        <v/>
      </c>
      <c r="V100" s="99" t="str">
        <f t="shared" ca="1" si="56"/>
        <v/>
      </c>
      <c r="W100" s="100" t="str">
        <f t="shared" ca="1" si="32"/>
        <v/>
      </c>
      <c r="X100" s="83" t="str">
        <f t="shared" ca="1" si="33"/>
        <v/>
      </c>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c r="GC100" s="25"/>
      <c r="GD100" s="25"/>
      <c r="GE100" s="25"/>
      <c r="GF100" s="25"/>
      <c r="GG100" s="25"/>
      <c r="GH100" s="25"/>
      <c r="GI100" s="25"/>
      <c r="GJ100" s="25"/>
      <c r="GK100" s="25"/>
      <c r="GL100" s="25"/>
      <c r="GM100" s="25"/>
      <c r="GN100" s="25"/>
      <c r="GO100" s="25"/>
      <c r="GP100" s="25"/>
      <c r="GQ100" s="25"/>
      <c r="GR100" s="25"/>
      <c r="GS100" s="25"/>
      <c r="GT100" s="25"/>
      <c r="GU100" s="25"/>
      <c r="GV100" s="25"/>
      <c r="GW100" s="25"/>
      <c r="GX100" s="25"/>
      <c r="GY100" s="25"/>
      <c r="GZ100" s="25"/>
      <c r="HA100" s="25"/>
      <c r="HB100" s="25"/>
      <c r="HC100" s="25"/>
      <c r="HD100" s="25"/>
      <c r="HE100" s="25"/>
      <c r="HF100" s="25"/>
      <c r="HG100" s="25"/>
      <c r="HH100" s="25"/>
      <c r="HI100" s="25"/>
      <c r="HJ100" s="25"/>
      <c r="HK100" s="25"/>
      <c r="HL100" s="25"/>
      <c r="HM100" s="25"/>
      <c r="HN100" s="25"/>
      <c r="HO100" s="25"/>
      <c r="HP100" s="25"/>
      <c r="HQ100" s="25"/>
      <c r="HR100" s="25"/>
      <c r="HS100" s="25"/>
      <c r="HT100" s="25"/>
      <c r="HU100" s="25"/>
      <c r="HV100" s="25"/>
      <c r="HW100" s="25"/>
      <c r="HX100" s="25"/>
      <c r="HY100" s="25"/>
      <c r="HZ100" s="25"/>
      <c r="IA100" s="25"/>
      <c r="IB100" s="25"/>
      <c r="IC100" s="25"/>
      <c r="ID100" s="25"/>
      <c r="IE100" s="25"/>
      <c r="IF100" s="25"/>
      <c r="IG100" s="25"/>
      <c r="IH100" s="25"/>
      <c r="II100" s="25"/>
      <c r="IJ100" s="25"/>
      <c r="IK100" s="25"/>
      <c r="IL100" s="25"/>
      <c r="IM100" s="25"/>
      <c r="IN100" s="25"/>
      <c r="IO100" s="25"/>
      <c r="IP100" s="25"/>
      <c r="IQ100" s="25"/>
      <c r="IR100" s="25"/>
      <c r="IS100" s="25"/>
      <c r="IT100" s="25"/>
      <c r="IU100" s="25"/>
      <c r="IV100" s="25"/>
      <c r="IW100" s="25"/>
      <c r="IX100" s="25"/>
      <c r="IY100" s="25"/>
      <c r="IZ100" s="25"/>
      <c r="JA100" s="25"/>
      <c r="JB100" s="25"/>
      <c r="JC100" s="25"/>
      <c r="JD100" s="25"/>
      <c r="JE100" s="25"/>
      <c r="JF100" s="25"/>
      <c r="JG100" s="25"/>
      <c r="JH100" s="25"/>
      <c r="JI100" s="25"/>
      <c r="JJ100" s="25"/>
      <c r="JK100" s="25"/>
      <c r="JL100" s="25"/>
      <c r="JM100" s="25"/>
      <c r="JN100" s="25"/>
    </row>
    <row r="101" spans="2:274" ht="20.25" customHeight="1" x14ac:dyDescent="0.25">
      <c r="B101" s="20"/>
      <c r="F101" s="21"/>
      <c r="G101" s="86" t="str" cm="1">
        <f t="array" aca="1" ref="G101" ca="1">IFERROR(INDEX(Panel_Rates[[1]:[12]],MATCH(Panel_New&amp;Category_New,Panel_Rates[Panel]&amp;Panel_Rates[Category],0),MATCH('Time Plan HY'!E101,OFFSET(Variable!$AF$2,MATCH(Panel_New&amp;Category_New,Panel_Rates[Panel]&amp;Panel_Rates[Category],0)-1,0,1,12),0))/8,"")</f>
        <v/>
      </c>
      <c r="H101" s="92"/>
      <c r="I101" s="88" t="str">
        <f t="shared" ca="1" si="21"/>
        <v/>
      </c>
      <c r="J101" s="89" t="str">
        <f t="shared" ca="1" si="22"/>
        <v/>
      </c>
      <c r="K101" s="90" t="str">
        <f>IFERROR(_xlfn.XLOOKUP(D101,CostTableLookup[Name],CostTableLookup[Gross Cost]),"")</f>
        <v/>
      </c>
      <c r="L101" s="22"/>
      <c r="M101" s="81" t="str">
        <f t="shared" ca="1" si="25"/>
        <v/>
      </c>
      <c r="N101" s="23"/>
      <c r="O101" s="81" t="str">
        <f t="shared" ca="1" si="26"/>
        <v/>
      </c>
      <c r="P101" s="81" t="str">
        <f t="shared" ca="1" si="23"/>
        <v/>
      </c>
      <c r="Q101" s="24" t="str">
        <f t="shared" si="24"/>
        <v/>
      </c>
      <c r="R101" s="110" t="str">
        <f t="shared" ca="1" si="27"/>
        <v/>
      </c>
      <c r="S101" s="114">
        <f t="shared" ref="S101" ca="1" si="69">IFERROR(SUM(OFFSET(Y101,0,MATCH(Forecast_New,$Y$3:$WQ$3,0)-1,1,500))*40,"")</f>
        <v>0</v>
      </c>
      <c r="T101" s="115">
        <f t="shared" ca="1" si="29"/>
        <v>0</v>
      </c>
      <c r="U101" s="116" t="str">
        <f t="shared" ca="1" si="55"/>
        <v/>
      </c>
      <c r="V101" s="99" t="str">
        <f t="shared" ca="1" si="56"/>
        <v/>
      </c>
      <c r="W101" s="100" t="str">
        <f t="shared" ca="1" si="32"/>
        <v/>
      </c>
      <c r="X101" s="83" t="str">
        <f t="shared" ca="1" si="33"/>
        <v/>
      </c>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25"/>
      <c r="GV101" s="25"/>
      <c r="GW101" s="25"/>
      <c r="GX101" s="25"/>
      <c r="GY101" s="25"/>
      <c r="GZ101" s="25"/>
      <c r="HA101" s="25"/>
      <c r="HB101" s="25"/>
      <c r="HC101" s="25"/>
      <c r="HD101" s="25"/>
      <c r="HE101" s="25"/>
      <c r="HF101" s="25"/>
      <c r="HG101" s="25"/>
      <c r="HH101" s="25"/>
      <c r="HI101" s="25"/>
      <c r="HJ101" s="25"/>
      <c r="HK101" s="25"/>
      <c r="HL101" s="25"/>
      <c r="HM101" s="25"/>
      <c r="HN101" s="25"/>
      <c r="HO101" s="25"/>
      <c r="HP101" s="25"/>
      <c r="HQ101" s="25"/>
      <c r="HR101" s="25"/>
      <c r="HS101" s="25"/>
      <c r="HT101" s="25"/>
      <c r="HU101" s="25"/>
      <c r="HV101" s="25"/>
      <c r="HW101" s="25"/>
      <c r="HX101" s="25"/>
      <c r="HY101" s="25"/>
      <c r="HZ101" s="25"/>
      <c r="IA101" s="25"/>
      <c r="IB101" s="25"/>
      <c r="IC101" s="25"/>
      <c r="ID101" s="25"/>
      <c r="IE101" s="25"/>
      <c r="IF101" s="25"/>
      <c r="IG101" s="25"/>
      <c r="IH101" s="25"/>
      <c r="II101" s="25"/>
      <c r="IJ101" s="25"/>
      <c r="IK101" s="25"/>
      <c r="IL101" s="25"/>
      <c r="IM101" s="25"/>
      <c r="IN101" s="25"/>
      <c r="IO101" s="25"/>
      <c r="IP101" s="25"/>
      <c r="IQ101" s="25"/>
      <c r="IR101" s="25"/>
      <c r="IS101" s="25"/>
      <c r="IT101" s="25"/>
      <c r="IU101" s="25"/>
      <c r="IV101" s="25"/>
      <c r="IW101" s="25"/>
      <c r="IX101" s="25"/>
      <c r="IY101" s="25"/>
      <c r="IZ101" s="25"/>
      <c r="JA101" s="25"/>
      <c r="JB101" s="25"/>
      <c r="JC101" s="25"/>
      <c r="JD101" s="25"/>
      <c r="JE101" s="25"/>
      <c r="JF101" s="25"/>
      <c r="JG101" s="25"/>
      <c r="JH101" s="25"/>
      <c r="JI101" s="25"/>
      <c r="JJ101" s="25"/>
      <c r="JK101" s="25"/>
      <c r="JL101" s="25"/>
      <c r="JM101" s="25"/>
      <c r="JN101" s="25"/>
    </row>
    <row r="102" spans="2:274" ht="20.25" customHeight="1" x14ac:dyDescent="0.25">
      <c r="B102" s="20"/>
      <c r="F102" s="21"/>
      <c r="G102" s="86" t="str" cm="1">
        <f t="array" aca="1" ref="G102" ca="1">IFERROR(INDEX(Panel_Rates[[1]:[12]],MATCH(Panel_New&amp;Category_New,Panel_Rates[Panel]&amp;Panel_Rates[Category],0),MATCH('Time Plan HY'!E102,OFFSET(Variable!$AF$2,MATCH(Panel_New&amp;Category_New,Panel_Rates[Panel]&amp;Panel_Rates[Category],0)-1,0,1,12),0))/8,"")</f>
        <v/>
      </c>
      <c r="H102" s="92"/>
      <c r="I102" s="88" t="str">
        <f t="shared" ca="1" si="21"/>
        <v/>
      </c>
      <c r="J102" s="89" t="str">
        <f t="shared" ca="1" si="22"/>
        <v/>
      </c>
      <c r="K102" s="90" t="str">
        <f>IFERROR(_xlfn.XLOOKUP(D102,CostTableLookup[Name],CostTableLookup[Gross Cost]),"")</f>
        <v/>
      </c>
      <c r="L102" s="22"/>
      <c r="M102" s="81" t="str">
        <f t="shared" ca="1" si="25"/>
        <v/>
      </c>
      <c r="N102" s="23"/>
      <c r="O102" s="81" t="str">
        <f t="shared" ca="1" si="26"/>
        <v/>
      </c>
      <c r="P102" s="81" t="str">
        <f t="shared" ca="1" si="23"/>
        <v/>
      </c>
      <c r="Q102" s="24" t="str">
        <f t="shared" si="24"/>
        <v/>
      </c>
      <c r="R102" s="110" t="str">
        <f t="shared" ca="1" si="27"/>
        <v/>
      </c>
      <c r="S102" s="114">
        <f t="shared" ref="S102" ca="1" si="70">IFERROR(SUM(OFFSET(Y102,0,MATCH(Forecast_New,$Y$3:$WQ$3,0)-1,1,500))*40,"")</f>
        <v>0</v>
      </c>
      <c r="T102" s="115">
        <f t="shared" ca="1" si="29"/>
        <v>0</v>
      </c>
      <c r="U102" s="116" t="str">
        <f t="shared" ca="1" si="55"/>
        <v/>
      </c>
      <c r="V102" s="99" t="str">
        <f t="shared" ca="1" si="56"/>
        <v/>
      </c>
      <c r="W102" s="100" t="str">
        <f t="shared" ca="1" si="32"/>
        <v/>
      </c>
      <c r="X102" s="83" t="str">
        <f t="shared" ca="1" si="33"/>
        <v/>
      </c>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c r="FL102" s="25"/>
      <c r="FM102" s="25"/>
      <c r="FN102" s="25"/>
      <c r="FO102" s="25"/>
      <c r="FP102" s="25"/>
      <c r="FQ102" s="25"/>
      <c r="FR102" s="25"/>
      <c r="FS102" s="25"/>
      <c r="FT102" s="25"/>
      <c r="FU102" s="25"/>
      <c r="FV102" s="25"/>
      <c r="FW102" s="25"/>
      <c r="FX102" s="25"/>
      <c r="FY102" s="25"/>
      <c r="FZ102" s="25"/>
      <c r="GA102" s="25"/>
      <c r="GB102" s="25"/>
      <c r="GC102" s="25"/>
      <c r="GD102" s="25"/>
      <c r="GE102" s="25"/>
      <c r="GF102" s="25"/>
      <c r="GG102" s="25"/>
      <c r="GH102" s="25"/>
      <c r="GI102" s="25"/>
      <c r="GJ102" s="25"/>
      <c r="GK102" s="25"/>
      <c r="GL102" s="25"/>
      <c r="GM102" s="25"/>
      <c r="GN102" s="25"/>
      <c r="GO102" s="25"/>
      <c r="GP102" s="25"/>
      <c r="GQ102" s="25"/>
      <c r="GR102" s="25"/>
      <c r="GS102" s="25"/>
      <c r="GT102" s="25"/>
      <c r="GU102" s="25"/>
      <c r="GV102" s="25"/>
      <c r="GW102" s="25"/>
      <c r="GX102" s="25"/>
      <c r="GY102" s="25"/>
      <c r="GZ102" s="25"/>
      <c r="HA102" s="25"/>
      <c r="HB102" s="25"/>
      <c r="HC102" s="25"/>
      <c r="HD102" s="25"/>
      <c r="HE102" s="25"/>
      <c r="HF102" s="25"/>
      <c r="HG102" s="25"/>
      <c r="HH102" s="25"/>
      <c r="HI102" s="25"/>
      <c r="HJ102" s="25"/>
      <c r="HK102" s="25"/>
      <c r="HL102" s="25"/>
      <c r="HM102" s="25"/>
      <c r="HN102" s="25"/>
      <c r="HO102" s="25"/>
      <c r="HP102" s="25"/>
      <c r="HQ102" s="25"/>
      <c r="HR102" s="25"/>
      <c r="HS102" s="25"/>
      <c r="HT102" s="25"/>
      <c r="HU102" s="25"/>
      <c r="HV102" s="25"/>
      <c r="HW102" s="25"/>
      <c r="HX102" s="25"/>
      <c r="HY102" s="25"/>
      <c r="HZ102" s="25"/>
      <c r="IA102" s="25"/>
      <c r="IB102" s="25"/>
      <c r="IC102" s="25"/>
      <c r="ID102" s="25"/>
      <c r="IE102" s="25"/>
      <c r="IF102" s="25"/>
      <c r="IG102" s="25"/>
      <c r="IH102" s="25"/>
      <c r="II102" s="25"/>
      <c r="IJ102" s="25"/>
      <c r="IK102" s="25"/>
      <c r="IL102" s="25"/>
      <c r="IM102" s="25"/>
      <c r="IN102" s="25"/>
      <c r="IO102" s="25"/>
      <c r="IP102" s="25"/>
      <c r="IQ102" s="25"/>
      <c r="IR102" s="25"/>
      <c r="IS102" s="25"/>
      <c r="IT102" s="25"/>
      <c r="IU102" s="25"/>
      <c r="IV102" s="25"/>
      <c r="IW102" s="25"/>
      <c r="IX102" s="25"/>
      <c r="IY102" s="25"/>
      <c r="IZ102" s="25"/>
      <c r="JA102" s="25"/>
      <c r="JB102" s="25"/>
      <c r="JC102" s="25"/>
      <c r="JD102" s="25"/>
      <c r="JE102" s="25"/>
      <c r="JF102" s="25"/>
      <c r="JG102" s="25"/>
      <c r="JH102" s="25"/>
      <c r="JI102" s="25"/>
      <c r="JJ102" s="25"/>
      <c r="JK102" s="25"/>
      <c r="JL102" s="25"/>
      <c r="JM102" s="25"/>
      <c r="JN102" s="25"/>
    </row>
    <row r="103" spans="2:274" ht="20.25" customHeight="1" x14ac:dyDescent="0.25">
      <c r="B103" s="20"/>
      <c r="F103" s="21"/>
      <c r="G103" s="86" t="str" cm="1">
        <f t="array" aca="1" ref="G103" ca="1">IFERROR(INDEX(Panel_Rates[[1]:[12]],MATCH(Panel_New&amp;Category_New,Panel_Rates[Panel]&amp;Panel_Rates[Category],0),MATCH('Time Plan HY'!E103,OFFSET(Variable!$AF$2,MATCH(Panel_New&amp;Category_New,Panel_Rates[Panel]&amp;Panel_Rates[Category],0)-1,0,1,12),0))/8,"")</f>
        <v/>
      </c>
      <c r="H103" s="92"/>
      <c r="I103" s="88" t="str">
        <f t="shared" ca="1" si="21"/>
        <v/>
      </c>
      <c r="J103" s="89" t="str">
        <f t="shared" ca="1" si="22"/>
        <v/>
      </c>
      <c r="K103" s="90" t="str">
        <f>IFERROR(_xlfn.XLOOKUP(D103,CostTableLookup[Name],CostTableLookup[Gross Cost]),"")</f>
        <v/>
      </c>
      <c r="L103" s="22"/>
      <c r="M103" s="81" t="str">
        <f t="shared" ca="1" si="25"/>
        <v/>
      </c>
      <c r="N103" s="23"/>
      <c r="O103" s="81" t="str">
        <f t="shared" ca="1" si="26"/>
        <v/>
      </c>
      <c r="P103" s="81" t="str">
        <f t="shared" ca="1" si="23"/>
        <v/>
      </c>
      <c r="Q103" s="24" t="str">
        <f t="shared" si="24"/>
        <v/>
      </c>
      <c r="R103" s="110" t="str">
        <f t="shared" ca="1" si="27"/>
        <v/>
      </c>
      <c r="S103" s="114">
        <f t="shared" ref="S103" ca="1" si="71">IFERROR(SUM(OFFSET(Y103,0,MATCH(Forecast_New,$Y$3:$WQ$3,0)-1,1,500))*40,"")</f>
        <v>0</v>
      </c>
      <c r="T103" s="115">
        <f t="shared" ca="1" si="29"/>
        <v>0</v>
      </c>
      <c r="U103" s="116" t="str">
        <f t="shared" ca="1" si="55"/>
        <v/>
      </c>
      <c r="V103" s="99" t="str">
        <f t="shared" ca="1" si="56"/>
        <v/>
      </c>
      <c r="W103" s="100" t="str">
        <f t="shared" ca="1" si="32"/>
        <v/>
      </c>
      <c r="X103" s="83" t="str">
        <f t="shared" ca="1" si="33"/>
        <v/>
      </c>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5"/>
      <c r="GA103" s="25"/>
      <c r="GB103" s="25"/>
      <c r="GC103" s="25"/>
      <c r="GD103" s="25"/>
      <c r="GE103" s="25"/>
      <c r="GF103" s="25"/>
      <c r="GG103" s="25"/>
      <c r="GH103" s="25"/>
      <c r="GI103" s="25"/>
      <c r="GJ103" s="25"/>
      <c r="GK103" s="25"/>
      <c r="GL103" s="25"/>
      <c r="GM103" s="25"/>
      <c r="GN103" s="25"/>
      <c r="GO103" s="25"/>
      <c r="GP103" s="25"/>
      <c r="GQ103" s="25"/>
      <c r="GR103" s="25"/>
      <c r="GS103" s="25"/>
      <c r="GT103" s="25"/>
      <c r="GU103" s="25"/>
      <c r="GV103" s="25"/>
      <c r="GW103" s="25"/>
      <c r="GX103" s="25"/>
      <c r="GY103" s="25"/>
      <c r="GZ103" s="25"/>
      <c r="HA103" s="25"/>
      <c r="HB103" s="25"/>
      <c r="HC103" s="25"/>
      <c r="HD103" s="25"/>
      <c r="HE103" s="25"/>
      <c r="HF103" s="25"/>
      <c r="HG103" s="25"/>
      <c r="HH103" s="25"/>
      <c r="HI103" s="25"/>
      <c r="HJ103" s="25"/>
      <c r="HK103" s="25"/>
      <c r="HL103" s="25"/>
      <c r="HM103" s="25"/>
      <c r="HN103" s="25"/>
      <c r="HO103" s="25"/>
      <c r="HP103" s="25"/>
      <c r="HQ103" s="25"/>
      <c r="HR103" s="25"/>
      <c r="HS103" s="25"/>
      <c r="HT103" s="25"/>
      <c r="HU103" s="25"/>
      <c r="HV103" s="25"/>
      <c r="HW103" s="25"/>
      <c r="HX103" s="25"/>
      <c r="HY103" s="25"/>
      <c r="HZ103" s="25"/>
      <c r="IA103" s="25"/>
      <c r="IB103" s="25"/>
      <c r="IC103" s="25"/>
      <c r="ID103" s="25"/>
      <c r="IE103" s="25"/>
      <c r="IF103" s="25"/>
      <c r="IG103" s="25"/>
      <c r="IH103" s="25"/>
      <c r="II103" s="25"/>
      <c r="IJ103" s="25"/>
      <c r="IK103" s="25"/>
      <c r="IL103" s="25"/>
      <c r="IM103" s="25"/>
      <c r="IN103" s="25"/>
      <c r="IO103" s="25"/>
      <c r="IP103" s="25"/>
      <c r="IQ103" s="25"/>
      <c r="IR103" s="25"/>
      <c r="IS103" s="25"/>
      <c r="IT103" s="25"/>
      <c r="IU103" s="25"/>
      <c r="IV103" s="25"/>
      <c r="IW103" s="25"/>
      <c r="IX103" s="25"/>
      <c r="IY103" s="25"/>
      <c r="IZ103" s="25"/>
      <c r="JA103" s="25"/>
      <c r="JB103" s="25"/>
      <c r="JC103" s="25"/>
      <c r="JD103" s="25"/>
      <c r="JE103" s="25"/>
      <c r="JF103" s="25"/>
      <c r="JG103" s="25"/>
      <c r="JH103" s="25"/>
      <c r="JI103" s="25"/>
      <c r="JJ103" s="25"/>
      <c r="JK103" s="25"/>
      <c r="JL103" s="25"/>
      <c r="JM103" s="25"/>
      <c r="JN103" s="25"/>
    </row>
    <row r="104" spans="2:274" ht="20.25" customHeight="1" x14ac:dyDescent="0.25">
      <c r="B104" s="20"/>
      <c r="F104" s="21"/>
      <c r="G104" s="86" t="str" cm="1">
        <f t="array" aca="1" ref="G104" ca="1">IFERROR(INDEX(Panel_Rates[[1]:[12]],MATCH(Panel_New&amp;Category_New,Panel_Rates[Panel]&amp;Panel_Rates[Category],0),MATCH('Time Plan HY'!E104,OFFSET(Variable!$AF$2,MATCH(Panel_New&amp;Category_New,Panel_Rates[Panel]&amp;Panel_Rates[Category],0)-1,0,1,12),0))/8,"")</f>
        <v/>
      </c>
      <c r="H104" s="92"/>
      <c r="I104" s="88" t="str">
        <f t="shared" ca="1" si="21"/>
        <v/>
      </c>
      <c r="J104" s="89" t="str">
        <f t="shared" ca="1" si="22"/>
        <v/>
      </c>
      <c r="K104" s="90" t="str">
        <f>IFERROR(_xlfn.XLOOKUP(D104,CostTableLookup[Name],CostTableLookup[Gross Cost]),"")</f>
        <v/>
      </c>
      <c r="L104" s="22"/>
      <c r="M104" s="81" t="str">
        <f t="shared" ca="1" si="25"/>
        <v/>
      </c>
      <c r="N104" s="23"/>
      <c r="O104" s="81" t="str">
        <f t="shared" ca="1" si="26"/>
        <v/>
      </c>
      <c r="P104" s="81" t="str">
        <f t="shared" ca="1" si="23"/>
        <v/>
      </c>
      <c r="Q104" s="24" t="str">
        <f t="shared" si="24"/>
        <v/>
      </c>
      <c r="R104" s="110" t="str">
        <f t="shared" ca="1" si="27"/>
        <v/>
      </c>
      <c r="S104" s="114">
        <f t="shared" ref="S104" ca="1" si="72">IFERROR(SUM(OFFSET(Y104,0,MATCH(Forecast_New,$Y$3:$WQ$3,0)-1,1,500))*40,"")</f>
        <v>0</v>
      </c>
      <c r="T104" s="115">
        <f t="shared" ca="1" si="29"/>
        <v>0</v>
      </c>
      <c r="U104" s="116" t="str">
        <f t="shared" ca="1" si="55"/>
        <v/>
      </c>
      <c r="V104" s="99" t="str">
        <f t="shared" ca="1" si="56"/>
        <v/>
      </c>
      <c r="W104" s="100" t="str">
        <f t="shared" ca="1" si="32"/>
        <v/>
      </c>
      <c r="X104" s="83" t="str">
        <f t="shared" ca="1" si="33"/>
        <v/>
      </c>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5"/>
      <c r="EN104" s="25"/>
      <c r="EO104" s="25"/>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5"/>
      <c r="GA104" s="25"/>
      <c r="GB104" s="25"/>
      <c r="GC104" s="25"/>
      <c r="GD104" s="25"/>
      <c r="GE104" s="25"/>
      <c r="GF104" s="25"/>
      <c r="GG104" s="25"/>
      <c r="GH104" s="25"/>
      <c r="GI104" s="25"/>
      <c r="GJ104" s="25"/>
      <c r="GK104" s="25"/>
      <c r="GL104" s="25"/>
      <c r="GM104" s="25"/>
      <c r="GN104" s="25"/>
      <c r="GO104" s="25"/>
      <c r="GP104" s="25"/>
      <c r="GQ104" s="25"/>
      <c r="GR104" s="25"/>
      <c r="GS104" s="25"/>
      <c r="GT104" s="25"/>
      <c r="GU104" s="25"/>
      <c r="GV104" s="25"/>
      <c r="GW104" s="25"/>
      <c r="GX104" s="25"/>
      <c r="GY104" s="25"/>
      <c r="GZ104" s="25"/>
      <c r="HA104" s="25"/>
      <c r="HB104" s="25"/>
      <c r="HC104" s="25"/>
      <c r="HD104" s="25"/>
      <c r="HE104" s="25"/>
      <c r="HF104" s="25"/>
      <c r="HG104" s="25"/>
      <c r="HH104" s="25"/>
      <c r="HI104" s="25"/>
      <c r="HJ104" s="25"/>
      <c r="HK104" s="25"/>
      <c r="HL104" s="25"/>
      <c r="HM104" s="25"/>
      <c r="HN104" s="25"/>
      <c r="HO104" s="25"/>
      <c r="HP104" s="25"/>
      <c r="HQ104" s="25"/>
      <c r="HR104" s="25"/>
      <c r="HS104" s="25"/>
      <c r="HT104" s="25"/>
      <c r="HU104" s="25"/>
      <c r="HV104" s="25"/>
      <c r="HW104" s="25"/>
      <c r="HX104" s="25"/>
      <c r="HY104" s="25"/>
      <c r="HZ104" s="25"/>
      <c r="IA104" s="25"/>
      <c r="IB104" s="25"/>
      <c r="IC104" s="25"/>
      <c r="ID104" s="25"/>
      <c r="IE104" s="25"/>
      <c r="IF104" s="25"/>
      <c r="IG104" s="25"/>
      <c r="IH104" s="25"/>
      <c r="II104" s="25"/>
      <c r="IJ104" s="25"/>
      <c r="IK104" s="25"/>
      <c r="IL104" s="25"/>
      <c r="IM104" s="25"/>
      <c r="IN104" s="25"/>
      <c r="IO104" s="25"/>
      <c r="IP104" s="25"/>
      <c r="IQ104" s="25"/>
      <c r="IR104" s="25"/>
      <c r="IS104" s="25"/>
      <c r="IT104" s="25"/>
      <c r="IU104" s="25"/>
      <c r="IV104" s="25"/>
      <c r="IW104" s="25"/>
      <c r="IX104" s="25"/>
      <c r="IY104" s="25"/>
      <c r="IZ104" s="25"/>
      <c r="JA104" s="25"/>
      <c r="JB104" s="25"/>
      <c r="JC104" s="25"/>
      <c r="JD104" s="25"/>
      <c r="JE104" s="25"/>
      <c r="JF104" s="25"/>
      <c r="JG104" s="25"/>
      <c r="JH104" s="25"/>
      <c r="JI104" s="25"/>
      <c r="JJ104" s="25"/>
      <c r="JK104" s="25"/>
      <c r="JL104" s="25"/>
      <c r="JM104" s="25"/>
      <c r="JN104" s="25"/>
    </row>
    <row r="105" spans="2:274" ht="20.25" customHeight="1" x14ac:dyDescent="0.25">
      <c r="B105" s="20"/>
      <c r="F105" s="21"/>
      <c r="G105" s="86" t="str" cm="1">
        <f t="array" aca="1" ref="G105" ca="1">IFERROR(INDEX(Panel_Rates[[1]:[12]],MATCH(Panel_New&amp;Category_New,Panel_Rates[Panel]&amp;Panel_Rates[Category],0),MATCH('Time Plan HY'!E105,OFFSET(Variable!$AF$2,MATCH(Panel_New&amp;Category_New,Panel_Rates[Panel]&amp;Panel_Rates[Category],0)-1,0,1,12),0))/8,"")</f>
        <v/>
      </c>
      <c r="H105" s="92"/>
      <c r="I105" s="88" t="str">
        <f t="shared" ca="1" si="21"/>
        <v/>
      </c>
      <c r="J105" s="89" t="str">
        <f t="shared" ca="1" si="22"/>
        <v/>
      </c>
      <c r="K105" s="90" t="str">
        <f>IFERROR(_xlfn.XLOOKUP(D105,CostTableLookup[Name],CostTableLookup[Gross Cost]),"")</f>
        <v/>
      </c>
      <c r="L105" s="22"/>
      <c r="M105" s="81" t="str">
        <f t="shared" ca="1" si="25"/>
        <v/>
      </c>
      <c r="N105" s="23"/>
      <c r="O105" s="81" t="str">
        <f t="shared" ca="1" si="26"/>
        <v/>
      </c>
      <c r="P105" s="81" t="str">
        <f t="shared" ca="1" si="23"/>
        <v/>
      </c>
      <c r="Q105" s="24" t="str">
        <f t="shared" si="24"/>
        <v/>
      </c>
      <c r="R105" s="110" t="str">
        <f t="shared" ca="1" si="27"/>
        <v/>
      </c>
      <c r="S105" s="114">
        <f t="shared" ref="S105" ca="1" si="73">IFERROR(SUM(OFFSET(Y105,0,MATCH(Forecast_New,$Y$3:$WQ$3,0)-1,1,500))*40,"")</f>
        <v>0</v>
      </c>
      <c r="T105" s="115">
        <f t="shared" ca="1" si="29"/>
        <v>0</v>
      </c>
      <c r="U105" s="116" t="str">
        <f t="shared" ca="1" si="55"/>
        <v/>
      </c>
      <c r="V105" s="99" t="str">
        <f t="shared" ca="1" si="56"/>
        <v/>
      </c>
      <c r="W105" s="100" t="str">
        <f t="shared" ca="1" si="32"/>
        <v/>
      </c>
      <c r="X105" s="83" t="str">
        <f t="shared" ca="1" si="33"/>
        <v/>
      </c>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5"/>
      <c r="FT105" s="25"/>
      <c r="FU105" s="25"/>
      <c r="FV105" s="25"/>
      <c r="FW105" s="25"/>
      <c r="FX105" s="25"/>
      <c r="FY105" s="25"/>
      <c r="FZ105" s="25"/>
      <c r="GA105" s="25"/>
      <c r="GB105" s="25"/>
      <c r="GC105" s="25"/>
      <c r="GD105" s="25"/>
      <c r="GE105" s="25"/>
      <c r="GF105" s="25"/>
      <c r="GG105" s="25"/>
      <c r="GH105" s="25"/>
      <c r="GI105" s="25"/>
      <c r="GJ105" s="25"/>
      <c r="GK105" s="25"/>
      <c r="GL105" s="25"/>
      <c r="GM105" s="25"/>
      <c r="GN105" s="25"/>
      <c r="GO105" s="25"/>
      <c r="GP105" s="25"/>
      <c r="GQ105" s="25"/>
      <c r="GR105" s="25"/>
      <c r="GS105" s="25"/>
      <c r="GT105" s="25"/>
      <c r="GU105" s="25"/>
      <c r="GV105" s="25"/>
      <c r="GW105" s="25"/>
      <c r="GX105" s="25"/>
      <c r="GY105" s="25"/>
      <c r="GZ105" s="25"/>
      <c r="HA105" s="25"/>
      <c r="HB105" s="25"/>
      <c r="HC105" s="25"/>
      <c r="HD105" s="25"/>
      <c r="HE105" s="25"/>
      <c r="HF105" s="25"/>
      <c r="HG105" s="25"/>
      <c r="HH105" s="25"/>
      <c r="HI105" s="25"/>
      <c r="HJ105" s="25"/>
      <c r="HK105" s="25"/>
      <c r="HL105" s="25"/>
      <c r="HM105" s="25"/>
      <c r="HN105" s="25"/>
      <c r="HO105" s="25"/>
      <c r="HP105" s="25"/>
      <c r="HQ105" s="25"/>
      <c r="HR105" s="25"/>
      <c r="HS105" s="25"/>
      <c r="HT105" s="25"/>
      <c r="HU105" s="25"/>
      <c r="HV105" s="25"/>
      <c r="HW105" s="25"/>
      <c r="HX105" s="25"/>
      <c r="HY105" s="25"/>
      <c r="HZ105" s="25"/>
      <c r="IA105" s="25"/>
      <c r="IB105" s="25"/>
      <c r="IC105" s="25"/>
      <c r="ID105" s="25"/>
      <c r="IE105" s="25"/>
      <c r="IF105" s="25"/>
      <c r="IG105" s="25"/>
      <c r="IH105" s="25"/>
      <c r="II105" s="25"/>
      <c r="IJ105" s="25"/>
      <c r="IK105" s="25"/>
      <c r="IL105" s="25"/>
      <c r="IM105" s="25"/>
      <c r="IN105" s="25"/>
      <c r="IO105" s="25"/>
      <c r="IP105" s="25"/>
      <c r="IQ105" s="25"/>
      <c r="IR105" s="25"/>
      <c r="IS105" s="25"/>
      <c r="IT105" s="25"/>
      <c r="IU105" s="25"/>
      <c r="IV105" s="25"/>
      <c r="IW105" s="25"/>
      <c r="IX105" s="25"/>
      <c r="IY105" s="25"/>
      <c r="IZ105" s="25"/>
      <c r="JA105" s="25"/>
      <c r="JB105" s="25"/>
      <c r="JC105" s="25"/>
      <c r="JD105" s="25"/>
      <c r="JE105" s="25"/>
      <c r="JF105" s="25"/>
      <c r="JG105" s="25"/>
      <c r="JH105" s="25"/>
      <c r="JI105" s="25"/>
      <c r="JJ105" s="25"/>
      <c r="JK105" s="25"/>
      <c r="JL105" s="25"/>
      <c r="JM105" s="25"/>
      <c r="JN105" s="25"/>
    </row>
    <row r="106" spans="2:274" ht="20.25" customHeight="1" x14ac:dyDescent="0.25">
      <c r="B106" s="20"/>
      <c r="F106" s="21"/>
      <c r="G106" s="86" t="str" cm="1">
        <f t="array" aca="1" ref="G106" ca="1">IFERROR(INDEX(Panel_Rates[[1]:[12]],MATCH(Panel_New&amp;Category_New,Panel_Rates[Panel]&amp;Panel_Rates[Category],0),MATCH('Time Plan HY'!E106,OFFSET(Variable!$AF$2,MATCH(Panel_New&amp;Category_New,Panel_Rates[Panel]&amp;Panel_Rates[Category],0)-1,0,1,12),0))/8,"")</f>
        <v/>
      </c>
      <c r="H106" s="92"/>
      <c r="I106" s="88" t="str">
        <f t="shared" ca="1" si="21"/>
        <v/>
      </c>
      <c r="J106" s="89" t="str">
        <f t="shared" ca="1" si="22"/>
        <v/>
      </c>
      <c r="K106" s="90" t="str">
        <f>IFERROR(_xlfn.XLOOKUP(D106,CostTableLookup[Name],CostTableLookup[Gross Cost]),"")</f>
        <v/>
      </c>
      <c r="L106" s="22"/>
      <c r="M106" s="81" t="str">
        <f t="shared" ca="1" si="25"/>
        <v/>
      </c>
      <c r="N106" s="23"/>
      <c r="O106" s="81" t="str">
        <f t="shared" ca="1" si="26"/>
        <v/>
      </c>
      <c r="P106" s="81" t="str">
        <f t="shared" ca="1" si="23"/>
        <v/>
      </c>
      <c r="Q106" s="24" t="str">
        <f t="shared" si="24"/>
        <v/>
      </c>
      <c r="R106" s="110" t="str">
        <f t="shared" ca="1" si="27"/>
        <v/>
      </c>
      <c r="S106" s="114">
        <f t="shared" ref="S106" ca="1" si="74">IFERROR(SUM(OFFSET(Y106,0,MATCH(Forecast_New,$Y$3:$WQ$3,0)-1,1,500))*40,"")</f>
        <v>0</v>
      </c>
      <c r="T106" s="115">
        <f t="shared" ca="1" si="29"/>
        <v>0</v>
      </c>
      <c r="U106" s="116" t="str">
        <f t="shared" ca="1" si="55"/>
        <v/>
      </c>
      <c r="V106" s="99" t="str">
        <f t="shared" ca="1" si="56"/>
        <v/>
      </c>
      <c r="W106" s="100" t="str">
        <f t="shared" ca="1" si="32"/>
        <v/>
      </c>
      <c r="X106" s="83" t="str">
        <f t="shared" ca="1" si="33"/>
        <v/>
      </c>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5"/>
      <c r="HA106" s="25"/>
      <c r="HB106" s="25"/>
      <c r="HC106" s="25"/>
      <c r="HD106" s="25"/>
      <c r="HE106" s="25"/>
      <c r="HF106" s="25"/>
      <c r="HG106" s="25"/>
      <c r="HH106" s="25"/>
      <c r="HI106" s="25"/>
      <c r="HJ106" s="25"/>
      <c r="HK106" s="25"/>
      <c r="HL106" s="25"/>
      <c r="HM106" s="25"/>
      <c r="HN106" s="25"/>
      <c r="HO106" s="25"/>
      <c r="HP106" s="25"/>
      <c r="HQ106" s="25"/>
      <c r="HR106" s="25"/>
      <c r="HS106" s="25"/>
      <c r="HT106" s="25"/>
      <c r="HU106" s="25"/>
      <c r="HV106" s="25"/>
      <c r="HW106" s="25"/>
      <c r="HX106" s="25"/>
      <c r="HY106" s="25"/>
      <c r="HZ106" s="25"/>
      <c r="IA106" s="25"/>
      <c r="IB106" s="25"/>
      <c r="IC106" s="25"/>
      <c r="ID106" s="25"/>
      <c r="IE106" s="25"/>
      <c r="IF106" s="25"/>
      <c r="IG106" s="25"/>
      <c r="IH106" s="25"/>
      <c r="II106" s="25"/>
      <c r="IJ106" s="25"/>
      <c r="IK106" s="25"/>
      <c r="IL106" s="25"/>
      <c r="IM106" s="25"/>
      <c r="IN106" s="25"/>
      <c r="IO106" s="25"/>
      <c r="IP106" s="25"/>
      <c r="IQ106" s="25"/>
      <c r="IR106" s="25"/>
      <c r="IS106" s="25"/>
      <c r="IT106" s="25"/>
      <c r="IU106" s="25"/>
      <c r="IV106" s="25"/>
      <c r="IW106" s="25"/>
      <c r="IX106" s="25"/>
      <c r="IY106" s="25"/>
      <c r="IZ106" s="25"/>
      <c r="JA106" s="25"/>
      <c r="JB106" s="25"/>
      <c r="JC106" s="25"/>
      <c r="JD106" s="25"/>
      <c r="JE106" s="25"/>
      <c r="JF106" s="25"/>
      <c r="JG106" s="25"/>
      <c r="JH106" s="25"/>
      <c r="JI106" s="25"/>
      <c r="JJ106" s="25"/>
      <c r="JK106" s="25"/>
      <c r="JL106" s="25"/>
      <c r="JM106" s="25"/>
      <c r="JN106" s="25"/>
    </row>
    <row r="107" spans="2:274" ht="20.25" customHeight="1" x14ac:dyDescent="0.25">
      <c r="B107" s="20"/>
      <c r="F107" s="21"/>
      <c r="G107" s="86" t="str" cm="1">
        <f t="array" aca="1" ref="G107" ca="1">IFERROR(INDEX(Panel_Rates[[1]:[12]],MATCH(Panel_New&amp;Category_New,Panel_Rates[Panel]&amp;Panel_Rates[Category],0),MATCH('Time Plan HY'!E107,OFFSET(Variable!$AF$2,MATCH(Panel_New&amp;Category_New,Panel_Rates[Panel]&amp;Panel_Rates[Category],0)-1,0,1,12),0))/8,"")</f>
        <v/>
      </c>
      <c r="H107" s="92"/>
      <c r="I107" s="88" t="str">
        <f t="shared" ca="1" si="21"/>
        <v/>
      </c>
      <c r="J107" s="89" t="str">
        <f t="shared" ca="1" si="22"/>
        <v/>
      </c>
      <c r="K107" s="90" t="str">
        <f>IFERROR(_xlfn.XLOOKUP(D107,CostTableLookup[Name],CostTableLookup[Gross Cost]),"")</f>
        <v/>
      </c>
      <c r="L107" s="22"/>
      <c r="M107" s="81" t="str">
        <f t="shared" ca="1" si="25"/>
        <v/>
      </c>
      <c r="N107" s="23"/>
      <c r="O107" s="81" t="str">
        <f t="shared" ca="1" si="26"/>
        <v/>
      </c>
      <c r="P107" s="81" t="str">
        <f t="shared" ca="1" si="23"/>
        <v/>
      </c>
      <c r="Q107" s="24" t="str">
        <f t="shared" si="24"/>
        <v/>
      </c>
      <c r="R107" s="110" t="str">
        <f t="shared" ca="1" si="27"/>
        <v/>
      </c>
      <c r="S107" s="114">
        <f t="shared" ref="S107" ca="1" si="75">IFERROR(SUM(OFFSET(Y107,0,MATCH(Forecast_New,$Y$3:$WQ$3,0)-1,1,500))*40,"")</f>
        <v>0</v>
      </c>
      <c r="T107" s="115">
        <f t="shared" ca="1" si="29"/>
        <v>0</v>
      </c>
      <c r="U107" s="116" t="str">
        <f t="shared" ca="1" si="55"/>
        <v/>
      </c>
      <c r="V107" s="99" t="str">
        <f t="shared" ca="1" si="56"/>
        <v/>
      </c>
      <c r="W107" s="100" t="str">
        <f t="shared" ca="1" si="32"/>
        <v/>
      </c>
      <c r="X107" s="83" t="str">
        <f t="shared" ca="1" si="33"/>
        <v/>
      </c>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5"/>
      <c r="EN107" s="25"/>
      <c r="EO107" s="25"/>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c r="FL107" s="25"/>
      <c r="FM107" s="25"/>
      <c r="FN107" s="25"/>
      <c r="FO107" s="25"/>
      <c r="FP107" s="25"/>
      <c r="FQ107" s="25"/>
      <c r="FR107" s="25"/>
      <c r="FS107" s="25"/>
      <c r="FT107" s="25"/>
      <c r="FU107" s="25"/>
      <c r="FV107" s="25"/>
      <c r="FW107" s="25"/>
      <c r="FX107" s="25"/>
      <c r="FY107" s="25"/>
      <c r="FZ107" s="25"/>
      <c r="GA107" s="25"/>
      <c r="GB107" s="25"/>
      <c r="GC107" s="25"/>
      <c r="GD107" s="25"/>
      <c r="GE107" s="25"/>
      <c r="GF107" s="25"/>
      <c r="GG107" s="25"/>
      <c r="GH107" s="25"/>
      <c r="GI107" s="25"/>
      <c r="GJ107" s="25"/>
      <c r="GK107" s="25"/>
      <c r="GL107" s="25"/>
      <c r="GM107" s="25"/>
      <c r="GN107" s="25"/>
      <c r="GO107" s="25"/>
      <c r="GP107" s="25"/>
      <c r="GQ107" s="25"/>
      <c r="GR107" s="25"/>
      <c r="GS107" s="25"/>
      <c r="GT107" s="25"/>
      <c r="GU107" s="25"/>
      <c r="GV107" s="25"/>
      <c r="GW107" s="25"/>
      <c r="GX107" s="25"/>
      <c r="GY107" s="25"/>
      <c r="GZ107" s="25"/>
      <c r="HA107" s="25"/>
      <c r="HB107" s="25"/>
      <c r="HC107" s="25"/>
      <c r="HD107" s="25"/>
      <c r="HE107" s="25"/>
      <c r="HF107" s="25"/>
      <c r="HG107" s="25"/>
      <c r="HH107" s="25"/>
      <c r="HI107" s="25"/>
      <c r="HJ107" s="25"/>
      <c r="HK107" s="25"/>
      <c r="HL107" s="25"/>
      <c r="HM107" s="25"/>
      <c r="HN107" s="25"/>
      <c r="HO107" s="25"/>
      <c r="HP107" s="25"/>
      <c r="HQ107" s="25"/>
      <c r="HR107" s="25"/>
      <c r="HS107" s="25"/>
      <c r="HT107" s="25"/>
      <c r="HU107" s="25"/>
      <c r="HV107" s="25"/>
      <c r="HW107" s="25"/>
      <c r="HX107" s="25"/>
      <c r="HY107" s="25"/>
      <c r="HZ107" s="25"/>
      <c r="IA107" s="25"/>
      <c r="IB107" s="25"/>
      <c r="IC107" s="25"/>
      <c r="ID107" s="25"/>
      <c r="IE107" s="25"/>
      <c r="IF107" s="25"/>
      <c r="IG107" s="25"/>
      <c r="IH107" s="25"/>
      <c r="II107" s="25"/>
      <c r="IJ107" s="25"/>
      <c r="IK107" s="25"/>
      <c r="IL107" s="25"/>
      <c r="IM107" s="25"/>
      <c r="IN107" s="25"/>
      <c r="IO107" s="25"/>
      <c r="IP107" s="25"/>
      <c r="IQ107" s="25"/>
      <c r="IR107" s="25"/>
      <c r="IS107" s="25"/>
      <c r="IT107" s="25"/>
      <c r="IU107" s="25"/>
      <c r="IV107" s="25"/>
      <c r="IW107" s="25"/>
      <c r="IX107" s="25"/>
      <c r="IY107" s="25"/>
      <c r="IZ107" s="25"/>
      <c r="JA107" s="25"/>
      <c r="JB107" s="25"/>
      <c r="JC107" s="25"/>
      <c r="JD107" s="25"/>
      <c r="JE107" s="25"/>
      <c r="JF107" s="25"/>
      <c r="JG107" s="25"/>
      <c r="JH107" s="25"/>
      <c r="JI107" s="25"/>
      <c r="JJ107" s="25"/>
      <c r="JK107" s="25"/>
      <c r="JL107" s="25"/>
      <c r="JM107" s="25"/>
      <c r="JN107" s="25"/>
    </row>
    <row r="108" spans="2:274" ht="20.25" customHeight="1" x14ac:dyDescent="0.25">
      <c r="B108" s="20"/>
      <c r="F108" s="21"/>
      <c r="G108" s="86" t="str" cm="1">
        <f t="array" aca="1" ref="G108" ca="1">IFERROR(INDEX(Panel_Rates[[1]:[12]],MATCH(Panel_New&amp;Category_New,Panel_Rates[Panel]&amp;Panel_Rates[Category],0),MATCH('Time Plan HY'!E108,OFFSET(Variable!$AF$2,MATCH(Panel_New&amp;Category_New,Panel_Rates[Panel]&amp;Panel_Rates[Category],0)-1,0,1,12),0))/8,"")</f>
        <v/>
      </c>
      <c r="H108" s="92"/>
      <c r="I108" s="88" t="str">
        <f t="shared" ca="1" si="21"/>
        <v/>
      </c>
      <c r="J108" s="89" t="str">
        <f t="shared" ca="1" si="22"/>
        <v/>
      </c>
      <c r="K108" s="90" t="str">
        <f>IFERROR(_xlfn.XLOOKUP(D108,CostTableLookup[Name],CostTableLookup[Gross Cost]),"")</f>
        <v/>
      </c>
      <c r="L108" s="22"/>
      <c r="M108" s="81" t="str">
        <f t="shared" ca="1" si="25"/>
        <v/>
      </c>
      <c r="N108" s="23"/>
      <c r="O108" s="81" t="str">
        <f t="shared" ca="1" si="26"/>
        <v/>
      </c>
      <c r="P108" s="81" t="str">
        <f t="shared" ca="1" si="23"/>
        <v/>
      </c>
      <c r="Q108" s="24" t="str">
        <f t="shared" si="24"/>
        <v/>
      </c>
      <c r="R108" s="110" t="str">
        <f t="shared" ca="1" si="27"/>
        <v/>
      </c>
      <c r="S108" s="114">
        <f t="shared" ref="S108" ca="1" si="76">IFERROR(SUM(OFFSET(Y108,0,MATCH(Forecast_New,$Y$3:$WQ$3,0)-1,1,500))*40,"")</f>
        <v>0</v>
      </c>
      <c r="T108" s="115">
        <f t="shared" ca="1" si="29"/>
        <v>0</v>
      </c>
      <c r="U108" s="116" t="str">
        <f t="shared" ca="1" si="55"/>
        <v/>
      </c>
      <c r="V108" s="99" t="str">
        <f t="shared" ca="1" si="56"/>
        <v/>
      </c>
      <c r="W108" s="100" t="str">
        <f t="shared" ca="1" si="32"/>
        <v/>
      </c>
      <c r="X108" s="83" t="str">
        <f t="shared" ca="1" si="33"/>
        <v/>
      </c>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5"/>
      <c r="EN108" s="25"/>
      <c r="EO108" s="25"/>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5"/>
      <c r="GA108" s="25"/>
      <c r="GB108" s="25"/>
      <c r="GC108" s="25"/>
      <c r="GD108" s="25"/>
      <c r="GE108" s="25"/>
      <c r="GF108" s="25"/>
      <c r="GG108" s="25"/>
      <c r="GH108" s="25"/>
      <c r="GI108" s="25"/>
      <c r="GJ108" s="25"/>
      <c r="GK108" s="25"/>
      <c r="GL108" s="25"/>
      <c r="GM108" s="25"/>
      <c r="GN108" s="25"/>
      <c r="GO108" s="25"/>
      <c r="GP108" s="25"/>
      <c r="GQ108" s="25"/>
      <c r="GR108" s="25"/>
      <c r="GS108" s="25"/>
      <c r="GT108" s="25"/>
      <c r="GU108" s="25"/>
      <c r="GV108" s="25"/>
      <c r="GW108" s="25"/>
      <c r="GX108" s="25"/>
      <c r="GY108" s="25"/>
      <c r="GZ108" s="25"/>
      <c r="HA108" s="25"/>
      <c r="HB108" s="25"/>
      <c r="HC108" s="25"/>
      <c r="HD108" s="25"/>
      <c r="HE108" s="25"/>
      <c r="HF108" s="25"/>
      <c r="HG108" s="25"/>
      <c r="HH108" s="25"/>
      <c r="HI108" s="25"/>
      <c r="HJ108" s="25"/>
      <c r="HK108" s="25"/>
      <c r="HL108" s="25"/>
      <c r="HM108" s="25"/>
      <c r="HN108" s="25"/>
      <c r="HO108" s="25"/>
      <c r="HP108" s="25"/>
      <c r="HQ108" s="25"/>
      <c r="HR108" s="25"/>
      <c r="HS108" s="25"/>
      <c r="HT108" s="25"/>
      <c r="HU108" s="25"/>
      <c r="HV108" s="25"/>
      <c r="HW108" s="25"/>
      <c r="HX108" s="25"/>
      <c r="HY108" s="25"/>
      <c r="HZ108" s="25"/>
      <c r="IA108" s="25"/>
      <c r="IB108" s="25"/>
      <c r="IC108" s="25"/>
      <c r="ID108" s="25"/>
      <c r="IE108" s="25"/>
      <c r="IF108" s="25"/>
      <c r="IG108" s="25"/>
      <c r="IH108" s="25"/>
      <c r="II108" s="25"/>
      <c r="IJ108" s="25"/>
      <c r="IK108" s="25"/>
      <c r="IL108" s="25"/>
      <c r="IM108" s="25"/>
      <c r="IN108" s="25"/>
      <c r="IO108" s="25"/>
      <c r="IP108" s="25"/>
      <c r="IQ108" s="25"/>
      <c r="IR108" s="25"/>
      <c r="IS108" s="25"/>
      <c r="IT108" s="25"/>
      <c r="IU108" s="25"/>
      <c r="IV108" s="25"/>
      <c r="IW108" s="25"/>
      <c r="IX108" s="25"/>
      <c r="IY108" s="25"/>
      <c r="IZ108" s="25"/>
      <c r="JA108" s="25"/>
      <c r="JB108" s="25"/>
      <c r="JC108" s="25"/>
      <c r="JD108" s="25"/>
      <c r="JE108" s="25"/>
      <c r="JF108" s="25"/>
      <c r="JG108" s="25"/>
      <c r="JH108" s="25"/>
      <c r="JI108" s="25"/>
      <c r="JJ108" s="25"/>
      <c r="JK108" s="25"/>
      <c r="JL108" s="25"/>
      <c r="JM108" s="25"/>
      <c r="JN108" s="25"/>
    </row>
    <row r="109" spans="2:274" ht="20.25" customHeight="1" x14ac:dyDescent="0.25">
      <c r="B109" s="20"/>
      <c r="F109" s="21"/>
      <c r="G109" s="86" t="str" cm="1">
        <f t="array" aca="1" ref="G109" ca="1">IFERROR(INDEX(Panel_Rates[[1]:[12]],MATCH(Panel_New&amp;Category_New,Panel_Rates[Panel]&amp;Panel_Rates[Category],0),MATCH('Time Plan HY'!E109,OFFSET(Variable!$AF$2,MATCH(Panel_New&amp;Category_New,Panel_Rates[Panel]&amp;Panel_Rates[Category],0)-1,0,1,12),0))/8,"")</f>
        <v/>
      </c>
      <c r="H109" s="92"/>
      <c r="I109" s="88" t="str">
        <f t="shared" ca="1" si="21"/>
        <v/>
      </c>
      <c r="J109" s="89" t="str">
        <f t="shared" ca="1" si="22"/>
        <v/>
      </c>
      <c r="K109" s="90" t="str">
        <f>IFERROR(_xlfn.XLOOKUP(D109,CostTableLookup[Name],CostTableLookup[Gross Cost]),"")</f>
        <v/>
      </c>
      <c r="L109" s="22"/>
      <c r="M109" s="81" t="str">
        <f t="shared" ca="1" si="25"/>
        <v/>
      </c>
      <c r="N109" s="23"/>
      <c r="O109" s="81" t="str">
        <f t="shared" ca="1" si="26"/>
        <v/>
      </c>
      <c r="P109" s="81" t="str">
        <f t="shared" ca="1" si="23"/>
        <v/>
      </c>
      <c r="Q109" s="24" t="str">
        <f t="shared" si="24"/>
        <v/>
      </c>
      <c r="R109" s="110" t="str">
        <f t="shared" ca="1" si="27"/>
        <v/>
      </c>
      <c r="S109" s="114">
        <f t="shared" ref="S109" ca="1" si="77">IFERROR(SUM(OFFSET(Y109,0,MATCH(Forecast_New,$Y$3:$WQ$3,0)-1,1,500))*40,"")</f>
        <v>0</v>
      </c>
      <c r="T109" s="115">
        <f t="shared" ca="1" si="29"/>
        <v>0</v>
      </c>
      <c r="U109" s="116" t="str">
        <f t="shared" ca="1" si="55"/>
        <v/>
      </c>
      <c r="V109" s="99" t="str">
        <f t="shared" ca="1" si="56"/>
        <v/>
      </c>
      <c r="W109" s="100" t="str">
        <f t="shared" ca="1" si="32"/>
        <v/>
      </c>
      <c r="X109" s="83" t="str">
        <f t="shared" ca="1" si="33"/>
        <v/>
      </c>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5"/>
      <c r="EN109" s="25"/>
      <c r="EO109" s="25"/>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c r="FL109" s="25"/>
      <c r="FM109" s="25"/>
      <c r="FN109" s="25"/>
      <c r="FO109" s="25"/>
      <c r="FP109" s="25"/>
      <c r="FQ109" s="25"/>
      <c r="FR109" s="25"/>
      <c r="FS109" s="25"/>
      <c r="FT109" s="25"/>
      <c r="FU109" s="25"/>
      <c r="FV109" s="25"/>
      <c r="FW109" s="25"/>
      <c r="FX109" s="25"/>
      <c r="FY109" s="25"/>
      <c r="FZ109" s="25"/>
      <c r="GA109" s="25"/>
      <c r="GB109" s="25"/>
      <c r="GC109" s="25"/>
      <c r="GD109" s="25"/>
      <c r="GE109" s="25"/>
      <c r="GF109" s="25"/>
      <c r="GG109" s="25"/>
      <c r="GH109" s="25"/>
      <c r="GI109" s="25"/>
      <c r="GJ109" s="25"/>
      <c r="GK109" s="25"/>
      <c r="GL109" s="25"/>
      <c r="GM109" s="25"/>
      <c r="GN109" s="25"/>
      <c r="GO109" s="25"/>
      <c r="GP109" s="25"/>
      <c r="GQ109" s="25"/>
      <c r="GR109" s="25"/>
      <c r="GS109" s="25"/>
      <c r="GT109" s="25"/>
      <c r="GU109" s="25"/>
      <c r="GV109" s="25"/>
      <c r="GW109" s="25"/>
      <c r="GX109" s="25"/>
      <c r="GY109" s="25"/>
      <c r="GZ109" s="25"/>
      <c r="HA109" s="25"/>
      <c r="HB109" s="25"/>
      <c r="HC109" s="25"/>
      <c r="HD109" s="25"/>
      <c r="HE109" s="25"/>
      <c r="HF109" s="25"/>
      <c r="HG109" s="25"/>
      <c r="HH109" s="25"/>
      <c r="HI109" s="25"/>
      <c r="HJ109" s="25"/>
      <c r="HK109" s="25"/>
      <c r="HL109" s="25"/>
      <c r="HM109" s="25"/>
      <c r="HN109" s="25"/>
      <c r="HO109" s="25"/>
      <c r="HP109" s="25"/>
      <c r="HQ109" s="25"/>
      <c r="HR109" s="25"/>
      <c r="HS109" s="25"/>
      <c r="HT109" s="25"/>
      <c r="HU109" s="25"/>
      <c r="HV109" s="25"/>
      <c r="HW109" s="25"/>
      <c r="HX109" s="25"/>
      <c r="HY109" s="25"/>
      <c r="HZ109" s="25"/>
      <c r="IA109" s="25"/>
      <c r="IB109" s="25"/>
      <c r="IC109" s="25"/>
      <c r="ID109" s="25"/>
      <c r="IE109" s="25"/>
      <c r="IF109" s="25"/>
      <c r="IG109" s="25"/>
      <c r="IH109" s="25"/>
      <c r="II109" s="25"/>
      <c r="IJ109" s="25"/>
      <c r="IK109" s="25"/>
      <c r="IL109" s="25"/>
      <c r="IM109" s="25"/>
      <c r="IN109" s="25"/>
      <c r="IO109" s="25"/>
      <c r="IP109" s="25"/>
      <c r="IQ109" s="25"/>
      <c r="IR109" s="25"/>
      <c r="IS109" s="25"/>
      <c r="IT109" s="25"/>
      <c r="IU109" s="25"/>
      <c r="IV109" s="25"/>
      <c r="IW109" s="25"/>
      <c r="IX109" s="25"/>
      <c r="IY109" s="25"/>
      <c r="IZ109" s="25"/>
      <c r="JA109" s="25"/>
      <c r="JB109" s="25"/>
      <c r="JC109" s="25"/>
      <c r="JD109" s="25"/>
      <c r="JE109" s="25"/>
      <c r="JF109" s="25"/>
      <c r="JG109" s="25"/>
      <c r="JH109" s="25"/>
      <c r="JI109" s="25"/>
      <c r="JJ109" s="25"/>
      <c r="JK109" s="25"/>
      <c r="JL109" s="25"/>
      <c r="JM109" s="25"/>
      <c r="JN109" s="25"/>
    </row>
    <row r="110" spans="2:274" ht="20.25" customHeight="1" x14ac:dyDescent="0.25">
      <c r="B110" s="20"/>
      <c r="F110" s="21"/>
      <c r="G110" s="86" t="str" cm="1">
        <f t="array" aca="1" ref="G110" ca="1">IFERROR(INDEX(Panel_Rates[[1]:[12]],MATCH(Panel_New&amp;Category_New,Panel_Rates[Panel]&amp;Panel_Rates[Category],0),MATCH('Time Plan HY'!E110,OFFSET(Variable!$AF$2,MATCH(Panel_New&amp;Category_New,Panel_Rates[Panel]&amp;Panel_Rates[Category],0)-1,0,1,12),0))/8,"")</f>
        <v/>
      </c>
      <c r="H110" s="92"/>
      <c r="I110" s="88" t="str">
        <f t="shared" ca="1" si="21"/>
        <v/>
      </c>
      <c r="J110" s="89" t="str">
        <f t="shared" ca="1" si="22"/>
        <v/>
      </c>
      <c r="K110" s="90" t="str">
        <f>IFERROR(_xlfn.XLOOKUP(D110,CostTableLookup[Name],CostTableLookup[Gross Cost]),"")</f>
        <v/>
      </c>
      <c r="L110" s="22"/>
      <c r="M110" s="81" t="str">
        <f t="shared" ca="1" si="25"/>
        <v/>
      </c>
      <c r="N110" s="23"/>
      <c r="O110" s="81" t="str">
        <f t="shared" ca="1" si="26"/>
        <v/>
      </c>
      <c r="P110" s="81" t="str">
        <f t="shared" ca="1" si="23"/>
        <v/>
      </c>
      <c r="Q110" s="24" t="str">
        <f t="shared" si="24"/>
        <v/>
      </c>
      <c r="R110" s="110" t="str">
        <f t="shared" ca="1" si="27"/>
        <v/>
      </c>
      <c r="S110" s="114">
        <f t="shared" ref="S110" ca="1" si="78">IFERROR(SUM(OFFSET(Y110,0,MATCH(Forecast_New,$Y$3:$WQ$3,0)-1,1,500))*40,"")</f>
        <v>0</v>
      </c>
      <c r="T110" s="115">
        <f t="shared" ca="1" si="29"/>
        <v>0</v>
      </c>
      <c r="U110" s="116" t="str">
        <f t="shared" ca="1" si="55"/>
        <v/>
      </c>
      <c r="V110" s="99" t="str">
        <f t="shared" ca="1" si="56"/>
        <v/>
      </c>
      <c r="W110" s="100" t="str">
        <f t="shared" ca="1" si="32"/>
        <v/>
      </c>
      <c r="X110" s="83" t="str">
        <f t="shared" ca="1" si="33"/>
        <v/>
      </c>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5"/>
      <c r="EN110" s="25"/>
      <c r="EO110" s="25"/>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c r="FL110" s="25"/>
      <c r="FM110" s="25"/>
      <c r="FN110" s="25"/>
      <c r="FO110" s="25"/>
      <c r="FP110" s="25"/>
      <c r="FQ110" s="25"/>
      <c r="FR110" s="25"/>
      <c r="FS110" s="25"/>
      <c r="FT110" s="25"/>
      <c r="FU110" s="25"/>
      <c r="FV110" s="25"/>
      <c r="FW110" s="25"/>
      <c r="FX110" s="25"/>
      <c r="FY110" s="25"/>
      <c r="FZ110" s="25"/>
      <c r="GA110" s="25"/>
      <c r="GB110" s="25"/>
      <c r="GC110" s="25"/>
      <c r="GD110" s="25"/>
      <c r="GE110" s="25"/>
      <c r="GF110" s="25"/>
      <c r="GG110" s="25"/>
      <c r="GH110" s="25"/>
      <c r="GI110" s="25"/>
      <c r="GJ110" s="25"/>
      <c r="GK110" s="25"/>
      <c r="GL110" s="25"/>
      <c r="GM110" s="25"/>
      <c r="GN110" s="25"/>
      <c r="GO110" s="25"/>
      <c r="GP110" s="25"/>
      <c r="GQ110" s="25"/>
      <c r="GR110" s="25"/>
      <c r="GS110" s="25"/>
      <c r="GT110" s="25"/>
      <c r="GU110" s="25"/>
      <c r="GV110" s="25"/>
      <c r="GW110" s="25"/>
      <c r="GX110" s="25"/>
      <c r="GY110" s="25"/>
      <c r="GZ110" s="25"/>
      <c r="HA110" s="25"/>
      <c r="HB110" s="25"/>
      <c r="HC110" s="25"/>
      <c r="HD110" s="25"/>
      <c r="HE110" s="25"/>
      <c r="HF110" s="25"/>
      <c r="HG110" s="25"/>
      <c r="HH110" s="25"/>
      <c r="HI110" s="25"/>
      <c r="HJ110" s="25"/>
      <c r="HK110" s="25"/>
      <c r="HL110" s="25"/>
      <c r="HM110" s="25"/>
      <c r="HN110" s="25"/>
      <c r="HO110" s="25"/>
      <c r="HP110" s="25"/>
      <c r="HQ110" s="25"/>
      <c r="HR110" s="25"/>
      <c r="HS110" s="25"/>
      <c r="HT110" s="25"/>
      <c r="HU110" s="25"/>
      <c r="HV110" s="25"/>
      <c r="HW110" s="25"/>
      <c r="HX110" s="25"/>
      <c r="HY110" s="25"/>
      <c r="HZ110" s="25"/>
      <c r="IA110" s="25"/>
      <c r="IB110" s="25"/>
      <c r="IC110" s="25"/>
      <c r="ID110" s="25"/>
      <c r="IE110" s="25"/>
      <c r="IF110" s="25"/>
      <c r="IG110" s="25"/>
      <c r="IH110" s="25"/>
      <c r="II110" s="25"/>
      <c r="IJ110" s="25"/>
      <c r="IK110" s="25"/>
      <c r="IL110" s="25"/>
      <c r="IM110" s="25"/>
      <c r="IN110" s="25"/>
      <c r="IO110" s="25"/>
      <c r="IP110" s="25"/>
      <c r="IQ110" s="25"/>
      <c r="IR110" s="25"/>
      <c r="IS110" s="25"/>
      <c r="IT110" s="25"/>
      <c r="IU110" s="25"/>
      <c r="IV110" s="25"/>
      <c r="IW110" s="25"/>
      <c r="IX110" s="25"/>
      <c r="IY110" s="25"/>
      <c r="IZ110" s="25"/>
      <c r="JA110" s="25"/>
      <c r="JB110" s="25"/>
      <c r="JC110" s="25"/>
      <c r="JD110" s="25"/>
      <c r="JE110" s="25"/>
      <c r="JF110" s="25"/>
      <c r="JG110" s="25"/>
      <c r="JH110" s="25"/>
      <c r="JI110" s="25"/>
      <c r="JJ110" s="25"/>
      <c r="JK110" s="25"/>
      <c r="JL110" s="25"/>
      <c r="JM110" s="25"/>
      <c r="JN110" s="25"/>
    </row>
    <row r="111" spans="2:274" ht="20.25" customHeight="1" x14ac:dyDescent="0.25">
      <c r="B111" s="20"/>
      <c r="F111" s="21"/>
      <c r="G111" s="86" t="str" cm="1">
        <f t="array" aca="1" ref="G111" ca="1">IFERROR(INDEX(Panel_Rates[[1]:[12]],MATCH(Panel_New&amp;Category_New,Panel_Rates[Panel]&amp;Panel_Rates[Category],0),MATCH('Time Plan HY'!E111,OFFSET(Variable!$AF$2,MATCH(Panel_New&amp;Category_New,Panel_Rates[Panel]&amp;Panel_Rates[Category],0)-1,0,1,12),0))/8,"")</f>
        <v/>
      </c>
      <c r="H111" s="92"/>
      <c r="I111" s="88" t="str">
        <f t="shared" ca="1" si="21"/>
        <v/>
      </c>
      <c r="J111" s="89" t="str">
        <f t="shared" ca="1" si="22"/>
        <v/>
      </c>
      <c r="K111" s="90" t="str">
        <f>IFERROR(_xlfn.XLOOKUP(D111,CostTableLookup[Name],CostTableLookup[Gross Cost]),"")</f>
        <v/>
      </c>
      <c r="L111" s="22"/>
      <c r="M111" s="81" t="str">
        <f t="shared" ca="1" si="25"/>
        <v/>
      </c>
      <c r="N111" s="23"/>
      <c r="O111" s="81" t="str">
        <f t="shared" ca="1" si="26"/>
        <v/>
      </c>
      <c r="P111" s="81" t="str">
        <f t="shared" ca="1" si="23"/>
        <v/>
      </c>
      <c r="Q111" s="24" t="str">
        <f t="shared" si="24"/>
        <v/>
      </c>
      <c r="R111" s="110" t="str">
        <f t="shared" ca="1" si="27"/>
        <v/>
      </c>
      <c r="S111" s="114">
        <f t="shared" ref="S111" ca="1" si="79">IFERROR(SUM(OFFSET(Y111,0,MATCH(Forecast_New,$Y$3:$WQ$3,0)-1,1,500))*40,"")</f>
        <v>0</v>
      </c>
      <c r="T111" s="115">
        <f t="shared" ca="1" si="29"/>
        <v>0</v>
      </c>
      <c r="U111" s="116" t="str">
        <f t="shared" ca="1" si="55"/>
        <v/>
      </c>
      <c r="V111" s="99" t="str">
        <f t="shared" ca="1" si="56"/>
        <v/>
      </c>
      <c r="W111" s="100" t="str">
        <f t="shared" ca="1" si="32"/>
        <v/>
      </c>
      <c r="X111" s="83" t="str">
        <f t="shared" ca="1" si="33"/>
        <v/>
      </c>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25"/>
      <c r="EJ111" s="25"/>
      <c r="EK111" s="25"/>
      <c r="EL111" s="25"/>
      <c r="EM111" s="25"/>
      <c r="EN111" s="25"/>
      <c r="EO111" s="25"/>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c r="FL111" s="25"/>
      <c r="FM111" s="25"/>
      <c r="FN111" s="25"/>
      <c r="FO111" s="25"/>
      <c r="FP111" s="25"/>
      <c r="FQ111" s="25"/>
      <c r="FR111" s="25"/>
      <c r="FS111" s="25"/>
      <c r="FT111" s="25"/>
      <c r="FU111" s="25"/>
      <c r="FV111" s="25"/>
      <c r="FW111" s="25"/>
      <c r="FX111" s="25"/>
      <c r="FY111" s="25"/>
      <c r="FZ111" s="25"/>
      <c r="GA111" s="25"/>
      <c r="GB111" s="25"/>
      <c r="GC111" s="25"/>
      <c r="GD111" s="25"/>
      <c r="GE111" s="25"/>
      <c r="GF111" s="25"/>
      <c r="GG111" s="25"/>
      <c r="GH111" s="25"/>
      <c r="GI111" s="25"/>
      <c r="GJ111" s="25"/>
      <c r="GK111" s="25"/>
      <c r="GL111" s="25"/>
      <c r="GM111" s="25"/>
      <c r="GN111" s="25"/>
      <c r="GO111" s="25"/>
      <c r="GP111" s="25"/>
      <c r="GQ111" s="25"/>
      <c r="GR111" s="25"/>
      <c r="GS111" s="25"/>
      <c r="GT111" s="25"/>
      <c r="GU111" s="25"/>
      <c r="GV111" s="25"/>
      <c r="GW111" s="25"/>
      <c r="GX111" s="25"/>
      <c r="GY111" s="25"/>
      <c r="GZ111" s="25"/>
      <c r="HA111" s="25"/>
      <c r="HB111" s="25"/>
      <c r="HC111" s="25"/>
      <c r="HD111" s="25"/>
      <c r="HE111" s="25"/>
      <c r="HF111" s="25"/>
      <c r="HG111" s="25"/>
      <c r="HH111" s="25"/>
      <c r="HI111" s="25"/>
      <c r="HJ111" s="25"/>
      <c r="HK111" s="25"/>
      <c r="HL111" s="25"/>
      <c r="HM111" s="25"/>
      <c r="HN111" s="25"/>
      <c r="HO111" s="25"/>
      <c r="HP111" s="25"/>
      <c r="HQ111" s="25"/>
      <c r="HR111" s="25"/>
      <c r="HS111" s="25"/>
      <c r="HT111" s="25"/>
      <c r="HU111" s="25"/>
      <c r="HV111" s="25"/>
      <c r="HW111" s="25"/>
      <c r="HX111" s="25"/>
      <c r="HY111" s="25"/>
      <c r="HZ111" s="25"/>
      <c r="IA111" s="25"/>
      <c r="IB111" s="25"/>
      <c r="IC111" s="25"/>
      <c r="ID111" s="25"/>
      <c r="IE111" s="25"/>
      <c r="IF111" s="25"/>
      <c r="IG111" s="25"/>
      <c r="IH111" s="25"/>
      <c r="II111" s="25"/>
      <c r="IJ111" s="25"/>
      <c r="IK111" s="25"/>
      <c r="IL111" s="25"/>
      <c r="IM111" s="25"/>
      <c r="IN111" s="25"/>
      <c r="IO111" s="25"/>
      <c r="IP111" s="25"/>
      <c r="IQ111" s="25"/>
      <c r="IR111" s="25"/>
      <c r="IS111" s="25"/>
      <c r="IT111" s="25"/>
      <c r="IU111" s="25"/>
      <c r="IV111" s="25"/>
      <c r="IW111" s="25"/>
      <c r="IX111" s="25"/>
      <c r="IY111" s="25"/>
      <c r="IZ111" s="25"/>
      <c r="JA111" s="25"/>
      <c r="JB111" s="25"/>
      <c r="JC111" s="25"/>
      <c r="JD111" s="25"/>
      <c r="JE111" s="25"/>
      <c r="JF111" s="25"/>
      <c r="JG111" s="25"/>
      <c r="JH111" s="25"/>
      <c r="JI111" s="25"/>
      <c r="JJ111" s="25"/>
      <c r="JK111" s="25"/>
      <c r="JL111" s="25"/>
      <c r="JM111" s="25"/>
      <c r="JN111" s="25"/>
    </row>
    <row r="112" spans="2:274" ht="20.25" customHeight="1" x14ac:dyDescent="0.25">
      <c r="B112" s="20"/>
      <c r="F112" s="21"/>
      <c r="G112" s="86" t="str" cm="1">
        <f t="array" aca="1" ref="G112" ca="1">IFERROR(INDEX(Panel_Rates[[1]:[12]],MATCH(Panel_New&amp;Category_New,Panel_Rates[Panel]&amp;Panel_Rates[Category],0),MATCH('Time Plan HY'!E112,OFFSET(Variable!$AF$2,MATCH(Panel_New&amp;Category_New,Panel_Rates[Panel]&amp;Panel_Rates[Category],0)-1,0,1,12),0))/8,"")</f>
        <v/>
      </c>
      <c r="H112" s="92"/>
      <c r="I112" s="88" t="str">
        <f t="shared" ca="1" si="21"/>
        <v/>
      </c>
      <c r="J112" s="89" t="str">
        <f t="shared" ca="1" si="22"/>
        <v/>
      </c>
      <c r="K112" s="90" t="str">
        <f>IFERROR(_xlfn.XLOOKUP(D112,CostTableLookup[Name],CostTableLookup[Gross Cost]),"")</f>
        <v/>
      </c>
      <c r="L112" s="22"/>
      <c r="M112" s="81" t="str">
        <f t="shared" ca="1" si="25"/>
        <v/>
      </c>
      <c r="N112" s="23"/>
      <c r="O112" s="81" t="str">
        <f t="shared" ca="1" si="26"/>
        <v/>
      </c>
      <c r="P112" s="81" t="str">
        <f t="shared" ca="1" si="23"/>
        <v/>
      </c>
      <c r="Q112" s="24" t="str">
        <f t="shared" si="24"/>
        <v/>
      </c>
      <c r="R112" s="110" t="str">
        <f t="shared" ca="1" si="27"/>
        <v/>
      </c>
      <c r="S112" s="114">
        <f t="shared" ref="S112" ca="1" si="80">IFERROR(SUM(OFFSET(Y112,0,MATCH(Forecast_New,$Y$3:$WQ$3,0)-1,1,500))*40,"")</f>
        <v>0</v>
      </c>
      <c r="T112" s="115">
        <f t="shared" ca="1" si="29"/>
        <v>0</v>
      </c>
      <c r="U112" s="116" t="str">
        <f t="shared" ca="1" si="55"/>
        <v/>
      </c>
      <c r="V112" s="99" t="str">
        <f t="shared" ca="1" si="56"/>
        <v/>
      </c>
      <c r="W112" s="100" t="str">
        <f t="shared" ca="1" si="32"/>
        <v/>
      </c>
      <c r="X112" s="83" t="str">
        <f t="shared" ca="1" si="33"/>
        <v/>
      </c>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5"/>
      <c r="EN112" s="25"/>
      <c r="EO112" s="25"/>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c r="FL112" s="25"/>
      <c r="FM112" s="25"/>
      <c r="FN112" s="25"/>
      <c r="FO112" s="25"/>
      <c r="FP112" s="25"/>
      <c r="FQ112" s="25"/>
      <c r="FR112" s="25"/>
      <c r="FS112" s="25"/>
      <c r="FT112" s="25"/>
      <c r="FU112" s="25"/>
      <c r="FV112" s="25"/>
      <c r="FW112" s="25"/>
      <c r="FX112" s="25"/>
      <c r="FY112" s="25"/>
      <c r="FZ112" s="25"/>
      <c r="GA112" s="25"/>
      <c r="GB112" s="25"/>
      <c r="GC112" s="25"/>
      <c r="GD112" s="25"/>
      <c r="GE112" s="25"/>
      <c r="GF112" s="25"/>
      <c r="GG112" s="25"/>
      <c r="GH112" s="25"/>
      <c r="GI112" s="25"/>
      <c r="GJ112" s="25"/>
      <c r="GK112" s="25"/>
      <c r="GL112" s="25"/>
      <c r="GM112" s="25"/>
      <c r="GN112" s="25"/>
      <c r="GO112" s="25"/>
      <c r="GP112" s="25"/>
      <c r="GQ112" s="25"/>
      <c r="GR112" s="25"/>
      <c r="GS112" s="25"/>
      <c r="GT112" s="25"/>
      <c r="GU112" s="25"/>
      <c r="GV112" s="25"/>
      <c r="GW112" s="25"/>
      <c r="GX112" s="25"/>
      <c r="GY112" s="25"/>
      <c r="GZ112" s="25"/>
      <c r="HA112" s="25"/>
      <c r="HB112" s="25"/>
      <c r="HC112" s="25"/>
      <c r="HD112" s="25"/>
      <c r="HE112" s="25"/>
      <c r="HF112" s="25"/>
      <c r="HG112" s="25"/>
      <c r="HH112" s="25"/>
      <c r="HI112" s="25"/>
      <c r="HJ112" s="25"/>
      <c r="HK112" s="25"/>
      <c r="HL112" s="25"/>
      <c r="HM112" s="25"/>
      <c r="HN112" s="25"/>
      <c r="HO112" s="25"/>
      <c r="HP112" s="25"/>
      <c r="HQ112" s="25"/>
      <c r="HR112" s="25"/>
      <c r="HS112" s="25"/>
      <c r="HT112" s="25"/>
      <c r="HU112" s="25"/>
      <c r="HV112" s="25"/>
      <c r="HW112" s="25"/>
      <c r="HX112" s="25"/>
      <c r="HY112" s="25"/>
      <c r="HZ112" s="25"/>
      <c r="IA112" s="25"/>
      <c r="IB112" s="25"/>
      <c r="IC112" s="25"/>
      <c r="ID112" s="25"/>
      <c r="IE112" s="25"/>
      <c r="IF112" s="25"/>
      <c r="IG112" s="25"/>
      <c r="IH112" s="25"/>
      <c r="II112" s="25"/>
      <c r="IJ112" s="25"/>
      <c r="IK112" s="25"/>
      <c r="IL112" s="25"/>
      <c r="IM112" s="25"/>
      <c r="IN112" s="25"/>
      <c r="IO112" s="25"/>
      <c r="IP112" s="25"/>
      <c r="IQ112" s="25"/>
      <c r="IR112" s="25"/>
      <c r="IS112" s="25"/>
      <c r="IT112" s="25"/>
      <c r="IU112" s="25"/>
      <c r="IV112" s="25"/>
      <c r="IW112" s="25"/>
      <c r="IX112" s="25"/>
      <c r="IY112" s="25"/>
      <c r="IZ112" s="25"/>
      <c r="JA112" s="25"/>
      <c r="JB112" s="25"/>
      <c r="JC112" s="25"/>
      <c r="JD112" s="25"/>
      <c r="JE112" s="25"/>
      <c r="JF112" s="25"/>
      <c r="JG112" s="25"/>
      <c r="JH112" s="25"/>
      <c r="JI112" s="25"/>
      <c r="JJ112" s="25"/>
      <c r="JK112" s="25"/>
      <c r="JL112" s="25"/>
      <c r="JM112" s="25"/>
      <c r="JN112" s="25"/>
    </row>
    <row r="113" spans="2:274" ht="20.25" customHeight="1" x14ac:dyDescent="0.25">
      <c r="B113" s="20"/>
      <c r="F113" s="21"/>
      <c r="G113" s="86" t="str" cm="1">
        <f t="array" aca="1" ref="G113" ca="1">IFERROR(INDEX(Panel_Rates[[1]:[12]],MATCH(Panel_New&amp;Category_New,Panel_Rates[Panel]&amp;Panel_Rates[Category],0),MATCH('Time Plan HY'!E113,OFFSET(Variable!$AF$2,MATCH(Panel_New&amp;Category_New,Panel_Rates[Panel]&amp;Panel_Rates[Category],0)-1,0,1,12),0))/8,"")</f>
        <v/>
      </c>
      <c r="H113" s="92"/>
      <c r="I113" s="88" t="str">
        <f t="shared" ca="1" si="21"/>
        <v/>
      </c>
      <c r="J113" s="89" t="str">
        <f t="shared" ca="1" si="22"/>
        <v/>
      </c>
      <c r="K113" s="90" t="str">
        <f>IFERROR(_xlfn.XLOOKUP(D113,CostTableLookup[Name],CostTableLookup[Gross Cost]),"")</f>
        <v/>
      </c>
      <c r="L113" s="22"/>
      <c r="M113" s="81" t="str">
        <f t="shared" ca="1" si="25"/>
        <v/>
      </c>
      <c r="N113" s="23"/>
      <c r="O113" s="81" t="str">
        <f t="shared" ca="1" si="26"/>
        <v/>
      </c>
      <c r="P113" s="81" t="str">
        <f t="shared" ca="1" si="23"/>
        <v/>
      </c>
      <c r="Q113" s="24" t="str">
        <f t="shared" si="24"/>
        <v/>
      </c>
      <c r="R113" s="110" t="str">
        <f t="shared" ca="1" si="27"/>
        <v/>
      </c>
      <c r="S113" s="114">
        <f t="shared" ref="S113" ca="1" si="81">IFERROR(SUM(OFFSET(Y113,0,MATCH(Forecast_New,$Y$3:$WQ$3,0)-1,1,500))*40,"")</f>
        <v>0</v>
      </c>
      <c r="T113" s="115">
        <f t="shared" ca="1" si="29"/>
        <v>0</v>
      </c>
      <c r="U113" s="116" t="str">
        <f t="shared" ca="1" si="55"/>
        <v/>
      </c>
      <c r="V113" s="99" t="str">
        <f t="shared" ca="1" si="56"/>
        <v/>
      </c>
      <c r="W113" s="100" t="str">
        <f t="shared" ca="1" si="32"/>
        <v/>
      </c>
      <c r="X113" s="83" t="str">
        <f t="shared" ca="1" si="33"/>
        <v/>
      </c>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c r="FL113" s="25"/>
      <c r="FM113" s="25"/>
      <c r="FN113" s="25"/>
      <c r="FO113" s="25"/>
      <c r="FP113" s="25"/>
      <c r="FQ113" s="25"/>
      <c r="FR113" s="25"/>
      <c r="FS113" s="25"/>
      <c r="FT113" s="25"/>
      <c r="FU113" s="25"/>
      <c r="FV113" s="25"/>
      <c r="FW113" s="25"/>
      <c r="FX113" s="25"/>
      <c r="FY113" s="25"/>
      <c r="FZ113" s="25"/>
      <c r="GA113" s="25"/>
      <c r="GB113" s="25"/>
      <c r="GC113" s="25"/>
      <c r="GD113" s="25"/>
      <c r="GE113" s="25"/>
      <c r="GF113" s="25"/>
      <c r="GG113" s="25"/>
      <c r="GH113" s="25"/>
      <c r="GI113" s="25"/>
      <c r="GJ113" s="25"/>
      <c r="GK113" s="25"/>
      <c r="GL113" s="25"/>
      <c r="GM113" s="25"/>
      <c r="GN113" s="25"/>
      <c r="GO113" s="25"/>
      <c r="GP113" s="25"/>
      <c r="GQ113" s="25"/>
      <c r="GR113" s="25"/>
      <c r="GS113" s="25"/>
      <c r="GT113" s="25"/>
      <c r="GU113" s="25"/>
      <c r="GV113" s="25"/>
      <c r="GW113" s="25"/>
      <c r="GX113" s="25"/>
      <c r="GY113" s="25"/>
      <c r="GZ113" s="25"/>
      <c r="HA113" s="25"/>
      <c r="HB113" s="25"/>
      <c r="HC113" s="25"/>
      <c r="HD113" s="25"/>
      <c r="HE113" s="25"/>
      <c r="HF113" s="25"/>
      <c r="HG113" s="25"/>
      <c r="HH113" s="25"/>
      <c r="HI113" s="25"/>
      <c r="HJ113" s="25"/>
      <c r="HK113" s="25"/>
      <c r="HL113" s="25"/>
      <c r="HM113" s="25"/>
      <c r="HN113" s="25"/>
      <c r="HO113" s="25"/>
      <c r="HP113" s="25"/>
      <c r="HQ113" s="25"/>
      <c r="HR113" s="25"/>
      <c r="HS113" s="25"/>
      <c r="HT113" s="25"/>
      <c r="HU113" s="25"/>
      <c r="HV113" s="25"/>
      <c r="HW113" s="25"/>
      <c r="HX113" s="25"/>
      <c r="HY113" s="25"/>
      <c r="HZ113" s="25"/>
      <c r="IA113" s="25"/>
      <c r="IB113" s="25"/>
      <c r="IC113" s="25"/>
      <c r="ID113" s="25"/>
      <c r="IE113" s="25"/>
      <c r="IF113" s="25"/>
      <c r="IG113" s="25"/>
      <c r="IH113" s="25"/>
      <c r="II113" s="25"/>
      <c r="IJ113" s="25"/>
      <c r="IK113" s="25"/>
      <c r="IL113" s="25"/>
      <c r="IM113" s="25"/>
      <c r="IN113" s="25"/>
      <c r="IO113" s="25"/>
      <c r="IP113" s="25"/>
      <c r="IQ113" s="25"/>
      <c r="IR113" s="25"/>
      <c r="IS113" s="25"/>
      <c r="IT113" s="25"/>
      <c r="IU113" s="25"/>
      <c r="IV113" s="25"/>
      <c r="IW113" s="25"/>
      <c r="IX113" s="25"/>
      <c r="IY113" s="25"/>
      <c r="IZ113" s="25"/>
      <c r="JA113" s="25"/>
      <c r="JB113" s="25"/>
      <c r="JC113" s="25"/>
      <c r="JD113" s="25"/>
      <c r="JE113" s="25"/>
      <c r="JF113" s="25"/>
      <c r="JG113" s="25"/>
      <c r="JH113" s="25"/>
      <c r="JI113" s="25"/>
      <c r="JJ113" s="25"/>
      <c r="JK113" s="25"/>
      <c r="JL113" s="25"/>
      <c r="JM113" s="25"/>
      <c r="JN113" s="25"/>
    </row>
    <row r="114" spans="2:274" ht="20.25" customHeight="1" x14ac:dyDescent="0.25">
      <c r="B114" s="20"/>
      <c r="F114" s="21"/>
      <c r="G114" s="86" t="str" cm="1">
        <f t="array" aca="1" ref="G114" ca="1">IFERROR(INDEX(Panel_Rates[[1]:[12]],MATCH(Panel_New&amp;Category_New,Panel_Rates[Panel]&amp;Panel_Rates[Category],0),MATCH('Time Plan HY'!E114,OFFSET(Variable!$AF$2,MATCH(Panel_New&amp;Category_New,Panel_Rates[Panel]&amp;Panel_Rates[Category],0)-1,0,1,12),0))/8,"")</f>
        <v/>
      </c>
      <c r="H114" s="92"/>
      <c r="I114" s="88" t="str">
        <f t="shared" ca="1" si="21"/>
        <v/>
      </c>
      <c r="J114" s="89" t="str">
        <f t="shared" ca="1" si="22"/>
        <v/>
      </c>
      <c r="K114" s="90" t="str">
        <f>IFERROR(_xlfn.XLOOKUP(D114,CostTableLookup[Name],CostTableLookup[Gross Cost]),"")</f>
        <v/>
      </c>
      <c r="L114" s="22"/>
      <c r="M114" s="81" t="str">
        <f t="shared" ca="1" si="25"/>
        <v/>
      </c>
      <c r="N114" s="23"/>
      <c r="O114" s="81" t="str">
        <f t="shared" ca="1" si="26"/>
        <v/>
      </c>
      <c r="P114" s="81" t="str">
        <f t="shared" ca="1" si="23"/>
        <v/>
      </c>
      <c r="Q114" s="24" t="str">
        <f t="shared" si="24"/>
        <v/>
      </c>
      <c r="R114" s="110" t="str">
        <f t="shared" ca="1" si="27"/>
        <v/>
      </c>
      <c r="S114" s="114">
        <f t="shared" ref="S114" ca="1" si="82">IFERROR(SUM(OFFSET(Y114,0,MATCH(Forecast_New,$Y$3:$WQ$3,0)-1,1,500))*40,"")</f>
        <v>0</v>
      </c>
      <c r="T114" s="115">
        <f t="shared" ca="1" si="29"/>
        <v>0</v>
      </c>
      <c r="U114" s="116" t="str">
        <f t="shared" ca="1" si="55"/>
        <v/>
      </c>
      <c r="V114" s="99" t="str">
        <f t="shared" ca="1" si="56"/>
        <v/>
      </c>
      <c r="W114" s="100" t="str">
        <f t="shared" ca="1" si="32"/>
        <v/>
      </c>
      <c r="X114" s="83" t="str">
        <f t="shared" ca="1" si="33"/>
        <v/>
      </c>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c r="FL114" s="25"/>
      <c r="FM114" s="25"/>
      <c r="FN114" s="25"/>
      <c r="FO114" s="25"/>
      <c r="FP114" s="25"/>
      <c r="FQ114" s="25"/>
      <c r="FR114" s="25"/>
      <c r="FS114" s="25"/>
      <c r="FT114" s="25"/>
      <c r="FU114" s="25"/>
      <c r="FV114" s="25"/>
      <c r="FW114" s="25"/>
      <c r="FX114" s="25"/>
      <c r="FY114" s="25"/>
      <c r="FZ114" s="25"/>
      <c r="GA114" s="25"/>
      <c r="GB114" s="25"/>
      <c r="GC114" s="25"/>
      <c r="GD114" s="25"/>
      <c r="GE114" s="25"/>
      <c r="GF114" s="25"/>
      <c r="GG114" s="25"/>
      <c r="GH114" s="25"/>
      <c r="GI114" s="25"/>
      <c r="GJ114" s="25"/>
      <c r="GK114" s="25"/>
      <c r="GL114" s="25"/>
      <c r="GM114" s="25"/>
      <c r="GN114" s="25"/>
      <c r="GO114" s="25"/>
      <c r="GP114" s="25"/>
      <c r="GQ114" s="25"/>
      <c r="GR114" s="25"/>
      <c r="GS114" s="25"/>
      <c r="GT114" s="25"/>
      <c r="GU114" s="25"/>
      <c r="GV114" s="25"/>
      <c r="GW114" s="25"/>
      <c r="GX114" s="25"/>
      <c r="GY114" s="25"/>
      <c r="GZ114" s="25"/>
      <c r="HA114" s="25"/>
      <c r="HB114" s="25"/>
      <c r="HC114" s="25"/>
      <c r="HD114" s="25"/>
      <c r="HE114" s="25"/>
      <c r="HF114" s="25"/>
      <c r="HG114" s="25"/>
      <c r="HH114" s="25"/>
      <c r="HI114" s="25"/>
      <c r="HJ114" s="25"/>
      <c r="HK114" s="25"/>
      <c r="HL114" s="25"/>
      <c r="HM114" s="25"/>
      <c r="HN114" s="25"/>
      <c r="HO114" s="25"/>
      <c r="HP114" s="25"/>
      <c r="HQ114" s="25"/>
      <c r="HR114" s="25"/>
      <c r="HS114" s="25"/>
      <c r="HT114" s="25"/>
      <c r="HU114" s="25"/>
      <c r="HV114" s="25"/>
      <c r="HW114" s="25"/>
      <c r="HX114" s="25"/>
      <c r="HY114" s="25"/>
      <c r="HZ114" s="25"/>
      <c r="IA114" s="25"/>
      <c r="IB114" s="25"/>
      <c r="IC114" s="25"/>
      <c r="ID114" s="25"/>
      <c r="IE114" s="25"/>
      <c r="IF114" s="25"/>
      <c r="IG114" s="25"/>
      <c r="IH114" s="25"/>
      <c r="II114" s="25"/>
      <c r="IJ114" s="25"/>
      <c r="IK114" s="25"/>
      <c r="IL114" s="25"/>
      <c r="IM114" s="25"/>
      <c r="IN114" s="25"/>
      <c r="IO114" s="25"/>
      <c r="IP114" s="25"/>
      <c r="IQ114" s="25"/>
      <c r="IR114" s="25"/>
      <c r="IS114" s="25"/>
      <c r="IT114" s="25"/>
      <c r="IU114" s="25"/>
      <c r="IV114" s="25"/>
      <c r="IW114" s="25"/>
      <c r="IX114" s="25"/>
      <c r="IY114" s="25"/>
      <c r="IZ114" s="25"/>
      <c r="JA114" s="25"/>
      <c r="JB114" s="25"/>
      <c r="JC114" s="25"/>
      <c r="JD114" s="25"/>
      <c r="JE114" s="25"/>
      <c r="JF114" s="25"/>
      <c r="JG114" s="25"/>
      <c r="JH114" s="25"/>
      <c r="JI114" s="25"/>
      <c r="JJ114" s="25"/>
      <c r="JK114" s="25"/>
      <c r="JL114" s="25"/>
      <c r="JM114" s="25"/>
      <c r="JN114" s="25"/>
    </row>
    <row r="115" spans="2:274" ht="20.25" customHeight="1" x14ac:dyDescent="0.25">
      <c r="B115" s="20"/>
      <c r="F115" s="21"/>
      <c r="G115" s="86" t="str" cm="1">
        <f t="array" aca="1" ref="G115" ca="1">IFERROR(INDEX(Panel_Rates[[1]:[12]],MATCH(Panel_New&amp;Category_New,Panel_Rates[Panel]&amp;Panel_Rates[Category],0),MATCH('Time Plan HY'!E115,OFFSET(Variable!$AF$2,MATCH(Panel_New&amp;Category_New,Panel_Rates[Panel]&amp;Panel_Rates[Category],0)-1,0,1,12),0))/8,"")</f>
        <v/>
      </c>
      <c r="H115" s="92"/>
      <c r="I115" s="88" t="str">
        <f t="shared" ca="1" si="21"/>
        <v/>
      </c>
      <c r="J115" s="89" t="str">
        <f t="shared" ca="1" si="22"/>
        <v/>
      </c>
      <c r="K115" s="90" t="str">
        <f>IFERROR(_xlfn.XLOOKUP(D115,CostTableLookup[Name],CostTableLookup[Gross Cost]),"")</f>
        <v/>
      </c>
      <c r="L115" s="22"/>
      <c r="M115" s="81" t="str">
        <f t="shared" ca="1" si="25"/>
        <v/>
      </c>
      <c r="N115" s="23"/>
      <c r="O115" s="81" t="str">
        <f t="shared" ca="1" si="26"/>
        <v/>
      </c>
      <c r="P115" s="81" t="str">
        <f t="shared" ca="1" si="23"/>
        <v/>
      </c>
      <c r="Q115" s="24" t="str">
        <f t="shared" si="24"/>
        <v/>
      </c>
      <c r="R115" s="110" t="str">
        <f t="shared" ca="1" si="27"/>
        <v/>
      </c>
      <c r="S115" s="114">
        <f t="shared" ref="S115" ca="1" si="83">IFERROR(SUM(OFFSET(Y115,0,MATCH(Forecast_New,$Y$3:$WQ$3,0)-1,1,500))*40,"")</f>
        <v>0</v>
      </c>
      <c r="T115" s="115">
        <f t="shared" ca="1" si="29"/>
        <v>0</v>
      </c>
      <c r="U115" s="116" t="str">
        <f t="shared" ca="1" si="55"/>
        <v/>
      </c>
      <c r="V115" s="99" t="str">
        <f t="shared" ca="1" si="56"/>
        <v/>
      </c>
      <c r="W115" s="100" t="str">
        <f t="shared" ca="1" si="32"/>
        <v/>
      </c>
      <c r="X115" s="83" t="str">
        <f t="shared" ca="1" si="33"/>
        <v/>
      </c>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c r="FY115" s="25"/>
      <c r="FZ115" s="25"/>
      <c r="GA115" s="25"/>
      <c r="GB115" s="25"/>
      <c r="GC115" s="25"/>
      <c r="GD115" s="25"/>
      <c r="GE115" s="25"/>
      <c r="GF115" s="25"/>
      <c r="GG115" s="25"/>
      <c r="GH115" s="25"/>
      <c r="GI115" s="25"/>
      <c r="GJ115" s="25"/>
      <c r="GK115" s="25"/>
      <c r="GL115" s="25"/>
      <c r="GM115" s="25"/>
      <c r="GN115" s="25"/>
      <c r="GO115" s="25"/>
      <c r="GP115" s="25"/>
      <c r="GQ115" s="25"/>
      <c r="GR115" s="25"/>
      <c r="GS115" s="25"/>
      <c r="GT115" s="25"/>
      <c r="GU115" s="25"/>
      <c r="GV115" s="25"/>
      <c r="GW115" s="25"/>
      <c r="GX115" s="25"/>
      <c r="GY115" s="25"/>
      <c r="GZ115" s="25"/>
      <c r="HA115" s="25"/>
      <c r="HB115" s="25"/>
      <c r="HC115" s="25"/>
      <c r="HD115" s="25"/>
      <c r="HE115" s="25"/>
      <c r="HF115" s="25"/>
      <c r="HG115" s="25"/>
      <c r="HH115" s="25"/>
      <c r="HI115" s="25"/>
      <c r="HJ115" s="25"/>
      <c r="HK115" s="25"/>
      <c r="HL115" s="25"/>
      <c r="HM115" s="25"/>
      <c r="HN115" s="25"/>
      <c r="HO115" s="25"/>
      <c r="HP115" s="25"/>
      <c r="HQ115" s="25"/>
      <c r="HR115" s="25"/>
      <c r="HS115" s="25"/>
      <c r="HT115" s="25"/>
      <c r="HU115" s="25"/>
      <c r="HV115" s="25"/>
      <c r="HW115" s="25"/>
      <c r="HX115" s="25"/>
      <c r="HY115" s="25"/>
      <c r="HZ115" s="25"/>
      <c r="IA115" s="25"/>
      <c r="IB115" s="25"/>
      <c r="IC115" s="25"/>
      <c r="ID115" s="25"/>
      <c r="IE115" s="25"/>
      <c r="IF115" s="25"/>
      <c r="IG115" s="25"/>
      <c r="IH115" s="25"/>
      <c r="II115" s="25"/>
      <c r="IJ115" s="25"/>
      <c r="IK115" s="25"/>
      <c r="IL115" s="25"/>
      <c r="IM115" s="25"/>
      <c r="IN115" s="25"/>
      <c r="IO115" s="25"/>
      <c r="IP115" s="25"/>
      <c r="IQ115" s="25"/>
      <c r="IR115" s="25"/>
      <c r="IS115" s="25"/>
      <c r="IT115" s="25"/>
      <c r="IU115" s="25"/>
      <c r="IV115" s="25"/>
      <c r="IW115" s="25"/>
      <c r="IX115" s="25"/>
      <c r="IY115" s="25"/>
      <c r="IZ115" s="25"/>
      <c r="JA115" s="25"/>
      <c r="JB115" s="25"/>
      <c r="JC115" s="25"/>
      <c r="JD115" s="25"/>
      <c r="JE115" s="25"/>
      <c r="JF115" s="25"/>
      <c r="JG115" s="25"/>
      <c r="JH115" s="25"/>
      <c r="JI115" s="25"/>
      <c r="JJ115" s="25"/>
      <c r="JK115" s="25"/>
      <c r="JL115" s="25"/>
      <c r="JM115" s="25"/>
      <c r="JN115" s="25"/>
    </row>
    <row r="116" spans="2:274" ht="20.25" customHeight="1" x14ac:dyDescent="0.25">
      <c r="B116" s="20"/>
      <c r="F116" s="21"/>
      <c r="G116" s="86" t="str" cm="1">
        <f t="array" aca="1" ref="G116" ca="1">IFERROR(INDEX(Panel_Rates[[1]:[12]],MATCH(Panel_New&amp;Category_New,Panel_Rates[Panel]&amp;Panel_Rates[Category],0),MATCH('Time Plan HY'!E116,OFFSET(Variable!$AF$2,MATCH(Panel_New&amp;Category_New,Panel_Rates[Panel]&amp;Panel_Rates[Category],0)-1,0,1,12),0))/8,"")</f>
        <v/>
      </c>
      <c r="H116" s="92"/>
      <c r="I116" s="88" t="str">
        <f t="shared" ca="1" si="21"/>
        <v/>
      </c>
      <c r="J116" s="89" t="str">
        <f t="shared" ca="1" si="22"/>
        <v/>
      </c>
      <c r="K116" s="90" t="str">
        <f>IFERROR(_xlfn.XLOOKUP(D116,CostTableLookup[Name],CostTableLookup[Gross Cost]),"")</f>
        <v/>
      </c>
      <c r="L116" s="22"/>
      <c r="M116" s="81" t="str">
        <f t="shared" ca="1" si="25"/>
        <v/>
      </c>
      <c r="N116" s="23"/>
      <c r="O116" s="81" t="str">
        <f t="shared" ca="1" si="26"/>
        <v/>
      </c>
      <c r="P116" s="81" t="str">
        <f t="shared" ca="1" si="23"/>
        <v/>
      </c>
      <c r="Q116" s="24" t="str">
        <f t="shared" si="24"/>
        <v/>
      </c>
      <c r="R116" s="110" t="str">
        <f t="shared" ca="1" si="27"/>
        <v/>
      </c>
      <c r="S116" s="114">
        <f t="shared" ref="S116" ca="1" si="84">IFERROR(SUM(OFFSET(Y116,0,MATCH(Forecast_New,$Y$3:$WQ$3,0)-1,1,500))*40,"")</f>
        <v>0</v>
      </c>
      <c r="T116" s="115">
        <f t="shared" ca="1" si="29"/>
        <v>0</v>
      </c>
      <c r="U116" s="116" t="str">
        <f t="shared" ca="1" si="55"/>
        <v/>
      </c>
      <c r="V116" s="99" t="str">
        <f t="shared" ca="1" si="56"/>
        <v/>
      </c>
      <c r="W116" s="100" t="str">
        <f t="shared" ca="1" si="32"/>
        <v/>
      </c>
      <c r="X116" s="83" t="str">
        <f t="shared" ca="1" si="33"/>
        <v/>
      </c>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5"/>
      <c r="EN116" s="25"/>
      <c r="EO116" s="25"/>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5"/>
      <c r="GA116" s="25"/>
      <c r="GB116" s="25"/>
      <c r="GC116" s="25"/>
      <c r="GD116" s="25"/>
      <c r="GE116" s="25"/>
      <c r="GF116" s="25"/>
      <c r="GG116" s="25"/>
      <c r="GH116" s="25"/>
      <c r="GI116" s="25"/>
      <c r="GJ116" s="25"/>
      <c r="GK116" s="25"/>
      <c r="GL116" s="25"/>
      <c r="GM116" s="25"/>
      <c r="GN116" s="25"/>
      <c r="GO116" s="25"/>
      <c r="GP116" s="25"/>
      <c r="GQ116" s="25"/>
      <c r="GR116" s="25"/>
      <c r="GS116" s="25"/>
      <c r="GT116" s="25"/>
      <c r="GU116" s="25"/>
      <c r="GV116" s="25"/>
      <c r="GW116" s="25"/>
      <c r="GX116" s="25"/>
      <c r="GY116" s="25"/>
      <c r="GZ116" s="25"/>
      <c r="HA116" s="25"/>
      <c r="HB116" s="25"/>
      <c r="HC116" s="25"/>
      <c r="HD116" s="25"/>
      <c r="HE116" s="25"/>
      <c r="HF116" s="25"/>
      <c r="HG116" s="25"/>
      <c r="HH116" s="25"/>
      <c r="HI116" s="25"/>
      <c r="HJ116" s="25"/>
      <c r="HK116" s="25"/>
      <c r="HL116" s="25"/>
      <c r="HM116" s="25"/>
      <c r="HN116" s="25"/>
      <c r="HO116" s="25"/>
      <c r="HP116" s="25"/>
      <c r="HQ116" s="25"/>
      <c r="HR116" s="25"/>
      <c r="HS116" s="25"/>
      <c r="HT116" s="25"/>
      <c r="HU116" s="25"/>
      <c r="HV116" s="25"/>
      <c r="HW116" s="25"/>
      <c r="HX116" s="25"/>
      <c r="HY116" s="25"/>
      <c r="HZ116" s="25"/>
      <c r="IA116" s="25"/>
      <c r="IB116" s="25"/>
      <c r="IC116" s="25"/>
      <c r="ID116" s="25"/>
      <c r="IE116" s="25"/>
      <c r="IF116" s="25"/>
      <c r="IG116" s="25"/>
      <c r="IH116" s="25"/>
      <c r="II116" s="25"/>
      <c r="IJ116" s="25"/>
      <c r="IK116" s="25"/>
      <c r="IL116" s="25"/>
      <c r="IM116" s="25"/>
      <c r="IN116" s="25"/>
      <c r="IO116" s="25"/>
      <c r="IP116" s="25"/>
      <c r="IQ116" s="25"/>
      <c r="IR116" s="25"/>
      <c r="IS116" s="25"/>
      <c r="IT116" s="25"/>
      <c r="IU116" s="25"/>
      <c r="IV116" s="25"/>
      <c r="IW116" s="25"/>
      <c r="IX116" s="25"/>
      <c r="IY116" s="25"/>
      <c r="IZ116" s="25"/>
      <c r="JA116" s="25"/>
      <c r="JB116" s="25"/>
      <c r="JC116" s="25"/>
      <c r="JD116" s="25"/>
      <c r="JE116" s="25"/>
      <c r="JF116" s="25"/>
      <c r="JG116" s="25"/>
      <c r="JH116" s="25"/>
      <c r="JI116" s="25"/>
      <c r="JJ116" s="25"/>
      <c r="JK116" s="25"/>
      <c r="JL116" s="25"/>
      <c r="JM116" s="25"/>
      <c r="JN116" s="25"/>
    </row>
    <row r="117" spans="2:274" ht="20.25" customHeight="1" x14ac:dyDescent="0.25">
      <c r="B117" s="20"/>
      <c r="F117" s="21"/>
      <c r="G117" s="86" t="str" cm="1">
        <f t="array" aca="1" ref="G117" ca="1">IFERROR(INDEX(Panel_Rates[[1]:[12]],MATCH(Panel_New&amp;Category_New,Panel_Rates[Panel]&amp;Panel_Rates[Category],0),MATCH('Time Plan HY'!E117,OFFSET(Variable!$AF$2,MATCH(Panel_New&amp;Category_New,Panel_Rates[Panel]&amp;Panel_Rates[Category],0)-1,0,1,12),0))/8,"")</f>
        <v/>
      </c>
      <c r="H117" s="92"/>
      <c r="I117" s="88" t="str">
        <f t="shared" ca="1" si="21"/>
        <v/>
      </c>
      <c r="J117" s="89" t="str">
        <f t="shared" ca="1" si="22"/>
        <v/>
      </c>
      <c r="K117" s="90" t="str">
        <f>IFERROR(_xlfn.XLOOKUP(D117,CostTableLookup[Name],CostTableLookup[Gross Cost]),"")</f>
        <v/>
      </c>
      <c r="L117" s="22"/>
      <c r="M117" s="81" t="str">
        <f t="shared" ca="1" si="25"/>
        <v/>
      </c>
      <c r="N117" s="23"/>
      <c r="O117" s="81" t="str">
        <f t="shared" ca="1" si="26"/>
        <v/>
      </c>
      <c r="P117" s="81" t="str">
        <f t="shared" ca="1" si="23"/>
        <v/>
      </c>
      <c r="Q117" s="24" t="str">
        <f t="shared" si="24"/>
        <v/>
      </c>
      <c r="R117" s="110" t="str">
        <f t="shared" ca="1" si="27"/>
        <v/>
      </c>
      <c r="S117" s="114">
        <f t="shared" ref="S117" ca="1" si="85">IFERROR(SUM(OFFSET(Y117,0,MATCH(Forecast_New,$Y$3:$WQ$3,0)-1,1,500))*40,"")</f>
        <v>0</v>
      </c>
      <c r="T117" s="115">
        <f t="shared" ca="1" si="29"/>
        <v>0</v>
      </c>
      <c r="U117" s="116" t="str">
        <f t="shared" ca="1" si="55"/>
        <v/>
      </c>
      <c r="V117" s="99" t="str">
        <f t="shared" ca="1" si="56"/>
        <v/>
      </c>
      <c r="W117" s="100" t="str">
        <f t="shared" ca="1" si="32"/>
        <v/>
      </c>
      <c r="X117" s="83" t="str">
        <f t="shared" ca="1" si="33"/>
        <v/>
      </c>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5"/>
      <c r="EN117" s="25"/>
      <c r="EO117" s="25"/>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c r="FZ117" s="25"/>
      <c r="GA117" s="25"/>
      <c r="GB117" s="25"/>
      <c r="GC117" s="25"/>
      <c r="GD117" s="25"/>
      <c r="GE117" s="25"/>
      <c r="GF117" s="25"/>
      <c r="GG117" s="25"/>
      <c r="GH117" s="25"/>
      <c r="GI117" s="25"/>
      <c r="GJ117" s="25"/>
      <c r="GK117" s="25"/>
      <c r="GL117" s="25"/>
      <c r="GM117" s="25"/>
      <c r="GN117" s="25"/>
      <c r="GO117" s="25"/>
      <c r="GP117" s="25"/>
      <c r="GQ117" s="25"/>
      <c r="GR117" s="25"/>
      <c r="GS117" s="25"/>
      <c r="GT117" s="25"/>
      <c r="GU117" s="25"/>
      <c r="GV117" s="25"/>
      <c r="GW117" s="25"/>
      <c r="GX117" s="25"/>
      <c r="GY117" s="25"/>
      <c r="GZ117" s="25"/>
      <c r="HA117" s="25"/>
      <c r="HB117" s="25"/>
      <c r="HC117" s="25"/>
      <c r="HD117" s="25"/>
      <c r="HE117" s="25"/>
      <c r="HF117" s="25"/>
      <c r="HG117" s="25"/>
      <c r="HH117" s="25"/>
      <c r="HI117" s="25"/>
      <c r="HJ117" s="25"/>
      <c r="HK117" s="25"/>
      <c r="HL117" s="25"/>
      <c r="HM117" s="25"/>
      <c r="HN117" s="25"/>
      <c r="HO117" s="25"/>
      <c r="HP117" s="25"/>
      <c r="HQ117" s="25"/>
      <c r="HR117" s="25"/>
      <c r="HS117" s="25"/>
      <c r="HT117" s="25"/>
      <c r="HU117" s="25"/>
      <c r="HV117" s="25"/>
      <c r="HW117" s="25"/>
      <c r="HX117" s="25"/>
      <c r="HY117" s="25"/>
      <c r="HZ117" s="25"/>
      <c r="IA117" s="25"/>
      <c r="IB117" s="25"/>
      <c r="IC117" s="25"/>
      <c r="ID117" s="25"/>
      <c r="IE117" s="25"/>
      <c r="IF117" s="25"/>
      <c r="IG117" s="25"/>
      <c r="IH117" s="25"/>
      <c r="II117" s="25"/>
      <c r="IJ117" s="25"/>
      <c r="IK117" s="25"/>
      <c r="IL117" s="25"/>
      <c r="IM117" s="25"/>
      <c r="IN117" s="25"/>
      <c r="IO117" s="25"/>
      <c r="IP117" s="25"/>
      <c r="IQ117" s="25"/>
      <c r="IR117" s="25"/>
      <c r="IS117" s="25"/>
      <c r="IT117" s="25"/>
      <c r="IU117" s="25"/>
      <c r="IV117" s="25"/>
      <c r="IW117" s="25"/>
      <c r="IX117" s="25"/>
      <c r="IY117" s="25"/>
      <c r="IZ117" s="25"/>
      <c r="JA117" s="25"/>
      <c r="JB117" s="25"/>
      <c r="JC117" s="25"/>
      <c r="JD117" s="25"/>
      <c r="JE117" s="25"/>
      <c r="JF117" s="25"/>
      <c r="JG117" s="25"/>
      <c r="JH117" s="25"/>
      <c r="JI117" s="25"/>
      <c r="JJ117" s="25"/>
      <c r="JK117" s="25"/>
      <c r="JL117" s="25"/>
      <c r="JM117" s="25"/>
      <c r="JN117" s="25"/>
    </row>
    <row r="118" spans="2:274" ht="20.25" customHeight="1" x14ac:dyDescent="0.25">
      <c r="B118" s="20"/>
      <c r="F118" s="21"/>
      <c r="G118" s="86" t="str" cm="1">
        <f t="array" aca="1" ref="G118" ca="1">IFERROR(INDEX(Panel_Rates[[1]:[12]],MATCH(Panel_New&amp;Category_New,Panel_Rates[Panel]&amp;Panel_Rates[Category],0),MATCH('Time Plan HY'!E118,OFFSET(Variable!$AF$2,MATCH(Panel_New&amp;Category_New,Panel_Rates[Panel]&amp;Panel_Rates[Category],0)-1,0,1,12),0))/8,"")</f>
        <v/>
      </c>
      <c r="H118" s="92"/>
      <c r="I118" s="88" t="str">
        <f t="shared" ca="1" si="21"/>
        <v/>
      </c>
      <c r="J118" s="89" t="str">
        <f t="shared" ca="1" si="22"/>
        <v/>
      </c>
      <c r="K118" s="90" t="str">
        <f>IFERROR(_xlfn.XLOOKUP(D118,CostTableLookup[Name],CostTableLookup[Gross Cost]),"")</f>
        <v/>
      </c>
      <c r="L118" s="22"/>
      <c r="M118" s="81" t="str">
        <f t="shared" ca="1" si="25"/>
        <v/>
      </c>
      <c r="N118" s="23"/>
      <c r="O118" s="81" t="str">
        <f t="shared" ca="1" si="26"/>
        <v/>
      </c>
      <c r="P118" s="81" t="str">
        <f t="shared" ca="1" si="23"/>
        <v/>
      </c>
      <c r="Q118" s="24" t="str">
        <f t="shared" si="24"/>
        <v/>
      </c>
      <c r="R118" s="110" t="str">
        <f t="shared" ca="1" si="27"/>
        <v/>
      </c>
      <c r="S118" s="114">
        <f t="shared" ref="S118" ca="1" si="86">IFERROR(SUM(OFFSET(Y118,0,MATCH(Forecast_New,$Y$3:$WQ$3,0)-1,1,500))*40,"")</f>
        <v>0</v>
      </c>
      <c r="T118" s="115">
        <f t="shared" ca="1" si="29"/>
        <v>0</v>
      </c>
      <c r="U118" s="116" t="str">
        <f t="shared" ca="1" si="55"/>
        <v/>
      </c>
      <c r="V118" s="99" t="str">
        <f t="shared" ca="1" si="56"/>
        <v/>
      </c>
      <c r="W118" s="100" t="str">
        <f t="shared" ca="1" si="32"/>
        <v/>
      </c>
      <c r="X118" s="83" t="str">
        <f t="shared" ca="1" si="33"/>
        <v/>
      </c>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c r="FL118" s="25"/>
      <c r="FM118" s="25"/>
      <c r="FN118" s="25"/>
      <c r="FO118" s="25"/>
      <c r="FP118" s="25"/>
      <c r="FQ118" s="25"/>
      <c r="FR118" s="25"/>
      <c r="FS118" s="25"/>
      <c r="FT118" s="25"/>
      <c r="FU118" s="25"/>
      <c r="FV118" s="25"/>
      <c r="FW118" s="25"/>
      <c r="FX118" s="25"/>
      <c r="FY118" s="25"/>
      <c r="FZ118" s="25"/>
      <c r="GA118" s="25"/>
      <c r="GB118" s="25"/>
      <c r="GC118" s="25"/>
      <c r="GD118" s="25"/>
      <c r="GE118" s="25"/>
      <c r="GF118" s="25"/>
      <c r="GG118" s="25"/>
      <c r="GH118" s="25"/>
      <c r="GI118" s="25"/>
      <c r="GJ118" s="25"/>
      <c r="GK118" s="25"/>
      <c r="GL118" s="25"/>
      <c r="GM118" s="25"/>
      <c r="GN118" s="25"/>
      <c r="GO118" s="25"/>
      <c r="GP118" s="25"/>
      <c r="GQ118" s="25"/>
      <c r="GR118" s="25"/>
      <c r="GS118" s="25"/>
      <c r="GT118" s="25"/>
      <c r="GU118" s="25"/>
      <c r="GV118" s="25"/>
      <c r="GW118" s="25"/>
      <c r="GX118" s="25"/>
      <c r="GY118" s="25"/>
      <c r="GZ118" s="25"/>
      <c r="HA118" s="25"/>
      <c r="HB118" s="25"/>
      <c r="HC118" s="25"/>
      <c r="HD118" s="25"/>
      <c r="HE118" s="25"/>
      <c r="HF118" s="25"/>
      <c r="HG118" s="25"/>
      <c r="HH118" s="25"/>
      <c r="HI118" s="25"/>
      <c r="HJ118" s="25"/>
      <c r="HK118" s="25"/>
      <c r="HL118" s="25"/>
      <c r="HM118" s="25"/>
      <c r="HN118" s="25"/>
      <c r="HO118" s="25"/>
      <c r="HP118" s="25"/>
      <c r="HQ118" s="25"/>
      <c r="HR118" s="25"/>
      <c r="HS118" s="25"/>
      <c r="HT118" s="25"/>
      <c r="HU118" s="25"/>
      <c r="HV118" s="25"/>
      <c r="HW118" s="25"/>
      <c r="HX118" s="25"/>
      <c r="HY118" s="25"/>
      <c r="HZ118" s="25"/>
      <c r="IA118" s="25"/>
      <c r="IB118" s="25"/>
      <c r="IC118" s="25"/>
      <c r="ID118" s="25"/>
      <c r="IE118" s="25"/>
      <c r="IF118" s="25"/>
      <c r="IG118" s="25"/>
      <c r="IH118" s="25"/>
      <c r="II118" s="25"/>
      <c r="IJ118" s="25"/>
      <c r="IK118" s="25"/>
      <c r="IL118" s="25"/>
      <c r="IM118" s="25"/>
      <c r="IN118" s="25"/>
      <c r="IO118" s="25"/>
      <c r="IP118" s="25"/>
      <c r="IQ118" s="25"/>
      <c r="IR118" s="25"/>
      <c r="IS118" s="25"/>
      <c r="IT118" s="25"/>
      <c r="IU118" s="25"/>
      <c r="IV118" s="25"/>
      <c r="IW118" s="25"/>
      <c r="IX118" s="25"/>
      <c r="IY118" s="25"/>
      <c r="IZ118" s="25"/>
      <c r="JA118" s="25"/>
      <c r="JB118" s="25"/>
      <c r="JC118" s="25"/>
      <c r="JD118" s="25"/>
      <c r="JE118" s="25"/>
      <c r="JF118" s="25"/>
      <c r="JG118" s="25"/>
      <c r="JH118" s="25"/>
      <c r="JI118" s="25"/>
      <c r="JJ118" s="25"/>
      <c r="JK118" s="25"/>
      <c r="JL118" s="25"/>
      <c r="JM118" s="25"/>
      <c r="JN118" s="25"/>
    </row>
    <row r="119" spans="2:274" ht="20.25" customHeight="1" x14ac:dyDescent="0.25">
      <c r="B119" s="20"/>
      <c r="F119" s="21"/>
      <c r="G119" s="86" t="str" cm="1">
        <f t="array" aca="1" ref="G119" ca="1">IFERROR(INDEX(Panel_Rates[[1]:[12]],MATCH(Panel_New&amp;Category_New,Panel_Rates[Panel]&amp;Panel_Rates[Category],0),MATCH('Time Plan HY'!E119,OFFSET(Variable!$AF$2,MATCH(Panel_New&amp;Category_New,Panel_Rates[Panel]&amp;Panel_Rates[Category],0)-1,0,1,12),0))/8,"")</f>
        <v/>
      </c>
      <c r="H119" s="92"/>
      <c r="I119" s="88" t="str">
        <f t="shared" ca="1" si="21"/>
        <v/>
      </c>
      <c r="J119" s="89" t="str">
        <f t="shared" ca="1" si="22"/>
        <v/>
      </c>
      <c r="K119" s="90" t="str">
        <f>IFERROR(_xlfn.XLOOKUP(D119,CostTableLookup[Name],CostTableLookup[Gross Cost]),"")</f>
        <v/>
      </c>
      <c r="L119" s="22"/>
      <c r="M119" s="81" t="str">
        <f t="shared" ca="1" si="25"/>
        <v/>
      </c>
      <c r="N119" s="23"/>
      <c r="O119" s="81" t="str">
        <f t="shared" ca="1" si="26"/>
        <v/>
      </c>
      <c r="P119" s="81" t="str">
        <f t="shared" ca="1" si="23"/>
        <v/>
      </c>
      <c r="Q119" s="24" t="str">
        <f t="shared" si="24"/>
        <v/>
      </c>
      <c r="R119" s="110" t="str">
        <f t="shared" ca="1" si="27"/>
        <v/>
      </c>
      <c r="S119" s="114">
        <f t="shared" ref="S119" ca="1" si="87">IFERROR(SUM(OFFSET(Y119,0,MATCH(Forecast_New,$Y$3:$WQ$3,0)-1,1,500))*40,"")</f>
        <v>0</v>
      </c>
      <c r="T119" s="115">
        <f t="shared" ca="1" si="29"/>
        <v>0</v>
      </c>
      <c r="U119" s="116" t="str">
        <f t="shared" ca="1" si="55"/>
        <v/>
      </c>
      <c r="V119" s="99" t="str">
        <f t="shared" ca="1" si="56"/>
        <v/>
      </c>
      <c r="W119" s="100" t="str">
        <f t="shared" ca="1" si="32"/>
        <v/>
      </c>
      <c r="X119" s="83" t="str">
        <f t="shared" ca="1" si="33"/>
        <v/>
      </c>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5"/>
      <c r="GA119" s="25"/>
      <c r="GB119" s="25"/>
      <c r="GC119" s="25"/>
      <c r="GD119" s="25"/>
      <c r="GE119" s="25"/>
      <c r="GF119" s="25"/>
      <c r="GG119" s="25"/>
      <c r="GH119" s="25"/>
      <c r="GI119" s="25"/>
      <c r="GJ119" s="25"/>
      <c r="GK119" s="25"/>
      <c r="GL119" s="25"/>
      <c r="GM119" s="25"/>
      <c r="GN119" s="25"/>
      <c r="GO119" s="25"/>
      <c r="GP119" s="25"/>
      <c r="GQ119" s="25"/>
      <c r="GR119" s="25"/>
      <c r="GS119" s="25"/>
      <c r="GT119" s="25"/>
      <c r="GU119" s="25"/>
      <c r="GV119" s="25"/>
      <c r="GW119" s="25"/>
      <c r="GX119" s="25"/>
      <c r="GY119" s="25"/>
      <c r="GZ119" s="25"/>
      <c r="HA119" s="25"/>
      <c r="HB119" s="25"/>
      <c r="HC119" s="25"/>
      <c r="HD119" s="25"/>
      <c r="HE119" s="25"/>
      <c r="HF119" s="25"/>
      <c r="HG119" s="25"/>
      <c r="HH119" s="25"/>
      <c r="HI119" s="25"/>
      <c r="HJ119" s="25"/>
      <c r="HK119" s="25"/>
      <c r="HL119" s="25"/>
      <c r="HM119" s="25"/>
      <c r="HN119" s="25"/>
      <c r="HO119" s="25"/>
      <c r="HP119" s="25"/>
      <c r="HQ119" s="25"/>
      <c r="HR119" s="25"/>
      <c r="HS119" s="25"/>
      <c r="HT119" s="25"/>
      <c r="HU119" s="25"/>
      <c r="HV119" s="25"/>
      <c r="HW119" s="25"/>
      <c r="HX119" s="25"/>
      <c r="HY119" s="25"/>
      <c r="HZ119" s="25"/>
      <c r="IA119" s="25"/>
      <c r="IB119" s="25"/>
      <c r="IC119" s="25"/>
      <c r="ID119" s="25"/>
      <c r="IE119" s="25"/>
      <c r="IF119" s="25"/>
      <c r="IG119" s="25"/>
      <c r="IH119" s="25"/>
      <c r="II119" s="25"/>
      <c r="IJ119" s="25"/>
      <c r="IK119" s="25"/>
      <c r="IL119" s="25"/>
      <c r="IM119" s="25"/>
      <c r="IN119" s="25"/>
      <c r="IO119" s="25"/>
      <c r="IP119" s="25"/>
      <c r="IQ119" s="25"/>
      <c r="IR119" s="25"/>
      <c r="IS119" s="25"/>
      <c r="IT119" s="25"/>
      <c r="IU119" s="25"/>
      <c r="IV119" s="25"/>
      <c r="IW119" s="25"/>
      <c r="IX119" s="25"/>
      <c r="IY119" s="25"/>
      <c r="IZ119" s="25"/>
      <c r="JA119" s="25"/>
      <c r="JB119" s="25"/>
      <c r="JC119" s="25"/>
      <c r="JD119" s="25"/>
      <c r="JE119" s="25"/>
      <c r="JF119" s="25"/>
      <c r="JG119" s="25"/>
      <c r="JH119" s="25"/>
      <c r="JI119" s="25"/>
      <c r="JJ119" s="25"/>
      <c r="JK119" s="25"/>
      <c r="JL119" s="25"/>
      <c r="JM119" s="25"/>
      <c r="JN119" s="25"/>
    </row>
    <row r="120" spans="2:274" ht="20.25" customHeight="1" x14ac:dyDescent="0.25">
      <c r="B120" s="20"/>
      <c r="F120" s="21"/>
      <c r="G120" s="86" t="str" cm="1">
        <f t="array" aca="1" ref="G120" ca="1">IFERROR(INDEX(Panel_Rates[[1]:[12]],MATCH(Panel_New&amp;Category_New,Panel_Rates[Panel]&amp;Panel_Rates[Category],0),MATCH('Time Plan HY'!E120,OFFSET(Variable!$AF$2,MATCH(Panel_New&amp;Category_New,Panel_Rates[Panel]&amp;Panel_Rates[Category],0)-1,0,1,12),0))/8,"")</f>
        <v/>
      </c>
      <c r="H120" s="92"/>
      <c r="I120" s="88" t="str">
        <f t="shared" ca="1" si="21"/>
        <v/>
      </c>
      <c r="J120" s="89" t="str">
        <f t="shared" ca="1" si="22"/>
        <v/>
      </c>
      <c r="K120" s="90" t="str">
        <f>IFERROR(_xlfn.XLOOKUP(D120,CostTableLookup[Name],CostTableLookup[Gross Cost]),"")</f>
        <v/>
      </c>
      <c r="L120" s="22"/>
      <c r="M120" s="81" t="str">
        <f t="shared" ca="1" si="25"/>
        <v/>
      </c>
      <c r="N120" s="23"/>
      <c r="O120" s="81" t="str">
        <f t="shared" ca="1" si="26"/>
        <v/>
      </c>
      <c r="P120" s="81" t="str">
        <f t="shared" ca="1" si="23"/>
        <v/>
      </c>
      <c r="Q120" s="24" t="str">
        <f t="shared" si="24"/>
        <v/>
      </c>
      <c r="R120" s="110" t="str">
        <f t="shared" ca="1" si="27"/>
        <v/>
      </c>
      <c r="S120" s="114">
        <f t="shared" ref="S120" ca="1" si="88">IFERROR(SUM(OFFSET(Y120,0,MATCH(Forecast_New,$Y$3:$WQ$3,0)-1,1,500))*40,"")</f>
        <v>0</v>
      </c>
      <c r="T120" s="115">
        <f t="shared" ca="1" si="29"/>
        <v>0</v>
      </c>
      <c r="U120" s="116" t="str">
        <f t="shared" ca="1" si="55"/>
        <v/>
      </c>
      <c r="V120" s="99" t="str">
        <f t="shared" ca="1" si="56"/>
        <v/>
      </c>
      <c r="W120" s="100" t="str">
        <f t="shared" ca="1" si="32"/>
        <v/>
      </c>
      <c r="X120" s="83" t="str">
        <f t="shared" ca="1" si="33"/>
        <v/>
      </c>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5"/>
      <c r="GA120" s="25"/>
      <c r="GB120" s="25"/>
      <c r="GC120" s="25"/>
      <c r="GD120" s="25"/>
      <c r="GE120" s="25"/>
      <c r="GF120" s="25"/>
      <c r="GG120" s="25"/>
      <c r="GH120" s="25"/>
      <c r="GI120" s="25"/>
      <c r="GJ120" s="25"/>
      <c r="GK120" s="25"/>
      <c r="GL120" s="25"/>
      <c r="GM120" s="25"/>
      <c r="GN120" s="25"/>
      <c r="GO120" s="25"/>
      <c r="GP120" s="25"/>
      <c r="GQ120" s="25"/>
      <c r="GR120" s="25"/>
      <c r="GS120" s="25"/>
      <c r="GT120" s="25"/>
      <c r="GU120" s="25"/>
      <c r="GV120" s="25"/>
      <c r="GW120" s="25"/>
      <c r="GX120" s="25"/>
      <c r="GY120" s="25"/>
      <c r="GZ120" s="25"/>
      <c r="HA120" s="25"/>
      <c r="HB120" s="25"/>
      <c r="HC120" s="25"/>
      <c r="HD120" s="25"/>
      <c r="HE120" s="25"/>
      <c r="HF120" s="25"/>
      <c r="HG120" s="25"/>
      <c r="HH120" s="25"/>
      <c r="HI120" s="25"/>
      <c r="HJ120" s="25"/>
      <c r="HK120" s="25"/>
      <c r="HL120" s="25"/>
      <c r="HM120" s="25"/>
      <c r="HN120" s="25"/>
      <c r="HO120" s="25"/>
      <c r="HP120" s="25"/>
      <c r="HQ120" s="25"/>
      <c r="HR120" s="25"/>
      <c r="HS120" s="25"/>
      <c r="HT120" s="25"/>
      <c r="HU120" s="25"/>
      <c r="HV120" s="25"/>
      <c r="HW120" s="25"/>
      <c r="HX120" s="25"/>
      <c r="HY120" s="25"/>
      <c r="HZ120" s="25"/>
      <c r="IA120" s="25"/>
      <c r="IB120" s="25"/>
      <c r="IC120" s="25"/>
      <c r="ID120" s="25"/>
      <c r="IE120" s="25"/>
      <c r="IF120" s="25"/>
      <c r="IG120" s="25"/>
      <c r="IH120" s="25"/>
      <c r="II120" s="25"/>
      <c r="IJ120" s="25"/>
      <c r="IK120" s="25"/>
      <c r="IL120" s="25"/>
      <c r="IM120" s="25"/>
      <c r="IN120" s="25"/>
      <c r="IO120" s="25"/>
      <c r="IP120" s="25"/>
      <c r="IQ120" s="25"/>
      <c r="IR120" s="25"/>
      <c r="IS120" s="25"/>
      <c r="IT120" s="25"/>
      <c r="IU120" s="25"/>
      <c r="IV120" s="25"/>
      <c r="IW120" s="25"/>
      <c r="IX120" s="25"/>
      <c r="IY120" s="25"/>
      <c r="IZ120" s="25"/>
      <c r="JA120" s="25"/>
      <c r="JB120" s="25"/>
      <c r="JC120" s="25"/>
      <c r="JD120" s="25"/>
      <c r="JE120" s="25"/>
      <c r="JF120" s="25"/>
      <c r="JG120" s="25"/>
      <c r="JH120" s="25"/>
      <c r="JI120" s="25"/>
      <c r="JJ120" s="25"/>
      <c r="JK120" s="25"/>
      <c r="JL120" s="25"/>
      <c r="JM120" s="25"/>
      <c r="JN120" s="25"/>
    </row>
    <row r="121" spans="2:274" ht="20.25" customHeight="1" x14ac:dyDescent="0.25">
      <c r="B121" s="20"/>
      <c r="F121" s="21"/>
      <c r="G121" s="86" t="str" cm="1">
        <f t="array" aca="1" ref="G121" ca="1">IFERROR(INDEX(Panel_Rates[[1]:[12]],MATCH(Panel_New&amp;Category_New,Panel_Rates[Panel]&amp;Panel_Rates[Category],0),MATCH('Time Plan HY'!E121,OFFSET(Variable!$AF$2,MATCH(Panel_New&amp;Category_New,Panel_Rates[Panel]&amp;Panel_Rates[Category],0)-1,0,1,12),0))/8,"")</f>
        <v/>
      </c>
      <c r="H121" s="92"/>
      <c r="I121" s="88" t="str">
        <f t="shared" ca="1" si="21"/>
        <v/>
      </c>
      <c r="J121" s="89" t="str">
        <f t="shared" ca="1" si="22"/>
        <v/>
      </c>
      <c r="K121" s="90" t="str">
        <f>IFERROR(_xlfn.XLOOKUP(D121,CostTableLookup[Name],CostTableLookup[Gross Cost]),"")</f>
        <v/>
      </c>
      <c r="L121" s="22"/>
      <c r="M121" s="81" t="str">
        <f t="shared" ca="1" si="25"/>
        <v/>
      </c>
      <c r="N121" s="23"/>
      <c r="O121" s="81" t="str">
        <f t="shared" ca="1" si="26"/>
        <v/>
      </c>
      <c r="P121" s="81" t="str">
        <f t="shared" ca="1" si="23"/>
        <v/>
      </c>
      <c r="Q121" s="24" t="str">
        <f t="shared" si="24"/>
        <v/>
      </c>
      <c r="R121" s="110" t="str">
        <f t="shared" ca="1" si="27"/>
        <v/>
      </c>
      <c r="S121" s="114">
        <f t="shared" ref="S121" ca="1" si="89">IFERROR(SUM(OFFSET(Y121,0,MATCH(Forecast_New,$Y$3:$WQ$3,0)-1,1,500))*40,"")</f>
        <v>0</v>
      </c>
      <c r="T121" s="115">
        <f t="shared" ca="1" si="29"/>
        <v>0</v>
      </c>
      <c r="U121" s="116" t="str">
        <f t="shared" ca="1" si="55"/>
        <v/>
      </c>
      <c r="V121" s="99" t="str">
        <f t="shared" ca="1" si="56"/>
        <v/>
      </c>
      <c r="W121" s="100" t="str">
        <f t="shared" ca="1" si="32"/>
        <v/>
      </c>
      <c r="X121" s="83" t="str">
        <f t="shared" ca="1" si="33"/>
        <v/>
      </c>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5"/>
      <c r="EN121" s="25"/>
      <c r="EO121" s="25"/>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5"/>
      <c r="GA121" s="25"/>
      <c r="GB121" s="25"/>
      <c r="GC121" s="25"/>
      <c r="GD121" s="25"/>
      <c r="GE121" s="25"/>
      <c r="GF121" s="25"/>
      <c r="GG121" s="25"/>
      <c r="GH121" s="25"/>
      <c r="GI121" s="25"/>
      <c r="GJ121" s="25"/>
      <c r="GK121" s="25"/>
      <c r="GL121" s="25"/>
      <c r="GM121" s="25"/>
      <c r="GN121" s="25"/>
      <c r="GO121" s="25"/>
      <c r="GP121" s="25"/>
      <c r="GQ121" s="25"/>
      <c r="GR121" s="25"/>
      <c r="GS121" s="25"/>
      <c r="GT121" s="25"/>
      <c r="GU121" s="25"/>
      <c r="GV121" s="25"/>
      <c r="GW121" s="25"/>
      <c r="GX121" s="25"/>
      <c r="GY121" s="25"/>
      <c r="GZ121" s="25"/>
      <c r="HA121" s="25"/>
      <c r="HB121" s="25"/>
      <c r="HC121" s="25"/>
      <c r="HD121" s="25"/>
      <c r="HE121" s="25"/>
      <c r="HF121" s="25"/>
      <c r="HG121" s="25"/>
      <c r="HH121" s="25"/>
      <c r="HI121" s="25"/>
      <c r="HJ121" s="25"/>
      <c r="HK121" s="25"/>
      <c r="HL121" s="25"/>
      <c r="HM121" s="25"/>
      <c r="HN121" s="25"/>
      <c r="HO121" s="25"/>
      <c r="HP121" s="25"/>
      <c r="HQ121" s="25"/>
      <c r="HR121" s="25"/>
      <c r="HS121" s="25"/>
      <c r="HT121" s="25"/>
      <c r="HU121" s="25"/>
      <c r="HV121" s="25"/>
      <c r="HW121" s="25"/>
      <c r="HX121" s="25"/>
      <c r="HY121" s="25"/>
      <c r="HZ121" s="25"/>
      <c r="IA121" s="25"/>
      <c r="IB121" s="25"/>
      <c r="IC121" s="25"/>
      <c r="ID121" s="25"/>
      <c r="IE121" s="25"/>
      <c r="IF121" s="25"/>
      <c r="IG121" s="25"/>
      <c r="IH121" s="25"/>
      <c r="II121" s="25"/>
      <c r="IJ121" s="25"/>
      <c r="IK121" s="25"/>
      <c r="IL121" s="25"/>
      <c r="IM121" s="25"/>
      <c r="IN121" s="25"/>
      <c r="IO121" s="25"/>
      <c r="IP121" s="25"/>
      <c r="IQ121" s="25"/>
      <c r="IR121" s="25"/>
      <c r="IS121" s="25"/>
      <c r="IT121" s="25"/>
      <c r="IU121" s="25"/>
      <c r="IV121" s="25"/>
      <c r="IW121" s="25"/>
      <c r="IX121" s="25"/>
      <c r="IY121" s="25"/>
      <c r="IZ121" s="25"/>
      <c r="JA121" s="25"/>
      <c r="JB121" s="25"/>
      <c r="JC121" s="25"/>
      <c r="JD121" s="25"/>
      <c r="JE121" s="25"/>
      <c r="JF121" s="25"/>
      <c r="JG121" s="25"/>
      <c r="JH121" s="25"/>
      <c r="JI121" s="25"/>
      <c r="JJ121" s="25"/>
      <c r="JK121" s="25"/>
      <c r="JL121" s="25"/>
      <c r="JM121" s="25"/>
      <c r="JN121" s="25"/>
    </row>
    <row r="122" spans="2:274" ht="20.25" customHeight="1" x14ac:dyDescent="0.25">
      <c r="B122" s="20"/>
      <c r="F122" s="21"/>
      <c r="G122" s="86" t="str" cm="1">
        <f t="array" aca="1" ref="G122" ca="1">IFERROR(INDEX(Panel_Rates[[1]:[12]],MATCH(Panel_New&amp;Category_New,Panel_Rates[Panel]&amp;Panel_Rates[Category],0),MATCH('Time Plan HY'!E122,OFFSET(Variable!$AF$2,MATCH(Panel_New&amp;Category_New,Panel_Rates[Panel]&amp;Panel_Rates[Category],0)-1,0,1,12),0))/8,"")</f>
        <v/>
      </c>
      <c r="H122" s="92"/>
      <c r="I122" s="88" t="str">
        <f t="shared" ca="1" si="21"/>
        <v/>
      </c>
      <c r="J122" s="89" t="str">
        <f t="shared" ca="1" si="22"/>
        <v/>
      </c>
      <c r="K122" s="90" t="str">
        <f>IFERROR(_xlfn.XLOOKUP(D122,CostTableLookup[Name],CostTableLookup[Gross Cost]),"")</f>
        <v/>
      </c>
      <c r="L122" s="22"/>
      <c r="M122" s="81" t="str">
        <f t="shared" ca="1" si="25"/>
        <v/>
      </c>
      <c r="N122" s="23"/>
      <c r="O122" s="81" t="str">
        <f t="shared" ca="1" si="26"/>
        <v/>
      </c>
      <c r="P122" s="81" t="str">
        <f t="shared" ca="1" si="23"/>
        <v/>
      </c>
      <c r="Q122" s="24" t="str">
        <f t="shared" si="24"/>
        <v/>
      </c>
      <c r="R122" s="110" t="str">
        <f t="shared" ca="1" si="27"/>
        <v/>
      </c>
      <c r="S122" s="114">
        <f t="shared" ref="S122" ca="1" si="90">IFERROR(SUM(OFFSET(Y122,0,MATCH(Forecast_New,$Y$3:$WQ$3,0)-1,1,500))*40,"")</f>
        <v>0</v>
      </c>
      <c r="T122" s="115">
        <f t="shared" ca="1" si="29"/>
        <v>0</v>
      </c>
      <c r="U122" s="116" t="str">
        <f t="shared" ca="1" si="55"/>
        <v/>
      </c>
      <c r="V122" s="99" t="str">
        <f t="shared" ca="1" si="56"/>
        <v/>
      </c>
      <c r="W122" s="100" t="str">
        <f t="shared" ca="1" si="32"/>
        <v/>
      </c>
      <c r="X122" s="83" t="str">
        <f t="shared" ca="1" si="33"/>
        <v/>
      </c>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A122" s="25"/>
      <c r="GB122" s="25"/>
      <c r="GC122" s="25"/>
      <c r="GD122" s="25"/>
      <c r="GE122" s="25"/>
      <c r="GF122" s="25"/>
      <c r="GG122" s="25"/>
      <c r="GH122" s="25"/>
      <c r="GI122" s="25"/>
      <c r="GJ122" s="25"/>
      <c r="GK122" s="25"/>
      <c r="GL122" s="25"/>
      <c r="GM122" s="25"/>
      <c r="GN122" s="25"/>
      <c r="GO122" s="25"/>
      <c r="GP122" s="25"/>
      <c r="GQ122" s="25"/>
      <c r="GR122" s="25"/>
      <c r="GS122" s="25"/>
      <c r="GT122" s="25"/>
      <c r="GU122" s="25"/>
      <c r="GV122" s="25"/>
      <c r="GW122" s="25"/>
      <c r="GX122" s="25"/>
      <c r="GY122" s="25"/>
      <c r="GZ122" s="25"/>
      <c r="HA122" s="25"/>
      <c r="HB122" s="25"/>
      <c r="HC122" s="25"/>
      <c r="HD122" s="25"/>
      <c r="HE122" s="25"/>
      <c r="HF122" s="25"/>
      <c r="HG122" s="25"/>
      <c r="HH122" s="25"/>
      <c r="HI122" s="25"/>
      <c r="HJ122" s="25"/>
      <c r="HK122" s="25"/>
      <c r="HL122" s="25"/>
      <c r="HM122" s="25"/>
      <c r="HN122" s="25"/>
      <c r="HO122" s="25"/>
      <c r="HP122" s="25"/>
      <c r="HQ122" s="25"/>
      <c r="HR122" s="25"/>
      <c r="HS122" s="25"/>
      <c r="HT122" s="25"/>
      <c r="HU122" s="25"/>
      <c r="HV122" s="25"/>
      <c r="HW122" s="25"/>
      <c r="HX122" s="25"/>
      <c r="HY122" s="25"/>
      <c r="HZ122" s="25"/>
      <c r="IA122" s="25"/>
      <c r="IB122" s="25"/>
      <c r="IC122" s="25"/>
      <c r="ID122" s="25"/>
      <c r="IE122" s="25"/>
      <c r="IF122" s="25"/>
      <c r="IG122" s="25"/>
      <c r="IH122" s="25"/>
      <c r="II122" s="25"/>
      <c r="IJ122" s="25"/>
      <c r="IK122" s="25"/>
      <c r="IL122" s="25"/>
      <c r="IM122" s="25"/>
      <c r="IN122" s="25"/>
      <c r="IO122" s="25"/>
      <c r="IP122" s="25"/>
      <c r="IQ122" s="25"/>
      <c r="IR122" s="25"/>
      <c r="IS122" s="25"/>
      <c r="IT122" s="25"/>
      <c r="IU122" s="25"/>
      <c r="IV122" s="25"/>
      <c r="IW122" s="25"/>
      <c r="IX122" s="25"/>
      <c r="IY122" s="25"/>
      <c r="IZ122" s="25"/>
      <c r="JA122" s="25"/>
      <c r="JB122" s="25"/>
      <c r="JC122" s="25"/>
      <c r="JD122" s="25"/>
      <c r="JE122" s="25"/>
      <c r="JF122" s="25"/>
      <c r="JG122" s="25"/>
      <c r="JH122" s="25"/>
      <c r="JI122" s="25"/>
      <c r="JJ122" s="25"/>
      <c r="JK122" s="25"/>
      <c r="JL122" s="25"/>
      <c r="JM122" s="25"/>
      <c r="JN122" s="25"/>
    </row>
    <row r="123" spans="2:274" ht="20.25" customHeight="1" x14ac:dyDescent="0.25">
      <c r="B123" s="20"/>
      <c r="F123" s="21"/>
      <c r="G123" s="86" t="str" cm="1">
        <f t="array" aca="1" ref="G123" ca="1">IFERROR(INDEX(Panel_Rates[[1]:[12]],MATCH(Panel_New&amp;Category_New,Panel_Rates[Panel]&amp;Panel_Rates[Category],0),MATCH('Time Plan HY'!E123,OFFSET(Variable!$AF$2,MATCH(Panel_New&amp;Category_New,Panel_Rates[Panel]&amp;Panel_Rates[Category],0)-1,0,1,12),0))/8,"")</f>
        <v/>
      </c>
      <c r="H123" s="92"/>
      <c r="I123" s="88" t="str">
        <f t="shared" ca="1" si="21"/>
        <v/>
      </c>
      <c r="J123" s="89" t="str">
        <f t="shared" ca="1" si="22"/>
        <v/>
      </c>
      <c r="K123" s="90" t="str">
        <f>IFERROR(_xlfn.XLOOKUP(D123,CostTableLookup[Name],CostTableLookup[Gross Cost]),"")</f>
        <v/>
      </c>
      <c r="L123" s="22"/>
      <c r="M123" s="81" t="str">
        <f t="shared" ca="1" si="25"/>
        <v/>
      </c>
      <c r="N123" s="23"/>
      <c r="O123" s="81" t="str">
        <f t="shared" ca="1" si="26"/>
        <v/>
      </c>
      <c r="P123" s="81" t="str">
        <f t="shared" ca="1" si="23"/>
        <v/>
      </c>
      <c r="Q123" s="24" t="str">
        <f t="shared" si="24"/>
        <v/>
      </c>
      <c r="R123" s="110" t="str">
        <f t="shared" ca="1" si="27"/>
        <v/>
      </c>
      <c r="S123" s="114">
        <f t="shared" ref="S123" ca="1" si="91">IFERROR(SUM(OFFSET(Y123,0,MATCH(Forecast_New,$Y$3:$WQ$3,0)-1,1,500))*40,"")</f>
        <v>0</v>
      </c>
      <c r="T123" s="115">
        <f t="shared" ca="1" si="29"/>
        <v>0</v>
      </c>
      <c r="U123" s="116" t="str">
        <f t="shared" ca="1" si="55"/>
        <v/>
      </c>
      <c r="V123" s="99" t="str">
        <f t="shared" ca="1" si="56"/>
        <v/>
      </c>
      <c r="W123" s="100" t="str">
        <f t="shared" ca="1" si="32"/>
        <v/>
      </c>
      <c r="X123" s="83" t="str">
        <f t="shared" ca="1" si="33"/>
        <v/>
      </c>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A123" s="25"/>
      <c r="GB123" s="25"/>
      <c r="GC123" s="25"/>
      <c r="GD123" s="25"/>
      <c r="GE123" s="25"/>
      <c r="GF123" s="25"/>
      <c r="GG123" s="25"/>
      <c r="GH123" s="25"/>
      <c r="GI123" s="25"/>
      <c r="GJ123" s="25"/>
      <c r="GK123" s="25"/>
      <c r="GL123" s="25"/>
      <c r="GM123" s="25"/>
      <c r="GN123" s="25"/>
      <c r="GO123" s="25"/>
      <c r="GP123" s="25"/>
      <c r="GQ123" s="25"/>
      <c r="GR123" s="25"/>
      <c r="GS123" s="25"/>
      <c r="GT123" s="25"/>
      <c r="GU123" s="25"/>
      <c r="GV123" s="25"/>
      <c r="GW123" s="25"/>
      <c r="GX123" s="25"/>
      <c r="GY123" s="25"/>
      <c r="GZ123" s="25"/>
      <c r="HA123" s="25"/>
      <c r="HB123" s="25"/>
      <c r="HC123" s="25"/>
      <c r="HD123" s="25"/>
      <c r="HE123" s="25"/>
      <c r="HF123" s="25"/>
      <c r="HG123" s="25"/>
      <c r="HH123" s="25"/>
      <c r="HI123" s="25"/>
      <c r="HJ123" s="25"/>
      <c r="HK123" s="25"/>
      <c r="HL123" s="25"/>
      <c r="HM123" s="25"/>
      <c r="HN123" s="25"/>
      <c r="HO123" s="25"/>
      <c r="HP123" s="25"/>
      <c r="HQ123" s="25"/>
      <c r="HR123" s="25"/>
      <c r="HS123" s="25"/>
      <c r="HT123" s="25"/>
      <c r="HU123" s="25"/>
      <c r="HV123" s="25"/>
      <c r="HW123" s="25"/>
      <c r="HX123" s="25"/>
      <c r="HY123" s="25"/>
      <c r="HZ123" s="25"/>
      <c r="IA123" s="25"/>
      <c r="IB123" s="25"/>
      <c r="IC123" s="25"/>
      <c r="ID123" s="25"/>
      <c r="IE123" s="25"/>
      <c r="IF123" s="25"/>
      <c r="IG123" s="25"/>
      <c r="IH123" s="25"/>
      <c r="II123" s="25"/>
      <c r="IJ123" s="25"/>
      <c r="IK123" s="25"/>
      <c r="IL123" s="25"/>
      <c r="IM123" s="25"/>
      <c r="IN123" s="25"/>
      <c r="IO123" s="25"/>
      <c r="IP123" s="25"/>
      <c r="IQ123" s="25"/>
      <c r="IR123" s="25"/>
      <c r="IS123" s="25"/>
      <c r="IT123" s="25"/>
      <c r="IU123" s="25"/>
      <c r="IV123" s="25"/>
      <c r="IW123" s="25"/>
      <c r="IX123" s="25"/>
      <c r="IY123" s="25"/>
      <c r="IZ123" s="25"/>
      <c r="JA123" s="25"/>
      <c r="JB123" s="25"/>
      <c r="JC123" s="25"/>
      <c r="JD123" s="25"/>
      <c r="JE123" s="25"/>
      <c r="JF123" s="25"/>
      <c r="JG123" s="25"/>
      <c r="JH123" s="25"/>
      <c r="JI123" s="25"/>
      <c r="JJ123" s="25"/>
      <c r="JK123" s="25"/>
      <c r="JL123" s="25"/>
      <c r="JM123" s="25"/>
      <c r="JN123" s="25"/>
    </row>
    <row r="124" spans="2:274" ht="20.25" customHeight="1" x14ac:dyDescent="0.25">
      <c r="B124" s="20"/>
      <c r="F124" s="21"/>
      <c r="G124" s="86" t="str" cm="1">
        <f t="array" aca="1" ref="G124" ca="1">IFERROR(INDEX(Panel_Rates[[1]:[12]],MATCH(Panel_New&amp;Category_New,Panel_Rates[Panel]&amp;Panel_Rates[Category],0),MATCH('Time Plan HY'!E124,OFFSET(Variable!$AF$2,MATCH(Panel_New&amp;Category_New,Panel_Rates[Panel]&amp;Panel_Rates[Category],0)-1,0,1,12),0))/8,"")</f>
        <v/>
      </c>
      <c r="H124" s="92"/>
      <c r="I124" s="88" t="str">
        <f t="shared" ca="1" si="21"/>
        <v/>
      </c>
      <c r="J124" s="89" t="str">
        <f t="shared" ca="1" si="22"/>
        <v/>
      </c>
      <c r="K124" s="90" t="str">
        <f>IFERROR(_xlfn.XLOOKUP(D124,CostTableLookup[Name],CostTableLookup[Gross Cost]),"")</f>
        <v/>
      </c>
      <c r="L124" s="22"/>
      <c r="M124" s="81" t="str">
        <f t="shared" ca="1" si="25"/>
        <v/>
      </c>
      <c r="N124" s="23"/>
      <c r="O124" s="81" t="str">
        <f t="shared" ca="1" si="26"/>
        <v/>
      </c>
      <c r="P124" s="81" t="str">
        <f t="shared" ca="1" si="23"/>
        <v/>
      </c>
      <c r="Q124" s="24" t="str">
        <f t="shared" si="24"/>
        <v/>
      </c>
      <c r="R124" s="110" t="str">
        <f t="shared" ca="1" si="27"/>
        <v/>
      </c>
      <c r="S124" s="114">
        <f t="shared" ref="S124" ca="1" si="92">IFERROR(SUM(OFFSET(Y124,0,MATCH(Forecast_New,$Y$3:$WQ$3,0)-1,1,500))*40,"")</f>
        <v>0</v>
      </c>
      <c r="T124" s="115">
        <f t="shared" ca="1" si="29"/>
        <v>0</v>
      </c>
      <c r="U124" s="116" t="str">
        <f t="shared" ca="1" si="55"/>
        <v/>
      </c>
      <c r="V124" s="99" t="str">
        <f t="shared" ca="1" si="56"/>
        <v/>
      </c>
      <c r="W124" s="100" t="str">
        <f t="shared" ca="1" si="32"/>
        <v/>
      </c>
      <c r="X124" s="83" t="str">
        <f t="shared" ca="1" si="33"/>
        <v/>
      </c>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A124" s="25"/>
      <c r="GB124" s="25"/>
      <c r="GC124" s="25"/>
      <c r="GD124" s="25"/>
      <c r="GE124" s="25"/>
      <c r="GF124" s="25"/>
      <c r="GG124" s="25"/>
      <c r="GH124" s="25"/>
      <c r="GI124" s="25"/>
      <c r="GJ124" s="25"/>
      <c r="GK124" s="25"/>
      <c r="GL124" s="25"/>
      <c r="GM124" s="25"/>
      <c r="GN124" s="25"/>
      <c r="GO124" s="25"/>
      <c r="GP124" s="25"/>
      <c r="GQ124" s="25"/>
      <c r="GR124" s="25"/>
      <c r="GS124" s="25"/>
      <c r="GT124" s="25"/>
      <c r="GU124" s="25"/>
      <c r="GV124" s="25"/>
      <c r="GW124" s="25"/>
      <c r="GX124" s="25"/>
      <c r="GY124" s="25"/>
      <c r="GZ124" s="25"/>
      <c r="HA124" s="25"/>
      <c r="HB124" s="25"/>
      <c r="HC124" s="25"/>
      <c r="HD124" s="25"/>
      <c r="HE124" s="25"/>
      <c r="HF124" s="25"/>
      <c r="HG124" s="25"/>
      <c r="HH124" s="25"/>
      <c r="HI124" s="25"/>
      <c r="HJ124" s="25"/>
      <c r="HK124" s="25"/>
      <c r="HL124" s="25"/>
      <c r="HM124" s="25"/>
      <c r="HN124" s="25"/>
      <c r="HO124" s="25"/>
      <c r="HP124" s="25"/>
      <c r="HQ124" s="25"/>
      <c r="HR124" s="25"/>
      <c r="HS124" s="25"/>
      <c r="HT124" s="25"/>
      <c r="HU124" s="25"/>
      <c r="HV124" s="25"/>
      <c r="HW124" s="25"/>
      <c r="HX124" s="25"/>
      <c r="HY124" s="25"/>
      <c r="HZ124" s="25"/>
      <c r="IA124" s="25"/>
      <c r="IB124" s="25"/>
      <c r="IC124" s="25"/>
      <c r="ID124" s="25"/>
      <c r="IE124" s="25"/>
      <c r="IF124" s="25"/>
      <c r="IG124" s="25"/>
      <c r="IH124" s="25"/>
      <c r="II124" s="25"/>
      <c r="IJ124" s="25"/>
      <c r="IK124" s="25"/>
      <c r="IL124" s="25"/>
      <c r="IM124" s="25"/>
      <c r="IN124" s="25"/>
      <c r="IO124" s="25"/>
      <c r="IP124" s="25"/>
      <c r="IQ124" s="25"/>
      <c r="IR124" s="25"/>
      <c r="IS124" s="25"/>
      <c r="IT124" s="25"/>
      <c r="IU124" s="25"/>
      <c r="IV124" s="25"/>
      <c r="IW124" s="25"/>
      <c r="IX124" s="25"/>
      <c r="IY124" s="25"/>
      <c r="IZ124" s="25"/>
      <c r="JA124" s="25"/>
      <c r="JB124" s="25"/>
      <c r="JC124" s="25"/>
      <c r="JD124" s="25"/>
      <c r="JE124" s="25"/>
      <c r="JF124" s="25"/>
      <c r="JG124" s="25"/>
      <c r="JH124" s="25"/>
      <c r="JI124" s="25"/>
      <c r="JJ124" s="25"/>
      <c r="JK124" s="25"/>
      <c r="JL124" s="25"/>
      <c r="JM124" s="25"/>
      <c r="JN124" s="25"/>
    </row>
    <row r="125" spans="2:274" ht="20.25" customHeight="1" x14ac:dyDescent="0.25">
      <c r="B125" s="20"/>
      <c r="F125" s="21"/>
      <c r="G125" s="86" t="str" cm="1">
        <f t="array" aca="1" ref="G125" ca="1">IFERROR(INDEX(Panel_Rates[[1]:[12]],MATCH(Panel_New&amp;Category_New,Panel_Rates[Panel]&amp;Panel_Rates[Category],0),MATCH('Time Plan HY'!E125,OFFSET(Variable!$AF$2,MATCH(Panel_New&amp;Category_New,Panel_Rates[Panel]&amp;Panel_Rates[Category],0)-1,0,1,12),0))/8,"")</f>
        <v/>
      </c>
      <c r="H125" s="92"/>
      <c r="I125" s="88" t="str">
        <f t="shared" ref="I125:I188" ca="1" si="93">IFERROR(G125*(1-H125),"")</f>
        <v/>
      </c>
      <c r="J125" s="89" t="str">
        <f t="shared" ref="J125:J188" ca="1" si="94">IFERROR(G125*8,"")</f>
        <v/>
      </c>
      <c r="K125" s="90" t="str">
        <f>IFERROR(_xlfn.XLOOKUP(D125,CostTableLookup[Name],CostTableLookup[Gross Cost]),"")</f>
        <v/>
      </c>
      <c r="L125" s="22"/>
      <c r="M125" s="81" t="str">
        <f t="shared" ca="1" si="25"/>
        <v/>
      </c>
      <c r="N125" s="23"/>
      <c r="O125" s="81" t="str">
        <f t="shared" ca="1" si="26"/>
        <v/>
      </c>
      <c r="P125" s="81" t="str">
        <f t="shared" ref="P125:P188" ca="1" si="95">IFERROR(M125-O125,"")</f>
        <v/>
      </c>
      <c r="Q125" s="24" t="str">
        <f t="shared" ref="Q125:Q188" si="96">IFERROR(N125*K125,"")</f>
        <v/>
      </c>
      <c r="R125" s="110" t="str">
        <f t="shared" ca="1" si="27"/>
        <v/>
      </c>
      <c r="S125" s="114">
        <f t="shared" ref="S125" ca="1" si="97">IFERROR(SUM(OFFSET(Y125,0,MATCH(Forecast_New,$Y$3:$WQ$3,0)-1,1,500))*40,"")</f>
        <v>0</v>
      </c>
      <c r="T125" s="115">
        <f t="shared" ca="1" si="29"/>
        <v>0</v>
      </c>
      <c r="U125" s="116" t="str">
        <f t="shared" ca="1" si="55"/>
        <v/>
      </c>
      <c r="V125" s="99" t="str">
        <f t="shared" ca="1" si="56"/>
        <v/>
      </c>
      <c r="W125" s="100" t="str">
        <f t="shared" ca="1" si="32"/>
        <v/>
      </c>
      <c r="X125" s="83" t="str">
        <f t="shared" ca="1" si="33"/>
        <v/>
      </c>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A125" s="25"/>
      <c r="GB125" s="25"/>
      <c r="GC125" s="25"/>
      <c r="GD125" s="25"/>
      <c r="GE125" s="25"/>
      <c r="GF125" s="25"/>
      <c r="GG125" s="25"/>
      <c r="GH125" s="25"/>
      <c r="GI125" s="25"/>
      <c r="GJ125" s="25"/>
      <c r="GK125" s="25"/>
      <c r="GL125" s="25"/>
      <c r="GM125" s="25"/>
      <c r="GN125" s="25"/>
      <c r="GO125" s="25"/>
      <c r="GP125" s="25"/>
      <c r="GQ125" s="25"/>
      <c r="GR125" s="25"/>
      <c r="GS125" s="25"/>
      <c r="GT125" s="25"/>
      <c r="GU125" s="25"/>
      <c r="GV125" s="25"/>
      <c r="GW125" s="25"/>
      <c r="GX125" s="25"/>
      <c r="GY125" s="25"/>
      <c r="GZ125" s="25"/>
      <c r="HA125" s="25"/>
      <c r="HB125" s="25"/>
      <c r="HC125" s="25"/>
      <c r="HD125" s="25"/>
      <c r="HE125" s="25"/>
      <c r="HF125" s="25"/>
      <c r="HG125" s="25"/>
      <c r="HH125" s="25"/>
      <c r="HI125" s="25"/>
      <c r="HJ125" s="25"/>
      <c r="HK125" s="25"/>
      <c r="HL125" s="25"/>
      <c r="HM125" s="25"/>
      <c r="HN125" s="25"/>
      <c r="HO125" s="25"/>
      <c r="HP125" s="25"/>
      <c r="HQ125" s="25"/>
      <c r="HR125" s="25"/>
      <c r="HS125" s="25"/>
      <c r="HT125" s="25"/>
      <c r="HU125" s="25"/>
      <c r="HV125" s="25"/>
      <c r="HW125" s="25"/>
      <c r="HX125" s="25"/>
      <c r="HY125" s="25"/>
      <c r="HZ125" s="25"/>
      <c r="IA125" s="25"/>
      <c r="IB125" s="25"/>
      <c r="IC125" s="25"/>
      <c r="ID125" s="25"/>
      <c r="IE125" s="25"/>
      <c r="IF125" s="25"/>
      <c r="IG125" s="25"/>
      <c r="IH125" s="25"/>
      <c r="II125" s="25"/>
      <c r="IJ125" s="25"/>
      <c r="IK125" s="25"/>
      <c r="IL125" s="25"/>
      <c r="IM125" s="25"/>
      <c r="IN125" s="25"/>
      <c r="IO125" s="25"/>
      <c r="IP125" s="25"/>
      <c r="IQ125" s="25"/>
      <c r="IR125" s="25"/>
      <c r="IS125" s="25"/>
      <c r="IT125" s="25"/>
      <c r="IU125" s="25"/>
      <c r="IV125" s="25"/>
      <c r="IW125" s="25"/>
      <c r="IX125" s="25"/>
      <c r="IY125" s="25"/>
      <c r="IZ125" s="25"/>
      <c r="JA125" s="25"/>
      <c r="JB125" s="25"/>
      <c r="JC125" s="25"/>
      <c r="JD125" s="25"/>
      <c r="JE125" s="25"/>
      <c r="JF125" s="25"/>
      <c r="JG125" s="25"/>
      <c r="JH125" s="25"/>
      <c r="JI125" s="25"/>
      <c r="JJ125" s="25"/>
      <c r="JK125" s="25"/>
      <c r="JL125" s="25"/>
      <c r="JM125" s="25"/>
      <c r="JN125" s="25"/>
    </row>
    <row r="126" spans="2:274" ht="20.25" customHeight="1" x14ac:dyDescent="0.25">
      <c r="B126" s="20"/>
      <c r="F126" s="21"/>
      <c r="G126" s="86" t="str" cm="1">
        <f t="array" aca="1" ref="G126" ca="1">IFERROR(INDEX(Panel_Rates[[1]:[12]],MATCH(Panel_New&amp;Category_New,Panel_Rates[Panel]&amp;Panel_Rates[Category],0),MATCH('Time Plan HY'!E126,OFFSET(Variable!$AF$2,MATCH(Panel_New&amp;Category_New,Panel_Rates[Panel]&amp;Panel_Rates[Category],0)-1,0,1,12),0))/8,"")</f>
        <v/>
      </c>
      <c r="H126" s="92"/>
      <c r="I126" s="88" t="str">
        <f t="shared" ca="1" si="93"/>
        <v/>
      </c>
      <c r="J126" s="89" t="str">
        <f t="shared" ca="1" si="94"/>
        <v/>
      </c>
      <c r="K126" s="90" t="str">
        <f>IFERROR(_xlfn.XLOOKUP(D126,CostTableLookup[Name],CostTableLookup[Gross Cost]),"")</f>
        <v/>
      </c>
      <c r="L126" s="22"/>
      <c r="M126" s="81" t="str">
        <f t="shared" ca="1" si="25"/>
        <v/>
      </c>
      <c r="N126" s="23"/>
      <c r="O126" s="81" t="str">
        <f t="shared" ca="1" si="26"/>
        <v/>
      </c>
      <c r="P126" s="81" t="str">
        <f t="shared" ca="1" si="95"/>
        <v/>
      </c>
      <c r="Q126" s="24" t="str">
        <f t="shared" si="96"/>
        <v/>
      </c>
      <c r="R126" s="110" t="str">
        <f t="shared" ca="1" si="27"/>
        <v/>
      </c>
      <c r="S126" s="114">
        <f t="shared" ref="S126" ca="1" si="98">IFERROR(SUM(OFFSET(Y126,0,MATCH(Forecast_New,$Y$3:$WQ$3,0)-1,1,500))*40,"")</f>
        <v>0</v>
      </c>
      <c r="T126" s="115">
        <f t="shared" ca="1" si="29"/>
        <v>0</v>
      </c>
      <c r="U126" s="116" t="str">
        <f t="shared" ca="1" si="55"/>
        <v/>
      </c>
      <c r="V126" s="99" t="str">
        <f t="shared" ca="1" si="56"/>
        <v/>
      </c>
      <c r="W126" s="100" t="str">
        <f t="shared" ca="1" si="32"/>
        <v/>
      </c>
      <c r="X126" s="83" t="str">
        <f t="shared" ca="1" si="33"/>
        <v/>
      </c>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A126" s="25"/>
      <c r="GB126" s="25"/>
      <c r="GC126" s="25"/>
      <c r="GD126" s="25"/>
      <c r="GE126" s="25"/>
      <c r="GF126" s="25"/>
      <c r="GG126" s="25"/>
      <c r="GH126" s="25"/>
      <c r="GI126" s="25"/>
      <c r="GJ126" s="25"/>
      <c r="GK126" s="25"/>
      <c r="GL126" s="25"/>
      <c r="GM126" s="25"/>
      <c r="GN126" s="25"/>
      <c r="GO126" s="25"/>
      <c r="GP126" s="25"/>
      <c r="GQ126" s="25"/>
      <c r="GR126" s="25"/>
      <c r="GS126" s="25"/>
      <c r="GT126" s="25"/>
      <c r="GU126" s="25"/>
      <c r="GV126" s="25"/>
      <c r="GW126" s="25"/>
      <c r="GX126" s="25"/>
      <c r="GY126" s="25"/>
      <c r="GZ126" s="25"/>
      <c r="HA126" s="25"/>
      <c r="HB126" s="25"/>
      <c r="HC126" s="25"/>
      <c r="HD126" s="25"/>
      <c r="HE126" s="25"/>
      <c r="HF126" s="25"/>
      <c r="HG126" s="25"/>
      <c r="HH126" s="25"/>
      <c r="HI126" s="25"/>
      <c r="HJ126" s="25"/>
      <c r="HK126" s="25"/>
      <c r="HL126" s="25"/>
      <c r="HM126" s="25"/>
      <c r="HN126" s="25"/>
      <c r="HO126" s="25"/>
      <c r="HP126" s="25"/>
      <c r="HQ126" s="25"/>
      <c r="HR126" s="25"/>
      <c r="HS126" s="25"/>
      <c r="HT126" s="25"/>
      <c r="HU126" s="25"/>
      <c r="HV126" s="25"/>
      <c r="HW126" s="25"/>
      <c r="HX126" s="25"/>
      <c r="HY126" s="25"/>
      <c r="HZ126" s="25"/>
      <c r="IA126" s="25"/>
      <c r="IB126" s="25"/>
      <c r="IC126" s="25"/>
      <c r="ID126" s="25"/>
      <c r="IE126" s="25"/>
      <c r="IF126" s="25"/>
      <c r="IG126" s="25"/>
      <c r="IH126" s="25"/>
      <c r="II126" s="25"/>
      <c r="IJ126" s="25"/>
      <c r="IK126" s="25"/>
      <c r="IL126" s="25"/>
      <c r="IM126" s="25"/>
      <c r="IN126" s="25"/>
      <c r="IO126" s="25"/>
      <c r="IP126" s="25"/>
      <c r="IQ126" s="25"/>
      <c r="IR126" s="25"/>
      <c r="IS126" s="25"/>
      <c r="IT126" s="25"/>
      <c r="IU126" s="25"/>
      <c r="IV126" s="25"/>
      <c r="IW126" s="25"/>
      <c r="IX126" s="25"/>
      <c r="IY126" s="25"/>
      <c r="IZ126" s="25"/>
      <c r="JA126" s="25"/>
      <c r="JB126" s="25"/>
      <c r="JC126" s="25"/>
      <c r="JD126" s="25"/>
      <c r="JE126" s="25"/>
      <c r="JF126" s="25"/>
      <c r="JG126" s="25"/>
      <c r="JH126" s="25"/>
      <c r="JI126" s="25"/>
      <c r="JJ126" s="25"/>
      <c r="JK126" s="25"/>
      <c r="JL126" s="25"/>
      <c r="JM126" s="25"/>
      <c r="JN126" s="25"/>
    </row>
    <row r="127" spans="2:274" ht="20.25" customHeight="1" x14ac:dyDescent="0.25">
      <c r="B127" s="20"/>
      <c r="F127" s="21"/>
      <c r="G127" s="86" t="str" cm="1">
        <f t="array" aca="1" ref="G127" ca="1">IFERROR(INDEX(Panel_Rates[[1]:[12]],MATCH(Panel_New&amp;Category_New,Panel_Rates[Panel]&amp;Panel_Rates[Category],0),MATCH('Time Plan HY'!E127,OFFSET(Variable!$AF$2,MATCH(Panel_New&amp;Category_New,Panel_Rates[Panel]&amp;Panel_Rates[Category],0)-1,0,1,12),0))/8,"")</f>
        <v/>
      </c>
      <c r="H127" s="92"/>
      <c r="I127" s="88" t="str">
        <f t="shared" ca="1" si="93"/>
        <v/>
      </c>
      <c r="J127" s="89" t="str">
        <f t="shared" ca="1" si="94"/>
        <v/>
      </c>
      <c r="K127" s="90" t="str">
        <f>IFERROR(_xlfn.XLOOKUP(D127,CostTableLookup[Name],CostTableLookup[Gross Cost]),"")</f>
        <v/>
      </c>
      <c r="L127" s="22"/>
      <c r="M127" s="81" t="str">
        <f t="shared" ref="M127:M190" ca="1" si="99">IFERROR(L127*I127,"")</f>
        <v/>
      </c>
      <c r="N127" s="23"/>
      <c r="O127" s="81" t="str">
        <f t="shared" ref="O127:O190" ca="1" si="100">IFERROR(N127*I127,"")</f>
        <v/>
      </c>
      <c r="P127" s="81" t="str">
        <f t="shared" ca="1" si="95"/>
        <v/>
      </c>
      <c r="Q127" s="24" t="str">
        <f t="shared" si="96"/>
        <v/>
      </c>
      <c r="R127" s="110" t="str">
        <f t="shared" ref="R127:R190" ca="1" si="101">IFERROR(((U127+O127)-(V127+Q127))/(U127+O127),"")</f>
        <v/>
      </c>
      <c r="S127" s="114">
        <f t="shared" ref="S127" ca="1" si="102">IFERROR(SUM(OFFSET(Y127,0,MATCH(Forecast_New,$Y$3:$WQ$3,0)-1,1,500))*40,"")</f>
        <v>0</v>
      </c>
      <c r="T127" s="115">
        <f t="shared" ref="T127:T190" ca="1" si="103">IFERROR(S127/8,"")</f>
        <v>0</v>
      </c>
      <c r="U127" s="116" t="str">
        <f t="shared" ca="1" si="55"/>
        <v/>
      </c>
      <c r="V127" s="99" t="str">
        <f t="shared" ca="1" si="56"/>
        <v/>
      </c>
      <c r="W127" s="100" t="str">
        <f t="shared" ref="W127:W190" ca="1" si="104">IFERROR(M127-(O127+U127),"")</f>
        <v/>
      </c>
      <c r="X127" s="83" t="str">
        <f t="shared" ref="X127:X190" ca="1" si="105">IFERROR(W127/M127,"")</f>
        <v/>
      </c>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A127" s="25"/>
      <c r="GB127" s="25"/>
      <c r="GC127" s="25"/>
      <c r="GD127" s="25"/>
      <c r="GE127" s="25"/>
      <c r="GF127" s="25"/>
      <c r="GG127" s="25"/>
      <c r="GH127" s="25"/>
      <c r="GI127" s="25"/>
      <c r="GJ127" s="25"/>
      <c r="GK127" s="25"/>
      <c r="GL127" s="25"/>
      <c r="GM127" s="25"/>
      <c r="GN127" s="25"/>
      <c r="GO127" s="25"/>
      <c r="GP127" s="25"/>
      <c r="GQ127" s="25"/>
      <c r="GR127" s="25"/>
      <c r="GS127" s="25"/>
      <c r="GT127" s="25"/>
      <c r="GU127" s="25"/>
      <c r="GV127" s="25"/>
      <c r="GW127" s="25"/>
      <c r="GX127" s="25"/>
      <c r="GY127" s="25"/>
      <c r="GZ127" s="25"/>
      <c r="HA127" s="25"/>
      <c r="HB127" s="25"/>
      <c r="HC127" s="25"/>
      <c r="HD127" s="25"/>
      <c r="HE127" s="25"/>
      <c r="HF127" s="25"/>
      <c r="HG127" s="25"/>
      <c r="HH127" s="25"/>
      <c r="HI127" s="25"/>
      <c r="HJ127" s="25"/>
      <c r="HK127" s="25"/>
      <c r="HL127" s="25"/>
      <c r="HM127" s="25"/>
      <c r="HN127" s="25"/>
      <c r="HO127" s="25"/>
      <c r="HP127" s="25"/>
      <c r="HQ127" s="25"/>
      <c r="HR127" s="25"/>
      <c r="HS127" s="25"/>
      <c r="HT127" s="25"/>
      <c r="HU127" s="25"/>
      <c r="HV127" s="25"/>
      <c r="HW127" s="25"/>
      <c r="HX127" s="25"/>
      <c r="HY127" s="25"/>
      <c r="HZ127" s="25"/>
      <c r="IA127" s="25"/>
      <c r="IB127" s="25"/>
      <c r="IC127" s="25"/>
      <c r="ID127" s="25"/>
      <c r="IE127" s="25"/>
      <c r="IF127" s="25"/>
      <c r="IG127" s="25"/>
      <c r="IH127" s="25"/>
      <c r="II127" s="25"/>
      <c r="IJ127" s="25"/>
      <c r="IK127" s="25"/>
      <c r="IL127" s="25"/>
      <c r="IM127" s="25"/>
      <c r="IN127" s="25"/>
      <c r="IO127" s="25"/>
      <c r="IP127" s="25"/>
      <c r="IQ127" s="25"/>
      <c r="IR127" s="25"/>
      <c r="IS127" s="25"/>
      <c r="IT127" s="25"/>
      <c r="IU127" s="25"/>
      <c r="IV127" s="25"/>
      <c r="IW127" s="25"/>
      <c r="IX127" s="25"/>
      <c r="IY127" s="25"/>
      <c r="IZ127" s="25"/>
      <c r="JA127" s="25"/>
      <c r="JB127" s="25"/>
      <c r="JC127" s="25"/>
      <c r="JD127" s="25"/>
      <c r="JE127" s="25"/>
      <c r="JF127" s="25"/>
      <c r="JG127" s="25"/>
      <c r="JH127" s="25"/>
      <c r="JI127" s="25"/>
      <c r="JJ127" s="25"/>
      <c r="JK127" s="25"/>
      <c r="JL127" s="25"/>
      <c r="JM127" s="25"/>
      <c r="JN127" s="25"/>
    </row>
    <row r="128" spans="2:274" ht="20.25" customHeight="1" x14ac:dyDescent="0.25">
      <c r="B128" s="20"/>
      <c r="F128" s="21"/>
      <c r="G128" s="86" t="str" cm="1">
        <f t="array" aca="1" ref="G128" ca="1">IFERROR(INDEX(Panel_Rates[[1]:[12]],MATCH(Panel_New&amp;Category_New,Panel_Rates[Panel]&amp;Panel_Rates[Category],0),MATCH('Time Plan HY'!E128,OFFSET(Variable!$AF$2,MATCH(Panel_New&amp;Category_New,Panel_Rates[Panel]&amp;Panel_Rates[Category],0)-1,0,1,12),0))/8,"")</f>
        <v/>
      </c>
      <c r="H128" s="92"/>
      <c r="I128" s="88" t="str">
        <f t="shared" ca="1" si="93"/>
        <v/>
      </c>
      <c r="J128" s="89" t="str">
        <f t="shared" ca="1" si="94"/>
        <v/>
      </c>
      <c r="K128" s="90" t="str">
        <f>IFERROR(_xlfn.XLOOKUP(D128,CostTableLookup[Name],CostTableLookup[Gross Cost]),"")</f>
        <v/>
      </c>
      <c r="L128" s="22"/>
      <c r="M128" s="81" t="str">
        <f t="shared" ca="1" si="99"/>
        <v/>
      </c>
      <c r="N128" s="23"/>
      <c r="O128" s="81" t="str">
        <f t="shared" ca="1" si="100"/>
        <v/>
      </c>
      <c r="P128" s="81" t="str">
        <f t="shared" ca="1" si="95"/>
        <v/>
      </c>
      <c r="Q128" s="24" t="str">
        <f t="shared" si="96"/>
        <v/>
      </c>
      <c r="R128" s="110" t="str">
        <f t="shared" ca="1" si="101"/>
        <v/>
      </c>
      <c r="S128" s="114">
        <f t="shared" ref="S128" ca="1" si="106">IFERROR(SUM(OFFSET(Y128,0,MATCH(Forecast_New,$Y$3:$WQ$3,0)-1,1,500))*40,"")</f>
        <v>0</v>
      </c>
      <c r="T128" s="115">
        <f t="shared" ca="1" si="103"/>
        <v>0</v>
      </c>
      <c r="U128" s="116" t="str">
        <f t="shared" ca="1" si="55"/>
        <v/>
      </c>
      <c r="V128" s="99" t="str">
        <f t="shared" ca="1" si="56"/>
        <v/>
      </c>
      <c r="W128" s="100" t="str">
        <f t="shared" ca="1" si="104"/>
        <v/>
      </c>
      <c r="X128" s="83" t="str">
        <f t="shared" ca="1" si="105"/>
        <v/>
      </c>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5"/>
      <c r="GA128" s="25"/>
      <c r="GB128" s="25"/>
      <c r="GC128" s="25"/>
      <c r="GD128" s="25"/>
      <c r="GE128" s="25"/>
      <c r="GF128" s="25"/>
      <c r="GG128" s="25"/>
      <c r="GH128" s="25"/>
      <c r="GI128" s="25"/>
      <c r="GJ128" s="25"/>
      <c r="GK128" s="25"/>
      <c r="GL128" s="25"/>
      <c r="GM128" s="25"/>
      <c r="GN128" s="25"/>
      <c r="GO128" s="25"/>
      <c r="GP128" s="25"/>
      <c r="GQ128" s="25"/>
      <c r="GR128" s="25"/>
      <c r="GS128" s="25"/>
      <c r="GT128" s="25"/>
      <c r="GU128" s="25"/>
      <c r="GV128" s="25"/>
      <c r="GW128" s="25"/>
      <c r="GX128" s="25"/>
      <c r="GY128" s="25"/>
      <c r="GZ128" s="25"/>
      <c r="HA128" s="25"/>
      <c r="HB128" s="25"/>
      <c r="HC128" s="25"/>
      <c r="HD128" s="25"/>
      <c r="HE128" s="25"/>
      <c r="HF128" s="25"/>
      <c r="HG128" s="25"/>
      <c r="HH128" s="25"/>
      <c r="HI128" s="25"/>
      <c r="HJ128" s="25"/>
      <c r="HK128" s="25"/>
      <c r="HL128" s="25"/>
      <c r="HM128" s="25"/>
      <c r="HN128" s="25"/>
      <c r="HO128" s="25"/>
      <c r="HP128" s="25"/>
      <c r="HQ128" s="25"/>
      <c r="HR128" s="25"/>
      <c r="HS128" s="25"/>
      <c r="HT128" s="25"/>
      <c r="HU128" s="25"/>
      <c r="HV128" s="25"/>
      <c r="HW128" s="25"/>
      <c r="HX128" s="25"/>
      <c r="HY128" s="25"/>
      <c r="HZ128" s="25"/>
      <c r="IA128" s="25"/>
      <c r="IB128" s="25"/>
      <c r="IC128" s="25"/>
      <c r="ID128" s="25"/>
      <c r="IE128" s="25"/>
      <c r="IF128" s="25"/>
      <c r="IG128" s="25"/>
      <c r="IH128" s="25"/>
      <c r="II128" s="25"/>
      <c r="IJ128" s="25"/>
      <c r="IK128" s="25"/>
      <c r="IL128" s="25"/>
      <c r="IM128" s="25"/>
      <c r="IN128" s="25"/>
      <c r="IO128" s="25"/>
      <c r="IP128" s="25"/>
      <c r="IQ128" s="25"/>
      <c r="IR128" s="25"/>
      <c r="IS128" s="25"/>
      <c r="IT128" s="25"/>
      <c r="IU128" s="25"/>
      <c r="IV128" s="25"/>
      <c r="IW128" s="25"/>
      <c r="IX128" s="25"/>
      <c r="IY128" s="25"/>
      <c r="IZ128" s="25"/>
      <c r="JA128" s="25"/>
      <c r="JB128" s="25"/>
      <c r="JC128" s="25"/>
      <c r="JD128" s="25"/>
      <c r="JE128" s="25"/>
      <c r="JF128" s="25"/>
      <c r="JG128" s="25"/>
      <c r="JH128" s="25"/>
      <c r="JI128" s="25"/>
      <c r="JJ128" s="25"/>
      <c r="JK128" s="25"/>
      <c r="JL128" s="25"/>
      <c r="JM128" s="25"/>
      <c r="JN128" s="25"/>
    </row>
    <row r="129" spans="2:274" ht="20.25" customHeight="1" x14ac:dyDescent="0.25">
      <c r="B129" s="20"/>
      <c r="F129" s="21"/>
      <c r="G129" s="86" t="str" cm="1">
        <f t="array" aca="1" ref="G129" ca="1">IFERROR(INDEX(Panel_Rates[[1]:[12]],MATCH(Panel_New&amp;Category_New,Panel_Rates[Panel]&amp;Panel_Rates[Category],0),MATCH('Time Plan HY'!E129,OFFSET(Variable!$AF$2,MATCH(Panel_New&amp;Category_New,Panel_Rates[Panel]&amp;Panel_Rates[Category],0)-1,0,1,12),0))/8,"")</f>
        <v/>
      </c>
      <c r="H129" s="92"/>
      <c r="I129" s="88" t="str">
        <f t="shared" ca="1" si="93"/>
        <v/>
      </c>
      <c r="J129" s="89" t="str">
        <f t="shared" ca="1" si="94"/>
        <v/>
      </c>
      <c r="K129" s="90" t="str">
        <f>IFERROR(_xlfn.XLOOKUP(D129,CostTableLookup[Name],CostTableLookup[Gross Cost]),"")</f>
        <v/>
      </c>
      <c r="L129" s="22"/>
      <c r="M129" s="81" t="str">
        <f t="shared" ca="1" si="99"/>
        <v/>
      </c>
      <c r="N129" s="23"/>
      <c r="O129" s="81" t="str">
        <f t="shared" ca="1" si="100"/>
        <v/>
      </c>
      <c r="P129" s="81" t="str">
        <f t="shared" ca="1" si="95"/>
        <v/>
      </c>
      <c r="Q129" s="24" t="str">
        <f t="shared" si="96"/>
        <v/>
      </c>
      <c r="R129" s="110" t="str">
        <f t="shared" ca="1" si="101"/>
        <v/>
      </c>
      <c r="S129" s="114">
        <f t="shared" ref="S129" ca="1" si="107">IFERROR(SUM(OFFSET(Y129,0,MATCH(Forecast_New,$Y$3:$WQ$3,0)-1,1,500))*40,"")</f>
        <v>0</v>
      </c>
      <c r="T129" s="115">
        <f t="shared" ca="1" si="103"/>
        <v>0</v>
      </c>
      <c r="U129" s="116" t="str">
        <f t="shared" ca="1" si="55"/>
        <v/>
      </c>
      <c r="V129" s="99" t="str">
        <f t="shared" ca="1" si="56"/>
        <v/>
      </c>
      <c r="W129" s="100" t="str">
        <f t="shared" ca="1" si="104"/>
        <v/>
      </c>
      <c r="X129" s="83" t="str">
        <f t="shared" ca="1" si="105"/>
        <v/>
      </c>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c r="FL129" s="25"/>
      <c r="FM129" s="25"/>
      <c r="FN129" s="25"/>
      <c r="FO129" s="25"/>
      <c r="FP129" s="25"/>
      <c r="FQ129" s="25"/>
      <c r="FR129" s="25"/>
      <c r="FS129" s="25"/>
      <c r="FT129" s="25"/>
      <c r="FU129" s="25"/>
      <c r="FV129" s="25"/>
      <c r="FW129" s="25"/>
      <c r="FX129" s="25"/>
      <c r="FY129" s="25"/>
      <c r="FZ129" s="25"/>
      <c r="GA129" s="25"/>
      <c r="GB129" s="25"/>
      <c r="GC129" s="25"/>
      <c r="GD129" s="25"/>
      <c r="GE129" s="25"/>
      <c r="GF129" s="25"/>
      <c r="GG129" s="25"/>
      <c r="GH129" s="25"/>
      <c r="GI129" s="25"/>
      <c r="GJ129" s="25"/>
      <c r="GK129" s="25"/>
      <c r="GL129" s="25"/>
      <c r="GM129" s="25"/>
      <c r="GN129" s="25"/>
      <c r="GO129" s="25"/>
      <c r="GP129" s="25"/>
      <c r="GQ129" s="25"/>
      <c r="GR129" s="25"/>
      <c r="GS129" s="25"/>
      <c r="GT129" s="25"/>
      <c r="GU129" s="25"/>
      <c r="GV129" s="25"/>
      <c r="GW129" s="25"/>
      <c r="GX129" s="25"/>
      <c r="GY129" s="25"/>
      <c r="GZ129" s="25"/>
      <c r="HA129" s="25"/>
      <c r="HB129" s="25"/>
      <c r="HC129" s="25"/>
      <c r="HD129" s="25"/>
      <c r="HE129" s="25"/>
      <c r="HF129" s="25"/>
      <c r="HG129" s="25"/>
      <c r="HH129" s="25"/>
      <c r="HI129" s="25"/>
      <c r="HJ129" s="25"/>
      <c r="HK129" s="25"/>
      <c r="HL129" s="25"/>
      <c r="HM129" s="25"/>
      <c r="HN129" s="25"/>
      <c r="HO129" s="25"/>
      <c r="HP129" s="25"/>
      <c r="HQ129" s="25"/>
      <c r="HR129" s="25"/>
      <c r="HS129" s="25"/>
      <c r="HT129" s="25"/>
      <c r="HU129" s="25"/>
      <c r="HV129" s="25"/>
      <c r="HW129" s="25"/>
      <c r="HX129" s="25"/>
      <c r="HY129" s="25"/>
      <c r="HZ129" s="25"/>
      <c r="IA129" s="25"/>
      <c r="IB129" s="25"/>
      <c r="IC129" s="25"/>
      <c r="ID129" s="25"/>
      <c r="IE129" s="25"/>
      <c r="IF129" s="25"/>
      <c r="IG129" s="25"/>
      <c r="IH129" s="25"/>
      <c r="II129" s="25"/>
      <c r="IJ129" s="25"/>
      <c r="IK129" s="25"/>
      <c r="IL129" s="25"/>
      <c r="IM129" s="25"/>
      <c r="IN129" s="25"/>
      <c r="IO129" s="25"/>
      <c r="IP129" s="25"/>
      <c r="IQ129" s="25"/>
      <c r="IR129" s="25"/>
      <c r="IS129" s="25"/>
      <c r="IT129" s="25"/>
      <c r="IU129" s="25"/>
      <c r="IV129" s="25"/>
      <c r="IW129" s="25"/>
      <c r="IX129" s="25"/>
      <c r="IY129" s="25"/>
      <c r="IZ129" s="25"/>
      <c r="JA129" s="25"/>
      <c r="JB129" s="25"/>
      <c r="JC129" s="25"/>
      <c r="JD129" s="25"/>
      <c r="JE129" s="25"/>
      <c r="JF129" s="25"/>
      <c r="JG129" s="25"/>
      <c r="JH129" s="25"/>
      <c r="JI129" s="25"/>
      <c r="JJ129" s="25"/>
      <c r="JK129" s="25"/>
      <c r="JL129" s="25"/>
      <c r="JM129" s="25"/>
      <c r="JN129" s="25"/>
    </row>
    <row r="130" spans="2:274" ht="20.25" customHeight="1" x14ac:dyDescent="0.25">
      <c r="B130" s="20"/>
      <c r="F130" s="21"/>
      <c r="G130" s="86" t="str" cm="1">
        <f t="array" aca="1" ref="G130" ca="1">IFERROR(INDEX(Panel_Rates[[1]:[12]],MATCH(Panel_New&amp;Category_New,Panel_Rates[Panel]&amp;Panel_Rates[Category],0),MATCH('Time Plan HY'!E130,OFFSET(Variable!$AF$2,MATCH(Panel_New&amp;Category_New,Panel_Rates[Panel]&amp;Panel_Rates[Category],0)-1,0,1,12),0))/8,"")</f>
        <v/>
      </c>
      <c r="H130" s="92"/>
      <c r="I130" s="88" t="str">
        <f t="shared" ca="1" si="93"/>
        <v/>
      </c>
      <c r="J130" s="89" t="str">
        <f t="shared" ca="1" si="94"/>
        <v/>
      </c>
      <c r="K130" s="90" t="str">
        <f>IFERROR(_xlfn.XLOOKUP(D130,CostTableLookup[Name],CostTableLookup[Gross Cost]),"")</f>
        <v/>
      </c>
      <c r="L130" s="22"/>
      <c r="M130" s="81" t="str">
        <f t="shared" ca="1" si="99"/>
        <v/>
      </c>
      <c r="N130" s="23"/>
      <c r="O130" s="81" t="str">
        <f t="shared" ca="1" si="100"/>
        <v/>
      </c>
      <c r="P130" s="81" t="str">
        <f t="shared" ca="1" si="95"/>
        <v/>
      </c>
      <c r="Q130" s="24" t="str">
        <f t="shared" si="96"/>
        <v/>
      </c>
      <c r="R130" s="110" t="str">
        <f t="shared" ca="1" si="101"/>
        <v/>
      </c>
      <c r="S130" s="114">
        <f t="shared" ref="S130" ca="1" si="108">IFERROR(SUM(OFFSET(Y130,0,MATCH(Forecast_New,$Y$3:$WQ$3,0)-1,1,500))*40,"")</f>
        <v>0</v>
      </c>
      <c r="T130" s="115">
        <f t="shared" ca="1" si="103"/>
        <v>0</v>
      </c>
      <c r="U130" s="116" t="str">
        <f t="shared" ca="1" si="55"/>
        <v/>
      </c>
      <c r="V130" s="99" t="str">
        <f t="shared" ca="1" si="56"/>
        <v/>
      </c>
      <c r="W130" s="100" t="str">
        <f t="shared" ca="1" si="104"/>
        <v/>
      </c>
      <c r="X130" s="83" t="str">
        <f t="shared" ca="1" si="105"/>
        <v/>
      </c>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c r="FY130" s="25"/>
      <c r="FZ130" s="25"/>
      <c r="GA130" s="25"/>
      <c r="GB130" s="25"/>
      <c r="GC130" s="25"/>
      <c r="GD130" s="25"/>
      <c r="GE130" s="25"/>
      <c r="GF130" s="25"/>
      <c r="GG130" s="25"/>
      <c r="GH130" s="25"/>
      <c r="GI130" s="25"/>
      <c r="GJ130" s="25"/>
      <c r="GK130" s="25"/>
      <c r="GL130" s="25"/>
      <c r="GM130" s="25"/>
      <c r="GN130" s="25"/>
      <c r="GO130" s="25"/>
      <c r="GP130" s="25"/>
      <c r="GQ130" s="25"/>
      <c r="GR130" s="25"/>
      <c r="GS130" s="25"/>
      <c r="GT130" s="25"/>
      <c r="GU130" s="25"/>
      <c r="GV130" s="25"/>
      <c r="GW130" s="25"/>
      <c r="GX130" s="25"/>
      <c r="GY130" s="25"/>
      <c r="GZ130" s="25"/>
      <c r="HA130" s="25"/>
      <c r="HB130" s="25"/>
      <c r="HC130" s="25"/>
      <c r="HD130" s="25"/>
      <c r="HE130" s="25"/>
      <c r="HF130" s="25"/>
      <c r="HG130" s="25"/>
      <c r="HH130" s="25"/>
      <c r="HI130" s="25"/>
      <c r="HJ130" s="25"/>
      <c r="HK130" s="25"/>
      <c r="HL130" s="25"/>
      <c r="HM130" s="25"/>
      <c r="HN130" s="25"/>
      <c r="HO130" s="25"/>
      <c r="HP130" s="25"/>
      <c r="HQ130" s="25"/>
      <c r="HR130" s="25"/>
      <c r="HS130" s="25"/>
      <c r="HT130" s="25"/>
      <c r="HU130" s="25"/>
      <c r="HV130" s="25"/>
      <c r="HW130" s="25"/>
      <c r="HX130" s="25"/>
      <c r="HY130" s="25"/>
      <c r="HZ130" s="25"/>
      <c r="IA130" s="25"/>
      <c r="IB130" s="25"/>
      <c r="IC130" s="25"/>
      <c r="ID130" s="25"/>
      <c r="IE130" s="25"/>
      <c r="IF130" s="25"/>
      <c r="IG130" s="25"/>
      <c r="IH130" s="25"/>
      <c r="II130" s="25"/>
      <c r="IJ130" s="25"/>
      <c r="IK130" s="25"/>
      <c r="IL130" s="25"/>
      <c r="IM130" s="25"/>
      <c r="IN130" s="25"/>
      <c r="IO130" s="25"/>
      <c r="IP130" s="25"/>
      <c r="IQ130" s="25"/>
      <c r="IR130" s="25"/>
      <c r="IS130" s="25"/>
      <c r="IT130" s="25"/>
      <c r="IU130" s="25"/>
      <c r="IV130" s="25"/>
      <c r="IW130" s="25"/>
      <c r="IX130" s="25"/>
      <c r="IY130" s="25"/>
      <c r="IZ130" s="25"/>
      <c r="JA130" s="25"/>
      <c r="JB130" s="25"/>
      <c r="JC130" s="25"/>
      <c r="JD130" s="25"/>
      <c r="JE130" s="25"/>
      <c r="JF130" s="25"/>
      <c r="JG130" s="25"/>
      <c r="JH130" s="25"/>
      <c r="JI130" s="25"/>
      <c r="JJ130" s="25"/>
      <c r="JK130" s="25"/>
      <c r="JL130" s="25"/>
      <c r="JM130" s="25"/>
      <c r="JN130" s="25"/>
    </row>
    <row r="131" spans="2:274" ht="20.25" customHeight="1" x14ac:dyDescent="0.25">
      <c r="B131" s="20"/>
      <c r="F131" s="21"/>
      <c r="G131" s="86" t="str" cm="1">
        <f t="array" aca="1" ref="G131" ca="1">IFERROR(INDEX(Panel_Rates[[1]:[12]],MATCH(Panel_New&amp;Category_New,Panel_Rates[Panel]&amp;Panel_Rates[Category],0),MATCH('Time Plan HY'!E131,OFFSET(Variable!$AF$2,MATCH(Panel_New&amp;Category_New,Panel_Rates[Panel]&amp;Panel_Rates[Category],0)-1,0,1,12),0))/8,"")</f>
        <v/>
      </c>
      <c r="H131" s="92"/>
      <c r="I131" s="88" t="str">
        <f t="shared" ca="1" si="93"/>
        <v/>
      </c>
      <c r="J131" s="89" t="str">
        <f t="shared" ca="1" si="94"/>
        <v/>
      </c>
      <c r="K131" s="90" t="str">
        <f>IFERROR(_xlfn.XLOOKUP(D131,CostTableLookup[Name],CostTableLookup[Gross Cost]),"")</f>
        <v/>
      </c>
      <c r="L131" s="22"/>
      <c r="M131" s="81" t="str">
        <f t="shared" ca="1" si="99"/>
        <v/>
      </c>
      <c r="N131" s="23"/>
      <c r="O131" s="81" t="str">
        <f t="shared" ca="1" si="100"/>
        <v/>
      </c>
      <c r="P131" s="81" t="str">
        <f t="shared" ca="1" si="95"/>
        <v/>
      </c>
      <c r="Q131" s="24" t="str">
        <f t="shared" si="96"/>
        <v/>
      </c>
      <c r="R131" s="110" t="str">
        <f t="shared" ca="1" si="101"/>
        <v/>
      </c>
      <c r="S131" s="114">
        <f t="shared" ref="S131" ca="1" si="109">IFERROR(SUM(OFFSET(Y131,0,MATCH(Forecast_New,$Y$3:$WQ$3,0)-1,1,500))*40,"")</f>
        <v>0</v>
      </c>
      <c r="T131" s="115">
        <f t="shared" ca="1" si="103"/>
        <v>0</v>
      </c>
      <c r="U131" s="116" t="str">
        <f t="shared" ca="1" si="55"/>
        <v/>
      </c>
      <c r="V131" s="99" t="str">
        <f t="shared" ca="1" si="56"/>
        <v/>
      </c>
      <c r="W131" s="100" t="str">
        <f t="shared" ca="1" si="104"/>
        <v/>
      </c>
      <c r="X131" s="83" t="str">
        <f t="shared" ca="1" si="105"/>
        <v/>
      </c>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5"/>
      <c r="EN131" s="25"/>
      <c r="EO131" s="25"/>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c r="FL131" s="25"/>
      <c r="FM131" s="25"/>
      <c r="FN131" s="25"/>
      <c r="FO131" s="25"/>
      <c r="FP131" s="25"/>
      <c r="FQ131" s="25"/>
      <c r="FR131" s="25"/>
      <c r="FS131" s="25"/>
      <c r="FT131" s="25"/>
      <c r="FU131" s="25"/>
      <c r="FV131" s="25"/>
      <c r="FW131" s="25"/>
      <c r="FX131" s="25"/>
      <c r="FY131" s="25"/>
      <c r="FZ131" s="25"/>
      <c r="GA131" s="25"/>
      <c r="GB131" s="25"/>
      <c r="GC131" s="25"/>
      <c r="GD131" s="25"/>
      <c r="GE131" s="25"/>
      <c r="GF131" s="25"/>
      <c r="GG131" s="25"/>
      <c r="GH131" s="25"/>
      <c r="GI131" s="25"/>
      <c r="GJ131" s="25"/>
      <c r="GK131" s="25"/>
      <c r="GL131" s="25"/>
      <c r="GM131" s="25"/>
      <c r="GN131" s="25"/>
      <c r="GO131" s="25"/>
      <c r="GP131" s="25"/>
      <c r="GQ131" s="25"/>
      <c r="GR131" s="25"/>
      <c r="GS131" s="25"/>
      <c r="GT131" s="25"/>
      <c r="GU131" s="25"/>
      <c r="GV131" s="25"/>
      <c r="GW131" s="25"/>
      <c r="GX131" s="25"/>
      <c r="GY131" s="25"/>
      <c r="GZ131" s="25"/>
      <c r="HA131" s="25"/>
      <c r="HB131" s="25"/>
      <c r="HC131" s="25"/>
      <c r="HD131" s="25"/>
      <c r="HE131" s="25"/>
      <c r="HF131" s="25"/>
      <c r="HG131" s="25"/>
      <c r="HH131" s="25"/>
      <c r="HI131" s="25"/>
      <c r="HJ131" s="25"/>
      <c r="HK131" s="25"/>
      <c r="HL131" s="25"/>
      <c r="HM131" s="25"/>
      <c r="HN131" s="25"/>
      <c r="HO131" s="25"/>
      <c r="HP131" s="25"/>
      <c r="HQ131" s="25"/>
      <c r="HR131" s="25"/>
      <c r="HS131" s="25"/>
      <c r="HT131" s="25"/>
      <c r="HU131" s="25"/>
      <c r="HV131" s="25"/>
      <c r="HW131" s="25"/>
      <c r="HX131" s="25"/>
      <c r="HY131" s="25"/>
      <c r="HZ131" s="25"/>
      <c r="IA131" s="25"/>
      <c r="IB131" s="25"/>
      <c r="IC131" s="25"/>
      <c r="ID131" s="25"/>
      <c r="IE131" s="25"/>
      <c r="IF131" s="25"/>
      <c r="IG131" s="25"/>
      <c r="IH131" s="25"/>
      <c r="II131" s="25"/>
      <c r="IJ131" s="25"/>
      <c r="IK131" s="25"/>
      <c r="IL131" s="25"/>
      <c r="IM131" s="25"/>
      <c r="IN131" s="25"/>
      <c r="IO131" s="25"/>
      <c r="IP131" s="25"/>
      <c r="IQ131" s="25"/>
      <c r="IR131" s="25"/>
      <c r="IS131" s="25"/>
      <c r="IT131" s="25"/>
      <c r="IU131" s="25"/>
      <c r="IV131" s="25"/>
      <c r="IW131" s="25"/>
      <c r="IX131" s="25"/>
      <c r="IY131" s="25"/>
      <c r="IZ131" s="25"/>
      <c r="JA131" s="25"/>
      <c r="JB131" s="25"/>
      <c r="JC131" s="25"/>
      <c r="JD131" s="25"/>
      <c r="JE131" s="25"/>
      <c r="JF131" s="25"/>
      <c r="JG131" s="25"/>
      <c r="JH131" s="25"/>
      <c r="JI131" s="25"/>
      <c r="JJ131" s="25"/>
      <c r="JK131" s="25"/>
      <c r="JL131" s="25"/>
      <c r="JM131" s="25"/>
      <c r="JN131" s="25"/>
    </row>
    <row r="132" spans="2:274" ht="20.25" customHeight="1" x14ac:dyDescent="0.25">
      <c r="B132" s="20"/>
      <c r="F132" s="21"/>
      <c r="G132" s="86" t="str" cm="1">
        <f t="array" aca="1" ref="G132" ca="1">IFERROR(INDEX(Panel_Rates[[1]:[12]],MATCH(Panel_New&amp;Category_New,Panel_Rates[Panel]&amp;Panel_Rates[Category],0),MATCH('Time Plan HY'!E132,OFFSET(Variable!$AF$2,MATCH(Panel_New&amp;Category_New,Panel_Rates[Panel]&amp;Panel_Rates[Category],0)-1,0,1,12),0))/8,"")</f>
        <v/>
      </c>
      <c r="H132" s="92"/>
      <c r="I132" s="88" t="str">
        <f t="shared" ca="1" si="93"/>
        <v/>
      </c>
      <c r="J132" s="89" t="str">
        <f t="shared" ca="1" si="94"/>
        <v/>
      </c>
      <c r="K132" s="90" t="str">
        <f>IFERROR(_xlfn.XLOOKUP(D132,CostTableLookup[Name],CostTableLookup[Gross Cost]),"")</f>
        <v/>
      </c>
      <c r="L132" s="22"/>
      <c r="M132" s="81" t="str">
        <f t="shared" ca="1" si="99"/>
        <v/>
      </c>
      <c r="N132" s="23"/>
      <c r="O132" s="81" t="str">
        <f t="shared" ca="1" si="100"/>
        <v/>
      </c>
      <c r="P132" s="81" t="str">
        <f t="shared" ca="1" si="95"/>
        <v/>
      </c>
      <c r="Q132" s="24" t="str">
        <f t="shared" si="96"/>
        <v/>
      </c>
      <c r="R132" s="110" t="str">
        <f t="shared" ca="1" si="101"/>
        <v/>
      </c>
      <c r="S132" s="114">
        <f t="shared" ref="S132" ca="1" si="110">IFERROR(SUM(OFFSET(Y132,0,MATCH(Forecast_New,$Y$3:$WQ$3,0)-1,1,500))*40,"")</f>
        <v>0</v>
      </c>
      <c r="T132" s="115">
        <f t="shared" ca="1" si="103"/>
        <v>0</v>
      </c>
      <c r="U132" s="116" t="str">
        <f t="shared" ca="1" si="55"/>
        <v/>
      </c>
      <c r="V132" s="99" t="str">
        <f t="shared" ca="1" si="56"/>
        <v/>
      </c>
      <c r="W132" s="100" t="str">
        <f t="shared" ca="1" si="104"/>
        <v/>
      </c>
      <c r="X132" s="83" t="str">
        <f t="shared" ca="1" si="105"/>
        <v/>
      </c>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25"/>
      <c r="EJ132" s="25"/>
      <c r="EK132" s="25"/>
      <c r="EL132" s="25"/>
      <c r="EM132" s="25"/>
      <c r="EN132" s="25"/>
      <c r="EO132" s="25"/>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c r="FL132" s="25"/>
      <c r="FM132" s="25"/>
      <c r="FN132" s="25"/>
      <c r="FO132" s="25"/>
      <c r="FP132" s="25"/>
      <c r="FQ132" s="25"/>
      <c r="FR132" s="25"/>
      <c r="FS132" s="25"/>
      <c r="FT132" s="25"/>
      <c r="FU132" s="25"/>
      <c r="FV132" s="25"/>
      <c r="FW132" s="25"/>
      <c r="FX132" s="25"/>
      <c r="FY132" s="25"/>
      <c r="FZ132" s="25"/>
      <c r="GA132" s="25"/>
      <c r="GB132" s="25"/>
      <c r="GC132" s="25"/>
      <c r="GD132" s="25"/>
      <c r="GE132" s="25"/>
      <c r="GF132" s="25"/>
      <c r="GG132" s="25"/>
      <c r="GH132" s="25"/>
      <c r="GI132" s="25"/>
      <c r="GJ132" s="25"/>
      <c r="GK132" s="25"/>
      <c r="GL132" s="25"/>
      <c r="GM132" s="25"/>
      <c r="GN132" s="25"/>
      <c r="GO132" s="25"/>
      <c r="GP132" s="25"/>
      <c r="GQ132" s="25"/>
      <c r="GR132" s="25"/>
      <c r="GS132" s="25"/>
      <c r="GT132" s="25"/>
      <c r="GU132" s="25"/>
      <c r="GV132" s="25"/>
      <c r="GW132" s="25"/>
      <c r="GX132" s="25"/>
      <c r="GY132" s="25"/>
      <c r="GZ132" s="25"/>
      <c r="HA132" s="25"/>
      <c r="HB132" s="25"/>
      <c r="HC132" s="25"/>
      <c r="HD132" s="25"/>
      <c r="HE132" s="25"/>
      <c r="HF132" s="25"/>
      <c r="HG132" s="25"/>
      <c r="HH132" s="25"/>
      <c r="HI132" s="25"/>
      <c r="HJ132" s="25"/>
      <c r="HK132" s="25"/>
      <c r="HL132" s="25"/>
      <c r="HM132" s="25"/>
      <c r="HN132" s="25"/>
      <c r="HO132" s="25"/>
      <c r="HP132" s="25"/>
      <c r="HQ132" s="25"/>
      <c r="HR132" s="25"/>
      <c r="HS132" s="25"/>
      <c r="HT132" s="25"/>
      <c r="HU132" s="25"/>
      <c r="HV132" s="25"/>
      <c r="HW132" s="25"/>
      <c r="HX132" s="25"/>
      <c r="HY132" s="25"/>
      <c r="HZ132" s="25"/>
      <c r="IA132" s="25"/>
      <c r="IB132" s="25"/>
      <c r="IC132" s="25"/>
      <c r="ID132" s="25"/>
      <c r="IE132" s="25"/>
      <c r="IF132" s="25"/>
      <c r="IG132" s="25"/>
      <c r="IH132" s="25"/>
      <c r="II132" s="25"/>
      <c r="IJ132" s="25"/>
      <c r="IK132" s="25"/>
      <c r="IL132" s="25"/>
      <c r="IM132" s="25"/>
      <c r="IN132" s="25"/>
      <c r="IO132" s="25"/>
      <c r="IP132" s="25"/>
      <c r="IQ132" s="25"/>
      <c r="IR132" s="25"/>
      <c r="IS132" s="25"/>
      <c r="IT132" s="25"/>
      <c r="IU132" s="25"/>
      <c r="IV132" s="25"/>
      <c r="IW132" s="25"/>
      <c r="IX132" s="25"/>
      <c r="IY132" s="25"/>
      <c r="IZ132" s="25"/>
      <c r="JA132" s="25"/>
      <c r="JB132" s="25"/>
      <c r="JC132" s="25"/>
      <c r="JD132" s="25"/>
      <c r="JE132" s="25"/>
      <c r="JF132" s="25"/>
      <c r="JG132" s="25"/>
      <c r="JH132" s="25"/>
      <c r="JI132" s="25"/>
      <c r="JJ132" s="25"/>
      <c r="JK132" s="25"/>
      <c r="JL132" s="25"/>
      <c r="JM132" s="25"/>
      <c r="JN132" s="25"/>
    </row>
    <row r="133" spans="2:274" ht="20.25" customHeight="1" x14ac:dyDescent="0.25">
      <c r="B133" s="20"/>
      <c r="F133" s="21"/>
      <c r="G133" s="86" t="str" cm="1">
        <f t="array" aca="1" ref="G133" ca="1">IFERROR(INDEX(Panel_Rates[[1]:[12]],MATCH(Panel_New&amp;Category_New,Panel_Rates[Panel]&amp;Panel_Rates[Category],0),MATCH('Time Plan HY'!E133,OFFSET(Variable!$AF$2,MATCH(Panel_New&amp;Category_New,Panel_Rates[Panel]&amp;Panel_Rates[Category],0)-1,0,1,12),0))/8,"")</f>
        <v/>
      </c>
      <c r="H133" s="92"/>
      <c r="I133" s="88" t="str">
        <f t="shared" ca="1" si="93"/>
        <v/>
      </c>
      <c r="J133" s="89" t="str">
        <f t="shared" ca="1" si="94"/>
        <v/>
      </c>
      <c r="K133" s="90" t="str">
        <f>IFERROR(_xlfn.XLOOKUP(D133,CostTableLookup[Name],CostTableLookup[Gross Cost]),"")</f>
        <v/>
      </c>
      <c r="L133" s="22"/>
      <c r="M133" s="81" t="str">
        <f t="shared" ca="1" si="99"/>
        <v/>
      </c>
      <c r="N133" s="23"/>
      <c r="O133" s="81" t="str">
        <f t="shared" ca="1" si="100"/>
        <v/>
      </c>
      <c r="P133" s="81" t="str">
        <f t="shared" ca="1" si="95"/>
        <v/>
      </c>
      <c r="Q133" s="24" t="str">
        <f t="shared" si="96"/>
        <v/>
      </c>
      <c r="R133" s="110" t="str">
        <f t="shared" ca="1" si="101"/>
        <v/>
      </c>
      <c r="S133" s="114">
        <f t="shared" ref="S133" ca="1" si="111">IFERROR(SUM(OFFSET(Y133,0,MATCH(Forecast_New,$Y$3:$WQ$3,0)-1,1,500))*40,"")</f>
        <v>0</v>
      </c>
      <c r="T133" s="115">
        <f t="shared" ca="1" si="103"/>
        <v>0</v>
      </c>
      <c r="U133" s="116" t="str">
        <f t="shared" ca="1" si="55"/>
        <v/>
      </c>
      <c r="V133" s="99" t="str">
        <f t="shared" ca="1" si="56"/>
        <v/>
      </c>
      <c r="W133" s="100" t="str">
        <f t="shared" ca="1" si="104"/>
        <v/>
      </c>
      <c r="X133" s="83" t="str">
        <f t="shared" ca="1" si="105"/>
        <v/>
      </c>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5"/>
      <c r="EN133" s="25"/>
      <c r="EO133" s="25"/>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c r="FL133" s="25"/>
      <c r="FM133" s="25"/>
      <c r="FN133" s="25"/>
      <c r="FO133" s="25"/>
      <c r="FP133" s="25"/>
      <c r="FQ133" s="25"/>
      <c r="FR133" s="25"/>
      <c r="FS133" s="25"/>
      <c r="FT133" s="25"/>
      <c r="FU133" s="25"/>
      <c r="FV133" s="25"/>
      <c r="FW133" s="25"/>
      <c r="FX133" s="25"/>
      <c r="FY133" s="25"/>
      <c r="FZ133" s="25"/>
      <c r="GA133" s="25"/>
      <c r="GB133" s="25"/>
      <c r="GC133" s="25"/>
      <c r="GD133" s="25"/>
      <c r="GE133" s="25"/>
      <c r="GF133" s="25"/>
      <c r="GG133" s="25"/>
      <c r="GH133" s="25"/>
      <c r="GI133" s="25"/>
      <c r="GJ133" s="25"/>
      <c r="GK133" s="25"/>
      <c r="GL133" s="25"/>
      <c r="GM133" s="25"/>
      <c r="GN133" s="25"/>
      <c r="GO133" s="25"/>
      <c r="GP133" s="25"/>
      <c r="GQ133" s="25"/>
      <c r="GR133" s="25"/>
      <c r="GS133" s="25"/>
      <c r="GT133" s="25"/>
      <c r="GU133" s="25"/>
      <c r="GV133" s="25"/>
      <c r="GW133" s="25"/>
      <c r="GX133" s="25"/>
      <c r="GY133" s="25"/>
      <c r="GZ133" s="25"/>
      <c r="HA133" s="25"/>
      <c r="HB133" s="25"/>
      <c r="HC133" s="25"/>
      <c r="HD133" s="25"/>
      <c r="HE133" s="25"/>
      <c r="HF133" s="25"/>
      <c r="HG133" s="25"/>
      <c r="HH133" s="25"/>
      <c r="HI133" s="25"/>
      <c r="HJ133" s="25"/>
      <c r="HK133" s="25"/>
      <c r="HL133" s="25"/>
      <c r="HM133" s="25"/>
      <c r="HN133" s="25"/>
      <c r="HO133" s="25"/>
      <c r="HP133" s="25"/>
      <c r="HQ133" s="25"/>
      <c r="HR133" s="25"/>
      <c r="HS133" s="25"/>
      <c r="HT133" s="25"/>
      <c r="HU133" s="25"/>
      <c r="HV133" s="25"/>
      <c r="HW133" s="25"/>
      <c r="HX133" s="25"/>
      <c r="HY133" s="25"/>
      <c r="HZ133" s="25"/>
      <c r="IA133" s="25"/>
      <c r="IB133" s="25"/>
      <c r="IC133" s="25"/>
      <c r="ID133" s="25"/>
      <c r="IE133" s="25"/>
      <c r="IF133" s="25"/>
      <c r="IG133" s="25"/>
      <c r="IH133" s="25"/>
      <c r="II133" s="25"/>
      <c r="IJ133" s="25"/>
      <c r="IK133" s="25"/>
      <c r="IL133" s="25"/>
      <c r="IM133" s="25"/>
      <c r="IN133" s="25"/>
      <c r="IO133" s="25"/>
      <c r="IP133" s="25"/>
      <c r="IQ133" s="25"/>
      <c r="IR133" s="25"/>
      <c r="IS133" s="25"/>
      <c r="IT133" s="25"/>
      <c r="IU133" s="25"/>
      <c r="IV133" s="25"/>
      <c r="IW133" s="25"/>
      <c r="IX133" s="25"/>
      <c r="IY133" s="25"/>
      <c r="IZ133" s="25"/>
      <c r="JA133" s="25"/>
      <c r="JB133" s="25"/>
      <c r="JC133" s="25"/>
      <c r="JD133" s="25"/>
      <c r="JE133" s="25"/>
      <c r="JF133" s="25"/>
      <c r="JG133" s="25"/>
      <c r="JH133" s="25"/>
      <c r="JI133" s="25"/>
      <c r="JJ133" s="25"/>
      <c r="JK133" s="25"/>
      <c r="JL133" s="25"/>
      <c r="JM133" s="25"/>
      <c r="JN133" s="25"/>
    </row>
    <row r="134" spans="2:274" ht="20.25" customHeight="1" x14ac:dyDescent="0.25">
      <c r="B134" s="20"/>
      <c r="F134" s="21"/>
      <c r="G134" s="86" t="str" cm="1">
        <f t="array" aca="1" ref="G134" ca="1">IFERROR(INDEX(Panel_Rates[[1]:[12]],MATCH(Panel_New&amp;Category_New,Panel_Rates[Panel]&amp;Panel_Rates[Category],0),MATCH('Time Plan HY'!E134,OFFSET(Variable!$AF$2,MATCH(Panel_New&amp;Category_New,Panel_Rates[Panel]&amp;Panel_Rates[Category],0)-1,0,1,12),0))/8,"")</f>
        <v/>
      </c>
      <c r="H134" s="92"/>
      <c r="I134" s="88" t="str">
        <f t="shared" ca="1" si="93"/>
        <v/>
      </c>
      <c r="J134" s="89" t="str">
        <f t="shared" ca="1" si="94"/>
        <v/>
      </c>
      <c r="K134" s="90" t="str">
        <f>IFERROR(_xlfn.XLOOKUP(D134,CostTableLookup[Name],CostTableLookup[Gross Cost]),"")</f>
        <v/>
      </c>
      <c r="L134" s="22"/>
      <c r="M134" s="81" t="str">
        <f t="shared" ca="1" si="99"/>
        <v/>
      </c>
      <c r="N134" s="23"/>
      <c r="O134" s="81" t="str">
        <f t="shared" ca="1" si="100"/>
        <v/>
      </c>
      <c r="P134" s="81" t="str">
        <f t="shared" ca="1" si="95"/>
        <v/>
      </c>
      <c r="Q134" s="24" t="str">
        <f t="shared" si="96"/>
        <v/>
      </c>
      <c r="R134" s="110" t="str">
        <f t="shared" ca="1" si="101"/>
        <v/>
      </c>
      <c r="S134" s="114">
        <f t="shared" ref="S134" ca="1" si="112">IFERROR(SUM(OFFSET(Y134,0,MATCH(Forecast_New,$Y$3:$WQ$3,0)-1,1,500))*40,"")</f>
        <v>0</v>
      </c>
      <c r="T134" s="115">
        <f t="shared" ca="1" si="103"/>
        <v>0</v>
      </c>
      <c r="U134" s="116" t="str">
        <f t="shared" ca="1" si="55"/>
        <v/>
      </c>
      <c r="V134" s="99" t="str">
        <f t="shared" ca="1" si="56"/>
        <v/>
      </c>
      <c r="W134" s="100" t="str">
        <f t="shared" ca="1" si="104"/>
        <v/>
      </c>
      <c r="X134" s="83" t="str">
        <f t="shared" ca="1" si="105"/>
        <v/>
      </c>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c r="FL134" s="25"/>
      <c r="FM134" s="25"/>
      <c r="FN134" s="25"/>
      <c r="FO134" s="25"/>
      <c r="FP134" s="25"/>
      <c r="FQ134" s="25"/>
      <c r="FR134" s="25"/>
      <c r="FS134" s="25"/>
      <c r="FT134" s="25"/>
      <c r="FU134" s="25"/>
      <c r="FV134" s="25"/>
      <c r="FW134" s="25"/>
      <c r="FX134" s="25"/>
      <c r="FY134" s="25"/>
      <c r="FZ134" s="25"/>
      <c r="GA134" s="25"/>
      <c r="GB134" s="25"/>
      <c r="GC134" s="25"/>
      <c r="GD134" s="25"/>
      <c r="GE134" s="25"/>
      <c r="GF134" s="25"/>
      <c r="GG134" s="25"/>
      <c r="GH134" s="25"/>
      <c r="GI134" s="25"/>
      <c r="GJ134" s="25"/>
      <c r="GK134" s="25"/>
      <c r="GL134" s="25"/>
      <c r="GM134" s="25"/>
      <c r="GN134" s="25"/>
      <c r="GO134" s="25"/>
      <c r="GP134" s="25"/>
      <c r="GQ134" s="25"/>
      <c r="GR134" s="25"/>
      <c r="GS134" s="25"/>
      <c r="GT134" s="25"/>
      <c r="GU134" s="25"/>
      <c r="GV134" s="25"/>
      <c r="GW134" s="25"/>
      <c r="GX134" s="25"/>
      <c r="GY134" s="25"/>
      <c r="GZ134" s="25"/>
      <c r="HA134" s="25"/>
      <c r="HB134" s="25"/>
      <c r="HC134" s="25"/>
      <c r="HD134" s="25"/>
      <c r="HE134" s="25"/>
      <c r="HF134" s="25"/>
      <c r="HG134" s="25"/>
      <c r="HH134" s="25"/>
      <c r="HI134" s="25"/>
      <c r="HJ134" s="25"/>
      <c r="HK134" s="25"/>
      <c r="HL134" s="25"/>
      <c r="HM134" s="25"/>
      <c r="HN134" s="25"/>
      <c r="HO134" s="25"/>
      <c r="HP134" s="25"/>
      <c r="HQ134" s="25"/>
      <c r="HR134" s="25"/>
      <c r="HS134" s="25"/>
      <c r="HT134" s="25"/>
      <c r="HU134" s="25"/>
      <c r="HV134" s="25"/>
      <c r="HW134" s="25"/>
      <c r="HX134" s="25"/>
      <c r="HY134" s="25"/>
      <c r="HZ134" s="25"/>
      <c r="IA134" s="25"/>
      <c r="IB134" s="25"/>
      <c r="IC134" s="25"/>
      <c r="ID134" s="25"/>
      <c r="IE134" s="25"/>
      <c r="IF134" s="25"/>
      <c r="IG134" s="25"/>
      <c r="IH134" s="25"/>
      <c r="II134" s="25"/>
      <c r="IJ134" s="25"/>
      <c r="IK134" s="25"/>
      <c r="IL134" s="25"/>
      <c r="IM134" s="25"/>
      <c r="IN134" s="25"/>
      <c r="IO134" s="25"/>
      <c r="IP134" s="25"/>
      <c r="IQ134" s="25"/>
      <c r="IR134" s="25"/>
      <c r="IS134" s="25"/>
      <c r="IT134" s="25"/>
      <c r="IU134" s="25"/>
      <c r="IV134" s="25"/>
      <c r="IW134" s="25"/>
      <c r="IX134" s="25"/>
      <c r="IY134" s="25"/>
      <c r="IZ134" s="25"/>
      <c r="JA134" s="25"/>
      <c r="JB134" s="25"/>
      <c r="JC134" s="25"/>
      <c r="JD134" s="25"/>
      <c r="JE134" s="25"/>
      <c r="JF134" s="25"/>
      <c r="JG134" s="25"/>
      <c r="JH134" s="25"/>
      <c r="JI134" s="25"/>
      <c r="JJ134" s="25"/>
      <c r="JK134" s="25"/>
      <c r="JL134" s="25"/>
      <c r="JM134" s="25"/>
      <c r="JN134" s="25"/>
    </row>
    <row r="135" spans="2:274" ht="20.25" customHeight="1" x14ac:dyDescent="0.25">
      <c r="B135" s="20"/>
      <c r="F135" s="21"/>
      <c r="G135" s="86" t="str" cm="1">
        <f t="array" aca="1" ref="G135" ca="1">IFERROR(INDEX(Panel_Rates[[1]:[12]],MATCH(Panel_New&amp;Category_New,Panel_Rates[Panel]&amp;Panel_Rates[Category],0),MATCH('Time Plan HY'!E135,OFFSET(Variable!$AF$2,MATCH(Panel_New&amp;Category_New,Panel_Rates[Panel]&amp;Panel_Rates[Category],0)-1,0,1,12),0))/8,"")</f>
        <v/>
      </c>
      <c r="H135" s="92"/>
      <c r="I135" s="88" t="str">
        <f t="shared" ca="1" si="93"/>
        <v/>
      </c>
      <c r="J135" s="89" t="str">
        <f t="shared" ca="1" si="94"/>
        <v/>
      </c>
      <c r="K135" s="90" t="str">
        <f>IFERROR(_xlfn.XLOOKUP(D135,CostTableLookup[Name],CostTableLookup[Gross Cost]),"")</f>
        <v/>
      </c>
      <c r="L135" s="22"/>
      <c r="M135" s="81" t="str">
        <f t="shared" ca="1" si="99"/>
        <v/>
      </c>
      <c r="N135" s="23"/>
      <c r="O135" s="81" t="str">
        <f t="shared" ca="1" si="100"/>
        <v/>
      </c>
      <c r="P135" s="81" t="str">
        <f t="shared" ca="1" si="95"/>
        <v/>
      </c>
      <c r="Q135" s="24" t="str">
        <f t="shared" si="96"/>
        <v/>
      </c>
      <c r="R135" s="110" t="str">
        <f t="shared" ca="1" si="101"/>
        <v/>
      </c>
      <c r="S135" s="114">
        <f t="shared" ref="S135" ca="1" si="113">IFERROR(SUM(OFFSET(Y135,0,MATCH(Forecast_New,$Y$3:$WQ$3,0)-1,1,500))*40,"")</f>
        <v>0</v>
      </c>
      <c r="T135" s="115">
        <f t="shared" ca="1" si="103"/>
        <v>0</v>
      </c>
      <c r="U135" s="116" t="str">
        <f t="shared" ca="1" si="55"/>
        <v/>
      </c>
      <c r="V135" s="99" t="str">
        <f t="shared" ca="1" si="56"/>
        <v/>
      </c>
      <c r="W135" s="100" t="str">
        <f t="shared" ca="1" si="104"/>
        <v/>
      </c>
      <c r="X135" s="83" t="str">
        <f t="shared" ca="1" si="105"/>
        <v/>
      </c>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c r="FY135" s="25"/>
      <c r="FZ135" s="25"/>
      <c r="GA135" s="25"/>
      <c r="GB135" s="25"/>
      <c r="GC135" s="25"/>
      <c r="GD135" s="25"/>
      <c r="GE135" s="25"/>
      <c r="GF135" s="25"/>
      <c r="GG135" s="25"/>
      <c r="GH135" s="25"/>
      <c r="GI135" s="25"/>
      <c r="GJ135" s="25"/>
      <c r="GK135" s="25"/>
      <c r="GL135" s="25"/>
      <c r="GM135" s="25"/>
      <c r="GN135" s="25"/>
      <c r="GO135" s="25"/>
      <c r="GP135" s="25"/>
      <c r="GQ135" s="25"/>
      <c r="GR135" s="25"/>
      <c r="GS135" s="25"/>
      <c r="GT135" s="25"/>
      <c r="GU135" s="25"/>
      <c r="GV135" s="25"/>
      <c r="GW135" s="25"/>
      <c r="GX135" s="25"/>
      <c r="GY135" s="25"/>
      <c r="GZ135" s="25"/>
      <c r="HA135" s="25"/>
      <c r="HB135" s="25"/>
      <c r="HC135" s="25"/>
      <c r="HD135" s="25"/>
      <c r="HE135" s="25"/>
      <c r="HF135" s="25"/>
      <c r="HG135" s="25"/>
      <c r="HH135" s="25"/>
      <c r="HI135" s="25"/>
      <c r="HJ135" s="25"/>
      <c r="HK135" s="25"/>
      <c r="HL135" s="25"/>
      <c r="HM135" s="25"/>
      <c r="HN135" s="25"/>
      <c r="HO135" s="25"/>
      <c r="HP135" s="25"/>
      <c r="HQ135" s="25"/>
      <c r="HR135" s="25"/>
      <c r="HS135" s="25"/>
      <c r="HT135" s="25"/>
      <c r="HU135" s="25"/>
      <c r="HV135" s="25"/>
      <c r="HW135" s="25"/>
      <c r="HX135" s="25"/>
      <c r="HY135" s="25"/>
      <c r="HZ135" s="25"/>
      <c r="IA135" s="25"/>
      <c r="IB135" s="25"/>
      <c r="IC135" s="25"/>
      <c r="ID135" s="25"/>
      <c r="IE135" s="25"/>
      <c r="IF135" s="25"/>
      <c r="IG135" s="25"/>
      <c r="IH135" s="25"/>
      <c r="II135" s="25"/>
      <c r="IJ135" s="25"/>
      <c r="IK135" s="25"/>
      <c r="IL135" s="25"/>
      <c r="IM135" s="25"/>
      <c r="IN135" s="25"/>
      <c r="IO135" s="25"/>
      <c r="IP135" s="25"/>
      <c r="IQ135" s="25"/>
      <c r="IR135" s="25"/>
      <c r="IS135" s="25"/>
      <c r="IT135" s="25"/>
      <c r="IU135" s="25"/>
      <c r="IV135" s="25"/>
      <c r="IW135" s="25"/>
      <c r="IX135" s="25"/>
      <c r="IY135" s="25"/>
      <c r="IZ135" s="25"/>
      <c r="JA135" s="25"/>
      <c r="JB135" s="25"/>
      <c r="JC135" s="25"/>
      <c r="JD135" s="25"/>
      <c r="JE135" s="25"/>
      <c r="JF135" s="25"/>
      <c r="JG135" s="25"/>
      <c r="JH135" s="25"/>
      <c r="JI135" s="25"/>
      <c r="JJ135" s="25"/>
      <c r="JK135" s="25"/>
      <c r="JL135" s="25"/>
      <c r="JM135" s="25"/>
      <c r="JN135" s="25"/>
    </row>
    <row r="136" spans="2:274" ht="20.25" customHeight="1" x14ac:dyDescent="0.25">
      <c r="B136" s="20"/>
      <c r="F136" s="21"/>
      <c r="G136" s="86" t="str" cm="1">
        <f t="array" aca="1" ref="G136" ca="1">IFERROR(INDEX(Panel_Rates[[1]:[12]],MATCH(Panel_New&amp;Category_New,Panel_Rates[Panel]&amp;Panel_Rates[Category],0),MATCH('Time Plan HY'!E136,OFFSET(Variable!$AF$2,MATCH(Panel_New&amp;Category_New,Panel_Rates[Panel]&amp;Panel_Rates[Category],0)-1,0,1,12),0))/8,"")</f>
        <v/>
      </c>
      <c r="H136" s="92"/>
      <c r="I136" s="88" t="str">
        <f t="shared" ca="1" si="93"/>
        <v/>
      </c>
      <c r="J136" s="89" t="str">
        <f t="shared" ca="1" si="94"/>
        <v/>
      </c>
      <c r="K136" s="90" t="str">
        <f>IFERROR(_xlfn.XLOOKUP(D136,CostTableLookup[Name],CostTableLookup[Gross Cost]),"")</f>
        <v/>
      </c>
      <c r="L136" s="22"/>
      <c r="M136" s="81" t="str">
        <f t="shared" ca="1" si="99"/>
        <v/>
      </c>
      <c r="N136" s="23"/>
      <c r="O136" s="81" t="str">
        <f t="shared" ca="1" si="100"/>
        <v/>
      </c>
      <c r="P136" s="81" t="str">
        <f t="shared" ca="1" si="95"/>
        <v/>
      </c>
      <c r="Q136" s="24" t="str">
        <f t="shared" si="96"/>
        <v/>
      </c>
      <c r="R136" s="110" t="str">
        <f t="shared" ca="1" si="101"/>
        <v/>
      </c>
      <c r="S136" s="114">
        <f t="shared" ref="S136" ca="1" si="114">IFERROR(SUM(OFFSET(Y136,0,MATCH(Forecast_New,$Y$3:$WQ$3,0)-1,1,500))*40,"")</f>
        <v>0</v>
      </c>
      <c r="T136" s="115">
        <f t="shared" ca="1" si="103"/>
        <v>0</v>
      </c>
      <c r="U136" s="116" t="str">
        <f t="shared" ca="1" si="55"/>
        <v/>
      </c>
      <c r="V136" s="99" t="str">
        <f t="shared" ca="1" si="56"/>
        <v/>
      </c>
      <c r="W136" s="100" t="str">
        <f t="shared" ca="1" si="104"/>
        <v/>
      </c>
      <c r="X136" s="83" t="str">
        <f t="shared" ca="1" si="105"/>
        <v/>
      </c>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c r="FY136" s="25"/>
      <c r="FZ136" s="25"/>
      <c r="GA136" s="25"/>
      <c r="GB136" s="25"/>
      <c r="GC136" s="25"/>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5"/>
      <c r="HA136" s="25"/>
      <c r="HB136" s="25"/>
      <c r="HC136" s="25"/>
      <c r="HD136" s="25"/>
      <c r="HE136" s="25"/>
      <c r="HF136" s="25"/>
      <c r="HG136" s="25"/>
      <c r="HH136" s="25"/>
      <c r="HI136" s="25"/>
      <c r="HJ136" s="25"/>
      <c r="HK136" s="25"/>
      <c r="HL136" s="25"/>
      <c r="HM136" s="25"/>
      <c r="HN136" s="25"/>
      <c r="HO136" s="25"/>
      <c r="HP136" s="25"/>
      <c r="HQ136" s="25"/>
      <c r="HR136" s="25"/>
      <c r="HS136" s="25"/>
      <c r="HT136" s="25"/>
      <c r="HU136" s="25"/>
      <c r="HV136" s="25"/>
      <c r="HW136" s="25"/>
      <c r="HX136" s="25"/>
      <c r="HY136" s="25"/>
      <c r="HZ136" s="25"/>
      <c r="IA136" s="25"/>
      <c r="IB136" s="25"/>
      <c r="IC136" s="25"/>
      <c r="ID136" s="25"/>
      <c r="IE136" s="25"/>
      <c r="IF136" s="25"/>
      <c r="IG136" s="25"/>
      <c r="IH136" s="25"/>
      <c r="II136" s="25"/>
      <c r="IJ136" s="25"/>
      <c r="IK136" s="25"/>
      <c r="IL136" s="25"/>
      <c r="IM136" s="25"/>
      <c r="IN136" s="25"/>
      <c r="IO136" s="25"/>
      <c r="IP136" s="25"/>
      <c r="IQ136" s="25"/>
      <c r="IR136" s="25"/>
      <c r="IS136" s="25"/>
      <c r="IT136" s="25"/>
      <c r="IU136" s="25"/>
      <c r="IV136" s="25"/>
      <c r="IW136" s="25"/>
      <c r="IX136" s="25"/>
      <c r="IY136" s="25"/>
      <c r="IZ136" s="25"/>
      <c r="JA136" s="25"/>
      <c r="JB136" s="25"/>
      <c r="JC136" s="25"/>
      <c r="JD136" s="25"/>
      <c r="JE136" s="25"/>
      <c r="JF136" s="25"/>
      <c r="JG136" s="25"/>
      <c r="JH136" s="25"/>
      <c r="JI136" s="25"/>
      <c r="JJ136" s="25"/>
      <c r="JK136" s="25"/>
      <c r="JL136" s="25"/>
      <c r="JM136" s="25"/>
      <c r="JN136" s="25"/>
    </row>
    <row r="137" spans="2:274" ht="20.25" customHeight="1" x14ac:dyDescent="0.25">
      <c r="B137" s="20"/>
      <c r="F137" s="21"/>
      <c r="G137" s="86" t="str" cm="1">
        <f t="array" aca="1" ref="G137" ca="1">IFERROR(INDEX(Panel_Rates[[1]:[12]],MATCH(Panel_New&amp;Category_New,Panel_Rates[Panel]&amp;Panel_Rates[Category],0),MATCH('Time Plan HY'!E137,OFFSET(Variable!$AF$2,MATCH(Panel_New&amp;Category_New,Panel_Rates[Panel]&amp;Panel_Rates[Category],0)-1,0,1,12),0))/8,"")</f>
        <v/>
      </c>
      <c r="H137" s="92"/>
      <c r="I137" s="88" t="str">
        <f t="shared" ca="1" si="93"/>
        <v/>
      </c>
      <c r="J137" s="89" t="str">
        <f t="shared" ca="1" si="94"/>
        <v/>
      </c>
      <c r="K137" s="90" t="str">
        <f>IFERROR(_xlfn.XLOOKUP(D137,CostTableLookup[Name],CostTableLookup[Gross Cost]),"")</f>
        <v/>
      </c>
      <c r="L137" s="22"/>
      <c r="M137" s="81" t="str">
        <f t="shared" ca="1" si="99"/>
        <v/>
      </c>
      <c r="N137" s="23"/>
      <c r="O137" s="81" t="str">
        <f t="shared" ca="1" si="100"/>
        <v/>
      </c>
      <c r="P137" s="81" t="str">
        <f t="shared" ca="1" si="95"/>
        <v/>
      </c>
      <c r="Q137" s="24" t="str">
        <f t="shared" si="96"/>
        <v/>
      </c>
      <c r="R137" s="110" t="str">
        <f t="shared" ca="1" si="101"/>
        <v/>
      </c>
      <c r="S137" s="114">
        <f t="shared" ref="S137" ca="1" si="115">IFERROR(SUM(OFFSET(Y137,0,MATCH(Forecast_New,$Y$3:$WQ$3,0)-1,1,500))*40,"")</f>
        <v>0</v>
      </c>
      <c r="T137" s="115">
        <f t="shared" ca="1" si="103"/>
        <v>0</v>
      </c>
      <c r="U137" s="116" t="str">
        <f t="shared" ca="1" si="55"/>
        <v/>
      </c>
      <c r="V137" s="99" t="str">
        <f t="shared" ca="1" si="56"/>
        <v/>
      </c>
      <c r="W137" s="100" t="str">
        <f t="shared" ca="1" si="104"/>
        <v/>
      </c>
      <c r="X137" s="83" t="str">
        <f t="shared" ca="1" si="105"/>
        <v/>
      </c>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5"/>
      <c r="EN137" s="25"/>
      <c r="EO137" s="25"/>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c r="FL137" s="25"/>
      <c r="FM137" s="25"/>
      <c r="FN137" s="25"/>
      <c r="FO137" s="25"/>
      <c r="FP137" s="25"/>
      <c r="FQ137" s="25"/>
      <c r="FR137" s="25"/>
      <c r="FS137" s="25"/>
      <c r="FT137" s="25"/>
      <c r="FU137" s="25"/>
      <c r="FV137" s="25"/>
      <c r="FW137" s="25"/>
      <c r="FX137" s="25"/>
      <c r="FY137" s="25"/>
      <c r="FZ137" s="25"/>
      <c r="GA137" s="25"/>
      <c r="GB137" s="25"/>
      <c r="GC137" s="25"/>
      <c r="GD137" s="25"/>
      <c r="GE137" s="25"/>
      <c r="GF137" s="25"/>
      <c r="GG137" s="25"/>
      <c r="GH137" s="25"/>
      <c r="GI137" s="25"/>
      <c r="GJ137" s="25"/>
      <c r="GK137" s="25"/>
      <c r="GL137" s="25"/>
      <c r="GM137" s="25"/>
      <c r="GN137" s="25"/>
      <c r="GO137" s="25"/>
      <c r="GP137" s="25"/>
      <c r="GQ137" s="25"/>
      <c r="GR137" s="25"/>
      <c r="GS137" s="25"/>
      <c r="GT137" s="25"/>
      <c r="GU137" s="25"/>
      <c r="GV137" s="25"/>
      <c r="GW137" s="25"/>
      <c r="GX137" s="25"/>
      <c r="GY137" s="25"/>
      <c r="GZ137" s="25"/>
      <c r="HA137" s="25"/>
      <c r="HB137" s="25"/>
      <c r="HC137" s="25"/>
      <c r="HD137" s="25"/>
      <c r="HE137" s="25"/>
      <c r="HF137" s="25"/>
      <c r="HG137" s="25"/>
      <c r="HH137" s="25"/>
      <c r="HI137" s="25"/>
      <c r="HJ137" s="25"/>
      <c r="HK137" s="25"/>
      <c r="HL137" s="25"/>
      <c r="HM137" s="25"/>
      <c r="HN137" s="25"/>
      <c r="HO137" s="25"/>
      <c r="HP137" s="25"/>
      <c r="HQ137" s="25"/>
      <c r="HR137" s="25"/>
      <c r="HS137" s="25"/>
      <c r="HT137" s="25"/>
      <c r="HU137" s="25"/>
      <c r="HV137" s="25"/>
      <c r="HW137" s="25"/>
      <c r="HX137" s="25"/>
      <c r="HY137" s="25"/>
      <c r="HZ137" s="25"/>
      <c r="IA137" s="25"/>
      <c r="IB137" s="25"/>
      <c r="IC137" s="25"/>
      <c r="ID137" s="25"/>
      <c r="IE137" s="25"/>
      <c r="IF137" s="25"/>
      <c r="IG137" s="25"/>
      <c r="IH137" s="25"/>
      <c r="II137" s="25"/>
      <c r="IJ137" s="25"/>
      <c r="IK137" s="25"/>
      <c r="IL137" s="25"/>
      <c r="IM137" s="25"/>
      <c r="IN137" s="25"/>
      <c r="IO137" s="25"/>
      <c r="IP137" s="25"/>
      <c r="IQ137" s="25"/>
      <c r="IR137" s="25"/>
      <c r="IS137" s="25"/>
      <c r="IT137" s="25"/>
      <c r="IU137" s="25"/>
      <c r="IV137" s="25"/>
      <c r="IW137" s="25"/>
      <c r="IX137" s="25"/>
      <c r="IY137" s="25"/>
      <c r="IZ137" s="25"/>
      <c r="JA137" s="25"/>
      <c r="JB137" s="25"/>
      <c r="JC137" s="25"/>
      <c r="JD137" s="25"/>
      <c r="JE137" s="25"/>
      <c r="JF137" s="25"/>
      <c r="JG137" s="25"/>
      <c r="JH137" s="25"/>
      <c r="JI137" s="25"/>
      <c r="JJ137" s="25"/>
      <c r="JK137" s="25"/>
      <c r="JL137" s="25"/>
      <c r="JM137" s="25"/>
      <c r="JN137" s="25"/>
    </row>
    <row r="138" spans="2:274" ht="20.25" customHeight="1" x14ac:dyDescent="0.25">
      <c r="B138" s="20"/>
      <c r="F138" s="21"/>
      <c r="G138" s="86" t="str" cm="1">
        <f t="array" aca="1" ref="G138" ca="1">IFERROR(INDEX(Panel_Rates[[1]:[12]],MATCH(Panel_New&amp;Category_New,Panel_Rates[Panel]&amp;Panel_Rates[Category],0),MATCH('Time Plan HY'!E138,OFFSET(Variable!$AF$2,MATCH(Panel_New&amp;Category_New,Panel_Rates[Panel]&amp;Panel_Rates[Category],0)-1,0,1,12),0))/8,"")</f>
        <v/>
      </c>
      <c r="H138" s="92"/>
      <c r="I138" s="88" t="str">
        <f t="shared" ca="1" si="93"/>
        <v/>
      </c>
      <c r="J138" s="89" t="str">
        <f t="shared" ca="1" si="94"/>
        <v/>
      </c>
      <c r="K138" s="90" t="str">
        <f>IFERROR(_xlfn.XLOOKUP(D138,CostTableLookup[Name],CostTableLookup[Gross Cost]),"")</f>
        <v/>
      </c>
      <c r="L138" s="22"/>
      <c r="M138" s="81" t="str">
        <f t="shared" ca="1" si="99"/>
        <v/>
      </c>
      <c r="N138" s="23"/>
      <c r="O138" s="81" t="str">
        <f t="shared" ca="1" si="100"/>
        <v/>
      </c>
      <c r="P138" s="81" t="str">
        <f t="shared" ca="1" si="95"/>
        <v/>
      </c>
      <c r="Q138" s="24" t="str">
        <f t="shared" si="96"/>
        <v/>
      </c>
      <c r="R138" s="110" t="str">
        <f t="shared" ca="1" si="101"/>
        <v/>
      </c>
      <c r="S138" s="114">
        <f t="shared" ref="S138" ca="1" si="116">IFERROR(SUM(OFFSET(Y138,0,MATCH(Forecast_New,$Y$3:$WQ$3,0)-1,1,500))*40,"")</f>
        <v>0</v>
      </c>
      <c r="T138" s="115">
        <f t="shared" ca="1" si="103"/>
        <v>0</v>
      </c>
      <c r="U138" s="116" t="str">
        <f t="shared" ca="1" si="55"/>
        <v/>
      </c>
      <c r="V138" s="99" t="str">
        <f t="shared" ca="1" si="56"/>
        <v/>
      </c>
      <c r="W138" s="100" t="str">
        <f t="shared" ca="1" si="104"/>
        <v/>
      </c>
      <c r="X138" s="83" t="str">
        <f t="shared" ca="1" si="105"/>
        <v/>
      </c>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25"/>
      <c r="EJ138" s="25"/>
      <c r="EK138" s="25"/>
      <c r="EL138" s="25"/>
      <c r="EM138" s="25"/>
      <c r="EN138" s="25"/>
      <c r="EO138" s="25"/>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c r="FL138" s="25"/>
      <c r="FM138" s="25"/>
      <c r="FN138" s="25"/>
      <c r="FO138" s="25"/>
      <c r="FP138" s="25"/>
      <c r="FQ138" s="25"/>
      <c r="FR138" s="25"/>
      <c r="FS138" s="25"/>
      <c r="FT138" s="25"/>
      <c r="FU138" s="25"/>
      <c r="FV138" s="25"/>
      <c r="FW138" s="25"/>
      <c r="FX138" s="25"/>
      <c r="FY138" s="25"/>
      <c r="FZ138" s="25"/>
      <c r="GA138" s="25"/>
      <c r="GB138" s="25"/>
      <c r="GC138" s="25"/>
      <c r="GD138" s="25"/>
      <c r="GE138" s="25"/>
      <c r="GF138" s="25"/>
      <c r="GG138" s="25"/>
      <c r="GH138" s="25"/>
      <c r="GI138" s="25"/>
      <c r="GJ138" s="25"/>
      <c r="GK138" s="25"/>
      <c r="GL138" s="25"/>
      <c r="GM138" s="25"/>
      <c r="GN138" s="25"/>
      <c r="GO138" s="25"/>
      <c r="GP138" s="25"/>
      <c r="GQ138" s="25"/>
      <c r="GR138" s="25"/>
      <c r="GS138" s="25"/>
      <c r="GT138" s="25"/>
      <c r="GU138" s="25"/>
      <c r="GV138" s="25"/>
      <c r="GW138" s="25"/>
      <c r="GX138" s="25"/>
      <c r="GY138" s="25"/>
      <c r="GZ138" s="25"/>
      <c r="HA138" s="25"/>
      <c r="HB138" s="25"/>
      <c r="HC138" s="25"/>
      <c r="HD138" s="25"/>
      <c r="HE138" s="25"/>
      <c r="HF138" s="25"/>
      <c r="HG138" s="25"/>
      <c r="HH138" s="25"/>
      <c r="HI138" s="25"/>
      <c r="HJ138" s="25"/>
      <c r="HK138" s="25"/>
      <c r="HL138" s="25"/>
      <c r="HM138" s="25"/>
      <c r="HN138" s="25"/>
      <c r="HO138" s="25"/>
      <c r="HP138" s="25"/>
      <c r="HQ138" s="25"/>
      <c r="HR138" s="25"/>
      <c r="HS138" s="25"/>
      <c r="HT138" s="25"/>
      <c r="HU138" s="25"/>
      <c r="HV138" s="25"/>
      <c r="HW138" s="25"/>
      <c r="HX138" s="25"/>
      <c r="HY138" s="25"/>
      <c r="HZ138" s="25"/>
      <c r="IA138" s="25"/>
      <c r="IB138" s="25"/>
      <c r="IC138" s="25"/>
      <c r="ID138" s="25"/>
      <c r="IE138" s="25"/>
      <c r="IF138" s="25"/>
      <c r="IG138" s="25"/>
      <c r="IH138" s="25"/>
      <c r="II138" s="25"/>
      <c r="IJ138" s="25"/>
      <c r="IK138" s="25"/>
      <c r="IL138" s="25"/>
      <c r="IM138" s="25"/>
      <c r="IN138" s="25"/>
      <c r="IO138" s="25"/>
      <c r="IP138" s="25"/>
      <c r="IQ138" s="25"/>
      <c r="IR138" s="25"/>
      <c r="IS138" s="25"/>
      <c r="IT138" s="25"/>
      <c r="IU138" s="25"/>
      <c r="IV138" s="25"/>
      <c r="IW138" s="25"/>
      <c r="IX138" s="25"/>
      <c r="IY138" s="25"/>
      <c r="IZ138" s="25"/>
      <c r="JA138" s="25"/>
      <c r="JB138" s="25"/>
      <c r="JC138" s="25"/>
      <c r="JD138" s="25"/>
      <c r="JE138" s="25"/>
      <c r="JF138" s="25"/>
      <c r="JG138" s="25"/>
      <c r="JH138" s="25"/>
      <c r="JI138" s="25"/>
      <c r="JJ138" s="25"/>
      <c r="JK138" s="25"/>
      <c r="JL138" s="25"/>
      <c r="JM138" s="25"/>
      <c r="JN138" s="25"/>
    </row>
    <row r="139" spans="2:274" ht="20.25" customHeight="1" x14ac:dyDescent="0.25">
      <c r="B139" s="20"/>
      <c r="F139" s="21"/>
      <c r="G139" s="86" t="str" cm="1">
        <f t="array" aca="1" ref="G139" ca="1">IFERROR(INDEX(Panel_Rates[[1]:[12]],MATCH(Panel_New&amp;Category_New,Panel_Rates[Panel]&amp;Panel_Rates[Category],0),MATCH('Time Plan HY'!E139,OFFSET(Variable!$AF$2,MATCH(Panel_New&amp;Category_New,Panel_Rates[Panel]&amp;Panel_Rates[Category],0)-1,0,1,12),0))/8,"")</f>
        <v/>
      </c>
      <c r="H139" s="92"/>
      <c r="I139" s="88" t="str">
        <f t="shared" ca="1" si="93"/>
        <v/>
      </c>
      <c r="J139" s="89" t="str">
        <f t="shared" ca="1" si="94"/>
        <v/>
      </c>
      <c r="K139" s="90" t="str">
        <f>IFERROR(_xlfn.XLOOKUP(D139,CostTableLookup[Name],CostTableLookup[Gross Cost]),"")</f>
        <v/>
      </c>
      <c r="L139" s="22"/>
      <c r="M139" s="81" t="str">
        <f t="shared" ca="1" si="99"/>
        <v/>
      </c>
      <c r="N139" s="23"/>
      <c r="O139" s="81" t="str">
        <f t="shared" ca="1" si="100"/>
        <v/>
      </c>
      <c r="P139" s="81" t="str">
        <f t="shared" ca="1" si="95"/>
        <v/>
      </c>
      <c r="Q139" s="24" t="str">
        <f t="shared" si="96"/>
        <v/>
      </c>
      <c r="R139" s="110" t="str">
        <f t="shared" ca="1" si="101"/>
        <v/>
      </c>
      <c r="S139" s="114">
        <f t="shared" ref="S139" ca="1" si="117">IFERROR(SUM(OFFSET(Y139,0,MATCH(Forecast_New,$Y$3:$WQ$3,0)-1,1,500))*40,"")</f>
        <v>0</v>
      </c>
      <c r="T139" s="115">
        <f t="shared" ca="1" si="103"/>
        <v>0</v>
      </c>
      <c r="U139" s="116" t="str">
        <f t="shared" ca="1" si="55"/>
        <v/>
      </c>
      <c r="V139" s="99" t="str">
        <f t="shared" ca="1" si="56"/>
        <v/>
      </c>
      <c r="W139" s="100" t="str">
        <f t="shared" ca="1" si="104"/>
        <v/>
      </c>
      <c r="X139" s="83" t="str">
        <f t="shared" ca="1" si="105"/>
        <v/>
      </c>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c r="FL139" s="25"/>
      <c r="FM139" s="25"/>
      <c r="FN139" s="25"/>
      <c r="FO139" s="25"/>
      <c r="FP139" s="25"/>
      <c r="FQ139" s="25"/>
      <c r="FR139" s="25"/>
      <c r="FS139" s="25"/>
      <c r="FT139" s="25"/>
      <c r="FU139" s="25"/>
      <c r="FV139" s="25"/>
      <c r="FW139" s="25"/>
      <c r="FX139" s="25"/>
      <c r="FY139" s="25"/>
      <c r="FZ139" s="25"/>
      <c r="GA139" s="25"/>
      <c r="GB139" s="25"/>
      <c r="GC139" s="25"/>
      <c r="GD139" s="25"/>
      <c r="GE139" s="25"/>
      <c r="GF139" s="25"/>
      <c r="GG139" s="25"/>
      <c r="GH139" s="25"/>
      <c r="GI139" s="25"/>
      <c r="GJ139" s="25"/>
      <c r="GK139" s="25"/>
      <c r="GL139" s="25"/>
      <c r="GM139" s="25"/>
      <c r="GN139" s="25"/>
      <c r="GO139" s="25"/>
      <c r="GP139" s="25"/>
      <c r="GQ139" s="25"/>
      <c r="GR139" s="25"/>
      <c r="GS139" s="25"/>
      <c r="GT139" s="25"/>
      <c r="GU139" s="25"/>
      <c r="GV139" s="25"/>
      <c r="GW139" s="25"/>
      <c r="GX139" s="25"/>
      <c r="GY139" s="25"/>
      <c r="GZ139" s="25"/>
      <c r="HA139" s="25"/>
      <c r="HB139" s="25"/>
      <c r="HC139" s="25"/>
      <c r="HD139" s="25"/>
      <c r="HE139" s="25"/>
      <c r="HF139" s="25"/>
      <c r="HG139" s="25"/>
      <c r="HH139" s="25"/>
      <c r="HI139" s="25"/>
      <c r="HJ139" s="25"/>
      <c r="HK139" s="25"/>
      <c r="HL139" s="25"/>
      <c r="HM139" s="25"/>
      <c r="HN139" s="25"/>
      <c r="HO139" s="25"/>
      <c r="HP139" s="25"/>
      <c r="HQ139" s="25"/>
      <c r="HR139" s="25"/>
      <c r="HS139" s="25"/>
      <c r="HT139" s="25"/>
      <c r="HU139" s="25"/>
      <c r="HV139" s="25"/>
      <c r="HW139" s="25"/>
      <c r="HX139" s="25"/>
      <c r="HY139" s="25"/>
      <c r="HZ139" s="25"/>
      <c r="IA139" s="25"/>
      <c r="IB139" s="25"/>
      <c r="IC139" s="25"/>
      <c r="ID139" s="25"/>
      <c r="IE139" s="25"/>
      <c r="IF139" s="25"/>
      <c r="IG139" s="25"/>
      <c r="IH139" s="25"/>
      <c r="II139" s="25"/>
      <c r="IJ139" s="25"/>
      <c r="IK139" s="25"/>
      <c r="IL139" s="25"/>
      <c r="IM139" s="25"/>
      <c r="IN139" s="25"/>
      <c r="IO139" s="25"/>
      <c r="IP139" s="25"/>
      <c r="IQ139" s="25"/>
      <c r="IR139" s="25"/>
      <c r="IS139" s="25"/>
      <c r="IT139" s="25"/>
      <c r="IU139" s="25"/>
      <c r="IV139" s="25"/>
      <c r="IW139" s="25"/>
      <c r="IX139" s="25"/>
      <c r="IY139" s="25"/>
      <c r="IZ139" s="25"/>
      <c r="JA139" s="25"/>
      <c r="JB139" s="25"/>
      <c r="JC139" s="25"/>
      <c r="JD139" s="25"/>
      <c r="JE139" s="25"/>
      <c r="JF139" s="25"/>
      <c r="JG139" s="25"/>
      <c r="JH139" s="25"/>
      <c r="JI139" s="25"/>
      <c r="JJ139" s="25"/>
      <c r="JK139" s="25"/>
      <c r="JL139" s="25"/>
      <c r="JM139" s="25"/>
      <c r="JN139" s="25"/>
    </row>
    <row r="140" spans="2:274" ht="20.25" customHeight="1" x14ac:dyDescent="0.25">
      <c r="B140" s="20"/>
      <c r="F140" s="21"/>
      <c r="G140" s="86" t="str" cm="1">
        <f t="array" aca="1" ref="G140" ca="1">IFERROR(INDEX(Panel_Rates[[1]:[12]],MATCH(Panel_New&amp;Category_New,Panel_Rates[Panel]&amp;Panel_Rates[Category],0),MATCH('Time Plan HY'!E140,OFFSET(Variable!$AF$2,MATCH(Panel_New&amp;Category_New,Panel_Rates[Panel]&amp;Panel_Rates[Category],0)-1,0,1,12),0))/8,"")</f>
        <v/>
      </c>
      <c r="H140" s="92"/>
      <c r="I140" s="88" t="str">
        <f t="shared" ca="1" si="93"/>
        <v/>
      </c>
      <c r="J140" s="89" t="str">
        <f t="shared" ca="1" si="94"/>
        <v/>
      </c>
      <c r="K140" s="90" t="str">
        <f>IFERROR(_xlfn.XLOOKUP(D140,CostTableLookup[Name],CostTableLookup[Gross Cost]),"")</f>
        <v/>
      </c>
      <c r="L140" s="22"/>
      <c r="M140" s="81" t="str">
        <f t="shared" ca="1" si="99"/>
        <v/>
      </c>
      <c r="N140" s="23"/>
      <c r="O140" s="81" t="str">
        <f t="shared" ca="1" si="100"/>
        <v/>
      </c>
      <c r="P140" s="81" t="str">
        <f t="shared" ca="1" si="95"/>
        <v/>
      </c>
      <c r="Q140" s="24" t="str">
        <f t="shared" si="96"/>
        <v/>
      </c>
      <c r="R140" s="110" t="str">
        <f t="shared" ca="1" si="101"/>
        <v/>
      </c>
      <c r="S140" s="114">
        <f t="shared" ref="S140" ca="1" si="118">IFERROR(SUM(OFFSET(Y140,0,MATCH(Forecast_New,$Y$3:$WQ$3,0)-1,1,500))*40,"")</f>
        <v>0</v>
      </c>
      <c r="T140" s="115">
        <f t="shared" ca="1" si="103"/>
        <v>0</v>
      </c>
      <c r="U140" s="116" t="str">
        <f t="shared" ca="1" si="55"/>
        <v/>
      </c>
      <c r="V140" s="99" t="str">
        <f t="shared" ca="1" si="56"/>
        <v/>
      </c>
      <c r="W140" s="100" t="str">
        <f t="shared" ca="1" si="104"/>
        <v/>
      </c>
      <c r="X140" s="83" t="str">
        <f t="shared" ca="1" si="105"/>
        <v/>
      </c>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25"/>
      <c r="EJ140" s="25"/>
      <c r="EK140" s="25"/>
      <c r="EL140" s="25"/>
      <c r="EM140" s="25"/>
      <c r="EN140" s="25"/>
      <c r="EO140" s="25"/>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c r="FL140" s="25"/>
      <c r="FM140" s="25"/>
      <c r="FN140" s="25"/>
      <c r="FO140" s="25"/>
      <c r="FP140" s="25"/>
      <c r="FQ140" s="25"/>
      <c r="FR140" s="25"/>
      <c r="FS140" s="25"/>
      <c r="FT140" s="25"/>
      <c r="FU140" s="25"/>
      <c r="FV140" s="25"/>
      <c r="FW140" s="25"/>
      <c r="FX140" s="25"/>
      <c r="FY140" s="25"/>
      <c r="FZ140" s="25"/>
      <c r="GA140" s="25"/>
      <c r="GB140" s="25"/>
      <c r="GC140" s="25"/>
      <c r="GD140" s="25"/>
      <c r="GE140" s="25"/>
      <c r="GF140" s="25"/>
      <c r="GG140" s="25"/>
      <c r="GH140" s="25"/>
      <c r="GI140" s="25"/>
      <c r="GJ140" s="25"/>
      <c r="GK140" s="25"/>
      <c r="GL140" s="25"/>
      <c r="GM140" s="25"/>
      <c r="GN140" s="25"/>
      <c r="GO140" s="25"/>
      <c r="GP140" s="25"/>
      <c r="GQ140" s="25"/>
      <c r="GR140" s="25"/>
      <c r="GS140" s="25"/>
      <c r="GT140" s="25"/>
      <c r="GU140" s="25"/>
      <c r="GV140" s="25"/>
      <c r="GW140" s="25"/>
      <c r="GX140" s="25"/>
      <c r="GY140" s="25"/>
      <c r="GZ140" s="25"/>
      <c r="HA140" s="25"/>
      <c r="HB140" s="25"/>
      <c r="HC140" s="25"/>
      <c r="HD140" s="25"/>
      <c r="HE140" s="25"/>
      <c r="HF140" s="25"/>
      <c r="HG140" s="25"/>
      <c r="HH140" s="25"/>
      <c r="HI140" s="25"/>
      <c r="HJ140" s="25"/>
      <c r="HK140" s="25"/>
      <c r="HL140" s="25"/>
      <c r="HM140" s="25"/>
      <c r="HN140" s="25"/>
      <c r="HO140" s="25"/>
      <c r="HP140" s="25"/>
      <c r="HQ140" s="25"/>
      <c r="HR140" s="25"/>
      <c r="HS140" s="25"/>
      <c r="HT140" s="25"/>
      <c r="HU140" s="25"/>
      <c r="HV140" s="25"/>
      <c r="HW140" s="25"/>
      <c r="HX140" s="25"/>
      <c r="HY140" s="25"/>
      <c r="HZ140" s="25"/>
      <c r="IA140" s="25"/>
      <c r="IB140" s="25"/>
      <c r="IC140" s="25"/>
      <c r="ID140" s="25"/>
      <c r="IE140" s="25"/>
      <c r="IF140" s="25"/>
      <c r="IG140" s="25"/>
      <c r="IH140" s="25"/>
      <c r="II140" s="25"/>
      <c r="IJ140" s="25"/>
      <c r="IK140" s="25"/>
      <c r="IL140" s="25"/>
      <c r="IM140" s="25"/>
      <c r="IN140" s="25"/>
      <c r="IO140" s="25"/>
      <c r="IP140" s="25"/>
      <c r="IQ140" s="25"/>
      <c r="IR140" s="25"/>
      <c r="IS140" s="25"/>
      <c r="IT140" s="25"/>
      <c r="IU140" s="25"/>
      <c r="IV140" s="25"/>
      <c r="IW140" s="25"/>
      <c r="IX140" s="25"/>
      <c r="IY140" s="25"/>
      <c r="IZ140" s="25"/>
      <c r="JA140" s="25"/>
      <c r="JB140" s="25"/>
      <c r="JC140" s="25"/>
      <c r="JD140" s="25"/>
      <c r="JE140" s="25"/>
      <c r="JF140" s="25"/>
      <c r="JG140" s="25"/>
      <c r="JH140" s="25"/>
      <c r="JI140" s="25"/>
      <c r="JJ140" s="25"/>
      <c r="JK140" s="25"/>
      <c r="JL140" s="25"/>
      <c r="JM140" s="25"/>
      <c r="JN140" s="25"/>
    </row>
    <row r="141" spans="2:274" ht="20.25" customHeight="1" x14ac:dyDescent="0.25">
      <c r="B141" s="20"/>
      <c r="F141" s="21"/>
      <c r="G141" s="86" t="str" cm="1">
        <f t="array" aca="1" ref="G141" ca="1">IFERROR(INDEX(Panel_Rates[[1]:[12]],MATCH(Panel_New&amp;Category_New,Panel_Rates[Panel]&amp;Panel_Rates[Category],0),MATCH('Time Plan HY'!E141,OFFSET(Variable!$AF$2,MATCH(Panel_New&amp;Category_New,Panel_Rates[Panel]&amp;Panel_Rates[Category],0)-1,0,1,12),0))/8,"")</f>
        <v/>
      </c>
      <c r="H141" s="92"/>
      <c r="I141" s="88" t="str">
        <f t="shared" ca="1" si="93"/>
        <v/>
      </c>
      <c r="J141" s="89" t="str">
        <f t="shared" ca="1" si="94"/>
        <v/>
      </c>
      <c r="K141" s="90" t="str">
        <f>IFERROR(_xlfn.XLOOKUP(D141,CostTableLookup[Name],CostTableLookup[Gross Cost]),"")</f>
        <v/>
      </c>
      <c r="L141" s="22"/>
      <c r="M141" s="81" t="str">
        <f t="shared" ca="1" si="99"/>
        <v/>
      </c>
      <c r="N141" s="23"/>
      <c r="O141" s="81" t="str">
        <f t="shared" ca="1" si="100"/>
        <v/>
      </c>
      <c r="P141" s="81" t="str">
        <f t="shared" ca="1" si="95"/>
        <v/>
      </c>
      <c r="Q141" s="24" t="str">
        <f t="shared" si="96"/>
        <v/>
      </c>
      <c r="R141" s="110" t="str">
        <f t="shared" ca="1" si="101"/>
        <v/>
      </c>
      <c r="S141" s="114">
        <f t="shared" ref="S141" ca="1" si="119">IFERROR(SUM(OFFSET(Y141,0,MATCH(Forecast_New,$Y$3:$WQ$3,0)-1,1,500))*40,"")</f>
        <v>0</v>
      </c>
      <c r="T141" s="115">
        <f t="shared" ca="1" si="103"/>
        <v>0</v>
      </c>
      <c r="U141" s="116" t="str">
        <f t="shared" ca="1" si="55"/>
        <v/>
      </c>
      <c r="V141" s="99" t="str">
        <f t="shared" ca="1" si="56"/>
        <v/>
      </c>
      <c r="W141" s="100" t="str">
        <f t="shared" ca="1" si="104"/>
        <v/>
      </c>
      <c r="X141" s="83" t="str">
        <f t="shared" ca="1" si="105"/>
        <v/>
      </c>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25"/>
      <c r="EJ141" s="25"/>
      <c r="EK141" s="25"/>
      <c r="EL141" s="25"/>
      <c r="EM141" s="25"/>
      <c r="EN141" s="25"/>
      <c r="EO141" s="25"/>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c r="FL141" s="25"/>
      <c r="FM141" s="25"/>
      <c r="FN141" s="25"/>
      <c r="FO141" s="25"/>
      <c r="FP141" s="25"/>
      <c r="FQ141" s="25"/>
      <c r="FR141" s="25"/>
      <c r="FS141" s="25"/>
      <c r="FT141" s="25"/>
      <c r="FU141" s="25"/>
      <c r="FV141" s="25"/>
      <c r="FW141" s="25"/>
      <c r="FX141" s="25"/>
      <c r="FY141" s="25"/>
      <c r="FZ141" s="25"/>
      <c r="GA141" s="25"/>
      <c r="GB141" s="25"/>
      <c r="GC141" s="25"/>
      <c r="GD141" s="25"/>
      <c r="GE141" s="25"/>
      <c r="GF141" s="25"/>
      <c r="GG141" s="25"/>
      <c r="GH141" s="25"/>
      <c r="GI141" s="25"/>
      <c r="GJ141" s="25"/>
      <c r="GK141" s="25"/>
      <c r="GL141" s="25"/>
      <c r="GM141" s="25"/>
      <c r="GN141" s="25"/>
      <c r="GO141" s="25"/>
      <c r="GP141" s="25"/>
      <c r="GQ141" s="25"/>
      <c r="GR141" s="25"/>
      <c r="GS141" s="25"/>
      <c r="GT141" s="25"/>
      <c r="GU141" s="25"/>
      <c r="GV141" s="25"/>
      <c r="GW141" s="25"/>
      <c r="GX141" s="25"/>
      <c r="GY141" s="25"/>
      <c r="GZ141" s="25"/>
      <c r="HA141" s="25"/>
      <c r="HB141" s="25"/>
      <c r="HC141" s="25"/>
      <c r="HD141" s="25"/>
      <c r="HE141" s="25"/>
      <c r="HF141" s="25"/>
      <c r="HG141" s="25"/>
      <c r="HH141" s="25"/>
      <c r="HI141" s="25"/>
      <c r="HJ141" s="25"/>
      <c r="HK141" s="25"/>
      <c r="HL141" s="25"/>
      <c r="HM141" s="25"/>
      <c r="HN141" s="25"/>
      <c r="HO141" s="25"/>
      <c r="HP141" s="25"/>
      <c r="HQ141" s="25"/>
      <c r="HR141" s="25"/>
      <c r="HS141" s="25"/>
      <c r="HT141" s="25"/>
      <c r="HU141" s="25"/>
      <c r="HV141" s="25"/>
      <c r="HW141" s="25"/>
      <c r="HX141" s="25"/>
      <c r="HY141" s="25"/>
      <c r="HZ141" s="25"/>
      <c r="IA141" s="25"/>
      <c r="IB141" s="25"/>
      <c r="IC141" s="25"/>
      <c r="ID141" s="25"/>
      <c r="IE141" s="25"/>
      <c r="IF141" s="25"/>
      <c r="IG141" s="25"/>
      <c r="IH141" s="25"/>
      <c r="II141" s="25"/>
      <c r="IJ141" s="25"/>
      <c r="IK141" s="25"/>
      <c r="IL141" s="25"/>
      <c r="IM141" s="25"/>
      <c r="IN141" s="25"/>
      <c r="IO141" s="25"/>
      <c r="IP141" s="25"/>
      <c r="IQ141" s="25"/>
      <c r="IR141" s="25"/>
      <c r="IS141" s="25"/>
      <c r="IT141" s="25"/>
      <c r="IU141" s="25"/>
      <c r="IV141" s="25"/>
      <c r="IW141" s="25"/>
      <c r="IX141" s="25"/>
      <c r="IY141" s="25"/>
      <c r="IZ141" s="25"/>
      <c r="JA141" s="25"/>
      <c r="JB141" s="25"/>
      <c r="JC141" s="25"/>
      <c r="JD141" s="25"/>
      <c r="JE141" s="25"/>
      <c r="JF141" s="25"/>
      <c r="JG141" s="25"/>
      <c r="JH141" s="25"/>
      <c r="JI141" s="25"/>
      <c r="JJ141" s="25"/>
      <c r="JK141" s="25"/>
      <c r="JL141" s="25"/>
      <c r="JM141" s="25"/>
      <c r="JN141" s="25"/>
    </row>
    <row r="142" spans="2:274" ht="20.25" customHeight="1" x14ac:dyDescent="0.25">
      <c r="B142" s="20"/>
      <c r="F142" s="21"/>
      <c r="G142" s="86" t="str" cm="1">
        <f t="array" aca="1" ref="G142" ca="1">IFERROR(INDEX(Panel_Rates[[1]:[12]],MATCH(Panel_New&amp;Category_New,Panel_Rates[Panel]&amp;Panel_Rates[Category],0),MATCH('Time Plan HY'!E142,OFFSET(Variable!$AF$2,MATCH(Panel_New&amp;Category_New,Panel_Rates[Panel]&amp;Panel_Rates[Category],0)-1,0,1,12),0))/8,"")</f>
        <v/>
      </c>
      <c r="H142" s="92"/>
      <c r="I142" s="88" t="str">
        <f t="shared" ca="1" si="93"/>
        <v/>
      </c>
      <c r="J142" s="89" t="str">
        <f t="shared" ca="1" si="94"/>
        <v/>
      </c>
      <c r="K142" s="90" t="str">
        <f>IFERROR(_xlfn.XLOOKUP(D142,CostTableLookup[Name],CostTableLookup[Gross Cost]),"")</f>
        <v/>
      </c>
      <c r="L142" s="22"/>
      <c r="M142" s="81" t="str">
        <f t="shared" ca="1" si="99"/>
        <v/>
      </c>
      <c r="N142" s="23"/>
      <c r="O142" s="81" t="str">
        <f t="shared" ca="1" si="100"/>
        <v/>
      </c>
      <c r="P142" s="81" t="str">
        <f t="shared" ca="1" si="95"/>
        <v/>
      </c>
      <c r="Q142" s="24" t="str">
        <f t="shared" si="96"/>
        <v/>
      </c>
      <c r="R142" s="110" t="str">
        <f t="shared" ca="1" si="101"/>
        <v/>
      </c>
      <c r="S142" s="114">
        <f t="shared" ref="S142" ca="1" si="120">IFERROR(SUM(OFFSET(Y142,0,MATCH(Forecast_New,$Y$3:$WQ$3,0)-1,1,500))*40,"")</f>
        <v>0</v>
      </c>
      <c r="T142" s="115">
        <f t="shared" ca="1" si="103"/>
        <v>0</v>
      </c>
      <c r="U142" s="116" t="str">
        <f t="shared" ca="1" si="55"/>
        <v/>
      </c>
      <c r="V142" s="99" t="str">
        <f t="shared" ca="1" si="56"/>
        <v/>
      </c>
      <c r="W142" s="100" t="str">
        <f t="shared" ca="1" si="104"/>
        <v/>
      </c>
      <c r="X142" s="83" t="str">
        <f t="shared" ca="1" si="105"/>
        <v/>
      </c>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5"/>
      <c r="EN142" s="25"/>
      <c r="EO142" s="25"/>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c r="FL142" s="25"/>
      <c r="FM142" s="25"/>
      <c r="FN142" s="25"/>
      <c r="FO142" s="25"/>
      <c r="FP142" s="25"/>
      <c r="FQ142" s="25"/>
      <c r="FR142" s="25"/>
      <c r="FS142" s="25"/>
      <c r="FT142" s="25"/>
      <c r="FU142" s="25"/>
      <c r="FV142" s="25"/>
      <c r="FW142" s="25"/>
      <c r="FX142" s="25"/>
      <c r="FY142" s="25"/>
      <c r="FZ142" s="25"/>
      <c r="GA142" s="25"/>
      <c r="GB142" s="25"/>
      <c r="GC142" s="25"/>
      <c r="GD142" s="25"/>
      <c r="GE142" s="25"/>
      <c r="GF142" s="25"/>
      <c r="GG142" s="25"/>
      <c r="GH142" s="25"/>
      <c r="GI142" s="25"/>
      <c r="GJ142" s="25"/>
      <c r="GK142" s="25"/>
      <c r="GL142" s="25"/>
      <c r="GM142" s="25"/>
      <c r="GN142" s="25"/>
      <c r="GO142" s="25"/>
      <c r="GP142" s="25"/>
      <c r="GQ142" s="25"/>
      <c r="GR142" s="25"/>
      <c r="GS142" s="25"/>
      <c r="GT142" s="25"/>
      <c r="GU142" s="25"/>
      <c r="GV142" s="25"/>
      <c r="GW142" s="25"/>
      <c r="GX142" s="25"/>
      <c r="GY142" s="25"/>
      <c r="GZ142" s="25"/>
      <c r="HA142" s="25"/>
      <c r="HB142" s="25"/>
      <c r="HC142" s="25"/>
      <c r="HD142" s="25"/>
      <c r="HE142" s="25"/>
      <c r="HF142" s="25"/>
      <c r="HG142" s="25"/>
      <c r="HH142" s="25"/>
      <c r="HI142" s="25"/>
      <c r="HJ142" s="25"/>
      <c r="HK142" s="25"/>
      <c r="HL142" s="25"/>
      <c r="HM142" s="25"/>
      <c r="HN142" s="25"/>
      <c r="HO142" s="25"/>
      <c r="HP142" s="25"/>
      <c r="HQ142" s="25"/>
      <c r="HR142" s="25"/>
      <c r="HS142" s="25"/>
      <c r="HT142" s="25"/>
      <c r="HU142" s="25"/>
      <c r="HV142" s="25"/>
      <c r="HW142" s="25"/>
      <c r="HX142" s="25"/>
      <c r="HY142" s="25"/>
      <c r="HZ142" s="25"/>
      <c r="IA142" s="25"/>
      <c r="IB142" s="25"/>
      <c r="IC142" s="25"/>
      <c r="ID142" s="25"/>
      <c r="IE142" s="25"/>
      <c r="IF142" s="25"/>
      <c r="IG142" s="25"/>
      <c r="IH142" s="25"/>
      <c r="II142" s="25"/>
      <c r="IJ142" s="25"/>
      <c r="IK142" s="25"/>
      <c r="IL142" s="25"/>
      <c r="IM142" s="25"/>
      <c r="IN142" s="25"/>
      <c r="IO142" s="25"/>
      <c r="IP142" s="25"/>
      <c r="IQ142" s="25"/>
      <c r="IR142" s="25"/>
      <c r="IS142" s="25"/>
      <c r="IT142" s="25"/>
      <c r="IU142" s="25"/>
      <c r="IV142" s="25"/>
      <c r="IW142" s="25"/>
      <c r="IX142" s="25"/>
      <c r="IY142" s="25"/>
      <c r="IZ142" s="25"/>
      <c r="JA142" s="25"/>
      <c r="JB142" s="25"/>
      <c r="JC142" s="25"/>
      <c r="JD142" s="25"/>
      <c r="JE142" s="25"/>
      <c r="JF142" s="25"/>
      <c r="JG142" s="25"/>
      <c r="JH142" s="25"/>
      <c r="JI142" s="25"/>
      <c r="JJ142" s="25"/>
      <c r="JK142" s="25"/>
      <c r="JL142" s="25"/>
      <c r="JM142" s="25"/>
      <c r="JN142" s="25"/>
    </row>
    <row r="143" spans="2:274" ht="20.25" customHeight="1" x14ac:dyDescent="0.25">
      <c r="B143" s="20"/>
      <c r="F143" s="21"/>
      <c r="G143" s="86" t="str" cm="1">
        <f t="array" aca="1" ref="G143" ca="1">IFERROR(INDEX(Panel_Rates[[1]:[12]],MATCH(Panel_New&amp;Category_New,Panel_Rates[Panel]&amp;Panel_Rates[Category],0),MATCH('Time Plan HY'!E143,OFFSET(Variable!$AF$2,MATCH(Panel_New&amp;Category_New,Panel_Rates[Panel]&amp;Panel_Rates[Category],0)-1,0,1,12),0))/8,"")</f>
        <v/>
      </c>
      <c r="H143" s="92"/>
      <c r="I143" s="88" t="str">
        <f t="shared" ca="1" si="93"/>
        <v/>
      </c>
      <c r="J143" s="89" t="str">
        <f t="shared" ca="1" si="94"/>
        <v/>
      </c>
      <c r="K143" s="90" t="str">
        <f>IFERROR(_xlfn.XLOOKUP(D143,CostTableLookup[Name],CostTableLookup[Gross Cost]),"")</f>
        <v/>
      </c>
      <c r="L143" s="22"/>
      <c r="M143" s="81" t="str">
        <f t="shared" ca="1" si="99"/>
        <v/>
      </c>
      <c r="N143" s="23"/>
      <c r="O143" s="81" t="str">
        <f t="shared" ca="1" si="100"/>
        <v/>
      </c>
      <c r="P143" s="81" t="str">
        <f t="shared" ca="1" si="95"/>
        <v/>
      </c>
      <c r="Q143" s="24" t="str">
        <f t="shared" si="96"/>
        <v/>
      </c>
      <c r="R143" s="110" t="str">
        <f t="shared" ca="1" si="101"/>
        <v/>
      </c>
      <c r="S143" s="114">
        <f t="shared" ref="S143" ca="1" si="121">IFERROR(SUM(OFFSET(Y143,0,MATCH(Forecast_New,$Y$3:$WQ$3,0)-1,1,500))*40,"")</f>
        <v>0</v>
      </c>
      <c r="T143" s="115">
        <f t="shared" ca="1" si="103"/>
        <v>0</v>
      </c>
      <c r="U143" s="116" t="str">
        <f t="shared" ca="1" si="55"/>
        <v/>
      </c>
      <c r="V143" s="99" t="str">
        <f t="shared" ca="1" si="56"/>
        <v/>
      </c>
      <c r="W143" s="100" t="str">
        <f t="shared" ca="1" si="104"/>
        <v/>
      </c>
      <c r="X143" s="83" t="str">
        <f t="shared" ca="1" si="105"/>
        <v/>
      </c>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25"/>
      <c r="EJ143" s="25"/>
      <c r="EK143" s="25"/>
      <c r="EL143" s="25"/>
      <c r="EM143" s="25"/>
      <c r="EN143" s="25"/>
      <c r="EO143" s="25"/>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c r="FL143" s="25"/>
      <c r="FM143" s="25"/>
      <c r="FN143" s="25"/>
      <c r="FO143" s="25"/>
      <c r="FP143" s="25"/>
      <c r="FQ143" s="25"/>
      <c r="FR143" s="25"/>
      <c r="FS143" s="25"/>
      <c r="FT143" s="25"/>
      <c r="FU143" s="25"/>
      <c r="FV143" s="25"/>
      <c r="FW143" s="25"/>
      <c r="FX143" s="25"/>
      <c r="FY143" s="25"/>
      <c r="FZ143" s="25"/>
      <c r="GA143" s="25"/>
      <c r="GB143" s="25"/>
      <c r="GC143" s="25"/>
      <c r="GD143" s="25"/>
      <c r="GE143" s="25"/>
      <c r="GF143" s="25"/>
      <c r="GG143" s="25"/>
      <c r="GH143" s="25"/>
      <c r="GI143" s="25"/>
      <c r="GJ143" s="25"/>
      <c r="GK143" s="25"/>
      <c r="GL143" s="25"/>
      <c r="GM143" s="25"/>
      <c r="GN143" s="25"/>
      <c r="GO143" s="25"/>
      <c r="GP143" s="25"/>
      <c r="GQ143" s="25"/>
      <c r="GR143" s="25"/>
      <c r="GS143" s="25"/>
      <c r="GT143" s="25"/>
      <c r="GU143" s="25"/>
      <c r="GV143" s="25"/>
      <c r="GW143" s="25"/>
      <c r="GX143" s="25"/>
      <c r="GY143" s="25"/>
      <c r="GZ143" s="25"/>
      <c r="HA143" s="25"/>
      <c r="HB143" s="25"/>
      <c r="HC143" s="25"/>
      <c r="HD143" s="25"/>
      <c r="HE143" s="25"/>
      <c r="HF143" s="25"/>
      <c r="HG143" s="25"/>
      <c r="HH143" s="25"/>
      <c r="HI143" s="25"/>
      <c r="HJ143" s="25"/>
      <c r="HK143" s="25"/>
      <c r="HL143" s="25"/>
      <c r="HM143" s="25"/>
      <c r="HN143" s="25"/>
      <c r="HO143" s="25"/>
      <c r="HP143" s="25"/>
      <c r="HQ143" s="25"/>
      <c r="HR143" s="25"/>
      <c r="HS143" s="25"/>
      <c r="HT143" s="25"/>
      <c r="HU143" s="25"/>
      <c r="HV143" s="25"/>
      <c r="HW143" s="25"/>
      <c r="HX143" s="25"/>
      <c r="HY143" s="25"/>
      <c r="HZ143" s="25"/>
      <c r="IA143" s="25"/>
      <c r="IB143" s="25"/>
      <c r="IC143" s="25"/>
      <c r="ID143" s="25"/>
      <c r="IE143" s="25"/>
      <c r="IF143" s="25"/>
      <c r="IG143" s="25"/>
      <c r="IH143" s="25"/>
      <c r="II143" s="25"/>
      <c r="IJ143" s="25"/>
      <c r="IK143" s="25"/>
      <c r="IL143" s="25"/>
      <c r="IM143" s="25"/>
      <c r="IN143" s="25"/>
      <c r="IO143" s="25"/>
      <c r="IP143" s="25"/>
      <c r="IQ143" s="25"/>
      <c r="IR143" s="25"/>
      <c r="IS143" s="25"/>
      <c r="IT143" s="25"/>
      <c r="IU143" s="25"/>
      <c r="IV143" s="25"/>
      <c r="IW143" s="25"/>
      <c r="IX143" s="25"/>
      <c r="IY143" s="25"/>
      <c r="IZ143" s="25"/>
      <c r="JA143" s="25"/>
      <c r="JB143" s="25"/>
      <c r="JC143" s="25"/>
      <c r="JD143" s="25"/>
      <c r="JE143" s="25"/>
      <c r="JF143" s="25"/>
      <c r="JG143" s="25"/>
      <c r="JH143" s="25"/>
      <c r="JI143" s="25"/>
      <c r="JJ143" s="25"/>
      <c r="JK143" s="25"/>
      <c r="JL143" s="25"/>
      <c r="JM143" s="25"/>
      <c r="JN143" s="25"/>
    </row>
    <row r="144" spans="2:274" ht="20.25" customHeight="1" x14ac:dyDescent="0.25">
      <c r="B144" s="20"/>
      <c r="F144" s="21"/>
      <c r="G144" s="86" t="str" cm="1">
        <f t="array" aca="1" ref="G144" ca="1">IFERROR(INDEX(Panel_Rates[[1]:[12]],MATCH(Panel_New&amp;Category_New,Panel_Rates[Panel]&amp;Panel_Rates[Category],0),MATCH('Time Plan HY'!E144,OFFSET(Variable!$AF$2,MATCH(Panel_New&amp;Category_New,Panel_Rates[Panel]&amp;Panel_Rates[Category],0)-1,0,1,12),0))/8,"")</f>
        <v/>
      </c>
      <c r="H144" s="92"/>
      <c r="I144" s="88" t="str">
        <f t="shared" ca="1" si="93"/>
        <v/>
      </c>
      <c r="J144" s="89" t="str">
        <f t="shared" ca="1" si="94"/>
        <v/>
      </c>
      <c r="K144" s="90" t="str">
        <f>IFERROR(_xlfn.XLOOKUP(D144,CostTableLookup[Name],CostTableLookup[Gross Cost]),"")</f>
        <v/>
      </c>
      <c r="L144" s="22"/>
      <c r="M144" s="81" t="str">
        <f t="shared" ca="1" si="99"/>
        <v/>
      </c>
      <c r="N144" s="23"/>
      <c r="O144" s="81" t="str">
        <f t="shared" ca="1" si="100"/>
        <v/>
      </c>
      <c r="P144" s="81" t="str">
        <f t="shared" ca="1" si="95"/>
        <v/>
      </c>
      <c r="Q144" s="24" t="str">
        <f t="shared" si="96"/>
        <v/>
      </c>
      <c r="R144" s="110" t="str">
        <f t="shared" ca="1" si="101"/>
        <v/>
      </c>
      <c r="S144" s="114">
        <f t="shared" ref="S144" ca="1" si="122">IFERROR(SUM(OFFSET(Y144,0,MATCH(Forecast_New,$Y$3:$WQ$3,0)-1,1,500))*40,"")</f>
        <v>0</v>
      </c>
      <c r="T144" s="115">
        <f t="shared" ca="1" si="103"/>
        <v>0</v>
      </c>
      <c r="U144" s="116" t="str">
        <f t="shared" ca="1" si="55"/>
        <v/>
      </c>
      <c r="V144" s="99" t="str">
        <f t="shared" ca="1" si="56"/>
        <v/>
      </c>
      <c r="W144" s="100" t="str">
        <f t="shared" ca="1" si="104"/>
        <v/>
      </c>
      <c r="X144" s="83" t="str">
        <f t="shared" ca="1" si="105"/>
        <v/>
      </c>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25"/>
      <c r="EJ144" s="25"/>
      <c r="EK144" s="25"/>
      <c r="EL144" s="25"/>
      <c r="EM144" s="25"/>
      <c r="EN144" s="25"/>
      <c r="EO144" s="25"/>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c r="FL144" s="25"/>
      <c r="FM144" s="25"/>
      <c r="FN144" s="25"/>
      <c r="FO144" s="25"/>
      <c r="FP144" s="25"/>
      <c r="FQ144" s="25"/>
      <c r="FR144" s="25"/>
      <c r="FS144" s="25"/>
      <c r="FT144" s="25"/>
      <c r="FU144" s="25"/>
      <c r="FV144" s="25"/>
      <c r="FW144" s="25"/>
      <c r="FX144" s="25"/>
      <c r="FY144" s="25"/>
      <c r="FZ144" s="25"/>
      <c r="GA144" s="25"/>
      <c r="GB144" s="25"/>
      <c r="GC144" s="25"/>
      <c r="GD144" s="25"/>
      <c r="GE144" s="25"/>
      <c r="GF144" s="25"/>
      <c r="GG144" s="25"/>
      <c r="GH144" s="25"/>
      <c r="GI144" s="25"/>
      <c r="GJ144" s="25"/>
      <c r="GK144" s="25"/>
      <c r="GL144" s="25"/>
      <c r="GM144" s="25"/>
      <c r="GN144" s="25"/>
      <c r="GO144" s="25"/>
      <c r="GP144" s="25"/>
      <c r="GQ144" s="25"/>
      <c r="GR144" s="25"/>
      <c r="GS144" s="25"/>
      <c r="GT144" s="25"/>
      <c r="GU144" s="25"/>
      <c r="GV144" s="25"/>
      <c r="GW144" s="25"/>
      <c r="GX144" s="25"/>
      <c r="GY144" s="25"/>
      <c r="GZ144" s="25"/>
      <c r="HA144" s="25"/>
      <c r="HB144" s="25"/>
      <c r="HC144" s="25"/>
      <c r="HD144" s="25"/>
      <c r="HE144" s="25"/>
      <c r="HF144" s="25"/>
      <c r="HG144" s="25"/>
      <c r="HH144" s="25"/>
      <c r="HI144" s="25"/>
      <c r="HJ144" s="25"/>
      <c r="HK144" s="25"/>
      <c r="HL144" s="25"/>
      <c r="HM144" s="25"/>
      <c r="HN144" s="25"/>
      <c r="HO144" s="25"/>
      <c r="HP144" s="25"/>
      <c r="HQ144" s="25"/>
      <c r="HR144" s="25"/>
      <c r="HS144" s="25"/>
      <c r="HT144" s="25"/>
      <c r="HU144" s="25"/>
      <c r="HV144" s="25"/>
      <c r="HW144" s="25"/>
      <c r="HX144" s="25"/>
      <c r="HY144" s="25"/>
      <c r="HZ144" s="25"/>
      <c r="IA144" s="25"/>
      <c r="IB144" s="25"/>
      <c r="IC144" s="25"/>
      <c r="ID144" s="25"/>
      <c r="IE144" s="25"/>
      <c r="IF144" s="25"/>
      <c r="IG144" s="25"/>
      <c r="IH144" s="25"/>
      <c r="II144" s="25"/>
      <c r="IJ144" s="25"/>
      <c r="IK144" s="25"/>
      <c r="IL144" s="25"/>
      <c r="IM144" s="25"/>
      <c r="IN144" s="25"/>
      <c r="IO144" s="25"/>
      <c r="IP144" s="25"/>
      <c r="IQ144" s="25"/>
      <c r="IR144" s="25"/>
      <c r="IS144" s="25"/>
      <c r="IT144" s="25"/>
      <c r="IU144" s="25"/>
      <c r="IV144" s="25"/>
      <c r="IW144" s="25"/>
      <c r="IX144" s="25"/>
      <c r="IY144" s="25"/>
      <c r="IZ144" s="25"/>
      <c r="JA144" s="25"/>
      <c r="JB144" s="25"/>
      <c r="JC144" s="25"/>
      <c r="JD144" s="25"/>
      <c r="JE144" s="25"/>
      <c r="JF144" s="25"/>
      <c r="JG144" s="25"/>
      <c r="JH144" s="25"/>
      <c r="JI144" s="25"/>
      <c r="JJ144" s="25"/>
      <c r="JK144" s="25"/>
      <c r="JL144" s="25"/>
      <c r="JM144" s="25"/>
      <c r="JN144" s="25"/>
    </row>
    <row r="145" spans="2:274" ht="20.25" customHeight="1" x14ac:dyDescent="0.25">
      <c r="B145" s="20"/>
      <c r="F145" s="21"/>
      <c r="G145" s="86" t="str" cm="1">
        <f t="array" aca="1" ref="G145" ca="1">IFERROR(INDEX(Panel_Rates[[1]:[12]],MATCH(Panel_New&amp;Category_New,Panel_Rates[Panel]&amp;Panel_Rates[Category],0),MATCH('Time Plan HY'!E145,OFFSET(Variable!$AF$2,MATCH(Panel_New&amp;Category_New,Panel_Rates[Panel]&amp;Panel_Rates[Category],0)-1,0,1,12),0))/8,"")</f>
        <v/>
      </c>
      <c r="H145" s="92"/>
      <c r="I145" s="88" t="str">
        <f t="shared" ca="1" si="93"/>
        <v/>
      </c>
      <c r="J145" s="89" t="str">
        <f t="shared" ca="1" si="94"/>
        <v/>
      </c>
      <c r="K145" s="90" t="str">
        <f>IFERROR(_xlfn.XLOOKUP(D145,CostTableLookup[Name],CostTableLookup[Gross Cost]),"")</f>
        <v/>
      </c>
      <c r="L145" s="22"/>
      <c r="M145" s="81" t="str">
        <f t="shared" ca="1" si="99"/>
        <v/>
      </c>
      <c r="N145" s="23"/>
      <c r="O145" s="81" t="str">
        <f t="shared" ca="1" si="100"/>
        <v/>
      </c>
      <c r="P145" s="81" t="str">
        <f t="shared" ca="1" si="95"/>
        <v/>
      </c>
      <c r="Q145" s="24" t="str">
        <f t="shared" si="96"/>
        <v/>
      </c>
      <c r="R145" s="110" t="str">
        <f t="shared" ca="1" si="101"/>
        <v/>
      </c>
      <c r="S145" s="114">
        <f t="shared" ref="S145" ca="1" si="123">IFERROR(SUM(OFFSET(Y145,0,MATCH(Forecast_New,$Y$3:$WQ$3,0)-1,1,500))*40,"")</f>
        <v>0</v>
      </c>
      <c r="T145" s="115">
        <f t="shared" ca="1" si="103"/>
        <v>0</v>
      </c>
      <c r="U145" s="116" t="str">
        <f t="shared" ca="1" si="55"/>
        <v/>
      </c>
      <c r="V145" s="99" t="str">
        <f t="shared" ca="1" si="56"/>
        <v/>
      </c>
      <c r="W145" s="100" t="str">
        <f t="shared" ca="1" si="104"/>
        <v/>
      </c>
      <c r="X145" s="83" t="str">
        <f t="shared" ca="1" si="105"/>
        <v/>
      </c>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5"/>
      <c r="EN145" s="25"/>
      <c r="EO145" s="25"/>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c r="FL145" s="25"/>
      <c r="FM145" s="25"/>
      <c r="FN145" s="25"/>
      <c r="FO145" s="25"/>
      <c r="FP145" s="25"/>
      <c r="FQ145" s="25"/>
      <c r="FR145" s="25"/>
      <c r="FS145" s="25"/>
      <c r="FT145" s="25"/>
      <c r="FU145" s="25"/>
      <c r="FV145" s="25"/>
      <c r="FW145" s="25"/>
      <c r="FX145" s="25"/>
      <c r="FY145" s="25"/>
      <c r="FZ145" s="25"/>
      <c r="GA145" s="25"/>
      <c r="GB145" s="25"/>
      <c r="GC145" s="25"/>
      <c r="GD145" s="25"/>
      <c r="GE145" s="25"/>
      <c r="GF145" s="25"/>
      <c r="GG145" s="25"/>
      <c r="GH145" s="25"/>
      <c r="GI145" s="25"/>
      <c r="GJ145" s="25"/>
      <c r="GK145" s="25"/>
      <c r="GL145" s="25"/>
      <c r="GM145" s="25"/>
      <c r="GN145" s="25"/>
      <c r="GO145" s="25"/>
      <c r="GP145" s="25"/>
      <c r="GQ145" s="25"/>
      <c r="GR145" s="25"/>
      <c r="GS145" s="25"/>
      <c r="GT145" s="25"/>
      <c r="GU145" s="25"/>
      <c r="GV145" s="25"/>
      <c r="GW145" s="25"/>
      <c r="GX145" s="25"/>
      <c r="GY145" s="25"/>
      <c r="GZ145" s="25"/>
      <c r="HA145" s="25"/>
      <c r="HB145" s="25"/>
      <c r="HC145" s="25"/>
      <c r="HD145" s="25"/>
      <c r="HE145" s="25"/>
      <c r="HF145" s="25"/>
      <c r="HG145" s="25"/>
      <c r="HH145" s="25"/>
      <c r="HI145" s="25"/>
      <c r="HJ145" s="25"/>
      <c r="HK145" s="25"/>
      <c r="HL145" s="25"/>
      <c r="HM145" s="25"/>
      <c r="HN145" s="25"/>
      <c r="HO145" s="25"/>
      <c r="HP145" s="25"/>
      <c r="HQ145" s="25"/>
      <c r="HR145" s="25"/>
      <c r="HS145" s="25"/>
      <c r="HT145" s="25"/>
      <c r="HU145" s="25"/>
      <c r="HV145" s="25"/>
      <c r="HW145" s="25"/>
      <c r="HX145" s="25"/>
      <c r="HY145" s="25"/>
      <c r="HZ145" s="25"/>
      <c r="IA145" s="25"/>
      <c r="IB145" s="25"/>
      <c r="IC145" s="25"/>
      <c r="ID145" s="25"/>
      <c r="IE145" s="25"/>
      <c r="IF145" s="25"/>
      <c r="IG145" s="25"/>
      <c r="IH145" s="25"/>
      <c r="II145" s="25"/>
      <c r="IJ145" s="25"/>
      <c r="IK145" s="25"/>
      <c r="IL145" s="25"/>
      <c r="IM145" s="25"/>
      <c r="IN145" s="25"/>
      <c r="IO145" s="25"/>
      <c r="IP145" s="25"/>
      <c r="IQ145" s="25"/>
      <c r="IR145" s="25"/>
      <c r="IS145" s="25"/>
      <c r="IT145" s="25"/>
      <c r="IU145" s="25"/>
      <c r="IV145" s="25"/>
      <c r="IW145" s="25"/>
      <c r="IX145" s="25"/>
      <c r="IY145" s="25"/>
      <c r="IZ145" s="25"/>
      <c r="JA145" s="25"/>
      <c r="JB145" s="25"/>
      <c r="JC145" s="25"/>
      <c r="JD145" s="25"/>
      <c r="JE145" s="25"/>
      <c r="JF145" s="25"/>
      <c r="JG145" s="25"/>
      <c r="JH145" s="25"/>
      <c r="JI145" s="25"/>
      <c r="JJ145" s="25"/>
      <c r="JK145" s="25"/>
      <c r="JL145" s="25"/>
      <c r="JM145" s="25"/>
      <c r="JN145" s="25"/>
    </row>
    <row r="146" spans="2:274" ht="20.25" customHeight="1" x14ac:dyDescent="0.25">
      <c r="B146" s="20"/>
      <c r="F146" s="21"/>
      <c r="G146" s="86" t="str" cm="1">
        <f t="array" aca="1" ref="G146" ca="1">IFERROR(INDEX(Panel_Rates[[1]:[12]],MATCH(Panel_New&amp;Category_New,Panel_Rates[Panel]&amp;Panel_Rates[Category],0),MATCH('Time Plan HY'!E146,OFFSET(Variable!$AF$2,MATCH(Panel_New&amp;Category_New,Panel_Rates[Panel]&amp;Panel_Rates[Category],0)-1,0,1,12),0))/8,"")</f>
        <v/>
      </c>
      <c r="H146" s="92"/>
      <c r="I146" s="88" t="str">
        <f t="shared" ca="1" si="93"/>
        <v/>
      </c>
      <c r="J146" s="89" t="str">
        <f t="shared" ca="1" si="94"/>
        <v/>
      </c>
      <c r="K146" s="90" t="str">
        <f>IFERROR(_xlfn.XLOOKUP(D146,CostTableLookup[Name],CostTableLookup[Gross Cost]),"")</f>
        <v/>
      </c>
      <c r="L146" s="22"/>
      <c r="M146" s="81" t="str">
        <f t="shared" ca="1" si="99"/>
        <v/>
      </c>
      <c r="N146" s="23"/>
      <c r="O146" s="81" t="str">
        <f t="shared" ca="1" si="100"/>
        <v/>
      </c>
      <c r="P146" s="81" t="str">
        <f t="shared" ca="1" si="95"/>
        <v/>
      </c>
      <c r="Q146" s="24" t="str">
        <f t="shared" si="96"/>
        <v/>
      </c>
      <c r="R146" s="110" t="str">
        <f t="shared" ca="1" si="101"/>
        <v/>
      </c>
      <c r="S146" s="114">
        <f t="shared" ref="S146" ca="1" si="124">IFERROR(SUM(OFFSET(Y146,0,MATCH(Forecast_New,$Y$3:$WQ$3,0)-1,1,500))*40,"")</f>
        <v>0</v>
      </c>
      <c r="T146" s="115">
        <f t="shared" ca="1" si="103"/>
        <v>0</v>
      </c>
      <c r="U146" s="116" t="str">
        <f t="shared" ca="1" si="55"/>
        <v/>
      </c>
      <c r="V146" s="99" t="str">
        <f t="shared" ca="1" si="56"/>
        <v/>
      </c>
      <c r="W146" s="100" t="str">
        <f t="shared" ca="1" si="104"/>
        <v/>
      </c>
      <c r="X146" s="83" t="str">
        <f t="shared" ca="1" si="105"/>
        <v/>
      </c>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5"/>
      <c r="EN146" s="25"/>
      <c r="EO146" s="25"/>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5"/>
      <c r="FT146" s="25"/>
      <c r="FU146" s="25"/>
      <c r="FV146" s="25"/>
      <c r="FW146" s="25"/>
      <c r="FX146" s="25"/>
      <c r="FY146" s="25"/>
      <c r="FZ146" s="25"/>
      <c r="GA146" s="25"/>
      <c r="GB146" s="25"/>
      <c r="GC146" s="25"/>
      <c r="GD146" s="25"/>
      <c r="GE146" s="25"/>
      <c r="GF146" s="25"/>
      <c r="GG146" s="25"/>
      <c r="GH146" s="25"/>
      <c r="GI146" s="25"/>
      <c r="GJ146" s="25"/>
      <c r="GK146" s="25"/>
      <c r="GL146" s="25"/>
      <c r="GM146" s="25"/>
      <c r="GN146" s="25"/>
      <c r="GO146" s="25"/>
      <c r="GP146" s="25"/>
      <c r="GQ146" s="25"/>
      <c r="GR146" s="25"/>
      <c r="GS146" s="25"/>
      <c r="GT146" s="25"/>
      <c r="GU146" s="25"/>
      <c r="GV146" s="25"/>
      <c r="GW146" s="25"/>
      <c r="GX146" s="25"/>
      <c r="GY146" s="25"/>
      <c r="GZ146" s="25"/>
      <c r="HA146" s="25"/>
      <c r="HB146" s="25"/>
      <c r="HC146" s="25"/>
      <c r="HD146" s="25"/>
      <c r="HE146" s="25"/>
      <c r="HF146" s="25"/>
      <c r="HG146" s="25"/>
      <c r="HH146" s="25"/>
      <c r="HI146" s="25"/>
      <c r="HJ146" s="25"/>
      <c r="HK146" s="25"/>
      <c r="HL146" s="25"/>
      <c r="HM146" s="25"/>
      <c r="HN146" s="25"/>
      <c r="HO146" s="25"/>
      <c r="HP146" s="25"/>
      <c r="HQ146" s="25"/>
      <c r="HR146" s="25"/>
      <c r="HS146" s="25"/>
      <c r="HT146" s="25"/>
      <c r="HU146" s="25"/>
      <c r="HV146" s="25"/>
      <c r="HW146" s="25"/>
      <c r="HX146" s="25"/>
      <c r="HY146" s="25"/>
      <c r="HZ146" s="25"/>
      <c r="IA146" s="25"/>
      <c r="IB146" s="25"/>
      <c r="IC146" s="25"/>
      <c r="ID146" s="25"/>
      <c r="IE146" s="25"/>
      <c r="IF146" s="25"/>
      <c r="IG146" s="25"/>
      <c r="IH146" s="25"/>
      <c r="II146" s="25"/>
      <c r="IJ146" s="25"/>
      <c r="IK146" s="25"/>
      <c r="IL146" s="25"/>
      <c r="IM146" s="25"/>
      <c r="IN146" s="25"/>
      <c r="IO146" s="25"/>
      <c r="IP146" s="25"/>
      <c r="IQ146" s="25"/>
      <c r="IR146" s="25"/>
      <c r="IS146" s="25"/>
      <c r="IT146" s="25"/>
      <c r="IU146" s="25"/>
      <c r="IV146" s="25"/>
      <c r="IW146" s="25"/>
      <c r="IX146" s="25"/>
      <c r="IY146" s="25"/>
      <c r="IZ146" s="25"/>
      <c r="JA146" s="25"/>
      <c r="JB146" s="25"/>
      <c r="JC146" s="25"/>
      <c r="JD146" s="25"/>
      <c r="JE146" s="25"/>
      <c r="JF146" s="25"/>
      <c r="JG146" s="25"/>
      <c r="JH146" s="25"/>
      <c r="JI146" s="25"/>
      <c r="JJ146" s="25"/>
      <c r="JK146" s="25"/>
      <c r="JL146" s="25"/>
      <c r="JM146" s="25"/>
      <c r="JN146" s="25"/>
    </row>
    <row r="147" spans="2:274" ht="20.25" customHeight="1" x14ac:dyDescent="0.25">
      <c r="B147" s="20"/>
      <c r="F147" s="21"/>
      <c r="G147" s="86" t="str" cm="1">
        <f t="array" aca="1" ref="G147" ca="1">IFERROR(INDEX(Panel_Rates[[1]:[12]],MATCH(Panel_New&amp;Category_New,Panel_Rates[Panel]&amp;Panel_Rates[Category],0),MATCH('Time Plan HY'!E147,OFFSET(Variable!$AF$2,MATCH(Panel_New&amp;Category_New,Panel_Rates[Panel]&amp;Panel_Rates[Category],0)-1,0,1,12),0))/8,"")</f>
        <v/>
      </c>
      <c r="H147" s="92"/>
      <c r="I147" s="88" t="str">
        <f t="shared" ca="1" si="93"/>
        <v/>
      </c>
      <c r="J147" s="89" t="str">
        <f t="shared" ca="1" si="94"/>
        <v/>
      </c>
      <c r="K147" s="90" t="str">
        <f>IFERROR(_xlfn.XLOOKUP(D147,CostTableLookup[Name],CostTableLookup[Gross Cost]),"")</f>
        <v/>
      </c>
      <c r="L147" s="22"/>
      <c r="M147" s="81" t="str">
        <f t="shared" ca="1" si="99"/>
        <v/>
      </c>
      <c r="N147" s="23"/>
      <c r="O147" s="81" t="str">
        <f t="shared" ca="1" si="100"/>
        <v/>
      </c>
      <c r="P147" s="81" t="str">
        <f t="shared" ca="1" si="95"/>
        <v/>
      </c>
      <c r="Q147" s="24" t="str">
        <f t="shared" si="96"/>
        <v/>
      </c>
      <c r="R147" s="110" t="str">
        <f t="shared" ca="1" si="101"/>
        <v/>
      </c>
      <c r="S147" s="114">
        <f t="shared" ref="S147" ca="1" si="125">IFERROR(SUM(OFFSET(Y147,0,MATCH(Forecast_New,$Y$3:$WQ$3,0)-1,1,500))*40,"")</f>
        <v>0</v>
      </c>
      <c r="T147" s="115">
        <f t="shared" ca="1" si="103"/>
        <v>0</v>
      </c>
      <c r="U147" s="116" t="str">
        <f t="shared" ca="1" si="55"/>
        <v/>
      </c>
      <c r="V147" s="99" t="str">
        <f t="shared" ca="1" si="56"/>
        <v/>
      </c>
      <c r="W147" s="100" t="str">
        <f t="shared" ca="1" si="104"/>
        <v/>
      </c>
      <c r="X147" s="83" t="str">
        <f t="shared" ca="1" si="105"/>
        <v/>
      </c>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25"/>
      <c r="EJ147" s="25"/>
      <c r="EK147" s="25"/>
      <c r="EL147" s="25"/>
      <c r="EM147" s="25"/>
      <c r="EN147" s="25"/>
      <c r="EO147" s="25"/>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c r="FL147" s="25"/>
      <c r="FM147" s="25"/>
      <c r="FN147" s="25"/>
      <c r="FO147" s="25"/>
      <c r="FP147" s="25"/>
      <c r="FQ147" s="25"/>
      <c r="FR147" s="25"/>
      <c r="FS147" s="25"/>
      <c r="FT147" s="25"/>
      <c r="FU147" s="25"/>
      <c r="FV147" s="25"/>
      <c r="FW147" s="25"/>
      <c r="FX147" s="25"/>
      <c r="FY147" s="25"/>
      <c r="FZ147" s="25"/>
      <c r="GA147" s="25"/>
      <c r="GB147" s="25"/>
      <c r="GC147" s="25"/>
      <c r="GD147" s="25"/>
      <c r="GE147" s="25"/>
      <c r="GF147" s="25"/>
      <c r="GG147" s="25"/>
      <c r="GH147" s="25"/>
      <c r="GI147" s="25"/>
      <c r="GJ147" s="25"/>
      <c r="GK147" s="25"/>
      <c r="GL147" s="25"/>
      <c r="GM147" s="25"/>
      <c r="GN147" s="25"/>
      <c r="GO147" s="25"/>
      <c r="GP147" s="25"/>
      <c r="GQ147" s="25"/>
      <c r="GR147" s="25"/>
      <c r="GS147" s="25"/>
      <c r="GT147" s="25"/>
      <c r="GU147" s="25"/>
      <c r="GV147" s="25"/>
      <c r="GW147" s="25"/>
      <c r="GX147" s="25"/>
      <c r="GY147" s="25"/>
      <c r="GZ147" s="25"/>
      <c r="HA147" s="25"/>
      <c r="HB147" s="25"/>
      <c r="HC147" s="25"/>
      <c r="HD147" s="25"/>
      <c r="HE147" s="25"/>
      <c r="HF147" s="25"/>
      <c r="HG147" s="25"/>
      <c r="HH147" s="25"/>
      <c r="HI147" s="25"/>
      <c r="HJ147" s="25"/>
      <c r="HK147" s="25"/>
      <c r="HL147" s="25"/>
      <c r="HM147" s="25"/>
      <c r="HN147" s="25"/>
      <c r="HO147" s="25"/>
      <c r="HP147" s="25"/>
      <c r="HQ147" s="25"/>
      <c r="HR147" s="25"/>
      <c r="HS147" s="25"/>
      <c r="HT147" s="25"/>
      <c r="HU147" s="25"/>
      <c r="HV147" s="25"/>
      <c r="HW147" s="25"/>
      <c r="HX147" s="25"/>
      <c r="HY147" s="25"/>
      <c r="HZ147" s="25"/>
      <c r="IA147" s="25"/>
      <c r="IB147" s="25"/>
      <c r="IC147" s="25"/>
      <c r="ID147" s="25"/>
      <c r="IE147" s="25"/>
      <c r="IF147" s="25"/>
      <c r="IG147" s="25"/>
      <c r="IH147" s="25"/>
      <c r="II147" s="25"/>
      <c r="IJ147" s="25"/>
      <c r="IK147" s="25"/>
      <c r="IL147" s="25"/>
      <c r="IM147" s="25"/>
      <c r="IN147" s="25"/>
      <c r="IO147" s="25"/>
      <c r="IP147" s="25"/>
      <c r="IQ147" s="25"/>
      <c r="IR147" s="25"/>
      <c r="IS147" s="25"/>
      <c r="IT147" s="25"/>
      <c r="IU147" s="25"/>
      <c r="IV147" s="25"/>
      <c r="IW147" s="25"/>
      <c r="IX147" s="25"/>
      <c r="IY147" s="25"/>
      <c r="IZ147" s="25"/>
      <c r="JA147" s="25"/>
      <c r="JB147" s="25"/>
      <c r="JC147" s="25"/>
      <c r="JD147" s="25"/>
      <c r="JE147" s="25"/>
      <c r="JF147" s="25"/>
      <c r="JG147" s="25"/>
      <c r="JH147" s="25"/>
      <c r="JI147" s="25"/>
      <c r="JJ147" s="25"/>
      <c r="JK147" s="25"/>
      <c r="JL147" s="25"/>
      <c r="JM147" s="25"/>
      <c r="JN147" s="25"/>
    </row>
    <row r="148" spans="2:274" ht="20.25" customHeight="1" x14ac:dyDescent="0.25">
      <c r="B148" s="20"/>
      <c r="F148" s="21"/>
      <c r="G148" s="86" t="str" cm="1">
        <f t="array" aca="1" ref="G148" ca="1">IFERROR(INDEX(Panel_Rates[[1]:[12]],MATCH(Panel_New&amp;Category_New,Panel_Rates[Panel]&amp;Panel_Rates[Category],0),MATCH('Time Plan HY'!E148,OFFSET(Variable!$AF$2,MATCH(Panel_New&amp;Category_New,Panel_Rates[Panel]&amp;Panel_Rates[Category],0)-1,0,1,12),0))/8,"")</f>
        <v/>
      </c>
      <c r="H148" s="92"/>
      <c r="I148" s="88" t="str">
        <f t="shared" ca="1" si="93"/>
        <v/>
      </c>
      <c r="J148" s="89" t="str">
        <f t="shared" ca="1" si="94"/>
        <v/>
      </c>
      <c r="K148" s="90" t="str">
        <f>IFERROR(_xlfn.XLOOKUP(D148,CostTableLookup[Name],CostTableLookup[Gross Cost]),"")</f>
        <v/>
      </c>
      <c r="L148" s="22"/>
      <c r="M148" s="81" t="str">
        <f t="shared" ca="1" si="99"/>
        <v/>
      </c>
      <c r="N148" s="23"/>
      <c r="O148" s="81" t="str">
        <f t="shared" ca="1" si="100"/>
        <v/>
      </c>
      <c r="P148" s="81" t="str">
        <f t="shared" ca="1" si="95"/>
        <v/>
      </c>
      <c r="Q148" s="24" t="str">
        <f t="shared" si="96"/>
        <v/>
      </c>
      <c r="R148" s="110" t="str">
        <f t="shared" ca="1" si="101"/>
        <v/>
      </c>
      <c r="S148" s="114">
        <f t="shared" ref="S148" ca="1" si="126">IFERROR(SUM(OFFSET(Y148,0,MATCH(Forecast_New,$Y$3:$WQ$3,0)-1,1,500))*40,"")</f>
        <v>0</v>
      </c>
      <c r="T148" s="115">
        <f t="shared" ca="1" si="103"/>
        <v>0</v>
      </c>
      <c r="U148" s="116" t="str">
        <f t="shared" ca="1" si="55"/>
        <v/>
      </c>
      <c r="V148" s="99" t="str">
        <f t="shared" ca="1" si="56"/>
        <v/>
      </c>
      <c r="W148" s="100" t="str">
        <f t="shared" ca="1" si="104"/>
        <v/>
      </c>
      <c r="X148" s="83" t="str">
        <f t="shared" ca="1" si="105"/>
        <v/>
      </c>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25"/>
      <c r="EJ148" s="25"/>
      <c r="EK148" s="25"/>
      <c r="EL148" s="25"/>
      <c r="EM148" s="25"/>
      <c r="EN148" s="25"/>
      <c r="EO148" s="25"/>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c r="FL148" s="25"/>
      <c r="FM148" s="25"/>
      <c r="FN148" s="25"/>
      <c r="FO148" s="25"/>
      <c r="FP148" s="25"/>
      <c r="FQ148" s="25"/>
      <c r="FR148" s="25"/>
      <c r="FS148" s="25"/>
      <c r="FT148" s="25"/>
      <c r="FU148" s="25"/>
      <c r="FV148" s="25"/>
      <c r="FW148" s="25"/>
      <c r="FX148" s="25"/>
      <c r="FY148" s="25"/>
      <c r="FZ148" s="25"/>
      <c r="GA148" s="25"/>
      <c r="GB148" s="25"/>
      <c r="GC148" s="25"/>
      <c r="GD148" s="25"/>
      <c r="GE148" s="25"/>
      <c r="GF148" s="25"/>
      <c r="GG148" s="25"/>
      <c r="GH148" s="25"/>
      <c r="GI148" s="25"/>
      <c r="GJ148" s="25"/>
      <c r="GK148" s="25"/>
      <c r="GL148" s="25"/>
      <c r="GM148" s="25"/>
      <c r="GN148" s="25"/>
      <c r="GO148" s="25"/>
      <c r="GP148" s="25"/>
      <c r="GQ148" s="25"/>
      <c r="GR148" s="25"/>
      <c r="GS148" s="25"/>
      <c r="GT148" s="25"/>
      <c r="GU148" s="25"/>
      <c r="GV148" s="25"/>
      <c r="GW148" s="25"/>
      <c r="GX148" s="25"/>
      <c r="GY148" s="25"/>
      <c r="GZ148" s="25"/>
      <c r="HA148" s="25"/>
      <c r="HB148" s="25"/>
      <c r="HC148" s="25"/>
      <c r="HD148" s="25"/>
      <c r="HE148" s="25"/>
      <c r="HF148" s="25"/>
      <c r="HG148" s="25"/>
      <c r="HH148" s="25"/>
      <c r="HI148" s="25"/>
      <c r="HJ148" s="25"/>
      <c r="HK148" s="25"/>
      <c r="HL148" s="25"/>
      <c r="HM148" s="25"/>
      <c r="HN148" s="25"/>
      <c r="HO148" s="25"/>
      <c r="HP148" s="25"/>
      <c r="HQ148" s="25"/>
      <c r="HR148" s="25"/>
      <c r="HS148" s="25"/>
      <c r="HT148" s="25"/>
      <c r="HU148" s="25"/>
      <c r="HV148" s="25"/>
      <c r="HW148" s="25"/>
      <c r="HX148" s="25"/>
      <c r="HY148" s="25"/>
      <c r="HZ148" s="25"/>
      <c r="IA148" s="25"/>
      <c r="IB148" s="25"/>
      <c r="IC148" s="25"/>
      <c r="ID148" s="25"/>
      <c r="IE148" s="25"/>
      <c r="IF148" s="25"/>
      <c r="IG148" s="25"/>
      <c r="IH148" s="25"/>
      <c r="II148" s="25"/>
      <c r="IJ148" s="25"/>
      <c r="IK148" s="25"/>
      <c r="IL148" s="25"/>
      <c r="IM148" s="25"/>
      <c r="IN148" s="25"/>
      <c r="IO148" s="25"/>
      <c r="IP148" s="25"/>
      <c r="IQ148" s="25"/>
      <c r="IR148" s="25"/>
      <c r="IS148" s="25"/>
      <c r="IT148" s="25"/>
      <c r="IU148" s="25"/>
      <c r="IV148" s="25"/>
      <c r="IW148" s="25"/>
      <c r="IX148" s="25"/>
      <c r="IY148" s="25"/>
      <c r="IZ148" s="25"/>
      <c r="JA148" s="25"/>
      <c r="JB148" s="25"/>
      <c r="JC148" s="25"/>
      <c r="JD148" s="25"/>
      <c r="JE148" s="25"/>
      <c r="JF148" s="25"/>
      <c r="JG148" s="25"/>
      <c r="JH148" s="25"/>
      <c r="JI148" s="25"/>
      <c r="JJ148" s="25"/>
      <c r="JK148" s="25"/>
      <c r="JL148" s="25"/>
      <c r="JM148" s="25"/>
      <c r="JN148" s="25"/>
    </row>
    <row r="149" spans="2:274" ht="20.25" customHeight="1" x14ac:dyDescent="0.25">
      <c r="B149" s="20"/>
      <c r="F149" s="21"/>
      <c r="G149" s="86" t="str" cm="1">
        <f t="array" aca="1" ref="G149" ca="1">IFERROR(INDEX(Panel_Rates[[1]:[12]],MATCH(Panel_New&amp;Category_New,Panel_Rates[Panel]&amp;Panel_Rates[Category],0),MATCH('Time Plan HY'!E149,OFFSET(Variable!$AF$2,MATCH(Panel_New&amp;Category_New,Panel_Rates[Panel]&amp;Panel_Rates[Category],0)-1,0,1,12),0))/8,"")</f>
        <v/>
      </c>
      <c r="H149" s="92"/>
      <c r="I149" s="88" t="str">
        <f t="shared" ca="1" si="93"/>
        <v/>
      </c>
      <c r="J149" s="89" t="str">
        <f t="shared" ca="1" si="94"/>
        <v/>
      </c>
      <c r="K149" s="90" t="str">
        <f>IFERROR(_xlfn.XLOOKUP(D149,CostTableLookup[Name],CostTableLookup[Gross Cost]),"")</f>
        <v/>
      </c>
      <c r="L149" s="22"/>
      <c r="M149" s="81" t="str">
        <f t="shared" ca="1" si="99"/>
        <v/>
      </c>
      <c r="N149" s="23"/>
      <c r="O149" s="81" t="str">
        <f t="shared" ca="1" si="100"/>
        <v/>
      </c>
      <c r="P149" s="81" t="str">
        <f t="shared" ca="1" si="95"/>
        <v/>
      </c>
      <c r="Q149" s="24" t="str">
        <f t="shared" si="96"/>
        <v/>
      </c>
      <c r="R149" s="110" t="str">
        <f t="shared" ca="1" si="101"/>
        <v/>
      </c>
      <c r="S149" s="114">
        <f t="shared" ref="S149" ca="1" si="127">IFERROR(SUM(OFFSET(Y149,0,MATCH(Forecast_New,$Y$3:$WQ$3,0)-1,1,500))*40,"")</f>
        <v>0</v>
      </c>
      <c r="T149" s="115">
        <f t="shared" ca="1" si="103"/>
        <v>0</v>
      </c>
      <c r="U149" s="116" t="str">
        <f t="shared" ca="1" si="55"/>
        <v/>
      </c>
      <c r="V149" s="99" t="str">
        <f t="shared" ca="1" si="56"/>
        <v/>
      </c>
      <c r="W149" s="100" t="str">
        <f t="shared" ca="1" si="104"/>
        <v/>
      </c>
      <c r="X149" s="83" t="str">
        <f t="shared" ca="1" si="105"/>
        <v/>
      </c>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5"/>
      <c r="EN149" s="25"/>
      <c r="EO149" s="25"/>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5"/>
      <c r="FT149" s="25"/>
      <c r="FU149" s="25"/>
      <c r="FV149" s="25"/>
      <c r="FW149" s="25"/>
      <c r="FX149" s="25"/>
      <c r="FY149" s="25"/>
      <c r="FZ149" s="25"/>
      <c r="GA149" s="25"/>
      <c r="GB149" s="25"/>
      <c r="GC149" s="25"/>
      <c r="GD149" s="25"/>
      <c r="GE149" s="25"/>
      <c r="GF149" s="25"/>
      <c r="GG149" s="25"/>
      <c r="GH149" s="25"/>
      <c r="GI149" s="25"/>
      <c r="GJ149" s="25"/>
      <c r="GK149" s="25"/>
      <c r="GL149" s="25"/>
      <c r="GM149" s="25"/>
      <c r="GN149" s="25"/>
      <c r="GO149" s="25"/>
      <c r="GP149" s="25"/>
      <c r="GQ149" s="25"/>
      <c r="GR149" s="25"/>
      <c r="GS149" s="25"/>
      <c r="GT149" s="25"/>
      <c r="GU149" s="25"/>
      <c r="GV149" s="25"/>
      <c r="GW149" s="25"/>
      <c r="GX149" s="25"/>
      <c r="GY149" s="25"/>
      <c r="GZ149" s="25"/>
      <c r="HA149" s="25"/>
      <c r="HB149" s="25"/>
      <c r="HC149" s="25"/>
      <c r="HD149" s="25"/>
      <c r="HE149" s="25"/>
      <c r="HF149" s="25"/>
      <c r="HG149" s="25"/>
      <c r="HH149" s="25"/>
      <c r="HI149" s="25"/>
      <c r="HJ149" s="25"/>
      <c r="HK149" s="25"/>
      <c r="HL149" s="25"/>
      <c r="HM149" s="25"/>
      <c r="HN149" s="25"/>
      <c r="HO149" s="25"/>
      <c r="HP149" s="25"/>
      <c r="HQ149" s="25"/>
      <c r="HR149" s="25"/>
      <c r="HS149" s="25"/>
      <c r="HT149" s="25"/>
      <c r="HU149" s="25"/>
      <c r="HV149" s="25"/>
      <c r="HW149" s="25"/>
      <c r="HX149" s="25"/>
      <c r="HY149" s="25"/>
      <c r="HZ149" s="25"/>
      <c r="IA149" s="25"/>
      <c r="IB149" s="25"/>
      <c r="IC149" s="25"/>
      <c r="ID149" s="25"/>
      <c r="IE149" s="25"/>
      <c r="IF149" s="25"/>
      <c r="IG149" s="25"/>
      <c r="IH149" s="25"/>
      <c r="II149" s="25"/>
      <c r="IJ149" s="25"/>
      <c r="IK149" s="25"/>
      <c r="IL149" s="25"/>
      <c r="IM149" s="25"/>
      <c r="IN149" s="25"/>
      <c r="IO149" s="25"/>
      <c r="IP149" s="25"/>
      <c r="IQ149" s="25"/>
      <c r="IR149" s="25"/>
      <c r="IS149" s="25"/>
      <c r="IT149" s="25"/>
      <c r="IU149" s="25"/>
      <c r="IV149" s="25"/>
      <c r="IW149" s="25"/>
      <c r="IX149" s="25"/>
      <c r="IY149" s="25"/>
      <c r="IZ149" s="25"/>
      <c r="JA149" s="25"/>
      <c r="JB149" s="25"/>
      <c r="JC149" s="25"/>
      <c r="JD149" s="25"/>
      <c r="JE149" s="25"/>
      <c r="JF149" s="25"/>
      <c r="JG149" s="25"/>
      <c r="JH149" s="25"/>
      <c r="JI149" s="25"/>
      <c r="JJ149" s="25"/>
      <c r="JK149" s="25"/>
      <c r="JL149" s="25"/>
      <c r="JM149" s="25"/>
      <c r="JN149" s="25"/>
    </row>
    <row r="150" spans="2:274" ht="20.25" customHeight="1" x14ac:dyDescent="0.25">
      <c r="B150" s="20"/>
      <c r="F150" s="21"/>
      <c r="G150" s="86" t="str" cm="1">
        <f t="array" aca="1" ref="G150" ca="1">IFERROR(INDEX(Panel_Rates[[1]:[12]],MATCH(Panel_New&amp;Category_New,Panel_Rates[Panel]&amp;Panel_Rates[Category],0),MATCH('Time Plan HY'!E150,OFFSET(Variable!$AF$2,MATCH(Panel_New&amp;Category_New,Panel_Rates[Panel]&amp;Panel_Rates[Category],0)-1,0,1,12),0))/8,"")</f>
        <v/>
      </c>
      <c r="H150" s="92"/>
      <c r="I150" s="88" t="str">
        <f t="shared" ca="1" si="93"/>
        <v/>
      </c>
      <c r="J150" s="89" t="str">
        <f t="shared" ca="1" si="94"/>
        <v/>
      </c>
      <c r="K150" s="90" t="str">
        <f>IFERROR(_xlfn.XLOOKUP(D150,CostTableLookup[Name],CostTableLookup[Gross Cost]),"")</f>
        <v/>
      </c>
      <c r="L150" s="22"/>
      <c r="M150" s="81" t="str">
        <f t="shared" ca="1" si="99"/>
        <v/>
      </c>
      <c r="N150" s="23"/>
      <c r="O150" s="81" t="str">
        <f t="shared" ca="1" si="100"/>
        <v/>
      </c>
      <c r="P150" s="81" t="str">
        <f t="shared" ca="1" si="95"/>
        <v/>
      </c>
      <c r="Q150" s="24" t="str">
        <f t="shared" si="96"/>
        <v/>
      </c>
      <c r="R150" s="110" t="str">
        <f t="shared" ca="1" si="101"/>
        <v/>
      </c>
      <c r="S150" s="114">
        <f t="shared" ref="S150" ca="1" si="128">IFERROR(SUM(OFFSET(Y150,0,MATCH(Forecast_New,$Y$3:$WQ$3,0)-1,1,500))*40,"")</f>
        <v>0</v>
      </c>
      <c r="T150" s="115">
        <f t="shared" ca="1" si="103"/>
        <v>0</v>
      </c>
      <c r="U150" s="116" t="str">
        <f t="shared" ca="1" si="55"/>
        <v/>
      </c>
      <c r="V150" s="99" t="str">
        <f t="shared" ca="1" si="56"/>
        <v/>
      </c>
      <c r="W150" s="100" t="str">
        <f t="shared" ca="1" si="104"/>
        <v/>
      </c>
      <c r="X150" s="83" t="str">
        <f t="shared" ca="1" si="105"/>
        <v/>
      </c>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25"/>
      <c r="EJ150" s="25"/>
      <c r="EK150" s="25"/>
      <c r="EL150" s="25"/>
      <c r="EM150" s="25"/>
      <c r="EN150" s="25"/>
      <c r="EO150" s="25"/>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c r="FL150" s="25"/>
      <c r="FM150" s="25"/>
      <c r="FN150" s="25"/>
      <c r="FO150" s="25"/>
      <c r="FP150" s="25"/>
      <c r="FQ150" s="25"/>
      <c r="FR150" s="25"/>
      <c r="FS150" s="25"/>
      <c r="FT150" s="25"/>
      <c r="FU150" s="25"/>
      <c r="FV150" s="25"/>
      <c r="FW150" s="25"/>
      <c r="FX150" s="25"/>
      <c r="FY150" s="25"/>
      <c r="FZ150" s="25"/>
      <c r="GA150" s="25"/>
      <c r="GB150" s="25"/>
      <c r="GC150" s="25"/>
      <c r="GD150" s="25"/>
      <c r="GE150" s="25"/>
      <c r="GF150" s="25"/>
      <c r="GG150" s="25"/>
      <c r="GH150" s="25"/>
      <c r="GI150" s="25"/>
      <c r="GJ150" s="25"/>
      <c r="GK150" s="25"/>
      <c r="GL150" s="25"/>
      <c r="GM150" s="25"/>
      <c r="GN150" s="25"/>
      <c r="GO150" s="25"/>
      <c r="GP150" s="25"/>
      <c r="GQ150" s="25"/>
      <c r="GR150" s="25"/>
      <c r="GS150" s="25"/>
      <c r="GT150" s="25"/>
      <c r="GU150" s="25"/>
      <c r="GV150" s="25"/>
      <c r="GW150" s="25"/>
      <c r="GX150" s="25"/>
      <c r="GY150" s="25"/>
      <c r="GZ150" s="25"/>
      <c r="HA150" s="25"/>
      <c r="HB150" s="25"/>
      <c r="HC150" s="25"/>
      <c r="HD150" s="25"/>
      <c r="HE150" s="25"/>
      <c r="HF150" s="25"/>
      <c r="HG150" s="25"/>
      <c r="HH150" s="25"/>
      <c r="HI150" s="25"/>
      <c r="HJ150" s="25"/>
      <c r="HK150" s="25"/>
      <c r="HL150" s="25"/>
      <c r="HM150" s="25"/>
      <c r="HN150" s="25"/>
      <c r="HO150" s="25"/>
      <c r="HP150" s="25"/>
      <c r="HQ150" s="25"/>
      <c r="HR150" s="25"/>
      <c r="HS150" s="25"/>
      <c r="HT150" s="25"/>
      <c r="HU150" s="25"/>
      <c r="HV150" s="25"/>
      <c r="HW150" s="25"/>
      <c r="HX150" s="25"/>
      <c r="HY150" s="25"/>
      <c r="HZ150" s="25"/>
      <c r="IA150" s="25"/>
      <c r="IB150" s="25"/>
      <c r="IC150" s="25"/>
      <c r="ID150" s="25"/>
      <c r="IE150" s="25"/>
      <c r="IF150" s="25"/>
      <c r="IG150" s="25"/>
      <c r="IH150" s="25"/>
      <c r="II150" s="25"/>
      <c r="IJ150" s="25"/>
      <c r="IK150" s="25"/>
      <c r="IL150" s="25"/>
      <c r="IM150" s="25"/>
      <c r="IN150" s="25"/>
      <c r="IO150" s="25"/>
      <c r="IP150" s="25"/>
      <c r="IQ150" s="25"/>
      <c r="IR150" s="25"/>
      <c r="IS150" s="25"/>
      <c r="IT150" s="25"/>
      <c r="IU150" s="25"/>
      <c r="IV150" s="25"/>
      <c r="IW150" s="25"/>
      <c r="IX150" s="25"/>
      <c r="IY150" s="25"/>
      <c r="IZ150" s="25"/>
      <c r="JA150" s="25"/>
      <c r="JB150" s="25"/>
      <c r="JC150" s="25"/>
      <c r="JD150" s="25"/>
      <c r="JE150" s="25"/>
      <c r="JF150" s="25"/>
      <c r="JG150" s="25"/>
      <c r="JH150" s="25"/>
      <c r="JI150" s="25"/>
      <c r="JJ150" s="25"/>
      <c r="JK150" s="25"/>
      <c r="JL150" s="25"/>
      <c r="JM150" s="25"/>
      <c r="JN150" s="25"/>
    </row>
    <row r="151" spans="2:274" ht="20.25" customHeight="1" x14ac:dyDescent="0.25">
      <c r="B151" s="20"/>
      <c r="F151" s="21"/>
      <c r="G151" s="86" t="str" cm="1">
        <f t="array" aca="1" ref="G151" ca="1">IFERROR(INDEX(Panel_Rates[[1]:[12]],MATCH(Panel_New&amp;Category_New,Panel_Rates[Panel]&amp;Panel_Rates[Category],0),MATCH('Time Plan HY'!E151,OFFSET(Variable!$AF$2,MATCH(Panel_New&amp;Category_New,Panel_Rates[Panel]&amp;Panel_Rates[Category],0)-1,0,1,12),0))/8,"")</f>
        <v/>
      </c>
      <c r="H151" s="92"/>
      <c r="I151" s="88" t="str">
        <f t="shared" ca="1" si="93"/>
        <v/>
      </c>
      <c r="J151" s="89" t="str">
        <f t="shared" ca="1" si="94"/>
        <v/>
      </c>
      <c r="K151" s="90" t="str">
        <f>IFERROR(_xlfn.XLOOKUP(D151,CostTableLookup[Name],CostTableLookup[Gross Cost]),"")</f>
        <v/>
      </c>
      <c r="L151" s="22"/>
      <c r="M151" s="81" t="str">
        <f t="shared" ca="1" si="99"/>
        <v/>
      </c>
      <c r="N151" s="23"/>
      <c r="O151" s="81" t="str">
        <f t="shared" ca="1" si="100"/>
        <v/>
      </c>
      <c r="P151" s="81" t="str">
        <f t="shared" ca="1" si="95"/>
        <v/>
      </c>
      <c r="Q151" s="24" t="str">
        <f t="shared" si="96"/>
        <v/>
      </c>
      <c r="R151" s="110" t="str">
        <f t="shared" ca="1" si="101"/>
        <v/>
      </c>
      <c r="S151" s="114">
        <f t="shared" ref="S151" ca="1" si="129">IFERROR(SUM(OFFSET(Y151,0,MATCH(Forecast_New,$Y$3:$WQ$3,0)-1,1,500))*40,"")</f>
        <v>0</v>
      </c>
      <c r="T151" s="115">
        <f t="shared" ca="1" si="103"/>
        <v>0</v>
      </c>
      <c r="U151" s="116" t="str">
        <f t="shared" ca="1" si="55"/>
        <v/>
      </c>
      <c r="V151" s="99" t="str">
        <f t="shared" ca="1" si="56"/>
        <v/>
      </c>
      <c r="W151" s="100" t="str">
        <f t="shared" ca="1" si="104"/>
        <v/>
      </c>
      <c r="X151" s="83" t="str">
        <f t="shared" ca="1" si="105"/>
        <v/>
      </c>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25"/>
      <c r="EJ151" s="25"/>
      <c r="EK151" s="25"/>
      <c r="EL151" s="25"/>
      <c r="EM151" s="25"/>
      <c r="EN151" s="25"/>
      <c r="EO151" s="25"/>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c r="FL151" s="25"/>
      <c r="FM151" s="25"/>
      <c r="FN151" s="25"/>
      <c r="FO151" s="25"/>
      <c r="FP151" s="25"/>
      <c r="FQ151" s="25"/>
      <c r="FR151" s="25"/>
      <c r="FS151" s="25"/>
      <c r="FT151" s="25"/>
      <c r="FU151" s="25"/>
      <c r="FV151" s="25"/>
      <c r="FW151" s="25"/>
      <c r="FX151" s="25"/>
      <c r="FY151" s="25"/>
      <c r="FZ151" s="25"/>
      <c r="GA151" s="25"/>
      <c r="GB151" s="25"/>
      <c r="GC151" s="25"/>
      <c r="GD151" s="25"/>
      <c r="GE151" s="25"/>
      <c r="GF151" s="25"/>
      <c r="GG151" s="25"/>
      <c r="GH151" s="25"/>
      <c r="GI151" s="25"/>
      <c r="GJ151" s="25"/>
      <c r="GK151" s="25"/>
      <c r="GL151" s="25"/>
      <c r="GM151" s="25"/>
      <c r="GN151" s="25"/>
      <c r="GO151" s="25"/>
      <c r="GP151" s="25"/>
      <c r="GQ151" s="25"/>
      <c r="GR151" s="25"/>
      <c r="GS151" s="25"/>
      <c r="GT151" s="25"/>
      <c r="GU151" s="25"/>
      <c r="GV151" s="25"/>
      <c r="GW151" s="25"/>
      <c r="GX151" s="25"/>
      <c r="GY151" s="25"/>
      <c r="GZ151" s="25"/>
      <c r="HA151" s="25"/>
      <c r="HB151" s="25"/>
      <c r="HC151" s="25"/>
      <c r="HD151" s="25"/>
      <c r="HE151" s="25"/>
      <c r="HF151" s="25"/>
      <c r="HG151" s="25"/>
      <c r="HH151" s="25"/>
      <c r="HI151" s="25"/>
      <c r="HJ151" s="25"/>
      <c r="HK151" s="25"/>
      <c r="HL151" s="25"/>
      <c r="HM151" s="25"/>
      <c r="HN151" s="25"/>
      <c r="HO151" s="25"/>
      <c r="HP151" s="25"/>
      <c r="HQ151" s="25"/>
      <c r="HR151" s="25"/>
      <c r="HS151" s="25"/>
      <c r="HT151" s="25"/>
      <c r="HU151" s="25"/>
      <c r="HV151" s="25"/>
      <c r="HW151" s="25"/>
      <c r="HX151" s="25"/>
      <c r="HY151" s="25"/>
      <c r="HZ151" s="25"/>
      <c r="IA151" s="25"/>
      <c r="IB151" s="25"/>
      <c r="IC151" s="25"/>
      <c r="ID151" s="25"/>
      <c r="IE151" s="25"/>
      <c r="IF151" s="25"/>
      <c r="IG151" s="25"/>
      <c r="IH151" s="25"/>
      <c r="II151" s="25"/>
      <c r="IJ151" s="25"/>
      <c r="IK151" s="25"/>
      <c r="IL151" s="25"/>
      <c r="IM151" s="25"/>
      <c r="IN151" s="25"/>
      <c r="IO151" s="25"/>
      <c r="IP151" s="25"/>
      <c r="IQ151" s="25"/>
      <c r="IR151" s="25"/>
      <c r="IS151" s="25"/>
      <c r="IT151" s="25"/>
      <c r="IU151" s="25"/>
      <c r="IV151" s="25"/>
      <c r="IW151" s="25"/>
      <c r="IX151" s="25"/>
      <c r="IY151" s="25"/>
      <c r="IZ151" s="25"/>
      <c r="JA151" s="25"/>
      <c r="JB151" s="25"/>
      <c r="JC151" s="25"/>
      <c r="JD151" s="25"/>
      <c r="JE151" s="25"/>
      <c r="JF151" s="25"/>
      <c r="JG151" s="25"/>
      <c r="JH151" s="25"/>
      <c r="JI151" s="25"/>
      <c r="JJ151" s="25"/>
      <c r="JK151" s="25"/>
      <c r="JL151" s="25"/>
      <c r="JM151" s="25"/>
      <c r="JN151" s="25"/>
    </row>
    <row r="152" spans="2:274" ht="20.25" customHeight="1" x14ac:dyDescent="0.25">
      <c r="B152" s="20"/>
      <c r="F152" s="21"/>
      <c r="G152" s="86" t="str" cm="1">
        <f t="array" aca="1" ref="G152" ca="1">IFERROR(INDEX(Panel_Rates[[1]:[12]],MATCH(Panel_New&amp;Category_New,Panel_Rates[Panel]&amp;Panel_Rates[Category],0),MATCH('Time Plan HY'!E152,OFFSET(Variable!$AF$2,MATCH(Panel_New&amp;Category_New,Panel_Rates[Panel]&amp;Panel_Rates[Category],0)-1,0,1,12),0))/8,"")</f>
        <v/>
      </c>
      <c r="H152" s="92"/>
      <c r="I152" s="88" t="str">
        <f t="shared" ca="1" si="93"/>
        <v/>
      </c>
      <c r="J152" s="89" t="str">
        <f t="shared" ca="1" si="94"/>
        <v/>
      </c>
      <c r="K152" s="90" t="str">
        <f>IFERROR(_xlfn.XLOOKUP(D152,CostTableLookup[Name],CostTableLookup[Gross Cost]),"")</f>
        <v/>
      </c>
      <c r="L152" s="22"/>
      <c r="M152" s="81" t="str">
        <f t="shared" ca="1" si="99"/>
        <v/>
      </c>
      <c r="N152" s="23"/>
      <c r="O152" s="81" t="str">
        <f t="shared" ca="1" si="100"/>
        <v/>
      </c>
      <c r="P152" s="81" t="str">
        <f t="shared" ca="1" si="95"/>
        <v/>
      </c>
      <c r="Q152" s="24" t="str">
        <f t="shared" si="96"/>
        <v/>
      </c>
      <c r="R152" s="110" t="str">
        <f t="shared" ca="1" si="101"/>
        <v/>
      </c>
      <c r="S152" s="114">
        <f t="shared" ref="S152" ca="1" si="130">IFERROR(SUM(OFFSET(Y152,0,MATCH(Forecast_New,$Y$3:$WQ$3,0)-1,1,500))*40,"")</f>
        <v>0</v>
      </c>
      <c r="T152" s="115">
        <f t="shared" ca="1" si="103"/>
        <v>0</v>
      </c>
      <c r="U152" s="116" t="str">
        <f t="shared" ref="U152:U215" ca="1" si="131">IFERROR($S152*I152,"")</f>
        <v/>
      </c>
      <c r="V152" s="99" t="str">
        <f t="shared" ref="V152:V215" ca="1" si="132">IFERROR($S152*K152,"")</f>
        <v/>
      </c>
      <c r="W152" s="100" t="str">
        <f t="shared" ca="1" si="104"/>
        <v/>
      </c>
      <c r="X152" s="83" t="str">
        <f t="shared" ca="1" si="105"/>
        <v/>
      </c>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25"/>
      <c r="EJ152" s="25"/>
      <c r="EK152" s="25"/>
      <c r="EL152" s="25"/>
      <c r="EM152" s="25"/>
      <c r="EN152" s="25"/>
      <c r="EO152" s="25"/>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c r="FL152" s="25"/>
      <c r="FM152" s="25"/>
      <c r="FN152" s="25"/>
      <c r="FO152" s="25"/>
      <c r="FP152" s="25"/>
      <c r="FQ152" s="25"/>
      <c r="FR152" s="25"/>
      <c r="FS152" s="25"/>
      <c r="FT152" s="25"/>
      <c r="FU152" s="25"/>
      <c r="FV152" s="25"/>
      <c r="FW152" s="25"/>
      <c r="FX152" s="25"/>
      <c r="FY152" s="25"/>
      <c r="FZ152" s="25"/>
      <c r="GA152" s="25"/>
      <c r="GB152" s="25"/>
      <c r="GC152" s="25"/>
      <c r="GD152" s="25"/>
      <c r="GE152" s="25"/>
      <c r="GF152" s="25"/>
      <c r="GG152" s="25"/>
      <c r="GH152" s="25"/>
      <c r="GI152" s="25"/>
      <c r="GJ152" s="25"/>
      <c r="GK152" s="25"/>
      <c r="GL152" s="25"/>
      <c r="GM152" s="25"/>
      <c r="GN152" s="25"/>
      <c r="GO152" s="25"/>
      <c r="GP152" s="25"/>
      <c r="GQ152" s="25"/>
      <c r="GR152" s="25"/>
      <c r="GS152" s="25"/>
      <c r="GT152" s="25"/>
      <c r="GU152" s="25"/>
      <c r="GV152" s="25"/>
      <c r="GW152" s="25"/>
      <c r="GX152" s="25"/>
      <c r="GY152" s="25"/>
      <c r="GZ152" s="25"/>
      <c r="HA152" s="25"/>
      <c r="HB152" s="25"/>
      <c r="HC152" s="25"/>
      <c r="HD152" s="25"/>
      <c r="HE152" s="25"/>
      <c r="HF152" s="25"/>
      <c r="HG152" s="25"/>
      <c r="HH152" s="25"/>
      <c r="HI152" s="25"/>
      <c r="HJ152" s="25"/>
      <c r="HK152" s="25"/>
      <c r="HL152" s="25"/>
      <c r="HM152" s="25"/>
      <c r="HN152" s="25"/>
      <c r="HO152" s="25"/>
      <c r="HP152" s="25"/>
      <c r="HQ152" s="25"/>
      <c r="HR152" s="25"/>
      <c r="HS152" s="25"/>
      <c r="HT152" s="25"/>
      <c r="HU152" s="25"/>
      <c r="HV152" s="25"/>
      <c r="HW152" s="25"/>
      <c r="HX152" s="25"/>
      <c r="HY152" s="25"/>
      <c r="HZ152" s="25"/>
      <c r="IA152" s="25"/>
      <c r="IB152" s="25"/>
      <c r="IC152" s="25"/>
      <c r="ID152" s="25"/>
      <c r="IE152" s="25"/>
      <c r="IF152" s="25"/>
      <c r="IG152" s="25"/>
      <c r="IH152" s="25"/>
      <c r="II152" s="25"/>
      <c r="IJ152" s="25"/>
      <c r="IK152" s="25"/>
      <c r="IL152" s="25"/>
      <c r="IM152" s="25"/>
      <c r="IN152" s="25"/>
      <c r="IO152" s="25"/>
      <c r="IP152" s="25"/>
      <c r="IQ152" s="25"/>
      <c r="IR152" s="25"/>
      <c r="IS152" s="25"/>
      <c r="IT152" s="25"/>
      <c r="IU152" s="25"/>
      <c r="IV152" s="25"/>
      <c r="IW152" s="25"/>
      <c r="IX152" s="25"/>
      <c r="IY152" s="25"/>
      <c r="IZ152" s="25"/>
      <c r="JA152" s="25"/>
      <c r="JB152" s="25"/>
      <c r="JC152" s="25"/>
      <c r="JD152" s="25"/>
      <c r="JE152" s="25"/>
      <c r="JF152" s="25"/>
      <c r="JG152" s="25"/>
      <c r="JH152" s="25"/>
      <c r="JI152" s="25"/>
      <c r="JJ152" s="25"/>
      <c r="JK152" s="25"/>
      <c r="JL152" s="25"/>
      <c r="JM152" s="25"/>
      <c r="JN152" s="25"/>
    </row>
    <row r="153" spans="2:274" ht="20.25" customHeight="1" x14ac:dyDescent="0.25">
      <c r="B153" s="20"/>
      <c r="F153" s="21"/>
      <c r="G153" s="86" t="str" cm="1">
        <f t="array" aca="1" ref="G153" ca="1">IFERROR(INDEX(Panel_Rates[[1]:[12]],MATCH(Panel_New&amp;Category_New,Panel_Rates[Panel]&amp;Panel_Rates[Category],0),MATCH('Time Plan HY'!E153,OFFSET(Variable!$AF$2,MATCH(Panel_New&amp;Category_New,Panel_Rates[Panel]&amp;Panel_Rates[Category],0)-1,0,1,12),0))/8,"")</f>
        <v/>
      </c>
      <c r="H153" s="92"/>
      <c r="I153" s="88" t="str">
        <f t="shared" ca="1" si="93"/>
        <v/>
      </c>
      <c r="J153" s="89" t="str">
        <f t="shared" ca="1" si="94"/>
        <v/>
      </c>
      <c r="K153" s="90" t="str">
        <f>IFERROR(_xlfn.XLOOKUP(D153,CostTableLookup[Name],CostTableLookup[Gross Cost]),"")</f>
        <v/>
      </c>
      <c r="L153" s="22"/>
      <c r="M153" s="81" t="str">
        <f t="shared" ca="1" si="99"/>
        <v/>
      </c>
      <c r="N153" s="23"/>
      <c r="O153" s="81" t="str">
        <f t="shared" ca="1" si="100"/>
        <v/>
      </c>
      <c r="P153" s="81" t="str">
        <f t="shared" ca="1" si="95"/>
        <v/>
      </c>
      <c r="Q153" s="24" t="str">
        <f t="shared" si="96"/>
        <v/>
      </c>
      <c r="R153" s="110" t="str">
        <f t="shared" ca="1" si="101"/>
        <v/>
      </c>
      <c r="S153" s="114">
        <f t="shared" ref="S153" ca="1" si="133">IFERROR(SUM(OFFSET(Y153,0,MATCH(Forecast_New,$Y$3:$WQ$3,0)-1,1,500))*40,"")</f>
        <v>0</v>
      </c>
      <c r="T153" s="115">
        <f t="shared" ca="1" si="103"/>
        <v>0</v>
      </c>
      <c r="U153" s="116" t="str">
        <f t="shared" ca="1" si="131"/>
        <v/>
      </c>
      <c r="V153" s="99" t="str">
        <f t="shared" ca="1" si="132"/>
        <v/>
      </c>
      <c r="W153" s="100" t="str">
        <f t="shared" ca="1" si="104"/>
        <v/>
      </c>
      <c r="X153" s="83" t="str">
        <f t="shared" ca="1" si="105"/>
        <v/>
      </c>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25"/>
      <c r="EJ153" s="25"/>
      <c r="EK153" s="25"/>
      <c r="EL153" s="25"/>
      <c r="EM153" s="25"/>
      <c r="EN153" s="25"/>
      <c r="EO153" s="25"/>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c r="FL153" s="25"/>
      <c r="FM153" s="25"/>
      <c r="FN153" s="25"/>
      <c r="FO153" s="25"/>
      <c r="FP153" s="25"/>
      <c r="FQ153" s="25"/>
      <c r="FR153" s="25"/>
      <c r="FS153" s="25"/>
      <c r="FT153" s="25"/>
      <c r="FU153" s="25"/>
      <c r="FV153" s="25"/>
      <c r="FW153" s="25"/>
      <c r="FX153" s="25"/>
      <c r="FY153" s="25"/>
      <c r="FZ153" s="25"/>
      <c r="GA153" s="25"/>
      <c r="GB153" s="25"/>
      <c r="GC153" s="25"/>
      <c r="GD153" s="25"/>
      <c r="GE153" s="25"/>
      <c r="GF153" s="25"/>
      <c r="GG153" s="25"/>
      <c r="GH153" s="25"/>
      <c r="GI153" s="25"/>
      <c r="GJ153" s="25"/>
      <c r="GK153" s="25"/>
      <c r="GL153" s="25"/>
      <c r="GM153" s="25"/>
      <c r="GN153" s="25"/>
      <c r="GO153" s="25"/>
      <c r="GP153" s="25"/>
      <c r="GQ153" s="25"/>
      <c r="GR153" s="25"/>
      <c r="GS153" s="25"/>
      <c r="GT153" s="25"/>
      <c r="GU153" s="25"/>
      <c r="GV153" s="25"/>
      <c r="GW153" s="25"/>
      <c r="GX153" s="25"/>
      <c r="GY153" s="25"/>
      <c r="GZ153" s="25"/>
      <c r="HA153" s="25"/>
      <c r="HB153" s="25"/>
      <c r="HC153" s="25"/>
      <c r="HD153" s="25"/>
      <c r="HE153" s="25"/>
      <c r="HF153" s="25"/>
      <c r="HG153" s="25"/>
      <c r="HH153" s="25"/>
      <c r="HI153" s="25"/>
      <c r="HJ153" s="25"/>
      <c r="HK153" s="25"/>
      <c r="HL153" s="25"/>
      <c r="HM153" s="25"/>
      <c r="HN153" s="25"/>
      <c r="HO153" s="25"/>
      <c r="HP153" s="25"/>
      <c r="HQ153" s="25"/>
      <c r="HR153" s="25"/>
      <c r="HS153" s="25"/>
      <c r="HT153" s="25"/>
      <c r="HU153" s="25"/>
      <c r="HV153" s="25"/>
      <c r="HW153" s="25"/>
      <c r="HX153" s="25"/>
      <c r="HY153" s="25"/>
      <c r="HZ153" s="25"/>
      <c r="IA153" s="25"/>
      <c r="IB153" s="25"/>
      <c r="IC153" s="25"/>
      <c r="ID153" s="25"/>
      <c r="IE153" s="25"/>
      <c r="IF153" s="25"/>
      <c r="IG153" s="25"/>
      <c r="IH153" s="25"/>
      <c r="II153" s="25"/>
      <c r="IJ153" s="25"/>
      <c r="IK153" s="25"/>
      <c r="IL153" s="25"/>
      <c r="IM153" s="25"/>
      <c r="IN153" s="25"/>
      <c r="IO153" s="25"/>
      <c r="IP153" s="25"/>
      <c r="IQ153" s="25"/>
      <c r="IR153" s="25"/>
      <c r="IS153" s="25"/>
      <c r="IT153" s="25"/>
      <c r="IU153" s="25"/>
      <c r="IV153" s="25"/>
      <c r="IW153" s="25"/>
      <c r="IX153" s="25"/>
      <c r="IY153" s="25"/>
      <c r="IZ153" s="25"/>
      <c r="JA153" s="25"/>
      <c r="JB153" s="25"/>
      <c r="JC153" s="25"/>
      <c r="JD153" s="25"/>
      <c r="JE153" s="25"/>
      <c r="JF153" s="25"/>
      <c r="JG153" s="25"/>
      <c r="JH153" s="25"/>
      <c r="JI153" s="25"/>
      <c r="JJ153" s="25"/>
      <c r="JK153" s="25"/>
      <c r="JL153" s="25"/>
      <c r="JM153" s="25"/>
      <c r="JN153" s="25"/>
    </row>
    <row r="154" spans="2:274" ht="20.25" customHeight="1" x14ac:dyDescent="0.25">
      <c r="B154" s="20"/>
      <c r="F154" s="21"/>
      <c r="G154" s="86" t="str" cm="1">
        <f t="array" aca="1" ref="G154" ca="1">IFERROR(INDEX(Panel_Rates[[1]:[12]],MATCH(Panel_New&amp;Category_New,Panel_Rates[Panel]&amp;Panel_Rates[Category],0),MATCH('Time Plan HY'!E154,OFFSET(Variable!$AF$2,MATCH(Panel_New&amp;Category_New,Panel_Rates[Panel]&amp;Panel_Rates[Category],0)-1,0,1,12),0))/8,"")</f>
        <v/>
      </c>
      <c r="H154" s="92"/>
      <c r="I154" s="88" t="str">
        <f t="shared" ca="1" si="93"/>
        <v/>
      </c>
      <c r="J154" s="89" t="str">
        <f t="shared" ca="1" si="94"/>
        <v/>
      </c>
      <c r="K154" s="90" t="str">
        <f>IFERROR(_xlfn.XLOOKUP(D154,CostTableLookup[Name],CostTableLookup[Gross Cost]),"")</f>
        <v/>
      </c>
      <c r="L154" s="22"/>
      <c r="M154" s="81" t="str">
        <f t="shared" ca="1" si="99"/>
        <v/>
      </c>
      <c r="N154" s="23"/>
      <c r="O154" s="81" t="str">
        <f t="shared" ca="1" si="100"/>
        <v/>
      </c>
      <c r="P154" s="81" t="str">
        <f t="shared" ca="1" si="95"/>
        <v/>
      </c>
      <c r="Q154" s="24" t="str">
        <f t="shared" si="96"/>
        <v/>
      </c>
      <c r="R154" s="110" t="str">
        <f t="shared" ca="1" si="101"/>
        <v/>
      </c>
      <c r="S154" s="114">
        <f t="shared" ref="S154" ca="1" si="134">IFERROR(SUM(OFFSET(Y154,0,MATCH(Forecast_New,$Y$3:$WQ$3,0)-1,1,500))*40,"")</f>
        <v>0</v>
      </c>
      <c r="T154" s="115">
        <f t="shared" ca="1" si="103"/>
        <v>0</v>
      </c>
      <c r="U154" s="116" t="str">
        <f t="shared" ca="1" si="131"/>
        <v/>
      </c>
      <c r="V154" s="99" t="str">
        <f t="shared" ca="1" si="132"/>
        <v/>
      </c>
      <c r="W154" s="100" t="str">
        <f t="shared" ca="1" si="104"/>
        <v/>
      </c>
      <c r="X154" s="83" t="str">
        <f t="shared" ca="1" si="105"/>
        <v/>
      </c>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5"/>
      <c r="EN154" s="25"/>
      <c r="EO154" s="25"/>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c r="FL154" s="25"/>
      <c r="FM154" s="25"/>
      <c r="FN154" s="25"/>
      <c r="FO154" s="25"/>
      <c r="FP154" s="25"/>
      <c r="FQ154" s="25"/>
      <c r="FR154" s="25"/>
      <c r="FS154" s="25"/>
      <c r="FT154" s="25"/>
      <c r="FU154" s="25"/>
      <c r="FV154" s="25"/>
      <c r="FW154" s="25"/>
      <c r="FX154" s="25"/>
      <c r="FY154" s="25"/>
      <c r="FZ154" s="25"/>
      <c r="GA154" s="25"/>
      <c r="GB154" s="25"/>
      <c r="GC154" s="25"/>
      <c r="GD154" s="25"/>
      <c r="GE154" s="25"/>
      <c r="GF154" s="25"/>
      <c r="GG154" s="25"/>
      <c r="GH154" s="25"/>
      <c r="GI154" s="25"/>
      <c r="GJ154" s="25"/>
      <c r="GK154" s="25"/>
      <c r="GL154" s="25"/>
      <c r="GM154" s="25"/>
      <c r="GN154" s="25"/>
      <c r="GO154" s="25"/>
      <c r="GP154" s="25"/>
      <c r="GQ154" s="25"/>
      <c r="GR154" s="25"/>
      <c r="GS154" s="25"/>
      <c r="GT154" s="25"/>
      <c r="GU154" s="25"/>
      <c r="GV154" s="25"/>
      <c r="GW154" s="25"/>
      <c r="GX154" s="25"/>
      <c r="GY154" s="25"/>
      <c r="GZ154" s="25"/>
      <c r="HA154" s="25"/>
      <c r="HB154" s="25"/>
      <c r="HC154" s="25"/>
      <c r="HD154" s="25"/>
      <c r="HE154" s="25"/>
      <c r="HF154" s="25"/>
      <c r="HG154" s="25"/>
      <c r="HH154" s="25"/>
      <c r="HI154" s="25"/>
      <c r="HJ154" s="25"/>
      <c r="HK154" s="25"/>
      <c r="HL154" s="25"/>
      <c r="HM154" s="25"/>
      <c r="HN154" s="25"/>
      <c r="HO154" s="25"/>
      <c r="HP154" s="25"/>
      <c r="HQ154" s="25"/>
      <c r="HR154" s="25"/>
      <c r="HS154" s="25"/>
      <c r="HT154" s="25"/>
      <c r="HU154" s="25"/>
      <c r="HV154" s="25"/>
      <c r="HW154" s="25"/>
      <c r="HX154" s="25"/>
      <c r="HY154" s="25"/>
      <c r="HZ154" s="25"/>
      <c r="IA154" s="25"/>
      <c r="IB154" s="25"/>
      <c r="IC154" s="25"/>
      <c r="ID154" s="25"/>
      <c r="IE154" s="25"/>
      <c r="IF154" s="25"/>
      <c r="IG154" s="25"/>
      <c r="IH154" s="25"/>
      <c r="II154" s="25"/>
      <c r="IJ154" s="25"/>
      <c r="IK154" s="25"/>
      <c r="IL154" s="25"/>
      <c r="IM154" s="25"/>
      <c r="IN154" s="25"/>
      <c r="IO154" s="25"/>
      <c r="IP154" s="25"/>
      <c r="IQ154" s="25"/>
      <c r="IR154" s="25"/>
      <c r="IS154" s="25"/>
      <c r="IT154" s="25"/>
      <c r="IU154" s="25"/>
      <c r="IV154" s="25"/>
      <c r="IW154" s="25"/>
      <c r="IX154" s="25"/>
      <c r="IY154" s="25"/>
      <c r="IZ154" s="25"/>
      <c r="JA154" s="25"/>
      <c r="JB154" s="25"/>
      <c r="JC154" s="25"/>
      <c r="JD154" s="25"/>
      <c r="JE154" s="25"/>
      <c r="JF154" s="25"/>
      <c r="JG154" s="25"/>
      <c r="JH154" s="25"/>
      <c r="JI154" s="25"/>
      <c r="JJ154" s="25"/>
      <c r="JK154" s="25"/>
      <c r="JL154" s="25"/>
      <c r="JM154" s="25"/>
      <c r="JN154" s="25"/>
    </row>
    <row r="155" spans="2:274" ht="20.25" customHeight="1" x14ac:dyDescent="0.25">
      <c r="B155" s="20"/>
      <c r="F155" s="21"/>
      <c r="G155" s="86" t="str" cm="1">
        <f t="array" aca="1" ref="G155" ca="1">IFERROR(INDEX(Panel_Rates[[1]:[12]],MATCH(Panel_New&amp;Category_New,Panel_Rates[Panel]&amp;Panel_Rates[Category],0),MATCH('Time Plan HY'!E155,OFFSET(Variable!$AF$2,MATCH(Panel_New&amp;Category_New,Panel_Rates[Panel]&amp;Panel_Rates[Category],0)-1,0,1,12),0))/8,"")</f>
        <v/>
      </c>
      <c r="H155" s="92"/>
      <c r="I155" s="88" t="str">
        <f t="shared" ca="1" si="93"/>
        <v/>
      </c>
      <c r="J155" s="89" t="str">
        <f t="shared" ca="1" si="94"/>
        <v/>
      </c>
      <c r="K155" s="90" t="str">
        <f>IFERROR(_xlfn.XLOOKUP(D155,CostTableLookup[Name],CostTableLookup[Gross Cost]),"")</f>
        <v/>
      </c>
      <c r="L155" s="22"/>
      <c r="M155" s="81" t="str">
        <f t="shared" ca="1" si="99"/>
        <v/>
      </c>
      <c r="N155" s="23"/>
      <c r="O155" s="81" t="str">
        <f t="shared" ca="1" si="100"/>
        <v/>
      </c>
      <c r="P155" s="81" t="str">
        <f t="shared" ca="1" si="95"/>
        <v/>
      </c>
      <c r="Q155" s="24" t="str">
        <f t="shared" si="96"/>
        <v/>
      </c>
      <c r="R155" s="110" t="str">
        <f t="shared" ca="1" si="101"/>
        <v/>
      </c>
      <c r="S155" s="114">
        <f t="shared" ref="S155" ca="1" si="135">IFERROR(SUM(OFFSET(Y155,0,MATCH(Forecast_New,$Y$3:$WQ$3,0)-1,1,500))*40,"")</f>
        <v>0</v>
      </c>
      <c r="T155" s="115">
        <f t="shared" ca="1" si="103"/>
        <v>0</v>
      </c>
      <c r="U155" s="116" t="str">
        <f t="shared" ca="1" si="131"/>
        <v/>
      </c>
      <c r="V155" s="99" t="str">
        <f t="shared" ca="1" si="132"/>
        <v/>
      </c>
      <c r="W155" s="100" t="str">
        <f t="shared" ca="1" si="104"/>
        <v/>
      </c>
      <c r="X155" s="83" t="str">
        <f t="shared" ca="1" si="105"/>
        <v/>
      </c>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5"/>
      <c r="EN155" s="25"/>
      <c r="EO155" s="25"/>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c r="FL155" s="25"/>
      <c r="FM155" s="25"/>
      <c r="FN155" s="25"/>
      <c r="FO155" s="25"/>
      <c r="FP155" s="25"/>
      <c r="FQ155" s="25"/>
      <c r="FR155" s="25"/>
      <c r="FS155" s="25"/>
      <c r="FT155" s="25"/>
      <c r="FU155" s="25"/>
      <c r="FV155" s="25"/>
      <c r="FW155" s="25"/>
      <c r="FX155" s="25"/>
      <c r="FY155" s="25"/>
      <c r="FZ155" s="25"/>
      <c r="GA155" s="25"/>
      <c r="GB155" s="25"/>
      <c r="GC155" s="25"/>
      <c r="GD155" s="25"/>
      <c r="GE155" s="25"/>
      <c r="GF155" s="25"/>
      <c r="GG155" s="25"/>
      <c r="GH155" s="25"/>
      <c r="GI155" s="25"/>
      <c r="GJ155" s="25"/>
      <c r="GK155" s="25"/>
      <c r="GL155" s="25"/>
      <c r="GM155" s="25"/>
      <c r="GN155" s="25"/>
      <c r="GO155" s="25"/>
      <c r="GP155" s="25"/>
      <c r="GQ155" s="25"/>
      <c r="GR155" s="25"/>
      <c r="GS155" s="25"/>
      <c r="GT155" s="25"/>
      <c r="GU155" s="25"/>
      <c r="GV155" s="25"/>
      <c r="GW155" s="25"/>
      <c r="GX155" s="25"/>
      <c r="GY155" s="25"/>
      <c r="GZ155" s="25"/>
      <c r="HA155" s="25"/>
      <c r="HB155" s="25"/>
      <c r="HC155" s="25"/>
      <c r="HD155" s="25"/>
      <c r="HE155" s="25"/>
      <c r="HF155" s="25"/>
      <c r="HG155" s="25"/>
      <c r="HH155" s="25"/>
      <c r="HI155" s="25"/>
      <c r="HJ155" s="25"/>
      <c r="HK155" s="25"/>
      <c r="HL155" s="25"/>
      <c r="HM155" s="25"/>
      <c r="HN155" s="25"/>
      <c r="HO155" s="25"/>
      <c r="HP155" s="25"/>
      <c r="HQ155" s="25"/>
      <c r="HR155" s="25"/>
      <c r="HS155" s="25"/>
      <c r="HT155" s="25"/>
      <c r="HU155" s="25"/>
      <c r="HV155" s="25"/>
      <c r="HW155" s="25"/>
      <c r="HX155" s="25"/>
      <c r="HY155" s="25"/>
      <c r="HZ155" s="25"/>
      <c r="IA155" s="25"/>
      <c r="IB155" s="25"/>
      <c r="IC155" s="25"/>
      <c r="ID155" s="25"/>
      <c r="IE155" s="25"/>
      <c r="IF155" s="25"/>
      <c r="IG155" s="25"/>
      <c r="IH155" s="25"/>
      <c r="II155" s="25"/>
      <c r="IJ155" s="25"/>
      <c r="IK155" s="25"/>
      <c r="IL155" s="25"/>
      <c r="IM155" s="25"/>
      <c r="IN155" s="25"/>
      <c r="IO155" s="25"/>
      <c r="IP155" s="25"/>
      <c r="IQ155" s="25"/>
      <c r="IR155" s="25"/>
      <c r="IS155" s="25"/>
      <c r="IT155" s="25"/>
      <c r="IU155" s="25"/>
      <c r="IV155" s="25"/>
      <c r="IW155" s="25"/>
      <c r="IX155" s="25"/>
      <c r="IY155" s="25"/>
      <c r="IZ155" s="25"/>
      <c r="JA155" s="25"/>
      <c r="JB155" s="25"/>
      <c r="JC155" s="25"/>
      <c r="JD155" s="25"/>
      <c r="JE155" s="25"/>
      <c r="JF155" s="25"/>
      <c r="JG155" s="25"/>
      <c r="JH155" s="25"/>
      <c r="JI155" s="25"/>
      <c r="JJ155" s="25"/>
      <c r="JK155" s="25"/>
      <c r="JL155" s="25"/>
      <c r="JM155" s="25"/>
      <c r="JN155" s="25"/>
    </row>
    <row r="156" spans="2:274" ht="20.25" customHeight="1" x14ac:dyDescent="0.25">
      <c r="B156" s="20"/>
      <c r="F156" s="21"/>
      <c r="G156" s="86" t="str" cm="1">
        <f t="array" aca="1" ref="G156" ca="1">IFERROR(INDEX(Panel_Rates[[1]:[12]],MATCH(Panel_New&amp;Category_New,Panel_Rates[Panel]&amp;Panel_Rates[Category],0),MATCH('Time Plan HY'!E156,OFFSET(Variable!$AF$2,MATCH(Panel_New&amp;Category_New,Panel_Rates[Panel]&amp;Panel_Rates[Category],0)-1,0,1,12),0))/8,"")</f>
        <v/>
      </c>
      <c r="H156" s="92"/>
      <c r="I156" s="88" t="str">
        <f t="shared" ca="1" si="93"/>
        <v/>
      </c>
      <c r="J156" s="89" t="str">
        <f t="shared" ca="1" si="94"/>
        <v/>
      </c>
      <c r="K156" s="90" t="str">
        <f>IFERROR(_xlfn.XLOOKUP(D156,CostTableLookup[Name],CostTableLookup[Gross Cost]),"")</f>
        <v/>
      </c>
      <c r="L156" s="22"/>
      <c r="M156" s="81" t="str">
        <f t="shared" ca="1" si="99"/>
        <v/>
      </c>
      <c r="N156" s="23"/>
      <c r="O156" s="81" t="str">
        <f t="shared" ca="1" si="100"/>
        <v/>
      </c>
      <c r="P156" s="81" t="str">
        <f t="shared" ca="1" si="95"/>
        <v/>
      </c>
      <c r="Q156" s="24" t="str">
        <f t="shared" si="96"/>
        <v/>
      </c>
      <c r="R156" s="110" t="str">
        <f t="shared" ca="1" si="101"/>
        <v/>
      </c>
      <c r="S156" s="114">
        <f t="shared" ref="S156" ca="1" si="136">IFERROR(SUM(OFFSET(Y156,0,MATCH(Forecast_New,$Y$3:$WQ$3,0)-1,1,500))*40,"")</f>
        <v>0</v>
      </c>
      <c r="T156" s="115">
        <f t="shared" ca="1" si="103"/>
        <v>0</v>
      </c>
      <c r="U156" s="116" t="str">
        <f t="shared" ca="1" si="131"/>
        <v/>
      </c>
      <c r="V156" s="99" t="str">
        <f t="shared" ca="1" si="132"/>
        <v/>
      </c>
      <c r="W156" s="100" t="str">
        <f t="shared" ca="1" si="104"/>
        <v/>
      </c>
      <c r="X156" s="83" t="str">
        <f t="shared" ca="1" si="105"/>
        <v/>
      </c>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5"/>
      <c r="EN156" s="25"/>
      <c r="EO156" s="25"/>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c r="FL156" s="25"/>
      <c r="FM156" s="25"/>
      <c r="FN156" s="25"/>
      <c r="FO156" s="25"/>
      <c r="FP156" s="25"/>
      <c r="FQ156" s="25"/>
      <c r="FR156" s="25"/>
      <c r="FS156" s="25"/>
      <c r="FT156" s="25"/>
      <c r="FU156" s="25"/>
      <c r="FV156" s="25"/>
      <c r="FW156" s="25"/>
      <c r="FX156" s="25"/>
      <c r="FY156" s="25"/>
      <c r="FZ156" s="25"/>
      <c r="GA156" s="25"/>
      <c r="GB156" s="25"/>
      <c r="GC156" s="25"/>
      <c r="GD156" s="25"/>
      <c r="GE156" s="25"/>
      <c r="GF156" s="25"/>
      <c r="GG156" s="25"/>
      <c r="GH156" s="25"/>
      <c r="GI156" s="25"/>
      <c r="GJ156" s="25"/>
      <c r="GK156" s="25"/>
      <c r="GL156" s="25"/>
      <c r="GM156" s="25"/>
      <c r="GN156" s="25"/>
      <c r="GO156" s="25"/>
      <c r="GP156" s="25"/>
      <c r="GQ156" s="25"/>
      <c r="GR156" s="25"/>
      <c r="GS156" s="25"/>
      <c r="GT156" s="25"/>
      <c r="GU156" s="25"/>
      <c r="GV156" s="25"/>
      <c r="GW156" s="25"/>
      <c r="GX156" s="25"/>
      <c r="GY156" s="25"/>
      <c r="GZ156" s="25"/>
      <c r="HA156" s="25"/>
      <c r="HB156" s="25"/>
      <c r="HC156" s="25"/>
      <c r="HD156" s="25"/>
      <c r="HE156" s="25"/>
      <c r="HF156" s="25"/>
      <c r="HG156" s="25"/>
      <c r="HH156" s="25"/>
      <c r="HI156" s="25"/>
      <c r="HJ156" s="25"/>
      <c r="HK156" s="25"/>
      <c r="HL156" s="25"/>
      <c r="HM156" s="25"/>
      <c r="HN156" s="25"/>
      <c r="HO156" s="25"/>
      <c r="HP156" s="25"/>
      <c r="HQ156" s="25"/>
      <c r="HR156" s="25"/>
      <c r="HS156" s="25"/>
      <c r="HT156" s="25"/>
      <c r="HU156" s="25"/>
      <c r="HV156" s="25"/>
      <c r="HW156" s="25"/>
      <c r="HX156" s="25"/>
      <c r="HY156" s="25"/>
      <c r="HZ156" s="25"/>
      <c r="IA156" s="25"/>
      <c r="IB156" s="25"/>
      <c r="IC156" s="25"/>
      <c r="ID156" s="25"/>
      <c r="IE156" s="25"/>
      <c r="IF156" s="25"/>
      <c r="IG156" s="25"/>
      <c r="IH156" s="25"/>
      <c r="II156" s="25"/>
      <c r="IJ156" s="25"/>
      <c r="IK156" s="25"/>
      <c r="IL156" s="25"/>
      <c r="IM156" s="25"/>
      <c r="IN156" s="25"/>
      <c r="IO156" s="25"/>
      <c r="IP156" s="25"/>
      <c r="IQ156" s="25"/>
      <c r="IR156" s="25"/>
      <c r="IS156" s="25"/>
      <c r="IT156" s="25"/>
      <c r="IU156" s="25"/>
      <c r="IV156" s="25"/>
      <c r="IW156" s="25"/>
      <c r="IX156" s="25"/>
      <c r="IY156" s="25"/>
      <c r="IZ156" s="25"/>
      <c r="JA156" s="25"/>
      <c r="JB156" s="25"/>
      <c r="JC156" s="25"/>
      <c r="JD156" s="25"/>
      <c r="JE156" s="25"/>
      <c r="JF156" s="25"/>
      <c r="JG156" s="25"/>
      <c r="JH156" s="25"/>
      <c r="JI156" s="25"/>
      <c r="JJ156" s="25"/>
      <c r="JK156" s="25"/>
      <c r="JL156" s="25"/>
      <c r="JM156" s="25"/>
      <c r="JN156" s="25"/>
    </row>
    <row r="157" spans="2:274" ht="20.25" customHeight="1" x14ac:dyDescent="0.25">
      <c r="B157" s="20"/>
      <c r="F157" s="21"/>
      <c r="G157" s="86" t="str" cm="1">
        <f t="array" aca="1" ref="G157" ca="1">IFERROR(INDEX(Panel_Rates[[1]:[12]],MATCH(Panel_New&amp;Category_New,Panel_Rates[Panel]&amp;Panel_Rates[Category],0),MATCH('Time Plan HY'!E157,OFFSET(Variable!$AF$2,MATCH(Panel_New&amp;Category_New,Panel_Rates[Panel]&amp;Panel_Rates[Category],0)-1,0,1,12),0))/8,"")</f>
        <v/>
      </c>
      <c r="H157" s="92"/>
      <c r="I157" s="88" t="str">
        <f t="shared" ca="1" si="93"/>
        <v/>
      </c>
      <c r="J157" s="89" t="str">
        <f t="shared" ca="1" si="94"/>
        <v/>
      </c>
      <c r="K157" s="90" t="str">
        <f>IFERROR(_xlfn.XLOOKUP(D157,CostTableLookup[Name],CostTableLookup[Gross Cost]),"")</f>
        <v/>
      </c>
      <c r="L157" s="22"/>
      <c r="M157" s="81" t="str">
        <f t="shared" ca="1" si="99"/>
        <v/>
      </c>
      <c r="N157" s="23"/>
      <c r="O157" s="81" t="str">
        <f t="shared" ca="1" si="100"/>
        <v/>
      </c>
      <c r="P157" s="81" t="str">
        <f t="shared" ca="1" si="95"/>
        <v/>
      </c>
      <c r="Q157" s="24" t="str">
        <f t="shared" si="96"/>
        <v/>
      </c>
      <c r="R157" s="110" t="str">
        <f t="shared" ca="1" si="101"/>
        <v/>
      </c>
      <c r="S157" s="114">
        <f t="shared" ref="S157" ca="1" si="137">IFERROR(SUM(OFFSET(Y157,0,MATCH(Forecast_New,$Y$3:$WQ$3,0)-1,1,500))*40,"")</f>
        <v>0</v>
      </c>
      <c r="T157" s="115">
        <f t="shared" ca="1" si="103"/>
        <v>0</v>
      </c>
      <c r="U157" s="116" t="str">
        <f t="shared" ca="1" si="131"/>
        <v/>
      </c>
      <c r="V157" s="99" t="str">
        <f t="shared" ca="1" si="132"/>
        <v/>
      </c>
      <c r="W157" s="100" t="str">
        <f t="shared" ca="1" si="104"/>
        <v/>
      </c>
      <c r="X157" s="83" t="str">
        <f t="shared" ca="1" si="105"/>
        <v/>
      </c>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5"/>
      <c r="EN157" s="25"/>
      <c r="EO157" s="25"/>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c r="FL157" s="25"/>
      <c r="FM157" s="25"/>
      <c r="FN157" s="25"/>
      <c r="FO157" s="25"/>
      <c r="FP157" s="25"/>
      <c r="FQ157" s="25"/>
      <c r="FR157" s="25"/>
      <c r="FS157" s="25"/>
      <c r="FT157" s="25"/>
      <c r="FU157" s="25"/>
      <c r="FV157" s="25"/>
      <c r="FW157" s="25"/>
      <c r="FX157" s="25"/>
      <c r="FY157" s="25"/>
      <c r="FZ157" s="25"/>
      <c r="GA157" s="25"/>
      <c r="GB157" s="25"/>
      <c r="GC157" s="25"/>
      <c r="GD157" s="25"/>
      <c r="GE157" s="25"/>
      <c r="GF157" s="25"/>
      <c r="GG157" s="25"/>
      <c r="GH157" s="25"/>
      <c r="GI157" s="25"/>
      <c r="GJ157" s="25"/>
      <c r="GK157" s="25"/>
      <c r="GL157" s="25"/>
      <c r="GM157" s="25"/>
      <c r="GN157" s="25"/>
      <c r="GO157" s="25"/>
      <c r="GP157" s="25"/>
      <c r="GQ157" s="25"/>
      <c r="GR157" s="25"/>
      <c r="GS157" s="25"/>
      <c r="GT157" s="25"/>
      <c r="GU157" s="25"/>
      <c r="GV157" s="25"/>
      <c r="GW157" s="25"/>
      <c r="GX157" s="25"/>
      <c r="GY157" s="25"/>
      <c r="GZ157" s="25"/>
      <c r="HA157" s="25"/>
      <c r="HB157" s="25"/>
      <c r="HC157" s="25"/>
      <c r="HD157" s="25"/>
      <c r="HE157" s="25"/>
      <c r="HF157" s="25"/>
      <c r="HG157" s="25"/>
      <c r="HH157" s="25"/>
      <c r="HI157" s="25"/>
      <c r="HJ157" s="25"/>
      <c r="HK157" s="25"/>
      <c r="HL157" s="25"/>
      <c r="HM157" s="25"/>
      <c r="HN157" s="25"/>
      <c r="HO157" s="25"/>
      <c r="HP157" s="25"/>
      <c r="HQ157" s="25"/>
      <c r="HR157" s="25"/>
      <c r="HS157" s="25"/>
      <c r="HT157" s="25"/>
      <c r="HU157" s="25"/>
      <c r="HV157" s="25"/>
      <c r="HW157" s="25"/>
      <c r="HX157" s="25"/>
      <c r="HY157" s="25"/>
      <c r="HZ157" s="25"/>
      <c r="IA157" s="25"/>
      <c r="IB157" s="25"/>
      <c r="IC157" s="25"/>
      <c r="ID157" s="25"/>
      <c r="IE157" s="25"/>
      <c r="IF157" s="25"/>
      <c r="IG157" s="25"/>
      <c r="IH157" s="25"/>
      <c r="II157" s="25"/>
      <c r="IJ157" s="25"/>
      <c r="IK157" s="25"/>
      <c r="IL157" s="25"/>
      <c r="IM157" s="25"/>
      <c r="IN157" s="25"/>
      <c r="IO157" s="25"/>
      <c r="IP157" s="25"/>
      <c r="IQ157" s="25"/>
      <c r="IR157" s="25"/>
      <c r="IS157" s="25"/>
      <c r="IT157" s="25"/>
      <c r="IU157" s="25"/>
      <c r="IV157" s="25"/>
      <c r="IW157" s="25"/>
      <c r="IX157" s="25"/>
      <c r="IY157" s="25"/>
      <c r="IZ157" s="25"/>
      <c r="JA157" s="25"/>
      <c r="JB157" s="25"/>
      <c r="JC157" s="25"/>
      <c r="JD157" s="25"/>
      <c r="JE157" s="25"/>
      <c r="JF157" s="25"/>
      <c r="JG157" s="25"/>
      <c r="JH157" s="25"/>
      <c r="JI157" s="25"/>
      <c r="JJ157" s="25"/>
      <c r="JK157" s="25"/>
      <c r="JL157" s="25"/>
      <c r="JM157" s="25"/>
      <c r="JN157" s="25"/>
    </row>
    <row r="158" spans="2:274" ht="20.25" customHeight="1" x14ac:dyDescent="0.25">
      <c r="B158" s="20"/>
      <c r="F158" s="21"/>
      <c r="G158" s="86" t="str" cm="1">
        <f t="array" aca="1" ref="G158" ca="1">IFERROR(INDEX(Panel_Rates[[1]:[12]],MATCH(Panel_New&amp;Category_New,Panel_Rates[Panel]&amp;Panel_Rates[Category],0),MATCH('Time Plan HY'!E158,OFFSET(Variable!$AF$2,MATCH(Panel_New&amp;Category_New,Panel_Rates[Panel]&amp;Panel_Rates[Category],0)-1,0,1,12),0))/8,"")</f>
        <v/>
      </c>
      <c r="H158" s="92"/>
      <c r="I158" s="88" t="str">
        <f t="shared" ca="1" si="93"/>
        <v/>
      </c>
      <c r="J158" s="89" t="str">
        <f t="shared" ca="1" si="94"/>
        <v/>
      </c>
      <c r="K158" s="90" t="str">
        <f>IFERROR(_xlfn.XLOOKUP(D158,CostTableLookup[Name],CostTableLookup[Gross Cost]),"")</f>
        <v/>
      </c>
      <c r="L158" s="22"/>
      <c r="M158" s="81" t="str">
        <f t="shared" ca="1" si="99"/>
        <v/>
      </c>
      <c r="N158" s="23"/>
      <c r="O158" s="81" t="str">
        <f t="shared" ca="1" si="100"/>
        <v/>
      </c>
      <c r="P158" s="81" t="str">
        <f t="shared" ca="1" si="95"/>
        <v/>
      </c>
      <c r="Q158" s="24" t="str">
        <f t="shared" si="96"/>
        <v/>
      </c>
      <c r="R158" s="110" t="str">
        <f t="shared" ca="1" si="101"/>
        <v/>
      </c>
      <c r="S158" s="114">
        <f t="shared" ref="S158" ca="1" si="138">IFERROR(SUM(OFFSET(Y158,0,MATCH(Forecast_New,$Y$3:$WQ$3,0)-1,1,500))*40,"")</f>
        <v>0</v>
      </c>
      <c r="T158" s="115">
        <f t="shared" ca="1" si="103"/>
        <v>0</v>
      </c>
      <c r="U158" s="116" t="str">
        <f t="shared" ca="1" si="131"/>
        <v/>
      </c>
      <c r="V158" s="99" t="str">
        <f t="shared" ca="1" si="132"/>
        <v/>
      </c>
      <c r="W158" s="100" t="str">
        <f t="shared" ca="1" si="104"/>
        <v/>
      </c>
      <c r="X158" s="83" t="str">
        <f t="shared" ca="1" si="105"/>
        <v/>
      </c>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5"/>
      <c r="EN158" s="25"/>
      <c r="EO158" s="25"/>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c r="FL158" s="25"/>
      <c r="FM158" s="25"/>
      <c r="FN158" s="25"/>
      <c r="FO158" s="25"/>
      <c r="FP158" s="25"/>
      <c r="FQ158" s="25"/>
      <c r="FR158" s="25"/>
      <c r="FS158" s="25"/>
      <c r="FT158" s="25"/>
      <c r="FU158" s="25"/>
      <c r="FV158" s="25"/>
      <c r="FW158" s="25"/>
      <c r="FX158" s="25"/>
      <c r="FY158" s="25"/>
      <c r="FZ158" s="25"/>
      <c r="GA158" s="25"/>
      <c r="GB158" s="25"/>
      <c r="GC158" s="25"/>
      <c r="GD158" s="25"/>
      <c r="GE158" s="25"/>
      <c r="GF158" s="25"/>
      <c r="GG158" s="25"/>
      <c r="GH158" s="25"/>
      <c r="GI158" s="25"/>
      <c r="GJ158" s="25"/>
      <c r="GK158" s="25"/>
      <c r="GL158" s="25"/>
      <c r="GM158" s="25"/>
      <c r="GN158" s="25"/>
      <c r="GO158" s="25"/>
      <c r="GP158" s="25"/>
      <c r="GQ158" s="25"/>
      <c r="GR158" s="25"/>
      <c r="GS158" s="25"/>
      <c r="GT158" s="25"/>
      <c r="GU158" s="25"/>
      <c r="GV158" s="25"/>
      <c r="GW158" s="25"/>
      <c r="GX158" s="25"/>
      <c r="GY158" s="25"/>
      <c r="GZ158" s="25"/>
      <c r="HA158" s="25"/>
      <c r="HB158" s="25"/>
      <c r="HC158" s="25"/>
      <c r="HD158" s="25"/>
      <c r="HE158" s="25"/>
      <c r="HF158" s="25"/>
      <c r="HG158" s="25"/>
      <c r="HH158" s="25"/>
      <c r="HI158" s="25"/>
      <c r="HJ158" s="25"/>
      <c r="HK158" s="25"/>
      <c r="HL158" s="25"/>
      <c r="HM158" s="25"/>
      <c r="HN158" s="25"/>
      <c r="HO158" s="25"/>
      <c r="HP158" s="25"/>
      <c r="HQ158" s="25"/>
      <c r="HR158" s="25"/>
      <c r="HS158" s="25"/>
      <c r="HT158" s="25"/>
      <c r="HU158" s="25"/>
      <c r="HV158" s="25"/>
      <c r="HW158" s="25"/>
      <c r="HX158" s="25"/>
      <c r="HY158" s="25"/>
      <c r="HZ158" s="25"/>
      <c r="IA158" s="25"/>
      <c r="IB158" s="25"/>
      <c r="IC158" s="25"/>
      <c r="ID158" s="25"/>
      <c r="IE158" s="25"/>
      <c r="IF158" s="25"/>
      <c r="IG158" s="25"/>
      <c r="IH158" s="25"/>
      <c r="II158" s="25"/>
      <c r="IJ158" s="25"/>
      <c r="IK158" s="25"/>
      <c r="IL158" s="25"/>
      <c r="IM158" s="25"/>
      <c r="IN158" s="25"/>
      <c r="IO158" s="25"/>
      <c r="IP158" s="25"/>
      <c r="IQ158" s="25"/>
      <c r="IR158" s="25"/>
      <c r="IS158" s="25"/>
      <c r="IT158" s="25"/>
      <c r="IU158" s="25"/>
      <c r="IV158" s="25"/>
      <c r="IW158" s="25"/>
      <c r="IX158" s="25"/>
      <c r="IY158" s="25"/>
      <c r="IZ158" s="25"/>
      <c r="JA158" s="25"/>
      <c r="JB158" s="25"/>
      <c r="JC158" s="25"/>
      <c r="JD158" s="25"/>
      <c r="JE158" s="25"/>
      <c r="JF158" s="25"/>
      <c r="JG158" s="25"/>
      <c r="JH158" s="25"/>
      <c r="JI158" s="25"/>
      <c r="JJ158" s="25"/>
      <c r="JK158" s="25"/>
      <c r="JL158" s="25"/>
      <c r="JM158" s="25"/>
      <c r="JN158" s="25"/>
    </row>
    <row r="159" spans="2:274" ht="20.25" customHeight="1" x14ac:dyDescent="0.25">
      <c r="B159" s="20"/>
      <c r="F159" s="21"/>
      <c r="G159" s="86" t="str" cm="1">
        <f t="array" aca="1" ref="G159" ca="1">IFERROR(INDEX(Panel_Rates[[1]:[12]],MATCH(Panel_New&amp;Category_New,Panel_Rates[Panel]&amp;Panel_Rates[Category],0),MATCH('Time Plan HY'!E159,OFFSET(Variable!$AF$2,MATCH(Panel_New&amp;Category_New,Panel_Rates[Panel]&amp;Panel_Rates[Category],0)-1,0,1,12),0))/8,"")</f>
        <v/>
      </c>
      <c r="H159" s="92"/>
      <c r="I159" s="88" t="str">
        <f t="shared" ca="1" si="93"/>
        <v/>
      </c>
      <c r="J159" s="89" t="str">
        <f t="shared" ca="1" si="94"/>
        <v/>
      </c>
      <c r="K159" s="90" t="str">
        <f>IFERROR(_xlfn.XLOOKUP(D159,CostTableLookup[Name],CostTableLookup[Gross Cost]),"")</f>
        <v/>
      </c>
      <c r="L159" s="22"/>
      <c r="M159" s="81" t="str">
        <f t="shared" ca="1" si="99"/>
        <v/>
      </c>
      <c r="N159" s="23"/>
      <c r="O159" s="81" t="str">
        <f t="shared" ca="1" si="100"/>
        <v/>
      </c>
      <c r="P159" s="81" t="str">
        <f t="shared" ca="1" si="95"/>
        <v/>
      </c>
      <c r="Q159" s="24" t="str">
        <f t="shared" si="96"/>
        <v/>
      </c>
      <c r="R159" s="110" t="str">
        <f t="shared" ca="1" si="101"/>
        <v/>
      </c>
      <c r="S159" s="114">
        <f t="shared" ref="S159" ca="1" si="139">IFERROR(SUM(OFFSET(Y159,0,MATCH(Forecast_New,$Y$3:$WQ$3,0)-1,1,500))*40,"")</f>
        <v>0</v>
      </c>
      <c r="T159" s="115">
        <f t="shared" ca="1" si="103"/>
        <v>0</v>
      </c>
      <c r="U159" s="116" t="str">
        <f t="shared" ca="1" si="131"/>
        <v/>
      </c>
      <c r="V159" s="99" t="str">
        <f t="shared" ca="1" si="132"/>
        <v/>
      </c>
      <c r="W159" s="100" t="str">
        <f t="shared" ca="1" si="104"/>
        <v/>
      </c>
      <c r="X159" s="83" t="str">
        <f t="shared" ca="1" si="105"/>
        <v/>
      </c>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5"/>
      <c r="EN159" s="25"/>
      <c r="EO159" s="25"/>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c r="FL159" s="25"/>
      <c r="FM159" s="25"/>
      <c r="FN159" s="25"/>
      <c r="FO159" s="25"/>
      <c r="FP159" s="25"/>
      <c r="FQ159" s="25"/>
      <c r="FR159" s="25"/>
      <c r="FS159" s="25"/>
      <c r="FT159" s="25"/>
      <c r="FU159" s="25"/>
      <c r="FV159" s="25"/>
      <c r="FW159" s="25"/>
      <c r="FX159" s="25"/>
      <c r="FY159" s="25"/>
      <c r="FZ159" s="25"/>
      <c r="GA159" s="25"/>
      <c r="GB159" s="25"/>
      <c r="GC159" s="25"/>
      <c r="GD159" s="25"/>
      <c r="GE159" s="25"/>
      <c r="GF159" s="25"/>
      <c r="GG159" s="25"/>
      <c r="GH159" s="25"/>
      <c r="GI159" s="25"/>
      <c r="GJ159" s="25"/>
      <c r="GK159" s="25"/>
      <c r="GL159" s="25"/>
      <c r="GM159" s="25"/>
      <c r="GN159" s="25"/>
      <c r="GO159" s="25"/>
      <c r="GP159" s="25"/>
      <c r="GQ159" s="25"/>
      <c r="GR159" s="25"/>
      <c r="GS159" s="25"/>
      <c r="GT159" s="25"/>
      <c r="GU159" s="25"/>
      <c r="GV159" s="25"/>
      <c r="GW159" s="25"/>
      <c r="GX159" s="25"/>
      <c r="GY159" s="25"/>
      <c r="GZ159" s="25"/>
      <c r="HA159" s="25"/>
      <c r="HB159" s="25"/>
      <c r="HC159" s="25"/>
      <c r="HD159" s="25"/>
      <c r="HE159" s="25"/>
      <c r="HF159" s="25"/>
      <c r="HG159" s="25"/>
      <c r="HH159" s="25"/>
      <c r="HI159" s="25"/>
      <c r="HJ159" s="25"/>
      <c r="HK159" s="25"/>
      <c r="HL159" s="25"/>
      <c r="HM159" s="25"/>
      <c r="HN159" s="25"/>
      <c r="HO159" s="25"/>
      <c r="HP159" s="25"/>
      <c r="HQ159" s="25"/>
      <c r="HR159" s="25"/>
      <c r="HS159" s="25"/>
      <c r="HT159" s="25"/>
      <c r="HU159" s="25"/>
      <c r="HV159" s="25"/>
      <c r="HW159" s="25"/>
      <c r="HX159" s="25"/>
      <c r="HY159" s="25"/>
      <c r="HZ159" s="25"/>
      <c r="IA159" s="25"/>
      <c r="IB159" s="25"/>
      <c r="IC159" s="25"/>
      <c r="ID159" s="25"/>
      <c r="IE159" s="25"/>
      <c r="IF159" s="25"/>
      <c r="IG159" s="25"/>
      <c r="IH159" s="25"/>
      <c r="II159" s="25"/>
      <c r="IJ159" s="25"/>
      <c r="IK159" s="25"/>
      <c r="IL159" s="25"/>
      <c r="IM159" s="25"/>
      <c r="IN159" s="25"/>
      <c r="IO159" s="25"/>
      <c r="IP159" s="25"/>
      <c r="IQ159" s="25"/>
      <c r="IR159" s="25"/>
      <c r="IS159" s="25"/>
      <c r="IT159" s="25"/>
      <c r="IU159" s="25"/>
      <c r="IV159" s="25"/>
      <c r="IW159" s="25"/>
      <c r="IX159" s="25"/>
      <c r="IY159" s="25"/>
      <c r="IZ159" s="25"/>
      <c r="JA159" s="25"/>
      <c r="JB159" s="25"/>
      <c r="JC159" s="25"/>
      <c r="JD159" s="25"/>
      <c r="JE159" s="25"/>
      <c r="JF159" s="25"/>
      <c r="JG159" s="25"/>
      <c r="JH159" s="25"/>
      <c r="JI159" s="25"/>
      <c r="JJ159" s="25"/>
      <c r="JK159" s="25"/>
      <c r="JL159" s="25"/>
      <c r="JM159" s="25"/>
      <c r="JN159" s="25"/>
    </row>
    <row r="160" spans="2:274" ht="20.25" customHeight="1" x14ac:dyDescent="0.25">
      <c r="B160" s="20"/>
      <c r="F160" s="21"/>
      <c r="G160" s="86" t="str" cm="1">
        <f t="array" aca="1" ref="G160" ca="1">IFERROR(INDEX(Panel_Rates[[1]:[12]],MATCH(Panel_New&amp;Category_New,Panel_Rates[Panel]&amp;Panel_Rates[Category],0),MATCH('Time Plan HY'!E160,OFFSET(Variable!$AF$2,MATCH(Panel_New&amp;Category_New,Panel_Rates[Panel]&amp;Panel_Rates[Category],0)-1,0,1,12),0))/8,"")</f>
        <v/>
      </c>
      <c r="H160" s="92"/>
      <c r="I160" s="88" t="str">
        <f t="shared" ca="1" si="93"/>
        <v/>
      </c>
      <c r="J160" s="89" t="str">
        <f t="shared" ca="1" si="94"/>
        <v/>
      </c>
      <c r="K160" s="90" t="str">
        <f>IFERROR(_xlfn.XLOOKUP(D160,CostTableLookup[Name],CostTableLookup[Gross Cost]),"")</f>
        <v/>
      </c>
      <c r="L160" s="22"/>
      <c r="M160" s="81" t="str">
        <f t="shared" ca="1" si="99"/>
        <v/>
      </c>
      <c r="N160" s="23"/>
      <c r="O160" s="81" t="str">
        <f t="shared" ca="1" si="100"/>
        <v/>
      </c>
      <c r="P160" s="81" t="str">
        <f t="shared" ca="1" si="95"/>
        <v/>
      </c>
      <c r="Q160" s="24" t="str">
        <f t="shared" si="96"/>
        <v/>
      </c>
      <c r="R160" s="110" t="str">
        <f t="shared" ca="1" si="101"/>
        <v/>
      </c>
      <c r="S160" s="114">
        <f t="shared" ref="S160" ca="1" si="140">IFERROR(SUM(OFFSET(Y160,0,MATCH(Forecast_New,$Y$3:$WQ$3,0)-1,1,500))*40,"")</f>
        <v>0</v>
      </c>
      <c r="T160" s="115">
        <f t="shared" ca="1" si="103"/>
        <v>0</v>
      </c>
      <c r="U160" s="116" t="str">
        <f t="shared" ca="1" si="131"/>
        <v/>
      </c>
      <c r="V160" s="99" t="str">
        <f t="shared" ca="1" si="132"/>
        <v/>
      </c>
      <c r="W160" s="100" t="str">
        <f t="shared" ca="1" si="104"/>
        <v/>
      </c>
      <c r="X160" s="83" t="str">
        <f t="shared" ca="1" si="105"/>
        <v/>
      </c>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25"/>
      <c r="EJ160" s="25"/>
      <c r="EK160" s="25"/>
      <c r="EL160" s="25"/>
      <c r="EM160" s="25"/>
      <c r="EN160" s="25"/>
      <c r="EO160" s="25"/>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5"/>
      <c r="FT160" s="25"/>
      <c r="FU160" s="25"/>
      <c r="FV160" s="25"/>
      <c r="FW160" s="25"/>
      <c r="FX160" s="25"/>
      <c r="FY160" s="25"/>
      <c r="FZ160" s="25"/>
      <c r="GA160" s="25"/>
      <c r="GB160" s="25"/>
      <c r="GC160" s="25"/>
      <c r="GD160" s="25"/>
      <c r="GE160" s="25"/>
      <c r="GF160" s="25"/>
      <c r="GG160" s="25"/>
      <c r="GH160" s="25"/>
      <c r="GI160" s="25"/>
      <c r="GJ160" s="25"/>
      <c r="GK160" s="25"/>
      <c r="GL160" s="25"/>
      <c r="GM160" s="25"/>
      <c r="GN160" s="25"/>
      <c r="GO160" s="25"/>
      <c r="GP160" s="25"/>
      <c r="GQ160" s="25"/>
      <c r="GR160" s="25"/>
      <c r="GS160" s="25"/>
      <c r="GT160" s="25"/>
      <c r="GU160" s="25"/>
      <c r="GV160" s="25"/>
      <c r="GW160" s="25"/>
      <c r="GX160" s="25"/>
      <c r="GY160" s="25"/>
      <c r="GZ160" s="25"/>
      <c r="HA160" s="25"/>
      <c r="HB160" s="25"/>
      <c r="HC160" s="25"/>
      <c r="HD160" s="25"/>
      <c r="HE160" s="25"/>
      <c r="HF160" s="25"/>
      <c r="HG160" s="25"/>
      <c r="HH160" s="25"/>
      <c r="HI160" s="25"/>
      <c r="HJ160" s="25"/>
      <c r="HK160" s="25"/>
      <c r="HL160" s="25"/>
      <c r="HM160" s="25"/>
      <c r="HN160" s="25"/>
      <c r="HO160" s="25"/>
      <c r="HP160" s="25"/>
      <c r="HQ160" s="25"/>
      <c r="HR160" s="25"/>
      <c r="HS160" s="25"/>
      <c r="HT160" s="25"/>
      <c r="HU160" s="25"/>
      <c r="HV160" s="25"/>
      <c r="HW160" s="25"/>
      <c r="HX160" s="25"/>
      <c r="HY160" s="25"/>
      <c r="HZ160" s="25"/>
      <c r="IA160" s="25"/>
      <c r="IB160" s="25"/>
      <c r="IC160" s="25"/>
      <c r="ID160" s="25"/>
      <c r="IE160" s="25"/>
      <c r="IF160" s="25"/>
      <c r="IG160" s="25"/>
      <c r="IH160" s="25"/>
      <c r="II160" s="25"/>
      <c r="IJ160" s="25"/>
      <c r="IK160" s="25"/>
      <c r="IL160" s="25"/>
      <c r="IM160" s="25"/>
      <c r="IN160" s="25"/>
      <c r="IO160" s="25"/>
      <c r="IP160" s="25"/>
      <c r="IQ160" s="25"/>
      <c r="IR160" s="25"/>
      <c r="IS160" s="25"/>
      <c r="IT160" s="25"/>
      <c r="IU160" s="25"/>
      <c r="IV160" s="25"/>
      <c r="IW160" s="25"/>
      <c r="IX160" s="25"/>
      <c r="IY160" s="25"/>
      <c r="IZ160" s="25"/>
      <c r="JA160" s="25"/>
      <c r="JB160" s="25"/>
      <c r="JC160" s="25"/>
      <c r="JD160" s="25"/>
      <c r="JE160" s="25"/>
      <c r="JF160" s="25"/>
      <c r="JG160" s="25"/>
      <c r="JH160" s="25"/>
      <c r="JI160" s="25"/>
      <c r="JJ160" s="25"/>
      <c r="JK160" s="25"/>
      <c r="JL160" s="25"/>
      <c r="JM160" s="25"/>
      <c r="JN160" s="25"/>
    </row>
    <row r="161" spans="2:274" ht="20.25" customHeight="1" x14ac:dyDescent="0.25">
      <c r="B161" s="20"/>
      <c r="F161" s="21"/>
      <c r="G161" s="86" t="str" cm="1">
        <f t="array" aca="1" ref="G161" ca="1">IFERROR(INDEX(Panel_Rates[[1]:[12]],MATCH(Panel_New&amp;Category_New,Panel_Rates[Panel]&amp;Panel_Rates[Category],0),MATCH('Time Plan HY'!E161,OFFSET(Variable!$AF$2,MATCH(Panel_New&amp;Category_New,Panel_Rates[Panel]&amp;Panel_Rates[Category],0)-1,0,1,12),0))/8,"")</f>
        <v/>
      </c>
      <c r="H161" s="92"/>
      <c r="I161" s="88" t="str">
        <f t="shared" ca="1" si="93"/>
        <v/>
      </c>
      <c r="J161" s="89" t="str">
        <f t="shared" ca="1" si="94"/>
        <v/>
      </c>
      <c r="K161" s="90" t="str">
        <f>IFERROR(_xlfn.XLOOKUP(D161,CostTableLookup[Name],CostTableLookup[Gross Cost]),"")</f>
        <v/>
      </c>
      <c r="L161" s="22"/>
      <c r="M161" s="81" t="str">
        <f t="shared" ca="1" si="99"/>
        <v/>
      </c>
      <c r="N161" s="23"/>
      <c r="O161" s="81" t="str">
        <f t="shared" ca="1" si="100"/>
        <v/>
      </c>
      <c r="P161" s="81" t="str">
        <f t="shared" ca="1" si="95"/>
        <v/>
      </c>
      <c r="Q161" s="24" t="str">
        <f t="shared" si="96"/>
        <v/>
      </c>
      <c r="R161" s="110" t="str">
        <f t="shared" ca="1" si="101"/>
        <v/>
      </c>
      <c r="S161" s="114">
        <f t="shared" ref="S161" ca="1" si="141">IFERROR(SUM(OFFSET(Y161,0,MATCH(Forecast_New,$Y$3:$WQ$3,0)-1,1,500))*40,"")</f>
        <v>0</v>
      </c>
      <c r="T161" s="115">
        <f t="shared" ca="1" si="103"/>
        <v>0</v>
      </c>
      <c r="U161" s="116" t="str">
        <f t="shared" ca="1" si="131"/>
        <v/>
      </c>
      <c r="V161" s="99" t="str">
        <f t="shared" ca="1" si="132"/>
        <v/>
      </c>
      <c r="W161" s="100" t="str">
        <f t="shared" ca="1" si="104"/>
        <v/>
      </c>
      <c r="X161" s="83" t="str">
        <f t="shared" ca="1" si="105"/>
        <v/>
      </c>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25"/>
      <c r="EJ161" s="25"/>
      <c r="EK161" s="25"/>
      <c r="EL161" s="25"/>
      <c r="EM161" s="25"/>
      <c r="EN161" s="25"/>
      <c r="EO161" s="25"/>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c r="FL161" s="25"/>
      <c r="FM161" s="25"/>
      <c r="FN161" s="25"/>
      <c r="FO161" s="25"/>
      <c r="FP161" s="25"/>
      <c r="FQ161" s="25"/>
      <c r="FR161" s="25"/>
      <c r="FS161" s="25"/>
      <c r="FT161" s="25"/>
      <c r="FU161" s="25"/>
      <c r="FV161" s="25"/>
      <c r="FW161" s="25"/>
      <c r="FX161" s="25"/>
      <c r="FY161" s="25"/>
      <c r="FZ161" s="25"/>
      <c r="GA161" s="25"/>
      <c r="GB161" s="25"/>
      <c r="GC161" s="25"/>
      <c r="GD161" s="25"/>
      <c r="GE161" s="25"/>
      <c r="GF161" s="25"/>
      <c r="GG161" s="25"/>
      <c r="GH161" s="25"/>
      <c r="GI161" s="25"/>
      <c r="GJ161" s="25"/>
      <c r="GK161" s="25"/>
      <c r="GL161" s="25"/>
      <c r="GM161" s="25"/>
      <c r="GN161" s="25"/>
      <c r="GO161" s="25"/>
      <c r="GP161" s="25"/>
      <c r="GQ161" s="25"/>
      <c r="GR161" s="25"/>
      <c r="GS161" s="25"/>
      <c r="GT161" s="25"/>
      <c r="GU161" s="25"/>
      <c r="GV161" s="25"/>
      <c r="GW161" s="25"/>
      <c r="GX161" s="25"/>
      <c r="GY161" s="25"/>
      <c r="GZ161" s="25"/>
      <c r="HA161" s="25"/>
      <c r="HB161" s="25"/>
      <c r="HC161" s="25"/>
      <c r="HD161" s="25"/>
      <c r="HE161" s="25"/>
      <c r="HF161" s="25"/>
      <c r="HG161" s="25"/>
      <c r="HH161" s="25"/>
      <c r="HI161" s="25"/>
      <c r="HJ161" s="25"/>
      <c r="HK161" s="25"/>
      <c r="HL161" s="25"/>
      <c r="HM161" s="25"/>
      <c r="HN161" s="25"/>
      <c r="HO161" s="25"/>
      <c r="HP161" s="25"/>
      <c r="HQ161" s="25"/>
      <c r="HR161" s="25"/>
      <c r="HS161" s="25"/>
      <c r="HT161" s="25"/>
      <c r="HU161" s="25"/>
      <c r="HV161" s="25"/>
      <c r="HW161" s="25"/>
      <c r="HX161" s="25"/>
      <c r="HY161" s="25"/>
      <c r="HZ161" s="25"/>
      <c r="IA161" s="25"/>
      <c r="IB161" s="25"/>
      <c r="IC161" s="25"/>
      <c r="ID161" s="25"/>
      <c r="IE161" s="25"/>
      <c r="IF161" s="25"/>
      <c r="IG161" s="25"/>
      <c r="IH161" s="25"/>
      <c r="II161" s="25"/>
      <c r="IJ161" s="25"/>
      <c r="IK161" s="25"/>
      <c r="IL161" s="25"/>
      <c r="IM161" s="25"/>
      <c r="IN161" s="25"/>
      <c r="IO161" s="25"/>
      <c r="IP161" s="25"/>
      <c r="IQ161" s="25"/>
      <c r="IR161" s="25"/>
      <c r="IS161" s="25"/>
      <c r="IT161" s="25"/>
      <c r="IU161" s="25"/>
      <c r="IV161" s="25"/>
      <c r="IW161" s="25"/>
      <c r="IX161" s="25"/>
      <c r="IY161" s="25"/>
      <c r="IZ161" s="25"/>
      <c r="JA161" s="25"/>
      <c r="JB161" s="25"/>
      <c r="JC161" s="25"/>
      <c r="JD161" s="25"/>
      <c r="JE161" s="25"/>
      <c r="JF161" s="25"/>
      <c r="JG161" s="25"/>
      <c r="JH161" s="25"/>
      <c r="JI161" s="25"/>
      <c r="JJ161" s="25"/>
      <c r="JK161" s="25"/>
      <c r="JL161" s="25"/>
      <c r="JM161" s="25"/>
      <c r="JN161" s="25"/>
    </row>
    <row r="162" spans="2:274" ht="20.25" customHeight="1" x14ac:dyDescent="0.25">
      <c r="B162" s="20"/>
      <c r="F162" s="21"/>
      <c r="G162" s="86" t="str" cm="1">
        <f t="array" aca="1" ref="G162" ca="1">IFERROR(INDEX(Panel_Rates[[1]:[12]],MATCH(Panel_New&amp;Category_New,Panel_Rates[Panel]&amp;Panel_Rates[Category],0),MATCH('Time Plan HY'!E162,OFFSET(Variable!$AF$2,MATCH(Panel_New&amp;Category_New,Panel_Rates[Panel]&amp;Panel_Rates[Category],0)-1,0,1,12),0))/8,"")</f>
        <v/>
      </c>
      <c r="H162" s="92"/>
      <c r="I162" s="88" t="str">
        <f t="shared" ca="1" si="93"/>
        <v/>
      </c>
      <c r="J162" s="89" t="str">
        <f t="shared" ca="1" si="94"/>
        <v/>
      </c>
      <c r="K162" s="90" t="str">
        <f>IFERROR(_xlfn.XLOOKUP(D162,CostTableLookup[Name],CostTableLookup[Gross Cost]),"")</f>
        <v/>
      </c>
      <c r="L162" s="22"/>
      <c r="M162" s="81" t="str">
        <f t="shared" ca="1" si="99"/>
        <v/>
      </c>
      <c r="N162" s="23"/>
      <c r="O162" s="81" t="str">
        <f t="shared" ca="1" si="100"/>
        <v/>
      </c>
      <c r="P162" s="81" t="str">
        <f t="shared" ca="1" si="95"/>
        <v/>
      </c>
      <c r="Q162" s="24" t="str">
        <f t="shared" si="96"/>
        <v/>
      </c>
      <c r="R162" s="110" t="str">
        <f t="shared" ca="1" si="101"/>
        <v/>
      </c>
      <c r="S162" s="114">
        <f t="shared" ref="S162" ca="1" si="142">IFERROR(SUM(OFFSET(Y162,0,MATCH(Forecast_New,$Y$3:$WQ$3,0)-1,1,500))*40,"")</f>
        <v>0</v>
      </c>
      <c r="T162" s="115">
        <f t="shared" ca="1" si="103"/>
        <v>0</v>
      </c>
      <c r="U162" s="116" t="str">
        <f t="shared" ca="1" si="131"/>
        <v/>
      </c>
      <c r="V162" s="99" t="str">
        <f t="shared" ca="1" si="132"/>
        <v/>
      </c>
      <c r="W162" s="100" t="str">
        <f t="shared" ca="1" si="104"/>
        <v/>
      </c>
      <c r="X162" s="83" t="str">
        <f t="shared" ca="1" si="105"/>
        <v/>
      </c>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25"/>
      <c r="EJ162" s="25"/>
      <c r="EK162" s="25"/>
      <c r="EL162" s="25"/>
      <c r="EM162" s="25"/>
      <c r="EN162" s="25"/>
      <c r="EO162" s="25"/>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c r="FL162" s="25"/>
      <c r="FM162" s="25"/>
      <c r="FN162" s="25"/>
      <c r="FO162" s="25"/>
      <c r="FP162" s="25"/>
      <c r="FQ162" s="25"/>
      <c r="FR162" s="25"/>
      <c r="FS162" s="25"/>
      <c r="FT162" s="25"/>
      <c r="FU162" s="25"/>
      <c r="FV162" s="25"/>
      <c r="FW162" s="25"/>
      <c r="FX162" s="25"/>
      <c r="FY162" s="25"/>
      <c r="FZ162" s="25"/>
      <c r="GA162" s="25"/>
      <c r="GB162" s="25"/>
      <c r="GC162" s="25"/>
      <c r="GD162" s="25"/>
      <c r="GE162" s="25"/>
      <c r="GF162" s="25"/>
      <c r="GG162" s="25"/>
      <c r="GH162" s="25"/>
      <c r="GI162" s="25"/>
      <c r="GJ162" s="25"/>
      <c r="GK162" s="25"/>
      <c r="GL162" s="25"/>
      <c r="GM162" s="25"/>
      <c r="GN162" s="25"/>
      <c r="GO162" s="25"/>
      <c r="GP162" s="25"/>
      <c r="GQ162" s="25"/>
      <c r="GR162" s="25"/>
      <c r="GS162" s="25"/>
      <c r="GT162" s="25"/>
      <c r="GU162" s="25"/>
      <c r="GV162" s="25"/>
      <c r="GW162" s="25"/>
      <c r="GX162" s="25"/>
      <c r="GY162" s="25"/>
      <c r="GZ162" s="25"/>
      <c r="HA162" s="25"/>
      <c r="HB162" s="25"/>
      <c r="HC162" s="25"/>
      <c r="HD162" s="25"/>
      <c r="HE162" s="25"/>
      <c r="HF162" s="25"/>
      <c r="HG162" s="25"/>
      <c r="HH162" s="25"/>
      <c r="HI162" s="25"/>
      <c r="HJ162" s="25"/>
      <c r="HK162" s="25"/>
      <c r="HL162" s="25"/>
      <c r="HM162" s="25"/>
      <c r="HN162" s="25"/>
      <c r="HO162" s="25"/>
      <c r="HP162" s="25"/>
      <c r="HQ162" s="25"/>
      <c r="HR162" s="25"/>
      <c r="HS162" s="25"/>
      <c r="HT162" s="25"/>
      <c r="HU162" s="25"/>
      <c r="HV162" s="25"/>
      <c r="HW162" s="25"/>
      <c r="HX162" s="25"/>
      <c r="HY162" s="25"/>
      <c r="HZ162" s="25"/>
      <c r="IA162" s="25"/>
      <c r="IB162" s="25"/>
      <c r="IC162" s="25"/>
      <c r="ID162" s="25"/>
      <c r="IE162" s="25"/>
      <c r="IF162" s="25"/>
      <c r="IG162" s="25"/>
      <c r="IH162" s="25"/>
      <c r="II162" s="25"/>
      <c r="IJ162" s="25"/>
      <c r="IK162" s="25"/>
      <c r="IL162" s="25"/>
      <c r="IM162" s="25"/>
      <c r="IN162" s="25"/>
      <c r="IO162" s="25"/>
      <c r="IP162" s="25"/>
      <c r="IQ162" s="25"/>
      <c r="IR162" s="25"/>
      <c r="IS162" s="25"/>
      <c r="IT162" s="25"/>
      <c r="IU162" s="25"/>
      <c r="IV162" s="25"/>
      <c r="IW162" s="25"/>
      <c r="IX162" s="25"/>
      <c r="IY162" s="25"/>
      <c r="IZ162" s="25"/>
      <c r="JA162" s="25"/>
      <c r="JB162" s="25"/>
      <c r="JC162" s="25"/>
      <c r="JD162" s="25"/>
      <c r="JE162" s="25"/>
      <c r="JF162" s="25"/>
      <c r="JG162" s="25"/>
      <c r="JH162" s="25"/>
      <c r="JI162" s="25"/>
      <c r="JJ162" s="25"/>
      <c r="JK162" s="25"/>
      <c r="JL162" s="25"/>
      <c r="JM162" s="25"/>
      <c r="JN162" s="25"/>
    </row>
    <row r="163" spans="2:274" ht="20.25" customHeight="1" x14ac:dyDescent="0.25">
      <c r="B163" s="20"/>
      <c r="F163" s="21"/>
      <c r="G163" s="86" t="str" cm="1">
        <f t="array" aca="1" ref="G163" ca="1">IFERROR(INDEX(Panel_Rates[[1]:[12]],MATCH(Panel_New&amp;Category_New,Panel_Rates[Panel]&amp;Panel_Rates[Category],0),MATCH('Time Plan HY'!E163,OFFSET(Variable!$AF$2,MATCH(Panel_New&amp;Category_New,Panel_Rates[Panel]&amp;Panel_Rates[Category],0)-1,0,1,12),0))/8,"")</f>
        <v/>
      </c>
      <c r="H163" s="92"/>
      <c r="I163" s="88" t="str">
        <f t="shared" ca="1" si="93"/>
        <v/>
      </c>
      <c r="J163" s="89" t="str">
        <f t="shared" ca="1" si="94"/>
        <v/>
      </c>
      <c r="K163" s="90" t="str">
        <f>IFERROR(_xlfn.XLOOKUP(D163,CostTableLookup[Name],CostTableLookup[Gross Cost]),"")</f>
        <v/>
      </c>
      <c r="L163" s="22"/>
      <c r="M163" s="81" t="str">
        <f t="shared" ca="1" si="99"/>
        <v/>
      </c>
      <c r="N163" s="23"/>
      <c r="O163" s="81" t="str">
        <f t="shared" ca="1" si="100"/>
        <v/>
      </c>
      <c r="P163" s="81" t="str">
        <f t="shared" ca="1" si="95"/>
        <v/>
      </c>
      <c r="Q163" s="24" t="str">
        <f t="shared" si="96"/>
        <v/>
      </c>
      <c r="R163" s="110" t="str">
        <f t="shared" ca="1" si="101"/>
        <v/>
      </c>
      <c r="S163" s="114">
        <f t="shared" ref="S163" ca="1" si="143">IFERROR(SUM(OFFSET(Y163,0,MATCH(Forecast_New,$Y$3:$WQ$3,0)-1,1,500))*40,"")</f>
        <v>0</v>
      </c>
      <c r="T163" s="115">
        <f t="shared" ca="1" si="103"/>
        <v>0</v>
      </c>
      <c r="U163" s="116" t="str">
        <f t="shared" ca="1" si="131"/>
        <v/>
      </c>
      <c r="V163" s="99" t="str">
        <f t="shared" ca="1" si="132"/>
        <v/>
      </c>
      <c r="W163" s="100" t="str">
        <f t="shared" ca="1" si="104"/>
        <v/>
      </c>
      <c r="X163" s="83" t="str">
        <f t="shared" ca="1" si="105"/>
        <v/>
      </c>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5"/>
      <c r="EN163" s="25"/>
      <c r="EO163" s="25"/>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c r="FL163" s="25"/>
      <c r="FM163" s="25"/>
      <c r="FN163" s="25"/>
      <c r="FO163" s="25"/>
      <c r="FP163" s="25"/>
      <c r="FQ163" s="25"/>
      <c r="FR163" s="25"/>
      <c r="FS163" s="25"/>
      <c r="FT163" s="25"/>
      <c r="FU163" s="25"/>
      <c r="FV163" s="25"/>
      <c r="FW163" s="25"/>
      <c r="FX163" s="25"/>
      <c r="FY163" s="25"/>
      <c r="FZ163" s="25"/>
      <c r="GA163" s="25"/>
      <c r="GB163" s="25"/>
      <c r="GC163" s="25"/>
      <c r="GD163" s="25"/>
      <c r="GE163" s="25"/>
      <c r="GF163" s="25"/>
      <c r="GG163" s="25"/>
      <c r="GH163" s="25"/>
      <c r="GI163" s="25"/>
      <c r="GJ163" s="25"/>
      <c r="GK163" s="25"/>
      <c r="GL163" s="25"/>
      <c r="GM163" s="25"/>
      <c r="GN163" s="25"/>
      <c r="GO163" s="25"/>
      <c r="GP163" s="25"/>
      <c r="GQ163" s="25"/>
      <c r="GR163" s="25"/>
      <c r="GS163" s="25"/>
      <c r="GT163" s="25"/>
      <c r="GU163" s="25"/>
      <c r="GV163" s="25"/>
      <c r="GW163" s="25"/>
      <c r="GX163" s="25"/>
      <c r="GY163" s="25"/>
      <c r="GZ163" s="25"/>
      <c r="HA163" s="25"/>
      <c r="HB163" s="25"/>
      <c r="HC163" s="25"/>
      <c r="HD163" s="25"/>
      <c r="HE163" s="25"/>
      <c r="HF163" s="25"/>
      <c r="HG163" s="25"/>
      <c r="HH163" s="25"/>
      <c r="HI163" s="25"/>
      <c r="HJ163" s="25"/>
      <c r="HK163" s="25"/>
      <c r="HL163" s="25"/>
      <c r="HM163" s="25"/>
      <c r="HN163" s="25"/>
      <c r="HO163" s="25"/>
      <c r="HP163" s="25"/>
      <c r="HQ163" s="25"/>
      <c r="HR163" s="25"/>
      <c r="HS163" s="25"/>
      <c r="HT163" s="25"/>
      <c r="HU163" s="25"/>
      <c r="HV163" s="25"/>
      <c r="HW163" s="25"/>
      <c r="HX163" s="25"/>
      <c r="HY163" s="25"/>
      <c r="HZ163" s="25"/>
      <c r="IA163" s="25"/>
      <c r="IB163" s="25"/>
      <c r="IC163" s="25"/>
      <c r="ID163" s="25"/>
      <c r="IE163" s="25"/>
      <c r="IF163" s="25"/>
      <c r="IG163" s="25"/>
      <c r="IH163" s="25"/>
      <c r="II163" s="25"/>
      <c r="IJ163" s="25"/>
      <c r="IK163" s="25"/>
      <c r="IL163" s="25"/>
      <c r="IM163" s="25"/>
      <c r="IN163" s="25"/>
      <c r="IO163" s="25"/>
      <c r="IP163" s="25"/>
      <c r="IQ163" s="25"/>
      <c r="IR163" s="25"/>
      <c r="IS163" s="25"/>
      <c r="IT163" s="25"/>
      <c r="IU163" s="25"/>
      <c r="IV163" s="25"/>
      <c r="IW163" s="25"/>
      <c r="IX163" s="25"/>
      <c r="IY163" s="25"/>
      <c r="IZ163" s="25"/>
      <c r="JA163" s="25"/>
      <c r="JB163" s="25"/>
      <c r="JC163" s="25"/>
      <c r="JD163" s="25"/>
      <c r="JE163" s="25"/>
      <c r="JF163" s="25"/>
      <c r="JG163" s="25"/>
      <c r="JH163" s="25"/>
      <c r="JI163" s="25"/>
      <c r="JJ163" s="25"/>
      <c r="JK163" s="25"/>
      <c r="JL163" s="25"/>
      <c r="JM163" s="25"/>
      <c r="JN163" s="25"/>
    </row>
    <row r="164" spans="2:274" ht="20.25" customHeight="1" x14ac:dyDescent="0.25">
      <c r="B164" s="20"/>
      <c r="F164" s="21"/>
      <c r="G164" s="86" t="str" cm="1">
        <f t="array" aca="1" ref="G164" ca="1">IFERROR(INDEX(Panel_Rates[[1]:[12]],MATCH(Panel_New&amp;Category_New,Panel_Rates[Panel]&amp;Panel_Rates[Category],0),MATCH('Time Plan HY'!E164,OFFSET(Variable!$AF$2,MATCH(Panel_New&amp;Category_New,Panel_Rates[Panel]&amp;Panel_Rates[Category],0)-1,0,1,12),0))/8,"")</f>
        <v/>
      </c>
      <c r="H164" s="92"/>
      <c r="I164" s="88" t="str">
        <f t="shared" ca="1" si="93"/>
        <v/>
      </c>
      <c r="J164" s="89" t="str">
        <f t="shared" ca="1" si="94"/>
        <v/>
      </c>
      <c r="K164" s="90" t="str">
        <f>IFERROR(_xlfn.XLOOKUP(D164,CostTableLookup[Name],CostTableLookup[Gross Cost]),"")</f>
        <v/>
      </c>
      <c r="L164" s="22"/>
      <c r="M164" s="81" t="str">
        <f t="shared" ca="1" si="99"/>
        <v/>
      </c>
      <c r="N164" s="23"/>
      <c r="O164" s="81" t="str">
        <f t="shared" ca="1" si="100"/>
        <v/>
      </c>
      <c r="P164" s="81" t="str">
        <f t="shared" ca="1" si="95"/>
        <v/>
      </c>
      <c r="Q164" s="24" t="str">
        <f t="shared" si="96"/>
        <v/>
      </c>
      <c r="R164" s="110" t="str">
        <f t="shared" ca="1" si="101"/>
        <v/>
      </c>
      <c r="S164" s="114">
        <f t="shared" ref="S164" ca="1" si="144">IFERROR(SUM(OFFSET(Y164,0,MATCH(Forecast_New,$Y$3:$WQ$3,0)-1,1,500))*40,"")</f>
        <v>0</v>
      </c>
      <c r="T164" s="115">
        <f t="shared" ca="1" si="103"/>
        <v>0</v>
      </c>
      <c r="U164" s="116" t="str">
        <f t="shared" ca="1" si="131"/>
        <v/>
      </c>
      <c r="V164" s="99" t="str">
        <f t="shared" ca="1" si="132"/>
        <v/>
      </c>
      <c r="W164" s="100" t="str">
        <f t="shared" ca="1" si="104"/>
        <v/>
      </c>
      <c r="X164" s="83" t="str">
        <f t="shared" ca="1" si="105"/>
        <v/>
      </c>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25"/>
      <c r="EJ164" s="25"/>
      <c r="EK164" s="25"/>
      <c r="EL164" s="25"/>
      <c r="EM164" s="25"/>
      <c r="EN164" s="25"/>
      <c r="EO164" s="25"/>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c r="FL164" s="25"/>
      <c r="FM164" s="25"/>
      <c r="FN164" s="25"/>
      <c r="FO164" s="25"/>
      <c r="FP164" s="25"/>
      <c r="FQ164" s="25"/>
      <c r="FR164" s="25"/>
      <c r="FS164" s="25"/>
      <c r="FT164" s="25"/>
      <c r="FU164" s="25"/>
      <c r="FV164" s="25"/>
      <c r="FW164" s="25"/>
      <c r="FX164" s="25"/>
      <c r="FY164" s="25"/>
      <c r="FZ164" s="25"/>
      <c r="GA164" s="25"/>
      <c r="GB164" s="25"/>
      <c r="GC164" s="25"/>
      <c r="GD164" s="25"/>
      <c r="GE164" s="25"/>
      <c r="GF164" s="25"/>
      <c r="GG164" s="25"/>
      <c r="GH164" s="25"/>
      <c r="GI164" s="25"/>
      <c r="GJ164" s="25"/>
      <c r="GK164" s="25"/>
      <c r="GL164" s="25"/>
      <c r="GM164" s="25"/>
      <c r="GN164" s="25"/>
      <c r="GO164" s="25"/>
      <c r="GP164" s="25"/>
      <c r="GQ164" s="25"/>
      <c r="GR164" s="25"/>
      <c r="GS164" s="25"/>
      <c r="GT164" s="25"/>
      <c r="GU164" s="25"/>
      <c r="GV164" s="25"/>
      <c r="GW164" s="25"/>
      <c r="GX164" s="25"/>
      <c r="GY164" s="25"/>
      <c r="GZ164" s="25"/>
      <c r="HA164" s="25"/>
      <c r="HB164" s="25"/>
      <c r="HC164" s="25"/>
      <c r="HD164" s="25"/>
      <c r="HE164" s="25"/>
      <c r="HF164" s="25"/>
      <c r="HG164" s="25"/>
      <c r="HH164" s="25"/>
      <c r="HI164" s="25"/>
      <c r="HJ164" s="25"/>
      <c r="HK164" s="25"/>
      <c r="HL164" s="25"/>
      <c r="HM164" s="25"/>
      <c r="HN164" s="25"/>
      <c r="HO164" s="25"/>
      <c r="HP164" s="25"/>
      <c r="HQ164" s="25"/>
      <c r="HR164" s="25"/>
      <c r="HS164" s="25"/>
      <c r="HT164" s="25"/>
      <c r="HU164" s="25"/>
      <c r="HV164" s="25"/>
      <c r="HW164" s="25"/>
      <c r="HX164" s="25"/>
      <c r="HY164" s="25"/>
      <c r="HZ164" s="25"/>
      <c r="IA164" s="25"/>
      <c r="IB164" s="25"/>
      <c r="IC164" s="25"/>
      <c r="ID164" s="25"/>
      <c r="IE164" s="25"/>
      <c r="IF164" s="25"/>
      <c r="IG164" s="25"/>
      <c r="IH164" s="25"/>
      <c r="II164" s="25"/>
      <c r="IJ164" s="25"/>
      <c r="IK164" s="25"/>
      <c r="IL164" s="25"/>
      <c r="IM164" s="25"/>
      <c r="IN164" s="25"/>
      <c r="IO164" s="25"/>
      <c r="IP164" s="25"/>
      <c r="IQ164" s="25"/>
      <c r="IR164" s="25"/>
      <c r="IS164" s="25"/>
      <c r="IT164" s="25"/>
      <c r="IU164" s="25"/>
      <c r="IV164" s="25"/>
      <c r="IW164" s="25"/>
      <c r="IX164" s="25"/>
      <c r="IY164" s="25"/>
      <c r="IZ164" s="25"/>
      <c r="JA164" s="25"/>
      <c r="JB164" s="25"/>
      <c r="JC164" s="25"/>
      <c r="JD164" s="25"/>
      <c r="JE164" s="25"/>
      <c r="JF164" s="25"/>
      <c r="JG164" s="25"/>
      <c r="JH164" s="25"/>
      <c r="JI164" s="25"/>
      <c r="JJ164" s="25"/>
      <c r="JK164" s="25"/>
      <c r="JL164" s="25"/>
      <c r="JM164" s="25"/>
      <c r="JN164" s="25"/>
    </row>
    <row r="165" spans="2:274" ht="20.25" customHeight="1" x14ac:dyDescent="0.25">
      <c r="B165" s="20"/>
      <c r="F165" s="21"/>
      <c r="G165" s="86" t="str" cm="1">
        <f t="array" aca="1" ref="G165" ca="1">IFERROR(INDEX(Panel_Rates[[1]:[12]],MATCH(Panel_New&amp;Category_New,Panel_Rates[Panel]&amp;Panel_Rates[Category],0),MATCH('Time Plan HY'!E165,OFFSET(Variable!$AF$2,MATCH(Panel_New&amp;Category_New,Panel_Rates[Panel]&amp;Panel_Rates[Category],0)-1,0,1,12),0))/8,"")</f>
        <v/>
      </c>
      <c r="H165" s="92"/>
      <c r="I165" s="88" t="str">
        <f t="shared" ca="1" si="93"/>
        <v/>
      </c>
      <c r="J165" s="89" t="str">
        <f t="shared" ca="1" si="94"/>
        <v/>
      </c>
      <c r="K165" s="90" t="str">
        <f>IFERROR(_xlfn.XLOOKUP(D165,CostTableLookup[Name],CostTableLookup[Gross Cost]),"")</f>
        <v/>
      </c>
      <c r="L165" s="22"/>
      <c r="M165" s="81" t="str">
        <f t="shared" ca="1" si="99"/>
        <v/>
      </c>
      <c r="N165" s="23"/>
      <c r="O165" s="81" t="str">
        <f t="shared" ca="1" si="100"/>
        <v/>
      </c>
      <c r="P165" s="81" t="str">
        <f t="shared" ca="1" si="95"/>
        <v/>
      </c>
      <c r="Q165" s="24" t="str">
        <f t="shared" si="96"/>
        <v/>
      </c>
      <c r="R165" s="110" t="str">
        <f t="shared" ca="1" si="101"/>
        <v/>
      </c>
      <c r="S165" s="114">
        <f t="shared" ref="S165" ca="1" si="145">IFERROR(SUM(OFFSET(Y165,0,MATCH(Forecast_New,$Y$3:$WQ$3,0)-1,1,500))*40,"")</f>
        <v>0</v>
      </c>
      <c r="T165" s="115">
        <f t="shared" ca="1" si="103"/>
        <v>0</v>
      </c>
      <c r="U165" s="116" t="str">
        <f t="shared" ca="1" si="131"/>
        <v/>
      </c>
      <c r="V165" s="99" t="str">
        <f t="shared" ca="1" si="132"/>
        <v/>
      </c>
      <c r="W165" s="100" t="str">
        <f t="shared" ca="1" si="104"/>
        <v/>
      </c>
      <c r="X165" s="83" t="str">
        <f t="shared" ca="1" si="105"/>
        <v/>
      </c>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25"/>
      <c r="EJ165" s="25"/>
      <c r="EK165" s="25"/>
      <c r="EL165" s="25"/>
      <c r="EM165" s="25"/>
      <c r="EN165" s="25"/>
      <c r="EO165" s="25"/>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c r="FL165" s="25"/>
      <c r="FM165" s="25"/>
      <c r="FN165" s="25"/>
      <c r="FO165" s="25"/>
      <c r="FP165" s="25"/>
      <c r="FQ165" s="25"/>
      <c r="FR165" s="25"/>
      <c r="FS165" s="25"/>
      <c r="FT165" s="25"/>
      <c r="FU165" s="25"/>
      <c r="FV165" s="25"/>
      <c r="FW165" s="25"/>
      <c r="FX165" s="25"/>
      <c r="FY165" s="25"/>
      <c r="FZ165" s="25"/>
      <c r="GA165" s="25"/>
      <c r="GB165" s="25"/>
      <c r="GC165" s="25"/>
      <c r="GD165" s="25"/>
      <c r="GE165" s="25"/>
      <c r="GF165" s="25"/>
      <c r="GG165" s="25"/>
      <c r="GH165" s="25"/>
      <c r="GI165" s="25"/>
      <c r="GJ165" s="25"/>
      <c r="GK165" s="25"/>
      <c r="GL165" s="25"/>
      <c r="GM165" s="25"/>
      <c r="GN165" s="25"/>
      <c r="GO165" s="25"/>
      <c r="GP165" s="25"/>
      <c r="GQ165" s="25"/>
      <c r="GR165" s="25"/>
      <c r="GS165" s="25"/>
      <c r="GT165" s="25"/>
      <c r="GU165" s="25"/>
      <c r="GV165" s="25"/>
      <c r="GW165" s="25"/>
      <c r="GX165" s="25"/>
      <c r="GY165" s="25"/>
      <c r="GZ165" s="25"/>
      <c r="HA165" s="25"/>
      <c r="HB165" s="25"/>
      <c r="HC165" s="25"/>
      <c r="HD165" s="25"/>
      <c r="HE165" s="25"/>
      <c r="HF165" s="25"/>
      <c r="HG165" s="25"/>
      <c r="HH165" s="25"/>
      <c r="HI165" s="25"/>
      <c r="HJ165" s="25"/>
      <c r="HK165" s="25"/>
      <c r="HL165" s="25"/>
      <c r="HM165" s="25"/>
      <c r="HN165" s="25"/>
      <c r="HO165" s="25"/>
      <c r="HP165" s="25"/>
      <c r="HQ165" s="25"/>
      <c r="HR165" s="25"/>
      <c r="HS165" s="25"/>
      <c r="HT165" s="25"/>
      <c r="HU165" s="25"/>
      <c r="HV165" s="25"/>
      <c r="HW165" s="25"/>
      <c r="HX165" s="25"/>
      <c r="HY165" s="25"/>
      <c r="HZ165" s="25"/>
      <c r="IA165" s="25"/>
      <c r="IB165" s="25"/>
      <c r="IC165" s="25"/>
      <c r="ID165" s="25"/>
      <c r="IE165" s="25"/>
      <c r="IF165" s="25"/>
      <c r="IG165" s="25"/>
      <c r="IH165" s="25"/>
      <c r="II165" s="25"/>
      <c r="IJ165" s="25"/>
      <c r="IK165" s="25"/>
      <c r="IL165" s="25"/>
      <c r="IM165" s="25"/>
      <c r="IN165" s="25"/>
      <c r="IO165" s="25"/>
      <c r="IP165" s="25"/>
      <c r="IQ165" s="25"/>
      <c r="IR165" s="25"/>
      <c r="IS165" s="25"/>
      <c r="IT165" s="25"/>
      <c r="IU165" s="25"/>
      <c r="IV165" s="25"/>
      <c r="IW165" s="25"/>
      <c r="IX165" s="25"/>
      <c r="IY165" s="25"/>
      <c r="IZ165" s="25"/>
      <c r="JA165" s="25"/>
      <c r="JB165" s="25"/>
      <c r="JC165" s="25"/>
      <c r="JD165" s="25"/>
      <c r="JE165" s="25"/>
      <c r="JF165" s="25"/>
      <c r="JG165" s="25"/>
      <c r="JH165" s="25"/>
      <c r="JI165" s="25"/>
      <c r="JJ165" s="25"/>
      <c r="JK165" s="25"/>
      <c r="JL165" s="25"/>
      <c r="JM165" s="25"/>
      <c r="JN165" s="25"/>
    </row>
    <row r="166" spans="2:274" ht="20.25" customHeight="1" x14ac:dyDescent="0.25">
      <c r="B166" s="20"/>
      <c r="F166" s="21"/>
      <c r="G166" s="86" t="str" cm="1">
        <f t="array" aca="1" ref="G166" ca="1">IFERROR(INDEX(Panel_Rates[[1]:[12]],MATCH(Panel_New&amp;Category_New,Panel_Rates[Panel]&amp;Panel_Rates[Category],0),MATCH('Time Plan HY'!E166,OFFSET(Variable!$AF$2,MATCH(Panel_New&amp;Category_New,Panel_Rates[Panel]&amp;Panel_Rates[Category],0)-1,0,1,12),0))/8,"")</f>
        <v/>
      </c>
      <c r="H166" s="92"/>
      <c r="I166" s="88" t="str">
        <f t="shared" ca="1" si="93"/>
        <v/>
      </c>
      <c r="J166" s="89" t="str">
        <f t="shared" ca="1" si="94"/>
        <v/>
      </c>
      <c r="K166" s="90" t="str">
        <f>IFERROR(_xlfn.XLOOKUP(D166,CostTableLookup[Name],CostTableLookup[Gross Cost]),"")</f>
        <v/>
      </c>
      <c r="L166" s="22"/>
      <c r="M166" s="81" t="str">
        <f t="shared" ca="1" si="99"/>
        <v/>
      </c>
      <c r="N166" s="23"/>
      <c r="O166" s="81" t="str">
        <f t="shared" ca="1" si="100"/>
        <v/>
      </c>
      <c r="P166" s="81" t="str">
        <f t="shared" ca="1" si="95"/>
        <v/>
      </c>
      <c r="Q166" s="24" t="str">
        <f t="shared" si="96"/>
        <v/>
      </c>
      <c r="R166" s="110" t="str">
        <f t="shared" ca="1" si="101"/>
        <v/>
      </c>
      <c r="S166" s="114">
        <f t="shared" ref="S166" ca="1" si="146">IFERROR(SUM(OFFSET(Y166,0,MATCH(Forecast_New,$Y$3:$WQ$3,0)-1,1,500))*40,"")</f>
        <v>0</v>
      </c>
      <c r="T166" s="115">
        <f t="shared" ca="1" si="103"/>
        <v>0</v>
      </c>
      <c r="U166" s="116" t="str">
        <f t="shared" ca="1" si="131"/>
        <v/>
      </c>
      <c r="V166" s="99" t="str">
        <f t="shared" ca="1" si="132"/>
        <v/>
      </c>
      <c r="W166" s="100" t="str">
        <f t="shared" ca="1" si="104"/>
        <v/>
      </c>
      <c r="X166" s="83" t="str">
        <f t="shared" ca="1" si="105"/>
        <v/>
      </c>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25"/>
      <c r="EJ166" s="25"/>
      <c r="EK166" s="25"/>
      <c r="EL166" s="25"/>
      <c r="EM166" s="25"/>
      <c r="EN166" s="25"/>
      <c r="EO166" s="25"/>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c r="FL166" s="25"/>
      <c r="FM166" s="25"/>
      <c r="FN166" s="25"/>
      <c r="FO166" s="25"/>
      <c r="FP166" s="25"/>
      <c r="FQ166" s="25"/>
      <c r="FR166" s="25"/>
      <c r="FS166" s="25"/>
      <c r="FT166" s="25"/>
      <c r="FU166" s="25"/>
      <c r="FV166" s="25"/>
      <c r="FW166" s="25"/>
      <c r="FX166" s="25"/>
      <c r="FY166" s="25"/>
      <c r="FZ166" s="25"/>
      <c r="GA166" s="25"/>
      <c r="GB166" s="25"/>
      <c r="GC166" s="25"/>
      <c r="GD166" s="25"/>
      <c r="GE166" s="25"/>
      <c r="GF166" s="25"/>
      <c r="GG166" s="25"/>
      <c r="GH166" s="25"/>
      <c r="GI166" s="25"/>
      <c r="GJ166" s="25"/>
      <c r="GK166" s="25"/>
      <c r="GL166" s="25"/>
      <c r="GM166" s="25"/>
      <c r="GN166" s="25"/>
      <c r="GO166" s="25"/>
      <c r="GP166" s="25"/>
      <c r="GQ166" s="25"/>
      <c r="GR166" s="25"/>
      <c r="GS166" s="25"/>
      <c r="GT166" s="25"/>
      <c r="GU166" s="25"/>
      <c r="GV166" s="25"/>
      <c r="GW166" s="25"/>
      <c r="GX166" s="25"/>
      <c r="GY166" s="25"/>
      <c r="GZ166" s="25"/>
      <c r="HA166" s="25"/>
      <c r="HB166" s="25"/>
      <c r="HC166" s="25"/>
      <c r="HD166" s="25"/>
      <c r="HE166" s="25"/>
      <c r="HF166" s="25"/>
      <c r="HG166" s="25"/>
      <c r="HH166" s="25"/>
      <c r="HI166" s="25"/>
      <c r="HJ166" s="25"/>
      <c r="HK166" s="25"/>
      <c r="HL166" s="25"/>
      <c r="HM166" s="25"/>
      <c r="HN166" s="25"/>
      <c r="HO166" s="25"/>
      <c r="HP166" s="25"/>
      <c r="HQ166" s="25"/>
      <c r="HR166" s="25"/>
      <c r="HS166" s="25"/>
      <c r="HT166" s="25"/>
      <c r="HU166" s="25"/>
      <c r="HV166" s="25"/>
      <c r="HW166" s="25"/>
      <c r="HX166" s="25"/>
      <c r="HY166" s="25"/>
      <c r="HZ166" s="25"/>
      <c r="IA166" s="25"/>
      <c r="IB166" s="25"/>
      <c r="IC166" s="25"/>
      <c r="ID166" s="25"/>
      <c r="IE166" s="25"/>
      <c r="IF166" s="25"/>
      <c r="IG166" s="25"/>
      <c r="IH166" s="25"/>
      <c r="II166" s="25"/>
      <c r="IJ166" s="25"/>
      <c r="IK166" s="25"/>
      <c r="IL166" s="25"/>
      <c r="IM166" s="25"/>
      <c r="IN166" s="25"/>
      <c r="IO166" s="25"/>
      <c r="IP166" s="25"/>
      <c r="IQ166" s="25"/>
      <c r="IR166" s="25"/>
      <c r="IS166" s="25"/>
      <c r="IT166" s="25"/>
      <c r="IU166" s="25"/>
      <c r="IV166" s="25"/>
      <c r="IW166" s="25"/>
      <c r="IX166" s="25"/>
      <c r="IY166" s="25"/>
      <c r="IZ166" s="25"/>
      <c r="JA166" s="25"/>
      <c r="JB166" s="25"/>
      <c r="JC166" s="25"/>
      <c r="JD166" s="25"/>
      <c r="JE166" s="25"/>
      <c r="JF166" s="25"/>
      <c r="JG166" s="25"/>
      <c r="JH166" s="25"/>
      <c r="JI166" s="25"/>
      <c r="JJ166" s="25"/>
      <c r="JK166" s="25"/>
      <c r="JL166" s="25"/>
      <c r="JM166" s="25"/>
      <c r="JN166" s="25"/>
    </row>
    <row r="167" spans="2:274" ht="20.25" customHeight="1" x14ac:dyDescent="0.25">
      <c r="B167" s="20"/>
      <c r="F167" s="21"/>
      <c r="G167" s="86" t="str" cm="1">
        <f t="array" aca="1" ref="G167" ca="1">IFERROR(INDEX(Panel_Rates[[1]:[12]],MATCH(Panel_New&amp;Category_New,Panel_Rates[Panel]&amp;Panel_Rates[Category],0),MATCH('Time Plan HY'!E167,OFFSET(Variable!$AF$2,MATCH(Panel_New&amp;Category_New,Panel_Rates[Panel]&amp;Panel_Rates[Category],0)-1,0,1,12),0))/8,"")</f>
        <v/>
      </c>
      <c r="H167" s="92"/>
      <c r="I167" s="88" t="str">
        <f t="shared" ca="1" si="93"/>
        <v/>
      </c>
      <c r="J167" s="89" t="str">
        <f t="shared" ca="1" si="94"/>
        <v/>
      </c>
      <c r="K167" s="90" t="str">
        <f>IFERROR(_xlfn.XLOOKUP(D167,CostTableLookup[Name],CostTableLookup[Gross Cost]),"")</f>
        <v/>
      </c>
      <c r="L167" s="22"/>
      <c r="M167" s="81" t="str">
        <f t="shared" ca="1" si="99"/>
        <v/>
      </c>
      <c r="N167" s="23"/>
      <c r="O167" s="81" t="str">
        <f t="shared" ca="1" si="100"/>
        <v/>
      </c>
      <c r="P167" s="81" t="str">
        <f t="shared" ca="1" si="95"/>
        <v/>
      </c>
      <c r="Q167" s="24" t="str">
        <f t="shared" si="96"/>
        <v/>
      </c>
      <c r="R167" s="110" t="str">
        <f t="shared" ca="1" si="101"/>
        <v/>
      </c>
      <c r="S167" s="114">
        <f t="shared" ref="S167" ca="1" si="147">IFERROR(SUM(OFFSET(Y167,0,MATCH(Forecast_New,$Y$3:$WQ$3,0)-1,1,500))*40,"")</f>
        <v>0</v>
      </c>
      <c r="T167" s="115">
        <f t="shared" ca="1" si="103"/>
        <v>0</v>
      </c>
      <c r="U167" s="116" t="str">
        <f t="shared" ca="1" si="131"/>
        <v/>
      </c>
      <c r="V167" s="99" t="str">
        <f t="shared" ca="1" si="132"/>
        <v/>
      </c>
      <c r="W167" s="100" t="str">
        <f t="shared" ca="1" si="104"/>
        <v/>
      </c>
      <c r="X167" s="83" t="str">
        <f t="shared" ca="1" si="105"/>
        <v/>
      </c>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5"/>
      <c r="EN167" s="25"/>
      <c r="EO167" s="25"/>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c r="FL167" s="25"/>
      <c r="FM167" s="25"/>
      <c r="FN167" s="25"/>
      <c r="FO167" s="25"/>
      <c r="FP167" s="25"/>
      <c r="FQ167" s="25"/>
      <c r="FR167" s="25"/>
      <c r="FS167" s="25"/>
      <c r="FT167" s="25"/>
      <c r="FU167" s="25"/>
      <c r="FV167" s="25"/>
      <c r="FW167" s="25"/>
      <c r="FX167" s="25"/>
      <c r="FY167" s="25"/>
      <c r="FZ167" s="25"/>
      <c r="GA167" s="25"/>
      <c r="GB167" s="25"/>
      <c r="GC167" s="25"/>
      <c r="GD167" s="25"/>
      <c r="GE167" s="25"/>
      <c r="GF167" s="25"/>
      <c r="GG167" s="25"/>
      <c r="GH167" s="25"/>
      <c r="GI167" s="25"/>
      <c r="GJ167" s="25"/>
      <c r="GK167" s="25"/>
      <c r="GL167" s="25"/>
      <c r="GM167" s="25"/>
      <c r="GN167" s="25"/>
      <c r="GO167" s="25"/>
      <c r="GP167" s="25"/>
      <c r="GQ167" s="25"/>
      <c r="GR167" s="25"/>
      <c r="GS167" s="25"/>
      <c r="GT167" s="25"/>
      <c r="GU167" s="25"/>
      <c r="GV167" s="25"/>
      <c r="GW167" s="25"/>
      <c r="GX167" s="25"/>
      <c r="GY167" s="25"/>
      <c r="GZ167" s="25"/>
      <c r="HA167" s="25"/>
      <c r="HB167" s="25"/>
      <c r="HC167" s="25"/>
      <c r="HD167" s="25"/>
      <c r="HE167" s="25"/>
      <c r="HF167" s="25"/>
      <c r="HG167" s="25"/>
      <c r="HH167" s="25"/>
      <c r="HI167" s="25"/>
      <c r="HJ167" s="25"/>
      <c r="HK167" s="25"/>
      <c r="HL167" s="25"/>
      <c r="HM167" s="25"/>
      <c r="HN167" s="25"/>
      <c r="HO167" s="25"/>
      <c r="HP167" s="25"/>
      <c r="HQ167" s="25"/>
      <c r="HR167" s="25"/>
      <c r="HS167" s="25"/>
      <c r="HT167" s="25"/>
      <c r="HU167" s="25"/>
      <c r="HV167" s="25"/>
      <c r="HW167" s="25"/>
      <c r="HX167" s="25"/>
      <c r="HY167" s="25"/>
      <c r="HZ167" s="25"/>
      <c r="IA167" s="25"/>
      <c r="IB167" s="25"/>
      <c r="IC167" s="25"/>
      <c r="ID167" s="25"/>
      <c r="IE167" s="25"/>
      <c r="IF167" s="25"/>
      <c r="IG167" s="25"/>
      <c r="IH167" s="25"/>
      <c r="II167" s="25"/>
      <c r="IJ167" s="25"/>
      <c r="IK167" s="25"/>
      <c r="IL167" s="25"/>
      <c r="IM167" s="25"/>
      <c r="IN167" s="25"/>
      <c r="IO167" s="25"/>
      <c r="IP167" s="25"/>
      <c r="IQ167" s="25"/>
      <c r="IR167" s="25"/>
      <c r="IS167" s="25"/>
      <c r="IT167" s="25"/>
      <c r="IU167" s="25"/>
      <c r="IV167" s="25"/>
      <c r="IW167" s="25"/>
      <c r="IX167" s="25"/>
      <c r="IY167" s="25"/>
      <c r="IZ167" s="25"/>
      <c r="JA167" s="25"/>
      <c r="JB167" s="25"/>
      <c r="JC167" s="25"/>
      <c r="JD167" s="25"/>
      <c r="JE167" s="25"/>
      <c r="JF167" s="25"/>
      <c r="JG167" s="25"/>
      <c r="JH167" s="25"/>
      <c r="JI167" s="25"/>
      <c r="JJ167" s="25"/>
      <c r="JK167" s="25"/>
      <c r="JL167" s="25"/>
      <c r="JM167" s="25"/>
      <c r="JN167" s="25"/>
    </row>
    <row r="168" spans="2:274" ht="20.25" customHeight="1" x14ac:dyDescent="0.25">
      <c r="B168" s="20"/>
      <c r="F168" s="21"/>
      <c r="G168" s="86" t="str" cm="1">
        <f t="array" aca="1" ref="G168" ca="1">IFERROR(INDEX(Panel_Rates[[1]:[12]],MATCH(Panel_New&amp;Category_New,Panel_Rates[Panel]&amp;Panel_Rates[Category],0),MATCH('Time Plan HY'!E168,OFFSET(Variable!$AF$2,MATCH(Panel_New&amp;Category_New,Panel_Rates[Panel]&amp;Panel_Rates[Category],0)-1,0,1,12),0))/8,"")</f>
        <v/>
      </c>
      <c r="H168" s="92"/>
      <c r="I168" s="88" t="str">
        <f t="shared" ca="1" si="93"/>
        <v/>
      </c>
      <c r="J168" s="89" t="str">
        <f t="shared" ca="1" si="94"/>
        <v/>
      </c>
      <c r="K168" s="90" t="str">
        <f>IFERROR(_xlfn.XLOOKUP(D168,CostTableLookup[Name],CostTableLookup[Gross Cost]),"")</f>
        <v/>
      </c>
      <c r="L168" s="22"/>
      <c r="M168" s="81" t="str">
        <f t="shared" ca="1" si="99"/>
        <v/>
      </c>
      <c r="N168" s="23"/>
      <c r="O168" s="81" t="str">
        <f t="shared" ca="1" si="100"/>
        <v/>
      </c>
      <c r="P168" s="81" t="str">
        <f t="shared" ca="1" si="95"/>
        <v/>
      </c>
      <c r="Q168" s="24" t="str">
        <f t="shared" si="96"/>
        <v/>
      </c>
      <c r="R168" s="110" t="str">
        <f t="shared" ca="1" si="101"/>
        <v/>
      </c>
      <c r="S168" s="114">
        <f t="shared" ref="S168" ca="1" si="148">IFERROR(SUM(OFFSET(Y168,0,MATCH(Forecast_New,$Y$3:$WQ$3,0)-1,1,500))*40,"")</f>
        <v>0</v>
      </c>
      <c r="T168" s="115">
        <f t="shared" ca="1" si="103"/>
        <v>0</v>
      </c>
      <c r="U168" s="116" t="str">
        <f t="shared" ca="1" si="131"/>
        <v/>
      </c>
      <c r="V168" s="99" t="str">
        <f t="shared" ca="1" si="132"/>
        <v/>
      </c>
      <c r="W168" s="100" t="str">
        <f t="shared" ca="1" si="104"/>
        <v/>
      </c>
      <c r="X168" s="83" t="str">
        <f t="shared" ca="1" si="105"/>
        <v/>
      </c>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25"/>
      <c r="EJ168" s="25"/>
      <c r="EK168" s="25"/>
      <c r="EL168" s="25"/>
      <c r="EM168" s="25"/>
      <c r="EN168" s="25"/>
      <c r="EO168" s="25"/>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c r="FL168" s="25"/>
      <c r="FM168" s="25"/>
      <c r="FN168" s="25"/>
      <c r="FO168" s="25"/>
      <c r="FP168" s="25"/>
      <c r="FQ168" s="25"/>
      <c r="FR168" s="25"/>
      <c r="FS168" s="25"/>
      <c r="FT168" s="25"/>
      <c r="FU168" s="25"/>
      <c r="FV168" s="25"/>
      <c r="FW168" s="25"/>
      <c r="FX168" s="25"/>
      <c r="FY168" s="25"/>
      <c r="FZ168" s="25"/>
      <c r="GA168" s="25"/>
      <c r="GB168" s="25"/>
      <c r="GC168" s="25"/>
      <c r="GD168" s="25"/>
      <c r="GE168" s="25"/>
      <c r="GF168" s="25"/>
      <c r="GG168" s="25"/>
      <c r="GH168" s="25"/>
      <c r="GI168" s="25"/>
      <c r="GJ168" s="25"/>
      <c r="GK168" s="25"/>
      <c r="GL168" s="25"/>
      <c r="GM168" s="25"/>
      <c r="GN168" s="25"/>
      <c r="GO168" s="25"/>
      <c r="GP168" s="25"/>
      <c r="GQ168" s="25"/>
      <c r="GR168" s="25"/>
      <c r="GS168" s="25"/>
      <c r="GT168" s="25"/>
      <c r="GU168" s="25"/>
      <c r="GV168" s="25"/>
      <c r="GW168" s="25"/>
      <c r="GX168" s="25"/>
      <c r="GY168" s="25"/>
      <c r="GZ168" s="25"/>
      <c r="HA168" s="25"/>
      <c r="HB168" s="25"/>
      <c r="HC168" s="25"/>
      <c r="HD168" s="25"/>
      <c r="HE168" s="25"/>
      <c r="HF168" s="25"/>
      <c r="HG168" s="25"/>
      <c r="HH168" s="25"/>
      <c r="HI168" s="25"/>
      <c r="HJ168" s="25"/>
      <c r="HK168" s="25"/>
      <c r="HL168" s="25"/>
      <c r="HM168" s="25"/>
      <c r="HN168" s="25"/>
      <c r="HO168" s="25"/>
      <c r="HP168" s="25"/>
      <c r="HQ168" s="25"/>
      <c r="HR168" s="25"/>
      <c r="HS168" s="25"/>
      <c r="HT168" s="25"/>
      <c r="HU168" s="25"/>
      <c r="HV168" s="25"/>
      <c r="HW168" s="25"/>
      <c r="HX168" s="25"/>
      <c r="HY168" s="25"/>
      <c r="HZ168" s="25"/>
      <c r="IA168" s="25"/>
      <c r="IB168" s="25"/>
      <c r="IC168" s="25"/>
      <c r="ID168" s="25"/>
      <c r="IE168" s="25"/>
      <c r="IF168" s="25"/>
      <c r="IG168" s="25"/>
      <c r="IH168" s="25"/>
      <c r="II168" s="25"/>
      <c r="IJ168" s="25"/>
      <c r="IK168" s="25"/>
      <c r="IL168" s="25"/>
      <c r="IM168" s="25"/>
      <c r="IN168" s="25"/>
      <c r="IO168" s="25"/>
      <c r="IP168" s="25"/>
      <c r="IQ168" s="25"/>
      <c r="IR168" s="25"/>
      <c r="IS168" s="25"/>
      <c r="IT168" s="25"/>
      <c r="IU168" s="25"/>
      <c r="IV168" s="25"/>
      <c r="IW168" s="25"/>
      <c r="IX168" s="25"/>
      <c r="IY168" s="25"/>
      <c r="IZ168" s="25"/>
      <c r="JA168" s="25"/>
      <c r="JB168" s="25"/>
      <c r="JC168" s="25"/>
      <c r="JD168" s="25"/>
      <c r="JE168" s="25"/>
      <c r="JF168" s="25"/>
      <c r="JG168" s="25"/>
      <c r="JH168" s="25"/>
      <c r="JI168" s="25"/>
      <c r="JJ168" s="25"/>
      <c r="JK168" s="25"/>
      <c r="JL168" s="25"/>
      <c r="JM168" s="25"/>
      <c r="JN168" s="25"/>
    </row>
    <row r="169" spans="2:274" ht="20.25" customHeight="1" x14ac:dyDescent="0.25">
      <c r="B169" s="20"/>
      <c r="F169" s="21"/>
      <c r="G169" s="86" t="str" cm="1">
        <f t="array" aca="1" ref="G169" ca="1">IFERROR(INDEX(Panel_Rates[[1]:[12]],MATCH(Panel_New&amp;Category_New,Panel_Rates[Panel]&amp;Panel_Rates[Category],0),MATCH('Time Plan HY'!E169,OFFSET(Variable!$AF$2,MATCH(Panel_New&amp;Category_New,Panel_Rates[Panel]&amp;Panel_Rates[Category],0)-1,0,1,12),0))/8,"")</f>
        <v/>
      </c>
      <c r="H169" s="92"/>
      <c r="I169" s="88" t="str">
        <f t="shared" ca="1" si="93"/>
        <v/>
      </c>
      <c r="J169" s="89" t="str">
        <f t="shared" ca="1" si="94"/>
        <v/>
      </c>
      <c r="K169" s="90" t="str">
        <f>IFERROR(_xlfn.XLOOKUP(D169,CostTableLookup[Name],CostTableLookup[Gross Cost]),"")</f>
        <v/>
      </c>
      <c r="L169" s="22"/>
      <c r="M169" s="81" t="str">
        <f t="shared" ca="1" si="99"/>
        <v/>
      </c>
      <c r="N169" s="23"/>
      <c r="O169" s="81" t="str">
        <f t="shared" ca="1" si="100"/>
        <v/>
      </c>
      <c r="P169" s="81" t="str">
        <f t="shared" ca="1" si="95"/>
        <v/>
      </c>
      <c r="Q169" s="24" t="str">
        <f t="shared" si="96"/>
        <v/>
      </c>
      <c r="R169" s="110" t="str">
        <f t="shared" ca="1" si="101"/>
        <v/>
      </c>
      <c r="S169" s="114">
        <f t="shared" ref="S169" ca="1" si="149">IFERROR(SUM(OFFSET(Y169,0,MATCH(Forecast_New,$Y$3:$WQ$3,0)-1,1,500))*40,"")</f>
        <v>0</v>
      </c>
      <c r="T169" s="115">
        <f t="shared" ca="1" si="103"/>
        <v>0</v>
      </c>
      <c r="U169" s="116" t="str">
        <f t="shared" ca="1" si="131"/>
        <v/>
      </c>
      <c r="V169" s="99" t="str">
        <f t="shared" ca="1" si="132"/>
        <v/>
      </c>
      <c r="W169" s="100" t="str">
        <f t="shared" ca="1" si="104"/>
        <v/>
      </c>
      <c r="X169" s="83" t="str">
        <f t="shared" ca="1" si="105"/>
        <v/>
      </c>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25"/>
      <c r="EJ169" s="25"/>
      <c r="EK169" s="25"/>
      <c r="EL169" s="25"/>
      <c r="EM169" s="25"/>
      <c r="EN169" s="25"/>
      <c r="EO169" s="25"/>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c r="FL169" s="25"/>
      <c r="FM169" s="25"/>
      <c r="FN169" s="25"/>
      <c r="FO169" s="25"/>
      <c r="FP169" s="25"/>
      <c r="FQ169" s="25"/>
      <c r="FR169" s="25"/>
      <c r="FS169" s="25"/>
      <c r="FT169" s="25"/>
      <c r="FU169" s="25"/>
      <c r="FV169" s="25"/>
      <c r="FW169" s="25"/>
      <c r="FX169" s="25"/>
      <c r="FY169" s="25"/>
      <c r="FZ169" s="25"/>
      <c r="GA169" s="25"/>
      <c r="GB169" s="25"/>
      <c r="GC169" s="25"/>
      <c r="GD169" s="25"/>
      <c r="GE169" s="25"/>
      <c r="GF169" s="25"/>
      <c r="GG169" s="25"/>
      <c r="GH169" s="25"/>
      <c r="GI169" s="25"/>
      <c r="GJ169" s="25"/>
      <c r="GK169" s="25"/>
      <c r="GL169" s="25"/>
      <c r="GM169" s="25"/>
      <c r="GN169" s="25"/>
      <c r="GO169" s="25"/>
      <c r="GP169" s="25"/>
      <c r="GQ169" s="25"/>
      <c r="GR169" s="25"/>
      <c r="GS169" s="25"/>
      <c r="GT169" s="25"/>
      <c r="GU169" s="25"/>
      <c r="GV169" s="25"/>
      <c r="GW169" s="25"/>
      <c r="GX169" s="25"/>
      <c r="GY169" s="25"/>
      <c r="GZ169" s="25"/>
      <c r="HA169" s="25"/>
      <c r="HB169" s="25"/>
      <c r="HC169" s="25"/>
      <c r="HD169" s="25"/>
      <c r="HE169" s="25"/>
      <c r="HF169" s="25"/>
      <c r="HG169" s="25"/>
      <c r="HH169" s="25"/>
      <c r="HI169" s="25"/>
      <c r="HJ169" s="25"/>
      <c r="HK169" s="25"/>
      <c r="HL169" s="25"/>
      <c r="HM169" s="25"/>
      <c r="HN169" s="25"/>
      <c r="HO169" s="25"/>
      <c r="HP169" s="25"/>
      <c r="HQ169" s="25"/>
      <c r="HR169" s="25"/>
      <c r="HS169" s="25"/>
      <c r="HT169" s="25"/>
      <c r="HU169" s="25"/>
      <c r="HV169" s="25"/>
      <c r="HW169" s="25"/>
      <c r="HX169" s="25"/>
      <c r="HY169" s="25"/>
      <c r="HZ169" s="25"/>
      <c r="IA169" s="25"/>
      <c r="IB169" s="25"/>
      <c r="IC169" s="25"/>
      <c r="ID169" s="25"/>
      <c r="IE169" s="25"/>
      <c r="IF169" s="25"/>
      <c r="IG169" s="25"/>
      <c r="IH169" s="25"/>
      <c r="II169" s="25"/>
      <c r="IJ169" s="25"/>
      <c r="IK169" s="25"/>
      <c r="IL169" s="25"/>
      <c r="IM169" s="25"/>
      <c r="IN169" s="25"/>
      <c r="IO169" s="25"/>
      <c r="IP169" s="25"/>
      <c r="IQ169" s="25"/>
      <c r="IR169" s="25"/>
      <c r="IS169" s="25"/>
      <c r="IT169" s="25"/>
      <c r="IU169" s="25"/>
      <c r="IV169" s="25"/>
      <c r="IW169" s="25"/>
      <c r="IX169" s="25"/>
      <c r="IY169" s="25"/>
      <c r="IZ169" s="25"/>
      <c r="JA169" s="25"/>
      <c r="JB169" s="25"/>
      <c r="JC169" s="25"/>
      <c r="JD169" s="25"/>
      <c r="JE169" s="25"/>
      <c r="JF169" s="25"/>
      <c r="JG169" s="25"/>
      <c r="JH169" s="25"/>
      <c r="JI169" s="25"/>
      <c r="JJ169" s="25"/>
      <c r="JK169" s="25"/>
      <c r="JL169" s="25"/>
      <c r="JM169" s="25"/>
      <c r="JN169" s="25"/>
    </row>
    <row r="170" spans="2:274" ht="20.25" customHeight="1" x14ac:dyDescent="0.25">
      <c r="B170" s="20"/>
      <c r="F170" s="21"/>
      <c r="G170" s="86" t="str" cm="1">
        <f t="array" aca="1" ref="G170" ca="1">IFERROR(INDEX(Panel_Rates[[1]:[12]],MATCH(Panel_New&amp;Category_New,Panel_Rates[Panel]&amp;Panel_Rates[Category],0),MATCH('Time Plan HY'!E170,OFFSET(Variable!$AF$2,MATCH(Panel_New&amp;Category_New,Panel_Rates[Panel]&amp;Panel_Rates[Category],0)-1,0,1,12),0))/8,"")</f>
        <v/>
      </c>
      <c r="H170" s="92"/>
      <c r="I170" s="88" t="str">
        <f t="shared" ca="1" si="93"/>
        <v/>
      </c>
      <c r="J170" s="89" t="str">
        <f t="shared" ca="1" si="94"/>
        <v/>
      </c>
      <c r="K170" s="90" t="str">
        <f>IFERROR(_xlfn.XLOOKUP(D170,CostTableLookup[Name],CostTableLookup[Gross Cost]),"")</f>
        <v/>
      </c>
      <c r="L170" s="22"/>
      <c r="M170" s="81" t="str">
        <f t="shared" ca="1" si="99"/>
        <v/>
      </c>
      <c r="N170" s="23"/>
      <c r="O170" s="81" t="str">
        <f t="shared" ca="1" si="100"/>
        <v/>
      </c>
      <c r="P170" s="81" t="str">
        <f t="shared" ca="1" si="95"/>
        <v/>
      </c>
      <c r="Q170" s="24" t="str">
        <f t="shared" si="96"/>
        <v/>
      </c>
      <c r="R170" s="110" t="str">
        <f t="shared" ca="1" si="101"/>
        <v/>
      </c>
      <c r="S170" s="114">
        <f t="shared" ref="S170" ca="1" si="150">IFERROR(SUM(OFFSET(Y170,0,MATCH(Forecast_New,$Y$3:$WQ$3,0)-1,1,500))*40,"")</f>
        <v>0</v>
      </c>
      <c r="T170" s="115">
        <f t="shared" ca="1" si="103"/>
        <v>0</v>
      </c>
      <c r="U170" s="116" t="str">
        <f t="shared" ca="1" si="131"/>
        <v/>
      </c>
      <c r="V170" s="99" t="str">
        <f t="shared" ca="1" si="132"/>
        <v/>
      </c>
      <c r="W170" s="100" t="str">
        <f t="shared" ca="1" si="104"/>
        <v/>
      </c>
      <c r="X170" s="83" t="str">
        <f t="shared" ca="1" si="105"/>
        <v/>
      </c>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5"/>
      <c r="EN170" s="25"/>
      <c r="EO170" s="25"/>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c r="FL170" s="25"/>
      <c r="FM170" s="25"/>
      <c r="FN170" s="25"/>
      <c r="FO170" s="25"/>
      <c r="FP170" s="25"/>
      <c r="FQ170" s="25"/>
      <c r="FR170" s="25"/>
      <c r="FS170" s="25"/>
      <c r="FT170" s="25"/>
      <c r="FU170" s="25"/>
      <c r="FV170" s="25"/>
      <c r="FW170" s="25"/>
      <c r="FX170" s="25"/>
      <c r="FY170" s="25"/>
      <c r="FZ170" s="25"/>
      <c r="GA170" s="25"/>
      <c r="GB170" s="25"/>
      <c r="GC170" s="25"/>
      <c r="GD170" s="25"/>
      <c r="GE170" s="25"/>
      <c r="GF170" s="25"/>
      <c r="GG170" s="25"/>
      <c r="GH170" s="25"/>
      <c r="GI170" s="25"/>
      <c r="GJ170" s="25"/>
      <c r="GK170" s="25"/>
      <c r="GL170" s="25"/>
      <c r="GM170" s="25"/>
      <c r="GN170" s="25"/>
      <c r="GO170" s="25"/>
      <c r="GP170" s="25"/>
      <c r="GQ170" s="25"/>
      <c r="GR170" s="25"/>
      <c r="GS170" s="25"/>
      <c r="GT170" s="25"/>
      <c r="GU170" s="25"/>
      <c r="GV170" s="25"/>
      <c r="GW170" s="25"/>
      <c r="GX170" s="25"/>
      <c r="GY170" s="25"/>
      <c r="GZ170" s="25"/>
      <c r="HA170" s="25"/>
      <c r="HB170" s="25"/>
      <c r="HC170" s="25"/>
      <c r="HD170" s="25"/>
      <c r="HE170" s="25"/>
      <c r="HF170" s="25"/>
      <c r="HG170" s="25"/>
      <c r="HH170" s="25"/>
      <c r="HI170" s="25"/>
      <c r="HJ170" s="25"/>
      <c r="HK170" s="25"/>
      <c r="HL170" s="25"/>
      <c r="HM170" s="25"/>
      <c r="HN170" s="25"/>
      <c r="HO170" s="25"/>
      <c r="HP170" s="25"/>
      <c r="HQ170" s="25"/>
      <c r="HR170" s="25"/>
      <c r="HS170" s="25"/>
      <c r="HT170" s="25"/>
      <c r="HU170" s="25"/>
      <c r="HV170" s="25"/>
      <c r="HW170" s="25"/>
      <c r="HX170" s="25"/>
      <c r="HY170" s="25"/>
      <c r="HZ170" s="25"/>
      <c r="IA170" s="25"/>
      <c r="IB170" s="25"/>
      <c r="IC170" s="25"/>
      <c r="ID170" s="25"/>
      <c r="IE170" s="25"/>
      <c r="IF170" s="25"/>
      <c r="IG170" s="25"/>
      <c r="IH170" s="25"/>
      <c r="II170" s="25"/>
      <c r="IJ170" s="25"/>
      <c r="IK170" s="25"/>
      <c r="IL170" s="25"/>
      <c r="IM170" s="25"/>
      <c r="IN170" s="25"/>
      <c r="IO170" s="25"/>
      <c r="IP170" s="25"/>
      <c r="IQ170" s="25"/>
      <c r="IR170" s="25"/>
      <c r="IS170" s="25"/>
      <c r="IT170" s="25"/>
      <c r="IU170" s="25"/>
      <c r="IV170" s="25"/>
      <c r="IW170" s="25"/>
      <c r="IX170" s="25"/>
      <c r="IY170" s="25"/>
      <c r="IZ170" s="25"/>
      <c r="JA170" s="25"/>
      <c r="JB170" s="25"/>
      <c r="JC170" s="25"/>
      <c r="JD170" s="25"/>
      <c r="JE170" s="25"/>
      <c r="JF170" s="25"/>
      <c r="JG170" s="25"/>
      <c r="JH170" s="25"/>
      <c r="JI170" s="25"/>
      <c r="JJ170" s="25"/>
      <c r="JK170" s="25"/>
      <c r="JL170" s="25"/>
      <c r="JM170" s="25"/>
      <c r="JN170" s="25"/>
    </row>
    <row r="171" spans="2:274" ht="20.25" customHeight="1" x14ac:dyDescent="0.25">
      <c r="B171" s="20"/>
      <c r="F171" s="21"/>
      <c r="G171" s="86" t="str" cm="1">
        <f t="array" aca="1" ref="G171" ca="1">IFERROR(INDEX(Panel_Rates[[1]:[12]],MATCH(Panel_New&amp;Category_New,Panel_Rates[Panel]&amp;Panel_Rates[Category],0),MATCH('Time Plan HY'!E171,OFFSET(Variable!$AF$2,MATCH(Panel_New&amp;Category_New,Panel_Rates[Panel]&amp;Panel_Rates[Category],0)-1,0,1,12),0))/8,"")</f>
        <v/>
      </c>
      <c r="H171" s="92"/>
      <c r="I171" s="88" t="str">
        <f t="shared" ca="1" si="93"/>
        <v/>
      </c>
      <c r="J171" s="89" t="str">
        <f t="shared" ca="1" si="94"/>
        <v/>
      </c>
      <c r="K171" s="90" t="str">
        <f>IFERROR(_xlfn.XLOOKUP(D171,CostTableLookup[Name],CostTableLookup[Gross Cost]),"")</f>
        <v/>
      </c>
      <c r="L171" s="22"/>
      <c r="M171" s="81" t="str">
        <f t="shared" ca="1" si="99"/>
        <v/>
      </c>
      <c r="N171" s="23"/>
      <c r="O171" s="81" t="str">
        <f t="shared" ca="1" si="100"/>
        <v/>
      </c>
      <c r="P171" s="81" t="str">
        <f t="shared" ca="1" si="95"/>
        <v/>
      </c>
      <c r="Q171" s="24" t="str">
        <f t="shared" si="96"/>
        <v/>
      </c>
      <c r="R171" s="110" t="str">
        <f t="shared" ca="1" si="101"/>
        <v/>
      </c>
      <c r="S171" s="114">
        <f t="shared" ref="S171" ca="1" si="151">IFERROR(SUM(OFFSET(Y171,0,MATCH(Forecast_New,$Y$3:$WQ$3,0)-1,1,500))*40,"")</f>
        <v>0</v>
      </c>
      <c r="T171" s="115">
        <f t="shared" ca="1" si="103"/>
        <v>0</v>
      </c>
      <c r="U171" s="116" t="str">
        <f t="shared" ca="1" si="131"/>
        <v/>
      </c>
      <c r="V171" s="99" t="str">
        <f t="shared" ca="1" si="132"/>
        <v/>
      </c>
      <c r="W171" s="100" t="str">
        <f t="shared" ca="1" si="104"/>
        <v/>
      </c>
      <c r="X171" s="83" t="str">
        <f t="shared" ca="1" si="105"/>
        <v/>
      </c>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5"/>
      <c r="EN171" s="25"/>
      <c r="EO171" s="25"/>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c r="FL171" s="25"/>
      <c r="FM171" s="25"/>
      <c r="FN171" s="25"/>
      <c r="FO171" s="25"/>
      <c r="FP171" s="25"/>
      <c r="FQ171" s="25"/>
      <c r="FR171" s="25"/>
      <c r="FS171" s="25"/>
      <c r="FT171" s="25"/>
      <c r="FU171" s="25"/>
      <c r="FV171" s="25"/>
      <c r="FW171" s="25"/>
      <c r="FX171" s="25"/>
      <c r="FY171" s="25"/>
      <c r="FZ171" s="25"/>
      <c r="GA171" s="25"/>
      <c r="GB171" s="25"/>
      <c r="GC171" s="25"/>
      <c r="GD171" s="25"/>
      <c r="GE171" s="25"/>
      <c r="GF171" s="25"/>
      <c r="GG171" s="25"/>
      <c r="GH171" s="25"/>
      <c r="GI171" s="25"/>
      <c r="GJ171" s="25"/>
      <c r="GK171" s="25"/>
      <c r="GL171" s="25"/>
      <c r="GM171" s="25"/>
      <c r="GN171" s="25"/>
      <c r="GO171" s="25"/>
      <c r="GP171" s="25"/>
      <c r="GQ171" s="25"/>
      <c r="GR171" s="25"/>
      <c r="GS171" s="25"/>
      <c r="GT171" s="25"/>
      <c r="GU171" s="25"/>
      <c r="GV171" s="25"/>
      <c r="GW171" s="25"/>
      <c r="GX171" s="25"/>
      <c r="GY171" s="25"/>
      <c r="GZ171" s="25"/>
      <c r="HA171" s="25"/>
      <c r="HB171" s="25"/>
      <c r="HC171" s="25"/>
      <c r="HD171" s="25"/>
      <c r="HE171" s="25"/>
      <c r="HF171" s="25"/>
      <c r="HG171" s="25"/>
      <c r="HH171" s="25"/>
      <c r="HI171" s="25"/>
      <c r="HJ171" s="25"/>
      <c r="HK171" s="25"/>
      <c r="HL171" s="25"/>
      <c r="HM171" s="25"/>
      <c r="HN171" s="25"/>
      <c r="HO171" s="25"/>
      <c r="HP171" s="25"/>
      <c r="HQ171" s="25"/>
      <c r="HR171" s="25"/>
      <c r="HS171" s="25"/>
      <c r="HT171" s="25"/>
      <c r="HU171" s="25"/>
      <c r="HV171" s="25"/>
      <c r="HW171" s="25"/>
      <c r="HX171" s="25"/>
      <c r="HY171" s="25"/>
      <c r="HZ171" s="25"/>
      <c r="IA171" s="25"/>
      <c r="IB171" s="25"/>
      <c r="IC171" s="25"/>
      <c r="ID171" s="25"/>
      <c r="IE171" s="25"/>
      <c r="IF171" s="25"/>
      <c r="IG171" s="25"/>
      <c r="IH171" s="25"/>
      <c r="II171" s="25"/>
      <c r="IJ171" s="25"/>
      <c r="IK171" s="25"/>
      <c r="IL171" s="25"/>
      <c r="IM171" s="25"/>
      <c r="IN171" s="25"/>
      <c r="IO171" s="25"/>
      <c r="IP171" s="25"/>
      <c r="IQ171" s="25"/>
      <c r="IR171" s="25"/>
      <c r="IS171" s="25"/>
      <c r="IT171" s="25"/>
      <c r="IU171" s="25"/>
      <c r="IV171" s="25"/>
      <c r="IW171" s="25"/>
      <c r="IX171" s="25"/>
      <c r="IY171" s="25"/>
      <c r="IZ171" s="25"/>
      <c r="JA171" s="25"/>
      <c r="JB171" s="25"/>
      <c r="JC171" s="25"/>
      <c r="JD171" s="25"/>
      <c r="JE171" s="25"/>
      <c r="JF171" s="25"/>
      <c r="JG171" s="25"/>
      <c r="JH171" s="25"/>
      <c r="JI171" s="25"/>
      <c r="JJ171" s="25"/>
      <c r="JK171" s="25"/>
      <c r="JL171" s="25"/>
      <c r="JM171" s="25"/>
      <c r="JN171" s="25"/>
    </row>
    <row r="172" spans="2:274" ht="20.25" customHeight="1" x14ac:dyDescent="0.25">
      <c r="B172" s="20"/>
      <c r="F172" s="21"/>
      <c r="G172" s="86" t="str" cm="1">
        <f t="array" aca="1" ref="G172" ca="1">IFERROR(INDEX(Panel_Rates[[1]:[12]],MATCH(Panel_New&amp;Category_New,Panel_Rates[Panel]&amp;Panel_Rates[Category],0),MATCH('Time Plan HY'!E172,OFFSET(Variable!$AF$2,MATCH(Panel_New&amp;Category_New,Panel_Rates[Panel]&amp;Panel_Rates[Category],0)-1,0,1,12),0))/8,"")</f>
        <v/>
      </c>
      <c r="H172" s="92"/>
      <c r="I172" s="88" t="str">
        <f t="shared" ca="1" si="93"/>
        <v/>
      </c>
      <c r="J172" s="89" t="str">
        <f t="shared" ca="1" si="94"/>
        <v/>
      </c>
      <c r="K172" s="90" t="str">
        <f>IFERROR(_xlfn.XLOOKUP(D172,CostTableLookup[Name],CostTableLookup[Gross Cost]),"")</f>
        <v/>
      </c>
      <c r="L172" s="22"/>
      <c r="M172" s="81" t="str">
        <f t="shared" ca="1" si="99"/>
        <v/>
      </c>
      <c r="N172" s="23"/>
      <c r="O172" s="81" t="str">
        <f t="shared" ca="1" si="100"/>
        <v/>
      </c>
      <c r="P172" s="81" t="str">
        <f t="shared" ca="1" si="95"/>
        <v/>
      </c>
      <c r="Q172" s="24" t="str">
        <f t="shared" si="96"/>
        <v/>
      </c>
      <c r="R172" s="110" t="str">
        <f t="shared" ca="1" si="101"/>
        <v/>
      </c>
      <c r="S172" s="114">
        <f t="shared" ref="S172" ca="1" si="152">IFERROR(SUM(OFFSET(Y172,0,MATCH(Forecast_New,$Y$3:$WQ$3,0)-1,1,500))*40,"")</f>
        <v>0</v>
      </c>
      <c r="T172" s="115">
        <f t="shared" ca="1" si="103"/>
        <v>0</v>
      </c>
      <c r="U172" s="116" t="str">
        <f t="shared" ca="1" si="131"/>
        <v/>
      </c>
      <c r="V172" s="99" t="str">
        <f t="shared" ca="1" si="132"/>
        <v/>
      </c>
      <c r="W172" s="100" t="str">
        <f t="shared" ca="1" si="104"/>
        <v/>
      </c>
      <c r="X172" s="83" t="str">
        <f t="shared" ca="1" si="105"/>
        <v/>
      </c>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5"/>
      <c r="EN172" s="25"/>
      <c r="EO172" s="25"/>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c r="FL172" s="25"/>
      <c r="FM172" s="25"/>
      <c r="FN172" s="25"/>
      <c r="FO172" s="25"/>
      <c r="FP172" s="25"/>
      <c r="FQ172" s="25"/>
      <c r="FR172" s="25"/>
      <c r="FS172" s="25"/>
      <c r="FT172" s="25"/>
      <c r="FU172" s="25"/>
      <c r="FV172" s="25"/>
      <c r="FW172" s="25"/>
      <c r="FX172" s="25"/>
      <c r="FY172" s="25"/>
      <c r="FZ172" s="25"/>
      <c r="GA172" s="25"/>
      <c r="GB172" s="25"/>
      <c r="GC172" s="25"/>
      <c r="GD172" s="25"/>
      <c r="GE172" s="25"/>
      <c r="GF172" s="25"/>
      <c r="GG172" s="25"/>
      <c r="GH172" s="25"/>
      <c r="GI172" s="25"/>
      <c r="GJ172" s="25"/>
      <c r="GK172" s="25"/>
      <c r="GL172" s="25"/>
      <c r="GM172" s="25"/>
      <c r="GN172" s="25"/>
      <c r="GO172" s="25"/>
      <c r="GP172" s="25"/>
      <c r="GQ172" s="25"/>
      <c r="GR172" s="25"/>
      <c r="GS172" s="25"/>
      <c r="GT172" s="25"/>
      <c r="GU172" s="25"/>
      <c r="GV172" s="25"/>
      <c r="GW172" s="25"/>
      <c r="GX172" s="25"/>
      <c r="GY172" s="25"/>
      <c r="GZ172" s="25"/>
      <c r="HA172" s="25"/>
      <c r="HB172" s="25"/>
      <c r="HC172" s="25"/>
      <c r="HD172" s="25"/>
      <c r="HE172" s="25"/>
      <c r="HF172" s="25"/>
      <c r="HG172" s="25"/>
      <c r="HH172" s="25"/>
      <c r="HI172" s="25"/>
      <c r="HJ172" s="25"/>
      <c r="HK172" s="25"/>
      <c r="HL172" s="25"/>
      <c r="HM172" s="25"/>
      <c r="HN172" s="25"/>
      <c r="HO172" s="25"/>
      <c r="HP172" s="25"/>
      <c r="HQ172" s="25"/>
      <c r="HR172" s="25"/>
      <c r="HS172" s="25"/>
      <c r="HT172" s="25"/>
      <c r="HU172" s="25"/>
      <c r="HV172" s="25"/>
      <c r="HW172" s="25"/>
      <c r="HX172" s="25"/>
      <c r="HY172" s="25"/>
      <c r="HZ172" s="25"/>
      <c r="IA172" s="25"/>
      <c r="IB172" s="25"/>
      <c r="IC172" s="25"/>
      <c r="ID172" s="25"/>
      <c r="IE172" s="25"/>
      <c r="IF172" s="25"/>
      <c r="IG172" s="25"/>
      <c r="IH172" s="25"/>
      <c r="II172" s="25"/>
      <c r="IJ172" s="25"/>
      <c r="IK172" s="25"/>
      <c r="IL172" s="25"/>
      <c r="IM172" s="25"/>
      <c r="IN172" s="25"/>
      <c r="IO172" s="25"/>
      <c r="IP172" s="25"/>
      <c r="IQ172" s="25"/>
      <c r="IR172" s="25"/>
      <c r="IS172" s="25"/>
      <c r="IT172" s="25"/>
      <c r="IU172" s="25"/>
      <c r="IV172" s="25"/>
      <c r="IW172" s="25"/>
      <c r="IX172" s="25"/>
      <c r="IY172" s="25"/>
      <c r="IZ172" s="25"/>
      <c r="JA172" s="25"/>
      <c r="JB172" s="25"/>
      <c r="JC172" s="25"/>
      <c r="JD172" s="25"/>
      <c r="JE172" s="25"/>
      <c r="JF172" s="25"/>
      <c r="JG172" s="25"/>
      <c r="JH172" s="25"/>
      <c r="JI172" s="25"/>
      <c r="JJ172" s="25"/>
      <c r="JK172" s="25"/>
      <c r="JL172" s="25"/>
      <c r="JM172" s="25"/>
      <c r="JN172" s="25"/>
    </row>
    <row r="173" spans="2:274" ht="20.25" customHeight="1" x14ac:dyDescent="0.25">
      <c r="B173" s="20"/>
      <c r="F173" s="21"/>
      <c r="G173" s="86" t="str" cm="1">
        <f t="array" aca="1" ref="G173" ca="1">IFERROR(INDEX(Panel_Rates[[1]:[12]],MATCH(Panel_New&amp;Category_New,Panel_Rates[Panel]&amp;Panel_Rates[Category],0),MATCH('Time Plan HY'!E173,OFFSET(Variable!$AF$2,MATCH(Panel_New&amp;Category_New,Panel_Rates[Panel]&amp;Panel_Rates[Category],0)-1,0,1,12),0))/8,"")</f>
        <v/>
      </c>
      <c r="H173" s="92"/>
      <c r="I173" s="88" t="str">
        <f t="shared" ca="1" si="93"/>
        <v/>
      </c>
      <c r="J173" s="89" t="str">
        <f t="shared" ca="1" si="94"/>
        <v/>
      </c>
      <c r="K173" s="90" t="str">
        <f>IFERROR(_xlfn.XLOOKUP(D173,CostTableLookup[Name],CostTableLookup[Gross Cost]),"")</f>
        <v/>
      </c>
      <c r="L173" s="22"/>
      <c r="M173" s="81" t="str">
        <f t="shared" ca="1" si="99"/>
        <v/>
      </c>
      <c r="N173" s="23"/>
      <c r="O173" s="81" t="str">
        <f t="shared" ca="1" si="100"/>
        <v/>
      </c>
      <c r="P173" s="81" t="str">
        <f t="shared" ca="1" si="95"/>
        <v/>
      </c>
      <c r="Q173" s="24" t="str">
        <f t="shared" si="96"/>
        <v/>
      </c>
      <c r="R173" s="110" t="str">
        <f t="shared" ca="1" si="101"/>
        <v/>
      </c>
      <c r="S173" s="114">
        <f t="shared" ref="S173" ca="1" si="153">IFERROR(SUM(OFFSET(Y173,0,MATCH(Forecast_New,$Y$3:$WQ$3,0)-1,1,500))*40,"")</f>
        <v>0</v>
      </c>
      <c r="T173" s="115">
        <f t="shared" ca="1" si="103"/>
        <v>0</v>
      </c>
      <c r="U173" s="116" t="str">
        <f t="shared" ca="1" si="131"/>
        <v/>
      </c>
      <c r="V173" s="99" t="str">
        <f t="shared" ca="1" si="132"/>
        <v/>
      </c>
      <c r="W173" s="100" t="str">
        <f t="shared" ca="1" si="104"/>
        <v/>
      </c>
      <c r="X173" s="83" t="str">
        <f t="shared" ca="1" si="105"/>
        <v/>
      </c>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5"/>
      <c r="EN173" s="25"/>
      <c r="EO173" s="25"/>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c r="FL173" s="25"/>
      <c r="FM173" s="25"/>
      <c r="FN173" s="25"/>
      <c r="FO173" s="25"/>
      <c r="FP173" s="25"/>
      <c r="FQ173" s="25"/>
      <c r="FR173" s="25"/>
      <c r="FS173" s="25"/>
      <c r="FT173" s="25"/>
      <c r="FU173" s="25"/>
      <c r="FV173" s="25"/>
      <c r="FW173" s="25"/>
      <c r="FX173" s="25"/>
      <c r="FY173" s="25"/>
      <c r="FZ173" s="25"/>
      <c r="GA173" s="25"/>
      <c r="GB173" s="25"/>
      <c r="GC173" s="25"/>
      <c r="GD173" s="25"/>
      <c r="GE173" s="25"/>
      <c r="GF173" s="25"/>
      <c r="GG173" s="25"/>
      <c r="GH173" s="25"/>
      <c r="GI173" s="25"/>
      <c r="GJ173" s="25"/>
      <c r="GK173" s="25"/>
      <c r="GL173" s="25"/>
      <c r="GM173" s="25"/>
      <c r="GN173" s="25"/>
      <c r="GO173" s="25"/>
      <c r="GP173" s="25"/>
      <c r="GQ173" s="25"/>
      <c r="GR173" s="25"/>
      <c r="GS173" s="25"/>
      <c r="GT173" s="25"/>
      <c r="GU173" s="25"/>
      <c r="GV173" s="25"/>
      <c r="GW173" s="25"/>
      <c r="GX173" s="25"/>
      <c r="GY173" s="25"/>
      <c r="GZ173" s="25"/>
      <c r="HA173" s="25"/>
      <c r="HB173" s="25"/>
      <c r="HC173" s="25"/>
      <c r="HD173" s="25"/>
      <c r="HE173" s="25"/>
      <c r="HF173" s="25"/>
      <c r="HG173" s="25"/>
      <c r="HH173" s="25"/>
      <c r="HI173" s="25"/>
      <c r="HJ173" s="25"/>
      <c r="HK173" s="25"/>
      <c r="HL173" s="25"/>
      <c r="HM173" s="25"/>
      <c r="HN173" s="25"/>
      <c r="HO173" s="25"/>
      <c r="HP173" s="25"/>
      <c r="HQ173" s="25"/>
      <c r="HR173" s="25"/>
      <c r="HS173" s="25"/>
      <c r="HT173" s="25"/>
      <c r="HU173" s="25"/>
      <c r="HV173" s="25"/>
      <c r="HW173" s="25"/>
      <c r="HX173" s="25"/>
      <c r="HY173" s="25"/>
      <c r="HZ173" s="25"/>
      <c r="IA173" s="25"/>
      <c r="IB173" s="25"/>
      <c r="IC173" s="25"/>
      <c r="ID173" s="25"/>
      <c r="IE173" s="25"/>
      <c r="IF173" s="25"/>
      <c r="IG173" s="25"/>
      <c r="IH173" s="25"/>
      <c r="II173" s="25"/>
      <c r="IJ173" s="25"/>
      <c r="IK173" s="25"/>
      <c r="IL173" s="25"/>
      <c r="IM173" s="25"/>
      <c r="IN173" s="25"/>
      <c r="IO173" s="25"/>
      <c r="IP173" s="25"/>
      <c r="IQ173" s="25"/>
      <c r="IR173" s="25"/>
      <c r="IS173" s="25"/>
      <c r="IT173" s="25"/>
      <c r="IU173" s="25"/>
      <c r="IV173" s="25"/>
      <c r="IW173" s="25"/>
      <c r="IX173" s="25"/>
      <c r="IY173" s="25"/>
      <c r="IZ173" s="25"/>
      <c r="JA173" s="25"/>
      <c r="JB173" s="25"/>
      <c r="JC173" s="25"/>
      <c r="JD173" s="25"/>
      <c r="JE173" s="25"/>
      <c r="JF173" s="25"/>
      <c r="JG173" s="25"/>
      <c r="JH173" s="25"/>
      <c r="JI173" s="25"/>
      <c r="JJ173" s="25"/>
      <c r="JK173" s="25"/>
      <c r="JL173" s="25"/>
      <c r="JM173" s="25"/>
      <c r="JN173" s="25"/>
    </row>
    <row r="174" spans="2:274" ht="20.25" customHeight="1" x14ac:dyDescent="0.25">
      <c r="B174" s="20"/>
      <c r="F174" s="21"/>
      <c r="G174" s="86" t="str" cm="1">
        <f t="array" aca="1" ref="G174" ca="1">IFERROR(INDEX(Panel_Rates[[1]:[12]],MATCH(Panel_New&amp;Category_New,Panel_Rates[Panel]&amp;Panel_Rates[Category],0),MATCH('Time Plan HY'!E174,OFFSET(Variable!$AF$2,MATCH(Panel_New&amp;Category_New,Panel_Rates[Panel]&amp;Panel_Rates[Category],0)-1,0,1,12),0))/8,"")</f>
        <v/>
      </c>
      <c r="H174" s="92"/>
      <c r="I174" s="88" t="str">
        <f t="shared" ca="1" si="93"/>
        <v/>
      </c>
      <c r="J174" s="89" t="str">
        <f t="shared" ca="1" si="94"/>
        <v/>
      </c>
      <c r="K174" s="90" t="str">
        <f>IFERROR(_xlfn.XLOOKUP(D174,CostTableLookup[Name],CostTableLookup[Gross Cost]),"")</f>
        <v/>
      </c>
      <c r="L174" s="22"/>
      <c r="M174" s="81" t="str">
        <f t="shared" ca="1" si="99"/>
        <v/>
      </c>
      <c r="N174" s="23"/>
      <c r="O174" s="81" t="str">
        <f t="shared" ca="1" si="100"/>
        <v/>
      </c>
      <c r="P174" s="81" t="str">
        <f t="shared" ca="1" si="95"/>
        <v/>
      </c>
      <c r="Q174" s="24" t="str">
        <f t="shared" si="96"/>
        <v/>
      </c>
      <c r="R174" s="110" t="str">
        <f t="shared" ca="1" si="101"/>
        <v/>
      </c>
      <c r="S174" s="114">
        <f t="shared" ref="S174" ca="1" si="154">IFERROR(SUM(OFFSET(Y174,0,MATCH(Forecast_New,$Y$3:$WQ$3,0)-1,1,500))*40,"")</f>
        <v>0</v>
      </c>
      <c r="T174" s="115">
        <f t="shared" ca="1" si="103"/>
        <v>0</v>
      </c>
      <c r="U174" s="116" t="str">
        <f t="shared" ca="1" si="131"/>
        <v/>
      </c>
      <c r="V174" s="99" t="str">
        <f t="shared" ca="1" si="132"/>
        <v/>
      </c>
      <c r="W174" s="100" t="str">
        <f t="shared" ca="1" si="104"/>
        <v/>
      </c>
      <c r="X174" s="83" t="str">
        <f t="shared" ca="1" si="105"/>
        <v/>
      </c>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5"/>
      <c r="EN174" s="25"/>
      <c r="EO174" s="25"/>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c r="FL174" s="25"/>
      <c r="FM174" s="25"/>
      <c r="FN174" s="25"/>
      <c r="FO174" s="25"/>
      <c r="FP174" s="25"/>
      <c r="FQ174" s="25"/>
      <c r="FR174" s="25"/>
      <c r="FS174" s="25"/>
      <c r="FT174" s="25"/>
      <c r="FU174" s="25"/>
      <c r="FV174" s="25"/>
      <c r="FW174" s="25"/>
      <c r="FX174" s="25"/>
      <c r="FY174" s="25"/>
      <c r="FZ174" s="25"/>
      <c r="GA174" s="25"/>
      <c r="GB174" s="25"/>
      <c r="GC174" s="25"/>
      <c r="GD174" s="25"/>
      <c r="GE174" s="25"/>
      <c r="GF174" s="25"/>
      <c r="GG174" s="25"/>
      <c r="GH174" s="25"/>
      <c r="GI174" s="25"/>
      <c r="GJ174" s="25"/>
      <c r="GK174" s="25"/>
      <c r="GL174" s="25"/>
      <c r="GM174" s="25"/>
      <c r="GN174" s="25"/>
      <c r="GO174" s="25"/>
      <c r="GP174" s="25"/>
      <c r="GQ174" s="25"/>
      <c r="GR174" s="25"/>
      <c r="GS174" s="25"/>
      <c r="GT174" s="25"/>
      <c r="GU174" s="25"/>
      <c r="GV174" s="25"/>
      <c r="GW174" s="25"/>
      <c r="GX174" s="25"/>
      <c r="GY174" s="25"/>
      <c r="GZ174" s="25"/>
      <c r="HA174" s="25"/>
      <c r="HB174" s="25"/>
      <c r="HC174" s="25"/>
      <c r="HD174" s="25"/>
      <c r="HE174" s="25"/>
      <c r="HF174" s="25"/>
      <c r="HG174" s="25"/>
      <c r="HH174" s="25"/>
      <c r="HI174" s="25"/>
      <c r="HJ174" s="25"/>
      <c r="HK174" s="25"/>
      <c r="HL174" s="25"/>
      <c r="HM174" s="25"/>
      <c r="HN174" s="25"/>
      <c r="HO174" s="25"/>
      <c r="HP174" s="25"/>
      <c r="HQ174" s="25"/>
      <c r="HR174" s="25"/>
      <c r="HS174" s="25"/>
      <c r="HT174" s="25"/>
      <c r="HU174" s="25"/>
      <c r="HV174" s="25"/>
      <c r="HW174" s="25"/>
      <c r="HX174" s="25"/>
      <c r="HY174" s="25"/>
      <c r="HZ174" s="25"/>
      <c r="IA174" s="25"/>
      <c r="IB174" s="25"/>
      <c r="IC174" s="25"/>
      <c r="ID174" s="25"/>
      <c r="IE174" s="25"/>
      <c r="IF174" s="25"/>
      <c r="IG174" s="25"/>
      <c r="IH174" s="25"/>
      <c r="II174" s="25"/>
      <c r="IJ174" s="25"/>
      <c r="IK174" s="25"/>
      <c r="IL174" s="25"/>
      <c r="IM174" s="25"/>
      <c r="IN174" s="25"/>
      <c r="IO174" s="25"/>
      <c r="IP174" s="25"/>
      <c r="IQ174" s="25"/>
      <c r="IR174" s="25"/>
      <c r="IS174" s="25"/>
      <c r="IT174" s="25"/>
      <c r="IU174" s="25"/>
      <c r="IV174" s="25"/>
      <c r="IW174" s="25"/>
      <c r="IX174" s="25"/>
      <c r="IY174" s="25"/>
      <c r="IZ174" s="25"/>
      <c r="JA174" s="25"/>
      <c r="JB174" s="25"/>
      <c r="JC174" s="25"/>
      <c r="JD174" s="25"/>
      <c r="JE174" s="25"/>
      <c r="JF174" s="25"/>
      <c r="JG174" s="25"/>
      <c r="JH174" s="25"/>
      <c r="JI174" s="25"/>
      <c r="JJ174" s="25"/>
      <c r="JK174" s="25"/>
      <c r="JL174" s="25"/>
      <c r="JM174" s="25"/>
      <c r="JN174" s="25"/>
    </row>
    <row r="175" spans="2:274" ht="20.25" customHeight="1" x14ac:dyDescent="0.25">
      <c r="B175" s="20"/>
      <c r="F175" s="21"/>
      <c r="G175" s="86" t="str" cm="1">
        <f t="array" aca="1" ref="G175" ca="1">IFERROR(INDEX(Panel_Rates[[1]:[12]],MATCH(Panel_New&amp;Category_New,Panel_Rates[Panel]&amp;Panel_Rates[Category],0),MATCH('Time Plan HY'!E175,OFFSET(Variable!$AF$2,MATCH(Panel_New&amp;Category_New,Panel_Rates[Panel]&amp;Panel_Rates[Category],0)-1,0,1,12),0))/8,"")</f>
        <v/>
      </c>
      <c r="H175" s="92"/>
      <c r="I175" s="88" t="str">
        <f t="shared" ca="1" si="93"/>
        <v/>
      </c>
      <c r="J175" s="89" t="str">
        <f t="shared" ca="1" si="94"/>
        <v/>
      </c>
      <c r="K175" s="90" t="str">
        <f>IFERROR(_xlfn.XLOOKUP(D175,CostTableLookup[Name],CostTableLookup[Gross Cost]),"")</f>
        <v/>
      </c>
      <c r="L175" s="22"/>
      <c r="M175" s="81" t="str">
        <f t="shared" ca="1" si="99"/>
        <v/>
      </c>
      <c r="N175" s="23"/>
      <c r="O175" s="81" t="str">
        <f t="shared" ca="1" si="100"/>
        <v/>
      </c>
      <c r="P175" s="81" t="str">
        <f t="shared" ca="1" si="95"/>
        <v/>
      </c>
      <c r="Q175" s="24" t="str">
        <f t="shared" si="96"/>
        <v/>
      </c>
      <c r="R175" s="110" t="str">
        <f t="shared" ca="1" si="101"/>
        <v/>
      </c>
      <c r="S175" s="114">
        <f t="shared" ref="S175" ca="1" si="155">IFERROR(SUM(OFFSET(Y175,0,MATCH(Forecast_New,$Y$3:$WQ$3,0)-1,1,500))*40,"")</f>
        <v>0</v>
      </c>
      <c r="T175" s="115">
        <f t="shared" ca="1" si="103"/>
        <v>0</v>
      </c>
      <c r="U175" s="116" t="str">
        <f t="shared" ca="1" si="131"/>
        <v/>
      </c>
      <c r="V175" s="99" t="str">
        <f t="shared" ca="1" si="132"/>
        <v/>
      </c>
      <c r="W175" s="100" t="str">
        <f t="shared" ca="1" si="104"/>
        <v/>
      </c>
      <c r="X175" s="83" t="str">
        <f t="shared" ca="1" si="105"/>
        <v/>
      </c>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5"/>
      <c r="EN175" s="25"/>
      <c r="EO175" s="25"/>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c r="FL175" s="25"/>
      <c r="FM175" s="25"/>
      <c r="FN175" s="25"/>
      <c r="FO175" s="25"/>
      <c r="FP175" s="25"/>
      <c r="FQ175" s="25"/>
      <c r="FR175" s="25"/>
      <c r="FS175" s="25"/>
      <c r="FT175" s="25"/>
      <c r="FU175" s="25"/>
      <c r="FV175" s="25"/>
      <c r="FW175" s="25"/>
      <c r="FX175" s="25"/>
      <c r="FY175" s="25"/>
      <c r="FZ175" s="25"/>
      <c r="GA175" s="25"/>
      <c r="GB175" s="25"/>
      <c r="GC175" s="25"/>
      <c r="GD175" s="25"/>
      <c r="GE175" s="25"/>
      <c r="GF175" s="25"/>
      <c r="GG175" s="25"/>
      <c r="GH175" s="25"/>
      <c r="GI175" s="25"/>
      <c r="GJ175" s="25"/>
      <c r="GK175" s="25"/>
      <c r="GL175" s="25"/>
      <c r="GM175" s="25"/>
      <c r="GN175" s="25"/>
      <c r="GO175" s="25"/>
      <c r="GP175" s="25"/>
      <c r="GQ175" s="25"/>
      <c r="GR175" s="25"/>
      <c r="GS175" s="25"/>
      <c r="GT175" s="25"/>
      <c r="GU175" s="25"/>
      <c r="GV175" s="25"/>
      <c r="GW175" s="25"/>
      <c r="GX175" s="25"/>
      <c r="GY175" s="25"/>
      <c r="GZ175" s="25"/>
      <c r="HA175" s="25"/>
      <c r="HB175" s="25"/>
      <c r="HC175" s="25"/>
      <c r="HD175" s="25"/>
      <c r="HE175" s="25"/>
      <c r="HF175" s="25"/>
      <c r="HG175" s="25"/>
      <c r="HH175" s="25"/>
      <c r="HI175" s="25"/>
      <c r="HJ175" s="25"/>
      <c r="HK175" s="25"/>
      <c r="HL175" s="25"/>
      <c r="HM175" s="25"/>
      <c r="HN175" s="25"/>
      <c r="HO175" s="25"/>
      <c r="HP175" s="25"/>
      <c r="HQ175" s="25"/>
      <c r="HR175" s="25"/>
      <c r="HS175" s="25"/>
      <c r="HT175" s="25"/>
      <c r="HU175" s="25"/>
      <c r="HV175" s="25"/>
      <c r="HW175" s="25"/>
      <c r="HX175" s="25"/>
      <c r="HY175" s="25"/>
      <c r="HZ175" s="25"/>
      <c r="IA175" s="25"/>
      <c r="IB175" s="25"/>
      <c r="IC175" s="25"/>
      <c r="ID175" s="25"/>
      <c r="IE175" s="25"/>
      <c r="IF175" s="25"/>
      <c r="IG175" s="25"/>
      <c r="IH175" s="25"/>
      <c r="II175" s="25"/>
      <c r="IJ175" s="25"/>
      <c r="IK175" s="25"/>
      <c r="IL175" s="25"/>
      <c r="IM175" s="25"/>
      <c r="IN175" s="25"/>
      <c r="IO175" s="25"/>
      <c r="IP175" s="25"/>
      <c r="IQ175" s="25"/>
      <c r="IR175" s="25"/>
      <c r="IS175" s="25"/>
      <c r="IT175" s="25"/>
      <c r="IU175" s="25"/>
      <c r="IV175" s="25"/>
      <c r="IW175" s="25"/>
      <c r="IX175" s="25"/>
      <c r="IY175" s="25"/>
      <c r="IZ175" s="25"/>
      <c r="JA175" s="25"/>
      <c r="JB175" s="25"/>
      <c r="JC175" s="25"/>
      <c r="JD175" s="25"/>
      <c r="JE175" s="25"/>
      <c r="JF175" s="25"/>
      <c r="JG175" s="25"/>
      <c r="JH175" s="25"/>
      <c r="JI175" s="25"/>
      <c r="JJ175" s="25"/>
      <c r="JK175" s="25"/>
      <c r="JL175" s="25"/>
      <c r="JM175" s="25"/>
      <c r="JN175" s="25"/>
    </row>
    <row r="176" spans="2:274" ht="20.25" customHeight="1" x14ac:dyDescent="0.25">
      <c r="B176" s="20"/>
      <c r="F176" s="21"/>
      <c r="G176" s="86" t="str" cm="1">
        <f t="array" aca="1" ref="G176" ca="1">IFERROR(INDEX(Panel_Rates[[1]:[12]],MATCH(Panel_New&amp;Category_New,Panel_Rates[Panel]&amp;Panel_Rates[Category],0),MATCH('Time Plan HY'!E176,OFFSET(Variable!$AF$2,MATCH(Panel_New&amp;Category_New,Panel_Rates[Panel]&amp;Panel_Rates[Category],0)-1,0,1,12),0))/8,"")</f>
        <v/>
      </c>
      <c r="H176" s="92"/>
      <c r="I176" s="88" t="str">
        <f t="shared" ca="1" si="93"/>
        <v/>
      </c>
      <c r="J176" s="89" t="str">
        <f t="shared" ca="1" si="94"/>
        <v/>
      </c>
      <c r="K176" s="90" t="str">
        <f>IFERROR(_xlfn.XLOOKUP(D176,CostTableLookup[Name],CostTableLookup[Gross Cost]),"")</f>
        <v/>
      </c>
      <c r="L176" s="22"/>
      <c r="M176" s="81" t="str">
        <f t="shared" ca="1" si="99"/>
        <v/>
      </c>
      <c r="N176" s="23"/>
      <c r="O176" s="81" t="str">
        <f t="shared" ca="1" si="100"/>
        <v/>
      </c>
      <c r="P176" s="81" t="str">
        <f t="shared" ca="1" si="95"/>
        <v/>
      </c>
      <c r="Q176" s="24" t="str">
        <f t="shared" si="96"/>
        <v/>
      </c>
      <c r="R176" s="110" t="str">
        <f t="shared" ca="1" si="101"/>
        <v/>
      </c>
      <c r="S176" s="114">
        <f t="shared" ref="S176" ca="1" si="156">IFERROR(SUM(OFFSET(Y176,0,MATCH(Forecast_New,$Y$3:$WQ$3,0)-1,1,500))*40,"")</f>
        <v>0</v>
      </c>
      <c r="T176" s="115">
        <f t="shared" ca="1" si="103"/>
        <v>0</v>
      </c>
      <c r="U176" s="116" t="str">
        <f t="shared" ca="1" si="131"/>
        <v/>
      </c>
      <c r="V176" s="99" t="str">
        <f t="shared" ca="1" si="132"/>
        <v/>
      </c>
      <c r="W176" s="100" t="str">
        <f t="shared" ca="1" si="104"/>
        <v/>
      </c>
      <c r="X176" s="83" t="str">
        <f t="shared" ca="1" si="105"/>
        <v/>
      </c>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5"/>
      <c r="EN176" s="25"/>
      <c r="EO176" s="25"/>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c r="FL176" s="25"/>
      <c r="FM176" s="25"/>
      <c r="FN176" s="25"/>
      <c r="FO176" s="25"/>
      <c r="FP176" s="25"/>
      <c r="FQ176" s="25"/>
      <c r="FR176" s="25"/>
      <c r="FS176" s="25"/>
      <c r="FT176" s="25"/>
      <c r="FU176" s="25"/>
      <c r="FV176" s="25"/>
      <c r="FW176" s="25"/>
      <c r="FX176" s="25"/>
      <c r="FY176" s="25"/>
      <c r="FZ176" s="25"/>
      <c r="GA176" s="25"/>
      <c r="GB176" s="25"/>
      <c r="GC176" s="25"/>
      <c r="GD176" s="25"/>
      <c r="GE176" s="25"/>
      <c r="GF176" s="25"/>
      <c r="GG176" s="25"/>
      <c r="GH176" s="25"/>
      <c r="GI176" s="25"/>
      <c r="GJ176" s="25"/>
      <c r="GK176" s="25"/>
      <c r="GL176" s="25"/>
      <c r="GM176" s="25"/>
      <c r="GN176" s="25"/>
      <c r="GO176" s="25"/>
      <c r="GP176" s="25"/>
      <c r="GQ176" s="25"/>
      <c r="GR176" s="25"/>
      <c r="GS176" s="25"/>
      <c r="GT176" s="25"/>
      <c r="GU176" s="25"/>
      <c r="GV176" s="25"/>
      <c r="GW176" s="25"/>
      <c r="GX176" s="25"/>
      <c r="GY176" s="25"/>
      <c r="GZ176" s="25"/>
      <c r="HA176" s="25"/>
      <c r="HB176" s="25"/>
      <c r="HC176" s="25"/>
      <c r="HD176" s="25"/>
      <c r="HE176" s="25"/>
      <c r="HF176" s="25"/>
      <c r="HG176" s="25"/>
      <c r="HH176" s="25"/>
      <c r="HI176" s="25"/>
      <c r="HJ176" s="25"/>
      <c r="HK176" s="25"/>
      <c r="HL176" s="25"/>
      <c r="HM176" s="25"/>
      <c r="HN176" s="25"/>
      <c r="HO176" s="25"/>
      <c r="HP176" s="25"/>
      <c r="HQ176" s="25"/>
      <c r="HR176" s="25"/>
      <c r="HS176" s="25"/>
      <c r="HT176" s="25"/>
      <c r="HU176" s="25"/>
      <c r="HV176" s="25"/>
      <c r="HW176" s="25"/>
      <c r="HX176" s="25"/>
      <c r="HY176" s="25"/>
      <c r="HZ176" s="25"/>
      <c r="IA176" s="25"/>
      <c r="IB176" s="25"/>
      <c r="IC176" s="25"/>
      <c r="ID176" s="25"/>
      <c r="IE176" s="25"/>
      <c r="IF176" s="25"/>
      <c r="IG176" s="25"/>
      <c r="IH176" s="25"/>
      <c r="II176" s="25"/>
      <c r="IJ176" s="25"/>
      <c r="IK176" s="25"/>
      <c r="IL176" s="25"/>
      <c r="IM176" s="25"/>
      <c r="IN176" s="25"/>
      <c r="IO176" s="25"/>
      <c r="IP176" s="25"/>
      <c r="IQ176" s="25"/>
      <c r="IR176" s="25"/>
      <c r="IS176" s="25"/>
      <c r="IT176" s="25"/>
      <c r="IU176" s="25"/>
      <c r="IV176" s="25"/>
      <c r="IW176" s="25"/>
      <c r="IX176" s="25"/>
      <c r="IY176" s="25"/>
      <c r="IZ176" s="25"/>
      <c r="JA176" s="25"/>
      <c r="JB176" s="25"/>
      <c r="JC176" s="25"/>
      <c r="JD176" s="25"/>
      <c r="JE176" s="25"/>
      <c r="JF176" s="25"/>
      <c r="JG176" s="25"/>
      <c r="JH176" s="25"/>
      <c r="JI176" s="25"/>
      <c r="JJ176" s="25"/>
      <c r="JK176" s="25"/>
      <c r="JL176" s="25"/>
      <c r="JM176" s="25"/>
      <c r="JN176" s="25"/>
    </row>
    <row r="177" spans="2:274" ht="20.25" customHeight="1" x14ac:dyDescent="0.25">
      <c r="B177" s="20"/>
      <c r="F177" s="21"/>
      <c r="G177" s="86" t="str" cm="1">
        <f t="array" aca="1" ref="G177" ca="1">IFERROR(INDEX(Panel_Rates[[1]:[12]],MATCH(Panel_New&amp;Category_New,Panel_Rates[Panel]&amp;Panel_Rates[Category],0),MATCH('Time Plan HY'!E177,OFFSET(Variable!$AF$2,MATCH(Panel_New&amp;Category_New,Panel_Rates[Panel]&amp;Panel_Rates[Category],0)-1,0,1,12),0))/8,"")</f>
        <v/>
      </c>
      <c r="H177" s="92"/>
      <c r="I177" s="88" t="str">
        <f t="shared" ca="1" si="93"/>
        <v/>
      </c>
      <c r="J177" s="89" t="str">
        <f t="shared" ca="1" si="94"/>
        <v/>
      </c>
      <c r="K177" s="90" t="str">
        <f>IFERROR(_xlfn.XLOOKUP(D177,CostTableLookup[Name],CostTableLookup[Gross Cost]),"")</f>
        <v/>
      </c>
      <c r="L177" s="22"/>
      <c r="M177" s="81" t="str">
        <f t="shared" ca="1" si="99"/>
        <v/>
      </c>
      <c r="N177" s="23"/>
      <c r="O177" s="81" t="str">
        <f t="shared" ca="1" si="100"/>
        <v/>
      </c>
      <c r="P177" s="81" t="str">
        <f t="shared" ca="1" si="95"/>
        <v/>
      </c>
      <c r="Q177" s="24" t="str">
        <f t="shared" si="96"/>
        <v/>
      </c>
      <c r="R177" s="110" t="str">
        <f t="shared" ca="1" si="101"/>
        <v/>
      </c>
      <c r="S177" s="114">
        <f t="shared" ref="S177" ca="1" si="157">IFERROR(SUM(OFFSET(Y177,0,MATCH(Forecast_New,$Y$3:$WQ$3,0)-1,1,500))*40,"")</f>
        <v>0</v>
      </c>
      <c r="T177" s="115">
        <f t="shared" ca="1" si="103"/>
        <v>0</v>
      </c>
      <c r="U177" s="116" t="str">
        <f t="shared" ca="1" si="131"/>
        <v/>
      </c>
      <c r="V177" s="99" t="str">
        <f t="shared" ca="1" si="132"/>
        <v/>
      </c>
      <c r="W177" s="100" t="str">
        <f t="shared" ca="1" si="104"/>
        <v/>
      </c>
      <c r="X177" s="83" t="str">
        <f t="shared" ca="1" si="105"/>
        <v/>
      </c>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25"/>
      <c r="EJ177" s="25"/>
      <c r="EK177" s="25"/>
      <c r="EL177" s="25"/>
      <c r="EM177" s="25"/>
      <c r="EN177" s="25"/>
      <c r="EO177" s="25"/>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c r="FL177" s="25"/>
      <c r="FM177" s="25"/>
      <c r="FN177" s="25"/>
      <c r="FO177" s="25"/>
      <c r="FP177" s="25"/>
      <c r="FQ177" s="25"/>
      <c r="FR177" s="25"/>
      <c r="FS177" s="25"/>
      <c r="FT177" s="25"/>
      <c r="FU177" s="25"/>
      <c r="FV177" s="25"/>
      <c r="FW177" s="25"/>
      <c r="FX177" s="25"/>
      <c r="FY177" s="25"/>
      <c r="FZ177" s="25"/>
      <c r="GA177" s="25"/>
      <c r="GB177" s="25"/>
      <c r="GC177" s="25"/>
      <c r="GD177" s="25"/>
      <c r="GE177" s="25"/>
      <c r="GF177" s="25"/>
      <c r="GG177" s="25"/>
      <c r="GH177" s="25"/>
      <c r="GI177" s="25"/>
      <c r="GJ177" s="25"/>
      <c r="GK177" s="25"/>
      <c r="GL177" s="25"/>
      <c r="GM177" s="25"/>
      <c r="GN177" s="25"/>
      <c r="GO177" s="25"/>
      <c r="GP177" s="25"/>
      <c r="GQ177" s="25"/>
      <c r="GR177" s="25"/>
      <c r="GS177" s="25"/>
      <c r="GT177" s="25"/>
      <c r="GU177" s="25"/>
      <c r="GV177" s="25"/>
      <c r="GW177" s="25"/>
      <c r="GX177" s="25"/>
      <c r="GY177" s="25"/>
      <c r="GZ177" s="25"/>
      <c r="HA177" s="25"/>
      <c r="HB177" s="25"/>
      <c r="HC177" s="25"/>
      <c r="HD177" s="25"/>
      <c r="HE177" s="25"/>
      <c r="HF177" s="25"/>
      <c r="HG177" s="25"/>
      <c r="HH177" s="25"/>
      <c r="HI177" s="25"/>
      <c r="HJ177" s="25"/>
      <c r="HK177" s="25"/>
      <c r="HL177" s="25"/>
      <c r="HM177" s="25"/>
      <c r="HN177" s="25"/>
      <c r="HO177" s="25"/>
      <c r="HP177" s="25"/>
      <c r="HQ177" s="25"/>
      <c r="HR177" s="25"/>
      <c r="HS177" s="25"/>
      <c r="HT177" s="25"/>
      <c r="HU177" s="25"/>
      <c r="HV177" s="25"/>
      <c r="HW177" s="25"/>
      <c r="HX177" s="25"/>
      <c r="HY177" s="25"/>
      <c r="HZ177" s="25"/>
      <c r="IA177" s="25"/>
      <c r="IB177" s="25"/>
      <c r="IC177" s="25"/>
      <c r="ID177" s="25"/>
      <c r="IE177" s="25"/>
      <c r="IF177" s="25"/>
      <c r="IG177" s="25"/>
      <c r="IH177" s="25"/>
      <c r="II177" s="25"/>
      <c r="IJ177" s="25"/>
      <c r="IK177" s="25"/>
      <c r="IL177" s="25"/>
      <c r="IM177" s="25"/>
      <c r="IN177" s="25"/>
      <c r="IO177" s="25"/>
      <c r="IP177" s="25"/>
      <c r="IQ177" s="25"/>
      <c r="IR177" s="25"/>
      <c r="IS177" s="25"/>
      <c r="IT177" s="25"/>
      <c r="IU177" s="25"/>
      <c r="IV177" s="25"/>
      <c r="IW177" s="25"/>
      <c r="IX177" s="25"/>
      <c r="IY177" s="25"/>
      <c r="IZ177" s="25"/>
      <c r="JA177" s="25"/>
      <c r="JB177" s="25"/>
      <c r="JC177" s="25"/>
      <c r="JD177" s="25"/>
      <c r="JE177" s="25"/>
      <c r="JF177" s="25"/>
      <c r="JG177" s="25"/>
      <c r="JH177" s="25"/>
      <c r="JI177" s="25"/>
      <c r="JJ177" s="25"/>
      <c r="JK177" s="25"/>
      <c r="JL177" s="25"/>
      <c r="JM177" s="25"/>
      <c r="JN177" s="25"/>
    </row>
    <row r="178" spans="2:274" ht="20.25" customHeight="1" x14ac:dyDescent="0.25">
      <c r="B178" s="20"/>
      <c r="F178" s="21"/>
      <c r="G178" s="86" t="str" cm="1">
        <f t="array" aca="1" ref="G178" ca="1">IFERROR(INDEX(Panel_Rates[[1]:[12]],MATCH(Panel_New&amp;Category_New,Panel_Rates[Panel]&amp;Panel_Rates[Category],0),MATCH('Time Plan HY'!E178,OFFSET(Variable!$AF$2,MATCH(Panel_New&amp;Category_New,Panel_Rates[Panel]&amp;Panel_Rates[Category],0)-1,0,1,12),0))/8,"")</f>
        <v/>
      </c>
      <c r="H178" s="92"/>
      <c r="I178" s="88" t="str">
        <f t="shared" ca="1" si="93"/>
        <v/>
      </c>
      <c r="J178" s="89" t="str">
        <f t="shared" ca="1" si="94"/>
        <v/>
      </c>
      <c r="K178" s="90" t="str">
        <f>IFERROR(_xlfn.XLOOKUP(D178,CostTableLookup[Name],CostTableLookup[Gross Cost]),"")</f>
        <v/>
      </c>
      <c r="L178" s="22"/>
      <c r="M178" s="81" t="str">
        <f t="shared" ca="1" si="99"/>
        <v/>
      </c>
      <c r="N178" s="23"/>
      <c r="O178" s="81" t="str">
        <f t="shared" ca="1" si="100"/>
        <v/>
      </c>
      <c r="P178" s="81" t="str">
        <f t="shared" ca="1" si="95"/>
        <v/>
      </c>
      <c r="Q178" s="24" t="str">
        <f t="shared" si="96"/>
        <v/>
      </c>
      <c r="R178" s="110" t="str">
        <f t="shared" ca="1" si="101"/>
        <v/>
      </c>
      <c r="S178" s="114">
        <f t="shared" ref="S178" ca="1" si="158">IFERROR(SUM(OFFSET(Y178,0,MATCH(Forecast_New,$Y$3:$WQ$3,0)-1,1,500))*40,"")</f>
        <v>0</v>
      </c>
      <c r="T178" s="115">
        <f t="shared" ca="1" si="103"/>
        <v>0</v>
      </c>
      <c r="U178" s="116" t="str">
        <f t="shared" ca="1" si="131"/>
        <v/>
      </c>
      <c r="V178" s="99" t="str">
        <f t="shared" ca="1" si="132"/>
        <v/>
      </c>
      <c r="W178" s="100" t="str">
        <f t="shared" ca="1" si="104"/>
        <v/>
      </c>
      <c r="X178" s="83" t="str">
        <f t="shared" ca="1" si="105"/>
        <v/>
      </c>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25"/>
      <c r="EJ178" s="25"/>
      <c r="EK178" s="25"/>
      <c r="EL178" s="25"/>
      <c r="EM178" s="25"/>
      <c r="EN178" s="25"/>
      <c r="EO178" s="25"/>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c r="FL178" s="25"/>
      <c r="FM178" s="25"/>
      <c r="FN178" s="25"/>
      <c r="FO178" s="25"/>
      <c r="FP178" s="25"/>
      <c r="FQ178" s="25"/>
      <c r="FR178" s="25"/>
      <c r="FS178" s="25"/>
      <c r="FT178" s="25"/>
      <c r="FU178" s="25"/>
      <c r="FV178" s="25"/>
      <c r="FW178" s="25"/>
      <c r="FX178" s="25"/>
      <c r="FY178" s="25"/>
      <c r="FZ178" s="25"/>
      <c r="GA178" s="25"/>
      <c r="GB178" s="25"/>
      <c r="GC178" s="25"/>
      <c r="GD178" s="25"/>
      <c r="GE178" s="25"/>
      <c r="GF178" s="25"/>
      <c r="GG178" s="25"/>
      <c r="GH178" s="25"/>
      <c r="GI178" s="25"/>
      <c r="GJ178" s="25"/>
      <c r="GK178" s="25"/>
      <c r="GL178" s="25"/>
      <c r="GM178" s="25"/>
      <c r="GN178" s="25"/>
      <c r="GO178" s="25"/>
      <c r="GP178" s="25"/>
      <c r="GQ178" s="25"/>
      <c r="GR178" s="25"/>
      <c r="GS178" s="25"/>
      <c r="GT178" s="25"/>
      <c r="GU178" s="25"/>
      <c r="GV178" s="25"/>
      <c r="GW178" s="25"/>
      <c r="GX178" s="25"/>
      <c r="GY178" s="25"/>
      <c r="GZ178" s="25"/>
      <c r="HA178" s="25"/>
      <c r="HB178" s="25"/>
      <c r="HC178" s="25"/>
      <c r="HD178" s="25"/>
      <c r="HE178" s="25"/>
      <c r="HF178" s="25"/>
      <c r="HG178" s="25"/>
      <c r="HH178" s="25"/>
      <c r="HI178" s="25"/>
      <c r="HJ178" s="25"/>
      <c r="HK178" s="25"/>
      <c r="HL178" s="25"/>
      <c r="HM178" s="25"/>
      <c r="HN178" s="25"/>
      <c r="HO178" s="25"/>
      <c r="HP178" s="25"/>
      <c r="HQ178" s="25"/>
      <c r="HR178" s="25"/>
      <c r="HS178" s="25"/>
      <c r="HT178" s="25"/>
      <c r="HU178" s="25"/>
      <c r="HV178" s="25"/>
      <c r="HW178" s="25"/>
      <c r="HX178" s="25"/>
      <c r="HY178" s="25"/>
      <c r="HZ178" s="25"/>
      <c r="IA178" s="25"/>
      <c r="IB178" s="25"/>
      <c r="IC178" s="25"/>
      <c r="ID178" s="25"/>
      <c r="IE178" s="25"/>
      <c r="IF178" s="25"/>
      <c r="IG178" s="25"/>
      <c r="IH178" s="25"/>
      <c r="II178" s="25"/>
      <c r="IJ178" s="25"/>
      <c r="IK178" s="25"/>
      <c r="IL178" s="25"/>
      <c r="IM178" s="25"/>
      <c r="IN178" s="25"/>
      <c r="IO178" s="25"/>
      <c r="IP178" s="25"/>
      <c r="IQ178" s="25"/>
      <c r="IR178" s="25"/>
      <c r="IS178" s="25"/>
      <c r="IT178" s="25"/>
      <c r="IU178" s="25"/>
      <c r="IV178" s="25"/>
      <c r="IW178" s="25"/>
      <c r="IX178" s="25"/>
      <c r="IY178" s="25"/>
      <c r="IZ178" s="25"/>
      <c r="JA178" s="25"/>
      <c r="JB178" s="25"/>
      <c r="JC178" s="25"/>
      <c r="JD178" s="25"/>
      <c r="JE178" s="25"/>
      <c r="JF178" s="25"/>
      <c r="JG178" s="25"/>
      <c r="JH178" s="25"/>
      <c r="JI178" s="25"/>
      <c r="JJ178" s="25"/>
      <c r="JK178" s="25"/>
      <c r="JL178" s="25"/>
      <c r="JM178" s="25"/>
      <c r="JN178" s="25"/>
    </row>
    <row r="179" spans="2:274" ht="20.25" customHeight="1" x14ac:dyDescent="0.25">
      <c r="B179" s="20"/>
      <c r="F179" s="21"/>
      <c r="G179" s="86" t="str" cm="1">
        <f t="array" aca="1" ref="G179" ca="1">IFERROR(INDEX(Panel_Rates[[1]:[12]],MATCH(Panel_New&amp;Category_New,Panel_Rates[Panel]&amp;Panel_Rates[Category],0),MATCH('Time Plan HY'!E179,OFFSET(Variable!$AF$2,MATCH(Panel_New&amp;Category_New,Panel_Rates[Panel]&amp;Panel_Rates[Category],0)-1,0,1,12),0))/8,"")</f>
        <v/>
      </c>
      <c r="H179" s="92"/>
      <c r="I179" s="88" t="str">
        <f t="shared" ca="1" si="93"/>
        <v/>
      </c>
      <c r="J179" s="89" t="str">
        <f t="shared" ca="1" si="94"/>
        <v/>
      </c>
      <c r="K179" s="90" t="str">
        <f>IFERROR(_xlfn.XLOOKUP(D179,CostTableLookup[Name],CostTableLookup[Gross Cost]),"")</f>
        <v/>
      </c>
      <c r="L179" s="22"/>
      <c r="M179" s="81" t="str">
        <f t="shared" ca="1" si="99"/>
        <v/>
      </c>
      <c r="N179" s="23"/>
      <c r="O179" s="81" t="str">
        <f t="shared" ca="1" si="100"/>
        <v/>
      </c>
      <c r="P179" s="81" t="str">
        <f t="shared" ca="1" si="95"/>
        <v/>
      </c>
      <c r="Q179" s="24" t="str">
        <f t="shared" si="96"/>
        <v/>
      </c>
      <c r="R179" s="110" t="str">
        <f t="shared" ca="1" si="101"/>
        <v/>
      </c>
      <c r="S179" s="114">
        <f t="shared" ref="S179" ca="1" si="159">IFERROR(SUM(OFFSET(Y179,0,MATCH(Forecast_New,$Y$3:$WQ$3,0)-1,1,500))*40,"")</f>
        <v>0</v>
      </c>
      <c r="T179" s="115">
        <f t="shared" ca="1" si="103"/>
        <v>0</v>
      </c>
      <c r="U179" s="116" t="str">
        <f t="shared" ca="1" si="131"/>
        <v/>
      </c>
      <c r="V179" s="99" t="str">
        <f t="shared" ca="1" si="132"/>
        <v/>
      </c>
      <c r="W179" s="100" t="str">
        <f t="shared" ca="1" si="104"/>
        <v/>
      </c>
      <c r="X179" s="83" t="str">
        <f t="shared" ca="1" si="105"/>
        <v/>
      </c>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5"/>
      <c r="EN179" s="25"/>
      <c r="EO179" s="25"/>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c r="FL179" s="25"/>
      <c r="FM179" s="25"/>
      <c r="FN179" s="25"/>
      <c r="FO179" s="25"/>
      <c r="FP179" s="25"/>
      <c r="FQ179" s="25"/>
      <c r="FR179" s="25"/>
      <c r="FS179" s="25"/>
      <c r="FT179" s="25"/>
      <c r="FU179" s="25"/>
      <c r="FV179" s="25"/>
      <c r="FW179" s="25"/>
      <c r="FX179" s="25"/>
      <c r="FY179" s="25"/>
      <c r="FZ179" s="25"/>
      <c r="GA179" s="25"/>
      <c r="GB179" s="25"/>
      <c r="GC179" s="25"/>
      <c r="GD179" s="25"/>
      <c r="GE179" s="25"/>
      <c r="GF179" s="25"/>
      <c r="GG179" s="25"/>
      <c r="GH179" s="25"/>
      <c r="GI179" s="25"/>
      <c r="GJ179" s="25"/>
      <c r="GK179" s="25"/>
      <c r="GL179" s="25"/>
      <c r="GM179" s="25"/>
      <c r="GN179" s="25"/>
      <c r="GO179" s="25"/>
      <c r="GP179" s="25"/>
      <c r="GQ179" s="25"/>
      <c r="GR179" s="25"/>
      <c r="GS179" s="25"/>
      <c r="GT179" s="25"/>
      <c r="GU179" s="25"/>
      <c r="GV179" s="25"/>
      <c r="GW179" s="25"/>
      <c r="GX179" s="25"/>
      <c r="GY179" s="25"/>
      <c r="GZ179" s="25"/>
      <c r="HA179" s="25"/>
      <c r="HB179" s="25"/>
      <c r="HC179" s="25"/>
      <c r="HD179" s="25"/>
      <c r="HE179" s="25"/>
      <c r="HF179" s="25"/>
      <c r="HG179" s="25"/>
      <c r="HH179" s="25"/>
      <c r="HI179" s="25"/>
      <c r="HJ179" s="25"/>
      <c r="HK179" s="25"/>
      <c r="HL179" s="25"/>
      <c r="HM179" s="25"/>
      <c r="HN179" s="25"/>
      <c r="HO179" s="25"/>
      <c r="HP179" s="25"/>
      <c r="HQ179" s="25"/>
      <c r="HR179" s="25"/>
      <c r="HS179" s="25"/>
      <c r="HT179" s="25"/>
      <c r="HU179" s="25"/>
      <c r="HV179" s="25"/>
      <c r="HW179" s="25"/>
      <c r="HX179" s="25"/>
      <c r="HY179" s="25"/>
      <c r="HZ179" s="25"/>
      <c r="IA179" s="25"/>
      <c r="IB179" s="25"/>
      <c r="IC179" s="25"/>
      <c r="ID179" s="25"/>
      <c r="IE179" s="25"/>
      <c r="IF179" s="25"/>
      <c r="IG179" s="25"/>
      <c r="IH179" s="25"/>
      <c r="II179" s="25"/>
      <c r="IJ179" s="25"/>
      <c r="IK179" s="25"/>
      <c r="IL179" s="25"/>
      <c r="IM179" s="25"/>
      <c r="IN179" s="25"/>
      <c r="IO179" s="25"/>
      <c r="IP179" s="25"/>
      <c r="IQ179" s="25"/>
      <c r="IR179" s="25"/>
      <c r="IS179" s="25"/>
      <c r="IT179" s="25"/>
      <c r="IU179" s="25"/>
      <c r="IV179" s="25"/>
      <c r="IW179" s="25"/>
      <c r="IX179" s="25"/>
      <c r="IY179" s="25"/>
      <c r="IZ179" s="25"/>
      <c r="JA179" s="25"/>
      <c r="JB179" s="25"/>
      <c r="JC179" s="25"/>
      <c r="JD179" s="25"/>
      <c r="JE179" s="25"/>
      <c r="JF179" s="25"/>
      <c r="JG179" s="25"/>
      <c r="JH179" s="25"/>
      <c r="JI179" s="25"/>
      <c r="JJ179" s="25"/>
      <c r="JK179" s="25"/>
      <c r="JL179" s="25"/>
      <c r="JM179" s="25"/>
      <c r="JN179" s="25"/>
    </row>
    <row r="180" spans="2:274" ht="20.25" customHeight="1" x14ac:dyDescent="0.25">
      <c r="B180" s="20"/>
      <c r="F180" s="21"/>
      <c r="G180" s="86" t="str" cm="1">
        <f t="array" aca="1" ref="G180" ca="1">IFERROR(INDEX(Panel_Rates[[1]:[12]],MATCH(Panel_New&amp;Category_New,Panel_Rates[Panel]&amp;Panel_Rates[Category],0),MATCH('Time Plan HY'!E180,OFFSET(Variable!$AF$2,MATCH(Panel_New&amp;Category_New,Panel_Rates[Panel]&amp;Panel_Rates[Category],0)-1,0,1,12),0))/8,"")</f>
        <v/>
      </c>
      <c r="H180" s="92"/>
      <c r="I180" s="88" t="str">
        <f t="shared" ca="1" si="93"/>
        <v/>
      </c>
      <c r="J180" s="89" t="str">
        <f t="shared" ca="1" si="94"/>
        <v/>
      </c>
      <c r="K180" s="90" t="str">
        <f>IFERROR(_xlfn.XLOOKUP(D180,CostTableLookup[Name],CostTableLookup[Gross Cost]),"")</f>
        <v/>
      </c>
      <c r="L180" s="22"/>
      <c r="M180" s="81" t="str">
        <f t="shared" ca="1" si="99"/>
        <v/>
      </c>
      <c r="N180" s="23"/>
      <c r="O180" s="81" t="str">
        <f t="shared" ca="1" si="100"/>
        <v/>
      </c>
      <c r="P180" s="81" t="str">
        <f t="shared" ca="1" si="95"/>
        <v/>
      </c>
      <c r="Q180" s="24" t="str">
        <f t="shared" si="96"/>
        <v/>
      </c>
      <c r="R180" s="110" t="str">
        <f t="shared" ca="1" si="101"/>
        <v/>
      </c>
      <c r="S180" s="114">
        <f t="shared" ref="S180" ca="1" si="160">IFERROR(SUM(OFFSET(Y180,0,MATCH(Forecast_New,$Y$3:$WQ$3,0)-1,1,500))*40,"")</f>
        <v>0</v>
      </c>
      <c r="T180" s="115">
        <f t="shared" ca="1" si="103"/>
        <v>0</v>
      </c>
      <c r="U180" s="116" t="str">
        <f t="shared" ca="1" si="131"/>
        <v/>
      </c>
      <c r="V180" s="99" t="str">
        <f t="shared" ca="1" si="132"/>
        <v/>
      </c>
      <c r="W180" s="100" t="str">
        <f t="shared" ca="1" si="104"/>
        <v/>
      </c>
      <c r="X180" s="83" t="str">
        <f t="shared" ca="1" si="105"/>
        <v/>
      </c>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5"/>
      <c r="EN180" s="25"/>
      <c r="EO180" s="25"/>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c r="FL180" s="25"/>
      <c r="FM180" s="25"/>
      <c r="FN180" s="25"/>
      <c r="FO180" s="25"/>
      <c r="FP180" s="25"/>
      <c r="FQ180" s="25"/>
      <c r="FR180" s="25"/>
      <c r="FS180" s="25"/>
      <c r="FT180" s="25"/>
      <c r="FU180" s="25"/>
      <c r="FV180" s="25"/>
      <c r="FW180" s="25"/>
      <c r="FX180" s="25"/>
      <c r="FY180" s="25"/>
      <c r="FZ180" s="25"/>
      <c r="GA180" s="25"/>
      <c r="GB180" s="25"/>
      <c r="GC180" s="25"/>
      <c r="GD180" s="25"/>
      <c r="GE180" s="25"/>
      <c r="GF180" s="25"/>
      <c r="GG180" s="25"/>
      <c r="GH180" s="25"/>
      <c r="GI180" s="25"/>
      <c r="GJ180" s="25"/>
      <c r="GK180" s="25"/>
      <c r="GL180" s="25"/>
      <c r="GM180" s="25"/>
      <c r="GN180" s="25"/>
      <c r="GO180" s="25"/>
      <c r="GP180" s="25"/>
      <c r="GQ180" s="25"/>
      <c r="GR180" s="25"/>
      <c r="GS180" s="25"/>
      <c r="GT180" s="25"/>
      <c r="GU180" s="25"/>
      <c r="GV180" s="25"/>
      <c r="GW180" s="25"/>
      <c r="GX180" s="25"/>
      <c r="GY180" s="25"/>
      <c r="GZ180" s="25"/>
      <c r="HA180" s="25"/>
      <c r="HB180" s="25"/>
      <c r="HC180" s="25"/>
      <c r="HD180" s="25"/>
      <c r="HE180" s="25"/>
      <c r="HF180" s="25"/>
      <c r="HG180" s="25"/>
      <c r="HH180" s="25"/>
      <c r="HI180" s="25"/>
      <c r="HJ180" s="25"/>
      <c r="HK180" s="25"/>
      <c r="HL180" s="25"/>
      <c r="HM180" s="25"/>
      <c r="HN180" s="25"/>
      <c r="HO180" s="25"/>
      <c r="HP180" s="25"/>
      <c r="HQ180" s="25"/>
      <c r="HR180" s="25"/>
      <c r="HS180" s="25"/>
      <c r="HT180" s="25"/>
      <c r="HU180" s="25"/>
      <c r="HV180" s="25"/>
      <c r="HW180" s="25"/>
      <c r="HX180" s="25"/>
      <c r="HY180" s="25"/>
      <c r="HZ180" s="25"/>
      <c r="IA180" s="25"/>
      <c r="IB180" s="25"/>
      <c r="IC180" s="25"/>
      <c r="ID180" s="25"/>
      <c r="IE180" s="25"/>
      <c r="IF180" s="25"/>
      <c r="IG180" s="25"/>
      <c r="IH180" s="25"/>
      <c r="II180" s="25"/>
      <c r="IJ180" s="25"/>
      <c r="IK180" s="25"/>
      <c r="IL180" s="25"/>
      <c r="IM180" s="25"/>
      <c r="IN180" s="25"/>
      <c r="IO180" s="25"/>
      <c r="IP180" s="25"/>
      <c r="IQ180" s="25"/>
      <c r="IR180" s="25"/>
      <c r="IS180" s="25"/>
      <c r="IT180" s="25"/>
      <c r="IU180" s="25"/>
      <c r="IV180" s="25"/>
      <c r="IW180" s="25"/>
      <c r="IX180" s="25"/>
      <c r="IY180" s="25"/>
      <c r="IZ180" s="25"/>
      <c r="JA180" s="25"/>
      <c r="JB180" s="25"/>
      <c r="JC180" s="25"/>
      <c r="JD180" s="25"/>
      <c r="JE180" s="25"/>
      <c r="JF180" s="25"/>
      <c r="JG180" s="25"/>
      <c r="JH180" s="25"/>
      <c r="JI180" s="25"/>
      <c r="JJ180" s="25"/>
      <c r="JK180" s="25"/>
      <c r="JL180" s="25"/>
      <c r="JM180" s="25"/>
      <c r="JN180" s="25"/>
    </row>
    <row r="181" spans="2:274" ht="20.25" customHeight="1" x14ac:dyDescent="0.25">
      <c r="B181" s="20"/>
      <c r="F181" s="21"/>
      <c r="G181" s="86" t="str" cm="1">
        <f t="array" aca="1" ref="G181" ca="1">IFERROR(INDEX(Panel_Rates[[1]:[12]],MATCH(Panel_New&amp;Category_New,Panel_Rates[Panel]&amp;Panel_Rates[Category],0),MATCH('Time Plan HY'!E181,OFFSET(Variable!$AF$2,MATCH(Panel_New&amp;Category_New,Panel_Rates[Panel]&amp;Panel_Rates[Category],0)-1,0,1,12),0))/8,"")</f>
        <v/>
      </c>
      <c r="H181" s="92"/>
      <c r="I181" s="88" t="str">
        <f t="shared" ca="1" si="93"/>
        <v/>
      </c>
      <c r="J181" s="89" t="str">
        <f t="shared" ca="1" si="94"/>
        <v/>
      </c>
      <c r="K181" s="90" t="str">
        <f>IFERROR(_xlfn.XLOOKUP(D181,CostTableLookup[Name],CostTableLookup[Gross Cost]),"")</f>
        <v/>
      </c>
      <c r="L181" s="22"/>
      <c r="M181" s="81" t="str">
        <f t="shared" ca="1" si="99"/>
        <v/>
      </c>
      <c r="N181" s="23"/>
      <c r="O181" s="81" t="str">
        <f t="shared" ca="1" si="100"/>
        <v/>
      </c>
      <c r="P181" s="81" t="str">
        <f t="shared" ca="1" si="95"/>
        <v/>
      </c>
      <c r="Q181" s="24" t="str">
        <f t="shared" si="96"/>
        <v/>
      </c>
      <c r="R181" s="110" t="str">
        <f t="shared" ca="1" si="101"/>
        <v/>
      </c>
      <c r="S181" s="114">
        <f t="shared" ref="S181" ca="1" si="161">IFERROR(SUM(OFFSET(Y181,0,MATCH(Forecast_New,$Y$3:$WQ$3,0)-1,1,500))*40,"")</f>
        <v>0</v>
      </c>
      <c r="T181" s="115">
        <f t="shared" ca="1" si="103"/>
        <v>0</v>
      </c>
      <c r="U181" s="116" t="str">
        <f t="shared" ca="1" si="131"/>
        <v/>
      </c>
      <c r="V181" s="99" t="str">
        <f t="shared" ca="1" si="132"/>
        <v/>
      </c>
      <c r="W181" s="100" t="str">
        <f t="shared" ca="1" si="104"/>
        <v/>
      </c>
      <c r="X181" s="83" t="str">
        <f t="shared" ca="1" si="105"/>
        <v/>
      </c>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5"/>
      <c r="EN181" s="25"/>
      <c r="EO181" s="25"/>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c r="FL181" s="25"/>
      <c r="FM181" s="25"/>
      <c r="FN181" s="25"/>
      <c r="FO181" s="25"/>
      <c r="FP181" s="25"/>
      <c r="FQ181" s="25"/>
      <c r="FR181" s="25"/>
      <c r="FS181" s="25"/>
      <c r="FT181" s="25"/>
      <c r="FU181" s="25"/>
      <c r="FV181" s="25"/>
      <c r="FW181" s="25"/>
      <c r="FX181" s="25"/>
      <c r="FY181" s="25"/>
      <c r="FZ181" s="25"/>
      <c r="GA181" s="25"/>
      <c r="GB181" s="25"/>
      <c r="GC181" s="25"/>
      <c r="GD181" s="25"/>
      <c r="GE181" s="25"/>
      <c r="GF181" s="25"/>
      <c r="GG181" s="25"/>
      <c r="GH181" s="25"/>
      <c r="GI181" s="25"/>
      <c r="GJ181" s="25"/>
      <c r="GK181" s="25"/>
      <c r="GL181" s="25"/>
      <c r="GM181" s="25"/>
      <c r="GN181" s="25"/>
      <c r="GO181" s="25"/>
      <c r="GP181" s="25"/>
      <c r="GQ181" s="25"/>
      <c r="GR181" s="25"/>
      <c r="GS181" s="25"/>
      <c r="GT181" s="25"/>
      <c r="GU181" s="25"/>
      <c r="GV181" s="25"/>
      <c r="GW181" s="25"/>
      <c r="GX181" s="25"/>
      <c r="GY181" s="25"/>
      <c r="GZ181" s="25"/>
      <c r="HA181" s="25"/>
      <c r="HB181" s="25"/>
      <c r="HC181" s="25"/>
      <c r="HD181" s="25"/>
      <c r="HE181" s="25"/>
      <c r="HF181" s="25"/>
      <c r="HG181" s="25"/>
      <c r="HH181" s="25"/>
      <c r="HI181" s="25"/>
      <c r="HJ181" s="25"/>
      <c r="HK181" s="25"/>
      <c r="HL181" s="25"/>
      <c r="HM181" s="25"/>
      <c r="HN181" s="25"/>
      <c r="HO181" s="25"/>
      <c r="HP181" s="25"/>
      <c r="HQ181" s="25"/>
      <c r="HR181" s="25"/>
      <c r="HS181" s="25"/>
      <c r="HT181" s="25"/>
      <c r="HU181" s="25"/>
      <c r="HV181" s="25"/>
      <c r="HW181" s="25"/>
      <c r="HX181" s="25"/>
      <c r="HY181" s="25"/>
      <c r="HZ181" s="25"/>
      <c r="IA181" s="25"/>
      <c r="IB181" s="25"/>
      <c r="IC181" s="25"/>
      <c r="ID181" s="25"/>
      <c r="IE181" s="25"/>
      <c r="IF181" s="25"/>
      <c r="IG181" s="25"/>
      <c r="IH181" s="25"/>
      <c r="II181" s="25"/>
      <c r="IJ181" s="25"/>
      <c r="IK181" s="25"/>
      <c r="IL181" s="25"/>
      <c r="IM181" s="25"/>
      <c r="IN181" s="25"/>
      <c r="IO181" s="25"/>
      <c r="IP181" s="25"/>
      <c r="IQ181" s="25"/>
      <c r="IR181" s="25"/>
      <c r="IS181" s="25"/>
      <c r="IT181" s="25"/>
      <c r="IU181" s="25"/>
      <c r="IV181" s="25"/>
      <c r="IW181" s="25"/>
      <c r="IX181" s="25"/>
      <c r="IY181" s="25"/>
      <c r="IZ181" s="25"/>
      <c r="JA181" s="25"/>
      <c r="JB181" s="25"/>
      <c r="JC181" s="25"/>
      <c r="JD181" s="25"/>
      <c r="JE181" s="25"/>
      <c r="JF181" s="25"/>
      <c r="JG181" s="25"/>
      <c r="JH181" s="25"/>
      <c r="JI181" s="25"/>
      <c r="JJ181" s="25"/>
      <c r="JK181" s="25"/>
      <c r="JL181" s="25"/>
      <c r="JM181" s="25"/>
      <c r="JN181" s="25"/>
    </row>
    <row r="182" spans="2:274" ht="20.25" customHeight="1" x14ac:dyDescent="0.25">
      <c r="B182" s="20"/>
      <c r="F182" s="21"/>
      <c r="G182" s="86" t="str" cm="1">
        <f t="array" aca="1" ref="G182" ca="1">IFERROR(INDEX(Panel_Rates[[1]:[12]],MATCH(Panel_New&amp;Category_New,Panel_Rates[Panel]&amp;Panel_Rates[Category],0),MATCH('Time Plan HY'!E182,OFFSET(Variable!$AF$2,MATCH(Panel_New&amp;Category_New,Panel_Rates[Panel]&amp;Panel_Rates[Category],0)-1,0,1,12),0))/8,"")</f>
        <v/>
      </c>
      <c r="H182" s="92"/>
      <c r="I182" s="88" t="str">
        <f t="shared" ca="1" si="93"/>
        <v/>
      </c>
      <c r="J182" s="89" t="str">
        <f t="shared" ca="1" si="94"/>
        <v/>
      </c>
      <c r="K182" s="90" t="str">
        <f>IFERROR(_xlfn.XLOOKUP(D182,CostTableLookup[Name],CostTableLookup[Gross Cost]),"")</f>
        <v/>
      </c>
      <c r="L182" s="22"/>
      <c r="M182" s="81" t="str">
        <f t="shared" ca="1" si="99"/>
        <v/>
      </c>
      <c r="N182" s="23"/>
      <c r="O182" s="81" t="str">
        <f t="shared" ca="1" si="100"/>
        <v/>
      </c>
      <c r="P182" s="81" t="str">
        <f t="shared" ca="1" si="95"/>
        <v/>
      </c>
      <c r="Q182" s="24" t="str">
        <f t="shared" si="96"/>
        <v/>
      </c>
      <c r="R182" s="110" t="str">
        <f t="shared" ca="1" si="101"/>
        <v/>
      </c>
      <c r="S182" s="114">
        <f t="shared" ref="S182" ca="1" si="162">IFERROR(SUM(OFFSET(Y182,0,MATCH(Forecast_New,$Y$3:$WQ$3,0)-1,1,500))*40,"")</f>
        <v>0</v>
      </c>
      <c r="T182" s="115">
        <f t="shared" ca="1" si="103"/>
        <v>0</v>
      </c>
      <c r="U182" s="116" t="str">
        <f t="shared" ca="1" si="131"/>
        <v/>
      </c>
      <c r="V182" s="99" t="str">
        <f t="shared" ca="1" si="132"/>
        <v/>
      </c>
      <c r="W182" s="100" t="str">
        <f t="shared" ca="1" si="104"/>
        <v/>
      </c>
      <c r="X182" s="83" t="str">
        <f t="shared" ca="1" si="105"/>
        <v/>
      </c>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5"/>
      <c r="EN182" s="25"/>
      <c r="EO182" s="25"/>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c r="FL182" s="25"/>
      <c r="FM182" s="25"/>
      <c r="FN182" s="25"/>
      <c r="FO182" s="25"/>
      <c r="FP182" s="25"/>
      <c r="FQ182" s="25"/>
      <c r="FR182" s="25"/>
      <c r="FS182" s="25"/>
      <c r="FT182" s="25"/>
      <c r="FU182" s="25"/>
      <c r="FV182" s="25"/>
      <c r="FW182" s="25"/>
      <c r="FX182" s="25"/>
      <c r="FY182" s="25"/>
      <c r="FZ182" s="25"/>
      <c r="GA182" s="25"/>
      <c r="GB182" s="25"/>
      <c r="GC182" s="25"/>
      <c r="GD182" s="25"/>
      <c r="GE182" s="25"/>
      <c r="GF182" s="25"/>
      <c r="GG182" s="25"/>
      <c r="GH182" s="25"/>
      <c r="GI182" s="25"/>
      <c r="GJ182" s="25"/>
      <c r="GK182" s="25"/>
      <c r="GL182" s="25"/>
      <c r="GM182" s="25"/>
      <c r="GN182" s="25"/>
      <c r="GO182" s="25"/>
      <c r="GP182" s="25"/>
      <c r="GQ182" s="25"/>
      <c r="GR182" s="25"/>
      <c r="GS182" s="25"/>
      <c r="GT182" s="25"/>
      <c r="GU182" s="25"/>
      <c r="GV182" s="25"/>
      <c r="GW182" s="25"/>
      <c r="GX182" s="25"/>
      <c r="GY182" s="25"/>
      <c r="GZ182" s="25"/>
      <c r="HA182" s="25"/>
      <c r="HB182" s="25"/>
      <c r="HC182" s="25"/>
      <c r="HD182" s="25"/>
      <c r="HE182" s="25"/>
      <c r="HF182" s="25"/>
      <c r="HG182" s="25"/>
      <c r="HH182" s="25"/>
      <c r="HI182" s="25"/>
      <c r="HJ182" s="25"/>
      <c r="HK182" s="25"/>
      <c r="HL182" s="25"/>
      <c r="HM182" s="25"/>
      <c r="HN182" s="25"/>
      <c r="HO182" s="25"/>
      <c r="HP182" s="25"/>
      <c r="HQ182" s="25"/>
      <c r="HR182" s="25"/>
      <c r="HS182" s="25"/>
      <c r="HT182" s="25"/>
      <c r="HU182" s="25"/>
      <c r="HV182" s="25"/>
      <c r="HW182" s="25"/>
      <c r="HX182" s="25"/>
      <c r="HY182" s="25"/>
      <c r="HZ182" s="25"/>
      <c r="IA182" s="25"/>
      <c r="IB182" s="25"/>
      <c r="IC182" s="25"/>
      <c r="ID182" s="25"/>
      <c r="IE182" s="25"/>
      <c r="IF182" s="25"/>
      <c r="IG182" s="25"/>
      <c r="IH182" s="25"/>
      <c r="II182" s="25"/>
      <c r="IJ182" s="25"/>
      <c r="IK182" s="25"/>
      <c r="IL182" s="25"/>
      <c r="IM182" s="25"/>
      <c r="IN182" s="25"/>
      <c r="IO182" s="25"/>
      <c r="IP182" s="25"/>
      <c r="IQ182" s="25"/>
      <c r="IR182" s="25"/>
      <c r="IS182" s="25"/>
      <c r="IT182" s="25"/>
      <c r="IU182" s="25"/>
      <c r="IV182" s="25"/>
      <c r="IW182" s="25"/>
      <c r="IX182" s="25"/>
      <c r="IY182" s="25"/>
      <c r="IZ182" s="25"/>
      <c r="JA182" s="25"/>
      <c r="JB182" s="25"/>
      <c r="JC182" s="25"/>
      <c r="JD182" s="25"/>
      <c r="JE182" s="25"/>
      <c r="JF182" s="25"/>
      <c r="JG182" s="25"/>
      <c r="JH182" s="25"/>
      <c r="JI182" s="25"/>
      <c r="JJ182" s="25"/>
      <c r="JK182" s="25"/>
      <c r="JL182" s="25"/>
      <c r="JM182" s="25"/>
      <c r="JN182" s="25"/>
    </row>
    <row r="183" spans="2:274" ht="20.25" customHeight="1" x14ac:dyDescent="0.25">
      <c r="B183" s="20"/>
      <c r="F183" s="21"/>
      <c r="G183" s="86" t="str" cm="1">
        <f t="array" aca="1" ref="G183" ca="1">IFERROR(INDEX(Panel_Rates[[1]:[12]],MATCH(Panel_New&amp;Category_New,Panel_Rates[Panel]&amp;Panel_Rates[Category],0),MATCH('Time Plan HY'!E183,OFFSET(Variable!$AF$2,MATCH(Panel_New&amp;Category_New,Panel_Rates[Panel]&amp;Panel_Rates[Category],0)-1,0,1,12),0))/8,"")</f>
        <v/>
      </c>
      <c r="H183" s="92"/>
      <c r="I183" s="88" t="str">
        <f t="shared" ca="1" si="93"/>
        <v/>
      </c>
      <c r="J183" s="89" t="str">
        <f t="shared" ca="1" si="94"/>
        <v/>
      </c>
      <c r="K183" s="90" t="str">
        <f>IFERROR(_xlfn.XLOOKUP(D183,CostTableLookup[Name],CostTableLookup[Gross Cost]),"")</f>
        <v/>
      </c>
      <c r="L183" s="22"/>
      <c r="M183" s="81" t="str">
        <f t="shared" ca="1" si="99"/>
        <v/>
      </c>
      <c r="N183" s="23"/>
      <c r="O183" s="81" t="str">
        <f t="shared" ca="1" si="100"/>
        <v/>
      </c>
      <c r="P183" s="81" t="str">
        <f t="shared" ca="1" si="95"/>
        <v/>
      </c>
      <c r="Q183" s="24" t="str">
        <f t="shared" si="96"/>
        <v/>
      </c>
      <c r="R183" s="110" t="str">
        <f t="shared" ca="1" si="101"/>
        <v/>
      </c>
      <c r="S183" s="114">
        <f t="shared" ref="S183" ca="1" si="163">IFERROR(SUM(OFFSET(Y183,0,MATCH(Forecast_New,$Y$3:$WQ$3,0)-1,1,500))*40,"")</f>
        <v>0</v>
      </c>
      <c r="T183" s="115">
        <f t="shared" ca="1" si="103"/>
        <v>0</v>
      </c>
      <c r="U183" s="116" t="str">
        <f t="shared" ca="1" si="131"/>
        <v/>
      </c>
      <c r="V183" s="99" t="str">
        <f t="shared" ca="1" si="132"/>
        <v/>
      </c>
      <c r="W183" s="100" t="str">
        <f t="shared" ca="1" si="104"/>
        <v/>
      </c>
      <c r="X183" s="83" t="str">
        <f t="shared" ca="1" si="105"/>
        <v/>
      </c>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25"/>
      <c r="EJ183" s="25"/>
      <c r="EK183" s="25"/>
      <c r="EL183" s="25"/>
      <c r="EM183" s="25"/>
      <c r="EN183" s="25"/>
      <c r="EO183" s="25"/>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c r="FL183" s="25"/>
      <c r="FM183" s="25"/>
      <c r="FN183" s="25"/>
      <c r="FO183" s="25"/>
      <c r="FP183" s="25"/>
      <c r="FQ183" s="25"/>
      <c r="FR183" s="25"/>
      <c r="FS183" s="25"/>
      <c r="FT183" s="25"/>
      <c r="FU183" s="25"/>
      <c r="FV183" s="25"/>
      <c r="FW183" s="25"/>
      <c r="FX183" s="25"/>
      <c r="FY183" s="25"/>
      <c r="FZ183" s="25"/>
      <c r="GA183" s="25"/>
      <c r="GB183" s="25"/>
      <c r="GC183" s="25"/>
      <c r="GD183" s="25"/>
      <c r="GE183" s="25"/>
      <c r="GF183" s="25"/>
      <c r="GG183" s="25"/>
      <c r="GH183" s="25"/>
      <c r="GI183" s="25"/>
      <c r="GJ183" s="25"/>
      <c r="GK183" s="25"/>
      <c r="GL183" s="25"/>
      <c r="GM183" s="25"/>
      <c r="GN183" s="25"/>
      <c r="GO183" s="25"/>
      <c r="GP183" s="25"/>
      <c r="GQ183" s="25"/>
      <c r="GR183" s="25"/>
      <c r="GS183" s="25"/>
      <c r="GT183" s="25"/>
      <c r="GU183" s="25"/>
      <c r="GV183" s="25"/>
      <c r="GW183" s="25"/>
      <c r="GX183" s="25"/>
      <c r="GY183" s="25"/>
      <c r="GZ183" s="25"/>
      <c r="HA183" s="25"/>
      <c r="HB183" s="25"/>
      <c r="HC183" s="25"/>
      <c r="HD183" s="25"/>
      <c r="HE183" s="25"/>
      <c r="HF183" s="25"/>
      <c r="HG183" s="25"/>
      <c r="HH183" s="25"/>
      <c r="HI183" s="25"/>
      <c r="HJ183" s="25"/>
      <c r="HK183" s="25"/>
      <c r="HL183" s="25"/>
      <c r="HM183" s="25"/>
      <c r="HN183" s="25"/>
      <c r="HO183" s="25"/>
      <c r="HP183" s="25"/>
      <c r="HQ183" s="25"/>
      <c r="HR183" s="25"/>
      <c r="HS183" s="25"/>
      <c r="HT183" s="25"/>
      <c r="HU183" s="25"/>
      <c r="HV183" s="25"/>
      <c r="HW183" s="25"/>
      <c r="HX183" s="25"/>
      <c r="HY183" s="25"/>
      <c r="HZ183" s="25"/>
      <c r="IA183" s="25"/>
      <c r="IB183" s="25"/>
      <c r="IC183" s="25"/>
      <c r="ID183" s="25"/>
      <c r="IE183" s="25"/>
      <c r="IF183" s="25"/>
      <c r="IG183" s="25"/>
      <c r="IH183" s="25"/>
      <c r="II183" s="25"/>
      <c r="IJ183" s="25"/>
      <c r="IK183" s="25"/>
      <c r="IL183" s="25"/>
      <c r="IM183" s="25"/>
      <c r="IN183" s="25"/>
      <c r="IO183" s="25"/>
      <c r="IP183" s="25"/>
      <c r="IQ183" s="25"/>
      <c r="IR183" s="25"/>
      <c r="IS183" s="25"/>
      <c r="IT183" s="25"/>
      <c r="IU183" s="25"/>
      <c r="IV183" s="25"/>
      <c r="IW183" s="25"/>
      <c r="IX183" s="25"/>
      <c r="IY183" s="25"/>
      <c r="IZ183" s="25"/>
      <c r="JA183" s="25"/>
      <c r="JB183" s="25"/>
      <c r="JC183" s="25"/>
      <c r="JD183" s="25"/>
      <c r="JE183" s="25"/>
      <c r="JF183" s="25"/>
      <c r="JG183" s="25"/>
      <c r="JH183" s="25"/>
      <c r="JI183" s="25"/>
      <c r="JJ183" s="25"/>
      <c r="JK183" s="25"/>
      <c r="JL183" s="25"/>
      <c r="JM183" s="25"/>
      <c r="JN183" s="25"/>
    </row>
    <row r="184" spans="2:274" ht="20.25" customHeight="1" x14ac:dyDescent="0.25">
      <c r="B184" s="20"/>
      <c r="F184" s="21"/>
      <c r="G184" s="86" t="str" cm="1">
        <f t="array" aca="1" ref="G184" ca="1">IFERROR(INDEX(Panel_Rates[[1]:[12]],MATCH(Panel_New&amp;Category_New,Panel_Rates[Panel]&amp;Panel_Rates[Category],0),MATCH('Time Plan HY'!E184,OFFSET(Variable!$AF$2,MATCH(Panel_New&amp;Category_New,Panel_Rates[Panel]&amp;Panel_Rates[Category],0)-1,0,1,12),0))/8,"")</f>
        <v/>
      </c>
      <c r="H184" s="92"/>
      <c r="I184" s="88" t="str">
        <f t="shared" ca="1" si="93"/>
        <v/>
      </c>
      <c r="J184" s="89" t="str">
        <f t="shared" ca="1" si="94"/>
        <v/>
      </c>
      <c r="K184" s="90" t="str">
        <f>IFERROR(_xlfn.XLOOKUP(D184,CostTableLookup[Name],CostTableLookup[Gross Cost]),"")</f>
        <v/>
      </c>
      <c r="L184" s="22"/>
      <c r="M184" s="81" t="str">
        <f t="shared" ca="1" si="99"/>
        <v/>
      </c>
      <c r="N184" s="23"/>
      <c r="O184" s="81" t="str">
        <f t="shared" ca="1" si="100"/>
        <v/>
      </c>
      <c r="P184" s="81" t="str">
        <f t="shared" ca="1" si="95"/>
        <v/>
      </c>
      <c r="Q184" s="24" t="str">
        <f t="shared" si="96"/>
        <v/>
      </c>
      <c r="R184" s="110" t="str">
        <f t="shared" ca="1" si="101"/>
        <v/>
      </c>
      <c r="S184" s="114">
        <f t="shared" ref="S184" ca="1" si="164">IFERROR(SUM(OFFSET(Y184,0,MATCH(Forecast_New,$Y$3:$WQ$3,0)-1,1,500))*40,"")</f>
        <v>0</v>
      </c>
      <c r="T184" s="115">
        <f t="shared" ca="1" si="103"/>
        <v>0</v>
      </c>
      <c r="U184" s="116" t="str">
        <f t="shared" ca="1" si="131"/>
        <v/>
      </c>
      <c r="V184" s="99" t="str">
        <f t="shared" ca="1" si="132"/>
        <v/>
      </c>
      <c r="W184" s="100" t="str">
        <f t="shared" ca="1" si="104"/>
        <v/>
      </c>
      <c r="X184" s="83" t="str">
        <f t="shared" ca="1" si="105"/>
        <v/>
      </c>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25"/>
      <c r="EJ184" s="25"/>
      <c r="EK184" s="25"/>
      <c r="EL184" s="25"/>
      <c r="EM184" s="25"/>
      <c r="EN184" s="25"/>
      <c r="EO184" s="25"/>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c r="FL184" s="25"/>
      <c r="FM184" s="25"/>
      <c r="FN184" s="25"/>
      <c r="FO184" s="25"/>
      <c r="FP184" s="25"/>
      <c r="FQ184" s="25"/>
      <c r="FR184" s="25"/>
      <c r="FS184" s="25"/>
      <c r="FT184" s="25"/>
      <c r="FU184" s="25"/>
      <c r="FV184" s="25"/>
      <c r="FW184" s="25"/>
      <c r="FX184" s="25"/>
      <c r="FY184" s="25"/>
      <c r="FZ184" s="25"/>
      <c r="GA184" s="25"/>
      <c r="GB184" s="25"/>
      <c r="GC184" s="25"/>
      <c r="GD184" s="25"/>
      <c r="GE184" s="25"/>
      <c r="GF184" s="25"/>
      <c r="GG184" s="25"/>
      <c r="GH184" s="25"/>
      <c r="GI184" s="25"/>
      <c r="GJ184" s="25"/>
      <c r="GK184" s="25"/>
      <c r="GL184" s="25"/>
      <c r="GM184" s="25"/>
      <c r="GN184" s="25"/>
      <c r="GO184" s="25"/>
      <c r="GP184" s="25"/>
      <c r="GQ184" s="25"/>
      <c r="GR184" s="25"/>
      <c r="GS184" s="25"/>
      <c r="GT184" s="25"/>
      <c r="GU184" s="25"/>
      <c r="GV184" s="25"/>
      <c r="GW184" s="25"/>
      <c r="GX184" s="25"/>
      <c r="GY184" s="25"/>
      <c r="GZ184" s="25"/>
      <c r="HA184" s="25"/>
      <c r="HB184" s="25"/>
      <c r="HC184" s="25"/>
      <c r="HD184" s="25"/>
      <c r="HE184" s="25"/>
      <c r="HF184" s="25"/>
      <c r="HG184" s="25"/>
      <c r="HH184" s="25"/>
      <c r="HI184" s="25"/>
      <c r="HJ184" s="25"/>
      <c r="HK184" s="25"/>
      <c r="HL184" s="25"/>
      <c r="HM184" s="25"/>
      <c r="HN184" s="25"/>
      <c r="HO184" s="25"/>
      <c r="HP184" s="25"/>
      <c r="HQ184" s="25"/>
      <c r="HR184" s="25"/>
      <c r="HS184" s="25"/>
      <c r="HT184" s="25"/>
      <c r="HU184" s="25"/>
      <c r="HV184" s="25"/>
      <c r="HW184" s="25"/>
      <c r="HX184" s="25"/>
      <c r="HY184" s="25"/>
      <c r="HZ184" s="25"/>
      <c r="IA184" s="25"/>
      <c r="IB184" s="25"/>
      <c r="IC184" s="25"/>
      <c r="ID184" s="25"/>
      <c r="IE184" s="25"/>
      <c r="IF184" s="25"/>
      <c r="IG184" s="25"/>
      <c r="IH184" s="25"/>
      <c r="II184" s="25"/>
      <c r="IJ184" s="25"/>
      <c r="IK184" s="25"/>
      <c r="IL184" s="25"/>
      <c r="IM184" s="25"/>
      <c r="IN184" s="25"/>
      <c r="IO184" s="25"/>
      <c r="IP184" s="25"/>
      <c r="IQ184" s="25"/>
      <c r="IR184" s="25"/>
      <c r="IS184" s="25"/>
      <c r="IT184" s="25"/>
      <c r="IU184" s="25"/>
      <c r="IV184" s="25"/>
      <c r="IW184" s="25"/>
      <c r="IX184" s="25"/>
      <c r="IY184" s="25"/>
      <c r="IZ184" s="25"/>
      <c r="JA184" s="25"/>
      <c r="JB184" s="25"/>
      <c r="JC184" s="25"/>
      <c r="JD184" s="25"/>
      <c r="JE184" s="25"/>
      <c r="JF184" s="25"/>
      <c r="JG184" s="25"/>
      <c r="JH184" s="25"/>
      <c r="JI184" s="25"/>
      <c r="JJ184" s="25"/>
      <c r="JK184" s="25"/>
      <c r="JL184" s="25"/>
      <c r="JM184" s="25"/>
      <c r="JN184" s="25"/>
    </row>
    <row r="185" spans="2:274" ht="20.25" customHeight="1" x14ac:dyDescent="0.25">
      <c r="B185" s="20"/>
      <c r="F185" s="21"/>
      <c r="G185" s="86" t="str" cm="1">
        <f t="array" aca="1" ref="G185" ca="1">IFERROR(INDEX(Panel_Rates[[1]:[12]],MATCH(Panel_New&amp;Category_New,Panel_Rates[Panel]&amp;Panel_Rates[Category],0),MATCH('Time Plan HY'!E185,OFFSET(Variable!$AF$2,MATCH(Panel_New&amp;Category_New,Panel_Rates[Panel]&amp;Panel_Rates[Category],0)-1,0,1,12),0))/8,"")</f>
        <v/>
      </c>
      <c r="H185" s="92"/>
      <c r="I185" s="88" t="str">
        <f t="shared" ca="1" si="93"/>
        <v/>
      </c>
      <c r="J185" s="89" t="str">
        <f t="shared" ca="1" si="94"/>
        <v/>
      </c>
      <c r="K185" s="90" t="str">
        <f>IFERROR(_xlfn.XLOOKUP(D185,CostTableLookup[Name],CostTableLookup[Gross Cost]),"")</f>
        <v/>
      </c>
      <c r="L185" s="22"/>
      <c r="M185" s="81" t="str">
        <f t="shared" ca="1" si="99"/>
        <v/>
      </c>
      <c r="N185" s="23"/>
      <c r="O185" s="81" t="str">
        <f t="shared" ca="1" si="100"/>
        <v/>
      </c>
      <c r="P185" s="81" t="str">
        <f t="shared" ca="1" si="95"/>
        <v/>
      </c>
      <c r="Q185" s="24" t="str">
        <f t="shared" si="96"/>
        <v/>
      </c>
      <c r="R185" s="110" t="str">
        <f t="shared" ca="1" si="101"/>
        <v/>
      </c>
      <c r="S185" s="114">
        <f t="shared" ref="S185" ca="1" si="165">IFERROR(SUM(OFFSET(Y185,0,MATCH(Forecast_New,$Y$3:$WQ$3,0)-1,1,500))*40,"")</f>
        <v>0</v>
      </c>
      <c r="T185" s="115">
        <f t="shared" ca="1" si="103"/>
        <v>0</v>
      </c>
      <c r="U185" s="116" t="str">
        <f t="shared" ca="1" si="131"/>
        <v/>
      </c>
      <c r="V185" s="99" t="str">
        <f t="shared" ca="1" si="132"/>
        <v/>
      </c>
      <c r="W185" s="100" t="str">
        <f t="shared" ca="1" si="104"/>
        <v/>
      </c>
      <c r="X185" s="83" t="str">
        <f t="shared" ca="1" si="105"/>
        <v/>
      </c>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25"/>
      <c r="EJ185" s="25"/>
      <c r="EK185" s="25"/>
      <c r="EL185" s="25"/>
      <c r="EM185" s="25"/>
      <c r="EN185" s="25"/>
      <c r="EO185" s="25"/>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c r="FL185" s="25"/>
      <c r="FM185" s="25"/>
      <c r="FN185" s="25"/>
      <c r="FO185" s="25"/>
      <c r="FP185" s="25"/>
      <c r="FQ185" s="25"/>
      <c r="FR185" s="25"/>
      <c r="FS185" s="25"/>
      <c r="FT185" s="25"/>
      <c r="FU185" s="25"/>
      <c r="FV185" s="25"/>
      <c r="FW185" s="25"/>
      <c r="FX185" s="25"/>
      <c r="FY185" s="25"/>
      <c r="FZ185" s="25"/>
      <c r="GA185" s="25"/>
      <c r="GB185" s="25"/>
      <c r="GC185" s="25"/>
      <c r="GD185" s="25"/>
      <c r="GE185" s="25"/>
      <c r="GF185" s="25"/>
      <c r="GG185" s="25"/>
      <c r="GH185" s="25"/>
      <c r="GI185" s="25"/>
      <c r="GJ185" s="25"/>
      <c r="GK185" s="25"/>
      <c r="GL185" s="25"/>
      <c r="GM185" s="25"/>
      <c r="GN185" s="25"/>
      <c r="GO185" s="25"/>
      <c r="GP185" s="25"/>
      <c r="GQ185" s="25"/>
      <c r="GR185" s="25"/>
      <c r="GS185" s="25"/>
      <c r="GT185" s="25"/>
      <c r="GU185" s="25"/>
      <c r="GV185" s="25"/>
      <c r="GW185" s="25"/>
      <c r="GX185" s="25"/>
      <c r="GY185" s="25"/>
      <c r="GZ185" s="25"/>
      <c r="HA185" s="25"/>
      <c r="HB185" s="25"/>
      <c r="HC185" s="25"/>
      <c r="HD185" s="25"/>
      <c r="HE185" s="25"/>
      <c r="HF185" s="25"/>
      <c r="HG185" s="25"/>
      <c r="HH185" s="25"/>
      <c r="HI185" s="25"/>
      <c r="HJ185" s="25"/>
      <c r="HK185" s="25"/>
      <c r="HL185" s="25"/>
      <c r="HM185" s="25"/>
      <c r="HN185" s="25"/>
      <c r="HO185" s="25"/>
      <c r="HP185" s="25"/>
      <c r="HQ185" s="25"/>
      <c r="HR185" s="25"/>
      <c r="HS185" s="25"/>
      <c r="HT185" s="25"/>
      <c r="HU185" s="25"/>
      <c r="HV185" s="25"/>
      <c r="HW185" s="25"/>
      <c r="HX185" s="25"/>
      <c r="HY185" s="25"/>
      <c r="HZ185" s="25"/>
      <c r="IA185" s="25"/>
      <c r="IB185" s="25"/>
      <c r="IC185" s="25"/>
      <c r="ID185" s="25"/>
      <c r="IE185" s="25"/>
      <c r="IF185" s="25"/>
      <c r="IG185" s="25"/>
      <c r="IH185" s="25"/>
      <c r="II185" s="25"/>
      <c r="IJ185" s="25"/>
      <c r="IK185" s="25"/>
      <c r="IL185" s="25"/>
      <c r="IM185" s="25"/>
      <c r="IN185" s="25"/>
      <c r="IO185" s="25"/>
      <c r="IP185" s="25"/>
      <c r="IQ185" s="25"/>
      <c r="IR185" s="25"/>
      <c r="IS185" s="25"/>
      <c r="IT185" s="25"/>
      <c r="IU185" s="25"/>
      <c r="IV185" s="25"/>
      <c r="IW185" s="25"/>
      <c r="IX185" s="25"/>
      <c r="IY185" s="25"/>
      <c r="IZ185" s="25"/>
      <c r="JA185" s="25"/>
      <c r="JB185" s="25"/>
      <c r="JC185" s="25"/>
      <c r="JD185" s="25"/>
      <c r="JE185" s="25"/>
      <c r="JF185" s="25"/>
      <c r="JG185" s="25"/>
      <c r="JH185" s="25"/>
      <c r="JI185" s="25"/>
      <c r="JJ185" s="25"/>
      <c r="JK185" s="25"/>
      <c r="JL185" s="25"/>
      <c r="JM185" s="25"/>
      <c r="JN185" s="25"/>
    </row>
    <row r="186" spans="2:274" ht="20.25" customHeight="1" x14ac:dyDescent="0.25">
      <c r="B186" s="20"/>
      <c r="F186" s="21"/>
      <c r="G186" s="86" t="str" cm="1">
        <f t="array" aca="1" ref="G186" ca="1">IFERROR(INDEX(Panel_Rates[[1]:[12]],MATCH(Panel_New&amp;Category_New,Panel_Rates[Panel]&amp;Panel_Rates[Category],0),MATCH('Time Plan HY'!E186,OFFSET(Variable!$AF$2,MATCH(Panel_New&amp;Category_New,Panel_Rates[Panel]&amp;Panel_Rates[Category],0)-1,0,1,12),0))/8,"")</f>
        <v/>
      </c>
      <c r="H186" s="92"/>
      <c r="I186" s="88" t="str">
        <f t="shared" ca="1" si="93"/>
        <v/>
      </c>
      <c r="J186" s="89" t="str">
        <f t="shared" ca="1" si="94"/>
        <v/>
      </c>
      <c r="K186" s="90" t="str">
        <f>IFERROR(_xlfn.XLOOKUP(D186,CostTableLookup[Name],CostTableLookup[Gross Cost]),"")</f>
        <v/>
      </c>
      <c r="L186" s="22"/>
      <c r="M186" s="81" t="str">
        <f t="shared" ca="1" si="99"/>
        <v/>
      </c>
      <c r="N186" s="23"/>
      <c r="O186" s="81" t="str">
        <f t="shared" ca="1" si="100"/>
        <v/>
      </c>
      <c r="P186" s="81" t="str">
        <f t="shared" ca="1" si="95"/>
        <v/>
      </c>
      <c r="Q186" s="24" t="str">
        <f t="shared" si="96"/>
        <v/>
      </c>
      <c r="R186" s="110" t="str">
        <f t="shared" ca="1" si="101"/>
        <v/>
      </c>
      <c r="S186" s="114">
        <f t="shared" ref="S186" ca="1" si="166">IFERROR(SUM(OFFSET(Y186,0,MATCH(Forecast_New,$Y$3:$WQ$3,0)-1,1,500))*40,"")</f>
        <v>0</v>
      </c>
      <c r="T186" s="115">
        <f t="shared" ca="1" si="103"/>
        <v>0</v>
      </c>
      <c r="U186" s="116" t="str">
        <f t="shared" ca="1" si="131"/>
        <v/>
      </c>
      <c r="V186" s="99" t="str">
        <f t="shared" ca="1" si="132"/>
        <v/>
      </c>
      <c r="W186" s="100" t="str">
        <f t="shared" ca="1" si="104"/>
        <v/>
      </c>
      <c r="X186" s="83" t="str">
        <f t="shared" ca="1" si="105"/>
        <v/>
      </c>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25"/>
      <c r="EJ186" s="25"/>
      <c r="EK186" s="25"/>
      <c r="EL186" s="25"/>
      <c r="EM186" s="25"/>
      <c r="EN186" s="25"/>
      <c r="EO186" s="25"/>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c r="FL186" s="25"/>
      <c r="FM186" s="25"/>
      <c r="FN186" s="25"/>
      <c r="FO186" s="25"/>
      <c r="FP186" s="25"/>
      <c r="FQ186" s="25"/>
      <c r="FR186" s="25"/>
      <c r="FS186" s="25"/>
      <c r="FT186" s="25"/>
      <c r="FU186" s="25"/>
      <c r="FV186" s="25"/>
      <c r="FW186" s="25"/>
      <c r="FX186" s="25"/>
      <c r="FY186" s="25"/>
      <c r="FZ186" s="25"/>
      <c r="GA186" s="25"/>
      <c r="GB186" s="25"/>
      <c r="GC186" s="25"/>
      <c r="GD186" s="25"/>
      <c r="GE186" s="25"/>
      <c r="GF186" s="25"/>
      <c r="GG186" s="25"/>
      <c r="GH186" s="25"/>
      <c r="GI186" s="25"/>
      <c r="GJ186" s="25"/>
      <c r="GK186" s="25"/>
      <c r="GL186" s="25"/>
      <c r="GM186" s="25"/>
      <c r="GN186" s="25"/>
      <c r="GO186" s="25"/>
      <c r="GP186" s="25"/>
      <c r="GQ186" s="25"/>
      <c r="GR186" s="25"/>
      <c r="GS186" s="25"/>
      <c r="GT186" s="25"/>
      <c r="GU186" s="25"/>
      <c r="GV186" s="25"/>
      <c r="GW186" s="25"/>
      <c r="GX186" s="25"/>
      <c r="GY186" s="25"/>
      <c r="GZ186" s="25"/>
      <c r="HA186" s="25"/>
      <c r="HB186" s="25"/>
      <c r="HC186" s="25"/>
      <c r="HD186" s="25"/>
      <c r="HE186" s="25"/>
      <c r="HF186" s="25"/>
      <c r="HG186" s="25"/>
      <c r="HH186" s="25"/>
      <c r="HI186" s="25"/>
      <c r="HJ186" s="25"/>
      <c r="HK186" s="25"/>
      <c r="HL186" s="25"/>
      <c r="HM186" s="25"/>
      <c r="HN186" s="25"/>
      <c r="HO186" s="25"/>
      <c r="HP186" s="25"/>
      <c r="HQ186" s="25"/>
      <c r="HR186" s="25"/>
      <c r="HS186" s="25"/>
      <c r="HT186" s="25"/>
      <c r="HU186" s="25"/>
      <c r="HV186" s="25"/>
      <c r="HW186" s="25"/>
      <c r="HX186" s="25"/>
      <c r="HY186" s="25"/>
      <c r="HZ186" s="25"/>
      <c r="IA186" s="25"/>
      <c r="IB186" s="25"/>
      <c r="IC186" s="25"/>
      <c r="ID186" s="25"/>
      <c r="IE186" s="25"/>
      <c r="IF186" s="25"/>
      <c r="IG186" s="25"/>
      <c r="IH186" s="25"/>
      <c r="II186" s="25"/>
      <c r="IJ186" s="25"/>
      <c r="IK186" s="25"/>
      <c r="IL186" s="25"/>
      <c r="IM186" s="25"/>
      <c r="IN186" s="25"/>
      <c r="IO186" s="25"/>
      <c r="IP186" s="25"/>
      <c r="IQ186" s="25"/>
      <c r="IR186" s="25"/>
      <c r="IS186" s="25"/>
      <c r="IT186" s="25"/>
      <c r="IU186" s="25"/>
      <c r="IV186" s="25"/>
      <c r="IW186" s="25"/>
      <c r="IX186" s="25"/>
      <c r="IY186" s="25"/>
      <c r="IZ186" s="25"/>
      <c r="JA186" s="25"/>
      <c r="JB186" s="25"/>
      <c r="JC186" s="25"/>
      <c r="JD186" s="25"/>
      <c r="JE186" s="25"/>
      <c r="JF186" s="25"/>
      <c r="JG186" s="25"/>
      <c r="JH186" s="25"/>
      <c r="JI186" s="25"/>
      <c r="JJ186" s="25"/>
      <c r="JK186" s="25"/>
      <c r="JL186" s="25"/>
      <c r="JM186" s="25"/>
      <c r="JN186" s="25"/>
    </row>
    <row r="187" spans="2:274" ht="20.25" customHeight="1" x14ac:dyDescent="0.25">
      <c r="B187" s="20"/>
      <c r="F187" s="21"/>
      <c r="G187" s="86" t="str" cm="1">
        <f t="array" aca="1" ref="G187" ca="1">IFERROR(INDEX(Panel_Rates[[1]:[12]],MATCH(Panel_New&amp;Category_New,Panel_Rates[Panel]&amp;Panel_Rates[Category],0),MATCH('Time Plan HY'!E187,OFFSET(Variable!$AF$2,MATCH(Panel_New&amp;Category_New,Panel_Rates[Panel]&amp;Panel_Rates[Category],0)-1,0,1,12),0))/8,"")</f>
        <v/>
      </c>
      <c r="H187" s="92"/>
      <c r="I187" s="88" t="str">
        <f t="shared" ca="1" si="93"/>
        <v/>
      </c>
      <c r="J187" s="89" t="str">
        <f t="shared" ca="1" si="94"/>
        <v/>
      </c>
      <c r="K187" s="90" t="str">
        <f>IFERROR(_xlfn.XLOOKUP(D187,CostTableLookup[Name],CostTableLookup[Gross Cost]),"")</f>
        <v/>
      </c>
      <c r="L187" s="22"/>
      <c r="M187" s="81" t="str">
        <f t="shared" ca="1" si="99"/>
        <v/>
      </c>
      <c r="N187" s="23"/>
      <c r="O187" s="81" t="str">
        <f t="shared" ca="1" si="100"/>
        <v/>
      </c>
      <c r="P187" s="81" t="str">
        <f t="shared" ca="1" si="95"/>
        <v/>
      </c>
      <c r="Q187" s="24" t="str">
        <f t="shared" si="96"/>
        <v/>
      </c>
      <c r="R187" s="110" t="str">
        <f t="shared" ca="1" si="101"/>
        <v/>
      </c>
      <c r="S187" s="114">
        <f t="shared" ref="S187" ca="1" si="167">IFERROR(SUM(OFFSET(Y187,0,MATCH(Forecast_New,$Y$3:$WQ$3,0)-1,1,500))*40,"")</f>
        <v>0</v>
      </c>
      <c r="T187" s="115">
        <f t="shared" ca="1" si="103"/>
        <v>0</v>
      </c>
      <c r="U187" s="116" t="str">
        <f t="shared" ca="1" si="131"/>
        <v/>
      </c>
      <c r="V187" s="99" t="str">
        <f t="shared" ca="1" si="132"/>
        <v/>
      </c>
      <c r="W187" s="100" t="str">
        <f t="shared" ca="1" si="104"/>
        <v/>
      </c>
      <c r="X187" s="83" t="str">
        <f t="shared" ca="1" si="105"/>
        <v/>
      </c>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25"/>
      <c r="EJ187" s="25"/>
      <c r="EK187" s="25"/>
      <c r="EL187" s="25"/>
      <c r="EM187" s="25"/>
      <c r="EN187" s="25"/>
      <c r="EO187" s="25"/>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c r="FL187" s="25"/>
      <c r="FM187" s="25"/>
      <c r="FN187" s="25"/>
      <c r="FO187" s="25"/>
      <c r="FP187" s="25"/>
      <c r="FQ187" s="25"/>
      <c r="FR187" s="25"/>
      <c r="FS187" s="25"/>
      <c r="FT187" s="25"/>
      <c r="FU187" s="25"/>
      <c r="FV187" s="25"/>
      <c r="FW187" s="25"/>
      <c r="FX187" s="25"/>
      <c r="FY187" s="25"/>
      <c r="FZ187" s="25"/>
      <c r="GA187" s="25"/>
      <c r="GB187" s="25"/>
      <c r="GC187" s="25"/>
      <c r="GD187" s="25"/>
      <c r="GE187" s="25"/>
      <c r="GF187" s="25"/>
      <c r="GG187" s="25"/>
      <c r="GH187" s="25"/>
      <c r="GI187" s="25"/>
      <c r="GJ187" s="25"/>
      <c r="GK187" s="25"/>
      <c r="GL187" s="25"/>
      <c r="GM187" s="25"/>
      <c r="GN187" s="25"/>
      <c r="GO187" s="25"/>
      <c r="GP187" s="25"/>
      <c r="GQ187" s="25"/>
      <c r="GR187" s="25"/>
      <c r="GS187" s="25"/>
      <c r="GT187" s="25"/>
      <c r="GU187" s="25"/>
      <c r="GV187" s="25"/>
      <c r="GW187" s="25"/>
      <c r="GX187" s="25"/>
      <c r="GY187" s="25"/>
      <c r="GZ187" s="25"/>
      <c r="HA187" s="25"/>
      <c r="HB187" s="25"/>
      <c r="HC187" s="25"/>
      <c r="HD187" s="25"/>
      <c r="HE187" s="25"/>
      <c r="HF187" s="25"/>
      <c r="HG187" s="25"/>
      <c r="HH187" s="25"/>
      <c r="HI187" s="25"/>
      <c r="HJ187" s="25"/>
      <c r="HK187" s="25"/>
      <c r="HL187" s="25"/>
      <c r="HM187" s="25"/>
      <c r="HN187" s="25"/>
      <c r="HO187" s="25"/>
      <c r="HP187" s="25"/>
      <c r="HQ187" s="25"/>
      <c r="HR187" s="25"/>
      <c r="HS187" s="25"/>
      <c r="HT187" s="25"/>
      <c r="HU187" s="25"/>
      <c r="HV187" s="25"/>
      <c r="HW187" s="25"/>
      <c r="HX187" s="25"/>
      <c r="HY187" s="25"/>
      <c r="HZ187" s="25"/>
      <c r="IA187" s="25"/>
      <c r="IB187" s="25"/>
      <c r="IC187" s="25"/>
      <c r="ID187" s="25"/>
      <c r="IE187" s="25"/>
      <c r="IF187" s="25"/>
      <c r="IG187" s="25"/>
      <c r="IH187" s="25"/>
      <c r="II187" s="25"/>
      <c r="IJ187" s="25"/>
      <c r="IK187" s="25"/>
      <c r="IL187" s="25"/>
      <c r="IM187" s="25"/>
      <c r="IN187" s="25"/>
      <c r="IO187" s="25"/>
      <c r="IP187" s="25"/>
      <c r="IQ187" s="25"/>
      <c r="IR187" s="25"/>
      <c r="IS187" s="25"/>
      <c r="IT187" s="25"/>
      <c r="IU187" s="25"/>
      <c r="IV187" s="25"/>
      <c r="IW187" s="25"/>
      <c r="IX187" s="25"/>
      <c r="IY187" s="25"/>
      <c r="IZ187" s="25"/>
      <c r="JA187" s="25"/>
      <c r="JB187" s="25"/>
      <c r="JC187" s="25"/>
      <c r="JD187" s="25"/>
      <c r="JE187" s="25"/>
      <c r="JF187" s="25"/>
      <c r="JG187" s="25"/>
      <c r="JH187" s="25"/>
      <c r="JI187" s="25"/>
      <c r="JJ187" s="25"/>
      <c r="JK187" s="25"/>
      <c r="JL187" s="25"/>
      <c r="JM187" s="25"/>
      <c r="JN187" s="25"/>
    </row>
    <row r="188" spans="2:274" ht="20.25" customHeight="1" x14ac:dyDescent="0.25">
      <c r="B188" s="20"/>
      <c r="F188" s="21"/>
      <c r="G188" s="86" t="str" cm="1">
        <f t="array" aca="1" ref="G188" ca="1">IFERROR(INDEX(Panel_Rates[[1]:[12]],MATCH(Panel_New&amp;Category_New,Panel_Rates[Panel]&amp;Panel_Rates[Category],0),MATCH('Time Plan HY'!E188,OFFSET(Variable!$AF$2,MATCH(Panel_New&amp;Category_New,Panel_Rates[Panel]&amp;Panel_Rates[Category],0)-1,0,1,12),0))/8,"")</f>
        <v/>
      </c>
      <c r="H188" s="92"/>
      <c r="I188" s="88" t="str">
        <f t="shared" ca="1" si="93"/>
        <v/>
      </c>
      <c r="J188" s="89" t="str">
        <f t="shared" ca="1" si="94"/>
        <v/>
      </c>
      <c r="K188" s="90" t="str">
        <f>IFERROR(_xlfn.XLOOKUP(D188,CostTableLookup[Name],CostTableLookup[Gross Cost]),"")</f>
        <v/>
      </c>
      <c r="L188" s="22"/>
      <c r="M188" s="81" t="str">
        <f t="shared" ca="1" si="99"/>
        <v/>
      </c>
      <c r="N188" s="23"/>
      <c r="O188" s="81" t="str">
        <f t="shared" ca="1" si="100"/>
        <v/>
      </c>
      <c r="P188" s="81" t="str">
        <f t="shared" ca="1" si="95"/>
        <v/>
      </c>
      <c r="Q188" s="24" t="str">
        <f t="shared" si="96"/>
        <v/>
      </c>
      <c r="R188" s="110" t="str">
        <f t="shared" ca="1" si="101"/>
        <v/>
      </c>
      <c r="S188" s="114">
        <f t="shared" ref="S188" ca="1" si="168">IFERROR(SUM(OFFSET(Y188,0,MATCH(Forecast_New,$Y$3:$WQ$3,0)-1,1,500))*40,"")</f>
        <v>0</v>
      </c>
      <c r="T188" s="115">
        <f t="shared" ca="1" si="103"/>
        <v>0</v>
      </c>
      <c r="U188" s="116" t="str">
        <f t="shared" ca="1" si="131"/>
        <v/>
      </c>
      <c r="V188" s="99" t="str">
        <f t="shared" ca="1" si="132"/>
        <v/>
      </c>
      <c r="W188" s="100" t="str">
        <f t="shared" ca="1" si="104"/>
        <v/>
      </c>
      <c r="X188" s="83" t="str">
        <f t="shared" ca="1" si="105"/>
        <v/>
      </c>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c r="GG188" s="25"/>
      <c r="GH188" s="25"/>
      <c r="GI188" s="25"/>
      <c r="GJ188" s="25"/>
      <c r="GK188" s="25"/>
      <c r="GL188" s="25"/>
      <c r="GM188" s="25"/>
      <c r="GN188" s="25"/>
      <c r="GO188" s="25"/>
      <c r="GP188" s="25"/>
      <c r="GQ188" s="25"/>
      <c r="GR188" s="25"/>
      <c r="GS188" s="25"/>
      <c r="GT188" s="25"/>
      <c r="GU188" s="25"/>
      <c r="GV188" s="25"/>
      <c r="GW188" s="25"/>
      <c r="GX188" s="25"/>
      <c r="GY188" s="25"/>
      <c r="GZ188" s="25"/>
      <c r="HA188" s="25"/>
      <c r="HB188" s="25"/>
      <c r="HC188" s="25"/>
      <c r="HD188" s="25"/>
      <c r="HE188" s="25"/>
      <c r="HF188" s="25"/>
      <c r="HG188" s="25"/>
      <c r="HH188" s="25"/>
      <c r="HI188" s="25"/>
      <c r="HJ188" s="25"/>
      <c r="HK188" s="25"/>
      <c r="HL188" s="25"/>
      <c r="HM188" s="25"/>
      <c r="HN188" s="25"/>
      <c r="HO188" s="25"/>
      <c r="HP188" s="25"/>
      <c r="HQ188" s="25"/>
      <c r="HR188" s="25"/>
      <c r="HS188" s="25"/>
      <c r="HT188" s="25"/>
      <c r="HU188" s="25"/>
      <c r="HV188" s="25"/>
      <c r="HW188" s="25"/>
      <c r="HX188" s="25"/>
      <c r="HY188" s="25"/>
      <c r="HZ188" s="25"/>
      <c r="IA188" s="25"/>
      <c r="IB188" s="25"/>
      <c r="IC188" s="25"/>
      <c r="ID188" s="25"/>
      <c r="IE188" s="25"/>
      <c r="IF188" s="25"/>
      <c r="IG188" s="25"/>
      <c r="IH188" s="25"/>
      <c r="II188" s="25"/>
      <c r="IJ188" s="25"/>
      <c r="IK188" s="25"/>
      <c r="IL188" s="25"/>
      <c r="IM188" s="25"/>
      <c r="IN188" s="25"/>
      <c r="IO188" s="25"/>
      <c r="IP188" s="25"/>
      <c r="IQ188" s="25"/>
      <c r="IR188" s="25"/>
      <c r="IS188" s="25"/>
      <c r="IT188" s="25"/>
      <c r="IU188" s="25"/>
      <c r="IV188" s="25"/>
      <c r="IW188" s="25"/>
      <c r="IX188" s="25"/>
      <c r="IY188" s="25"/>
      <c r="IZ188" s="25"/>
      <c r="JA188" s="25"/>
      <c r="JB188" s="25"/>
      <c r="JC188" s="25"/>
      <c r="JD188" s="25"/>
      <c r="JE188" s="25"/>
      <c r="JF188" s="25"/>
      <c r="JG188" s="25"/>
      <c r="JH188" s="25"/>
      <c r="JI188" s="25"/>
      <c r="JJ188" s="25"/>
      <c r="JK188" s="25"/>
      <c r="JL188" s="25"/>
      <c r="JM188" s="25"/>
      <c r="JN188" s="25"/>
    </row>
    <row r="189" spans="2:274" ht="20.25" customHeight="1" x14ac:dyDescent="0.25">
      <c r="B189" s="20"/>
      <c r="F189" s="21"/>
      <c r="G189" s="86" t="str" cm="1">
        <f t="array" aca="1" ref="G189" ca="1">IFERROR(INDEX(Panel_Rates[[1]:[12]],MATCH(Panel_New&amp;Category_New,Panel_Rates[Panel]&amp;Panel_Rates[Category],0),MATCH('Time Plan HY'!E189,OFFSET(Variable!$AF$2,MATCH(Panel_New&amp;Category_New,Panel_Rates[Panel]&amp;Panel_Rates[Category],0)-1,0,1,12),0))/8,"")</f>
        <v/>
      </c>
      <c r="H189" s="92"/>
      <c r="I189" s="88" t="str">
        <f t="shared" ref="I189:I221" ca="1" si="169">IFERROR(G189*(1-H189),"")</f>
        <v/>
      </c>
      <c r="J189" s="89" t="str">
        <f t="shared" ref="J189:J221" ca="1" si="170">IFERROR(G189*8,"")</f>
        <v/>
      </c>
      <c r="K189" s="90" t="str">
        <f>IFERROR(_xlfn.XLOOKUP(D189,CostTableLookup[Name],CostTableLookup[Gross Cost]),"")</f>
        <v/>
      </c>
      <c r="L189" s="22"/>
      <c r="M189" s="81" t="str">
        <f t="shared" ca="1" si="99"/>
        <v/>
      </c>
      <c r="N189" s="23"/>
      <c r="O189" s="81" t="str">
        <f t="shared" ca="1" si="100"/>
        <v/>
      </c>
      <c r="P189" s="81" t="str">
        <f t="shared" ref="P189:P221" ca="1" si="171">IFERROR(M189-O189,"")</f>
        <v/>
      </c>
      <c r="Q189" s="24" t="str">
        <f t="shared" ref="Q189:Q221" si="172">IFERROR(N189*K189,"")</f>
        <v/>
      </c>
      <c r="R189" s="110" t="str">
        <f t="shared" ca="1" si="101"/>
        <v/>
      </c>
      <c r="S189" s="114">
        <f t="shared" ref="S189" ca="1" si="173">IFERROR(SUM(OFFSET(Y189,0,MATCH(Forecast_New,$Y$3:$WQ$3,0)-1,1,500))*40,"")</f>
        <v>0</v>
      </c>
      <c r="T189" s="115">
        <f t="shared" ca="1" si="103"/>
        <v>0</v>
      </c>
      <c r="U189" s="116" t="str">
        <f t="shared" ca="1" si="131"/>
        <v/>
      </c>
      <c r="V189" s="99" t="str">
        <f t="shared" ca="1" si="132"/>
        <v/>
      </c>
      <c r="W189" s="100" t="str">
        <f t="shared" ca="1" si="104"/>
        <v/>
      </c>
      <c r="X189" s="83" t="str">
        <f t="shared" ca="1" si="105"/>
        <v/>
      </c>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5"/>
      <c r="EN189" s="25"/>
      <c r="EO189" s="25"/>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c r="FL189" s="25"/>
      <c r="FM189" s="25"/>
      <c r="FN189" s="25"/>
      <c r="FO189" s="25"/>
      <c r="FP189" s="25"/>
      <c r="FQ189" s="25"/>
      <c r="FR189" s="25"/>
      <c r="FS189" s="25"/>
      <c r="FT189" s="25"/>
      <c r="FU189" s="25"/>
      <c r="FV189" s="25"/>
      <c r="FW189" s="25"/>
      <c r="FX189" s="25"/>
      <c r="FY189" s="25"/>
      <c r="FZ189" s="25"/>
      <c r="GA189" s="25"/>
      <c r="GB189" s="25"/>
      <c r="GC189" s="25"/>
      <c r="GD189" s="25"/>
      <c r="GE189" s="25"/>
      <c r="GF189" s="25"/>
      <c r="GG189" s="25"/>
      <c r="GH189" s="25"/>
      <c r="GI189" s="25"/>
      <c r="GJ189" s="25"/>
      <c r="GK189" s="25"/>
      <c r="GL189" s="25"/>
      <c r="GM189" s="25"/>
      <c r="GN189" s="25"/>
      <c r="GO189" s="25"/>
      <c r="GP189" s="25"/>
      <c r="GQ189" s="25"/>
      <c r="GR189" s="25"/>
      <c r="GS189" s="25"/>
      <c r="GT189" s="25"/>
      <c r="GU189" s="25"/>
      <c r="GV189" s="25"/>
      <c r="GW189" s="25"/>
      <c r="GX189" s="25"/>
      <c r="GY189" s="25"/>
      <c r="GZ189" s="25"/>
      <c r="HA189" s="25"/>
      <c r="HB189" s="25"/>
      <c r="HC189" s="25"/>
      <c r="HD189" s="25"/>
      <c r="HE189" s="25"/>
      <c r="HF189" s="25"/>
      <c r="HG189" s="25"/>
      <c r="HH189" s="25"/>
      <c r="HI189" s="25"/>
      <c r="HJ189" s="25"/>
      <c r="HK189" s="25"/>
      <c r="HL189" s="25"/>
      <c r="HM189" s="25"/>
      <c r="HN189" s="25"/>
      <c r="HO189" s="25"/>
      <c r="HP189" s="25"/>
      <c r="HQ189" s="25"/>
      <c r="HR189" s="25"/>
      <c r="HS189" s="25"/>
      <c r="HT189" s="25"/>
      <c r="HU189" s="25"/>
      <c r="HV189" s="25"/>
      <c r="HW189" s="25"/>
      <c r="HX189" s="25"/>
      <c r="HY189" s="25"/>
      <c r="HZ189" s="25"/>
      <c r="IA189" s="25"/>
      <c r="IB189" s="25"/>
      <c r="IC189" s="25"/>
      <c r="ID189" s="25"/>
      <c r="IE189" s="25"/>
      <c r="IF189" s="25"/>
      <c r="IG189" s="25"/>
      <c r="IH189" s="25"/>
      <c r="II189" s="25"/>
      <c r="IJ189" s="25"/>
      <c r="IK189" s="25"/>
      <c r="IL189" s="25"/>
      <c r="IM189" s="25"/>
      <c r="IN189" s="25"/>
      <c r="IO189" s="25"/>
      <c r="IP189" s="25"/>
      <c r="IQ189" s="25"/>
      <c r="IR189" s="25"/>
      <c r="IS189" s="25"/>
      <c r="IT189" s="25"/>
      <c r="IU189" s="25"/>
      <c r="IV189" s="25"/>
      <c r="IW189" s="25"/>
      <c r="IX189" s="25"/>
      <c r="IY189" s="25"/>
      <c r="IZ189" s="25"/>
      <c r="JA189" s="25"/>
      <c r="JB189" s="25"/>
      <c r="JC189" s="25"/>
      <c r="JD189" s="25"/>
      <c r="JE189" s="25"/>
      <c r="JF189" s="25"/>
      <c r="JG189" s="25"/>
      <c r="JH189" s="25"/>
      <c r="JI189" s="25"/>
      <c r="JJ189" s="25"/>
      <c r="JK189" s="25"/>
      <c r="JL189" s="25"/>
      <c r="JM189" s="25"/>
      <c r="JN189" s="25"/>
    </row>
    <row r="190" spans="2:274" ht="20.25" customHeight="1" x14ac:dyDescent="0.25">
      <c r="B190" s="20"/>
      <c r="F190" s="21"/>
      <c r="G190" s="86" t="str" cm="1">
        <f t="array" aca="1" ref="G190" ca="1">IFERROR(INDEX(Panel_Rates[[1]:[12]],MATCH(Panel_New&amp;Category_New,Panel_Rates[Panel]&amp;Panel_Rates[Category],0),MATCH('Time Plan HY'!E190,OFFSET(Variable!$AF$2,MATCH(Panel_New&amp;Category_New,Panel_Rates[Panel]&amp;Panel_Rates[Category],0)-1,0,1,12),0))/8,"")</f>
        <v/>
      </c>
      <c r="H190" s="92"/>
      <c r="I190" s="88" t="str">
        <f t="shared" ca="1" si="169"/>
        <v/>
      </c>
      <c r="J190" s="89" t="str">
        <f t="shared" ca="1" si="170"/>
        <v/>
      </c>
      <c r="K190" s="90" t="str">
        <f>IFERROR(_xlfn.XLOOKUP(D190,CostTableLookup[Name],CostTableLookup[Gross Cost]),"")</f>
        <v/>
      </c>
      <c r="L190" s="22"/>
      <c r="M190" s="81" t="str">
        <f t="shared" ca="1" si="99"/>
        <v/>
      </c>
      <c r="N190" s="23"/>
      <c r="O190" s="81" t="str">
        <f t="shared" ca="1" si="100"/>
        <v/>
      </c>
      <c r="P190" s="81" t="str">
        <f t="shared" ca="1" si="171"/>
        <v/>
      </c>
      <c r="Q190" s="24" t="str">
        <f t="shared" si="172"/>
        <v/>
      </c>
      <c r="R190" s="110" t="str">
        <f t="shared" ca="1" si="101"/>
        <v/>
      </c>
      <c r="S190" s="114">
        <f t="shared" ref="S190" ca="1" si="174">IFERROR(SUM(OFFSET(Y190,0,MATCH(Forecast_New,$Y$3:$WQ$3,0)-1,1,500))*40,"")</f>
        <v>0</v>
      </c>
      <c r="T190" s="115">
        <f t="shared" ca="1" si="103"/>
        <v>0</v>
      </c>
      <c r="U190" s="116" t="str">
        <f t="shared" ca="1" si="131"/>
        <v/>
      </c>
      <c r="V190" s="99" t="str">
        <f t="shared" ca="1" si="132"/>
        <v/>
      </c>
      <c r="W190" s="100" t="str">
        <f t="shared" ca="1" si="104"/>
        <v/>
      </c>
      <c r="X190" s="83" t="str">
        <f t="shared" ca="1" si="105"/>
        <v/>
      </c>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5"/>
      <c r="FT190" s="25"/>
      <c r="FU190" s="25"/>
      <c r="FV190" s="25"/>
      <c r="FW190" s="25"/>
      <c r="FX190" s="25"/>
      <c r="FY190" s="25"/>
      <c r="FZ190" s="25"/>
      <c r="GA190" s="25"/>
      <c r="GB190" s="25"/>
      <c r="GC190" s="25"/>
      <c r="GD190" s="25"/>
      <c r="GE190" s="25"/>
      <c r="GF190" s="25"/>
      <c r="GG190" s="25"/>
      <c r="GH190" s="25"/>
      <c r="GI190" s="25"/>
      <c r="GJ190" s="25"/>
      <c r="GK190" s="25"/>
      <c r="GL190" s="25"/>
      <c r="GM190" s="25"/>
      <c r="GN190" s="25"/>
      <c r="GO190" s="25"/>
      <c r="GP190" s="25"/>
      <c r="GQ190" s="25"/>
      <c r="GR190" s="25"/>
      <c r="GS190" s="25"/>
      <c r="GT190" s="25"/>
      <c r="GU190" s="25"/>
      <c r="GV190" s="25"/>
      <c r="GW190" s="25"/>
      <c r="GX190" s="25"/>
      <c r="GY190" s="25"/>
      <c r="GZ190" s="25"/>
      <c r="HA190" s="25"/>
      <c r="HB190" s="25"/>
      <c r="HC190" s="25"/>
      <c r="HD190" s="25"/>
      <c r="HE190" s="25"/>
      <c r="HF190" s="25"/>
      <c r="HG190" s="25"/>
      <c r="HH190" s="25"/>
      <c r="HI190" s="25"/>
      <c r="HJ190" s="25"/>
      <c r="HK190" s="25"/>
      <c r="HL190" s="25"/>
      <c r="HM190" s="25"/>
      <c r="HN190" s="25"/>
      <c r="HO190" s="25"/>
      <c r="HP190" s="25"/>
      <c r="HQ190" s="25"/>
      <c r="HR190" s="25"/>
      <c r="HS190" s="25"/>
      <c r="HT190" s="25"/>
      <c r="HU190" s="25"/>
      <c r="HV190" s="25"/>
      <c r="HW190" s="25"/>
      <c r="HX190" s="25"/>
      <c r="HY190" s="25"/>
      <c r="HZ190" s="25"/>
      <c r="IA190" s="25"/>
      <c r="IB190" s="25"/>
      <c r="IC190" s="25"/>
      <c r="ID190" s="25"/>
      <c r="IE190" s="25"/>
      <c r="IF190" s="25"/>
      <c r="IG190" s="25"/>
      <c r="IH190" s="25"/>
      <c r="II190" s="25"/>
      <c r="IJ190" s="25"/>
      <c r="IK190" s="25"/>
      <c r="IL190" s="25"/>
      <c r="IM190" s="25"/>
      <c r="IN190" s="25"/>
      <c r="IO190" s="25"/>
      <c r="IP190" s="25"/>
      <c r="IQ190" s="25"/>
      <c r="IR190" s="25"/>
      <c r="IS190" s="25"/>
      <c r="IT190" s="25"/>
      <c r="IU190" s="25"/>
      <c r="IV190" s="25"/>
      <c r="IW190" s="25"/>
      <c r="IX190" s="25"/>
      <c r="IY190" s="25"/>
      <c r="IZ190" s="25"/>
      <c r="JA190" s="25"/>
      <c r="JB190" s="25"/>
      <c r="JC190" s="25"/>
      <c r="JD190" s="25"/>
      <c r="JE190" s="25"/>
      <c r="JF190" s="25"/>
      <c r="JG190" s="25"/>
      <c r="JH190" s="25"/>
      <c r="JI190" s="25"/>
      <c r="JJ190" s="25"/>
      <c r="JK190" s="25"/>
      <c r="JL190" s="25"/>
      <c r="JM190" s="25"/>
      <c r="JN190" s="25"/>
    </row>
    <row r="191" spans="2:274" ht="20.25" customHeight="1" x14ac:dyDescent="0.25">
      <c r="B191" s="20"/>
      <c r="F191" s="21"/>
      <c r="G191" s="86" t="str" cm="1">
        <f t="array" aca="1" ref="G191" ca="1">IFERROR(INDEX(Panel_Rates[[1]:[12]],MATCH(Panel_New&amp;Category_New,Panel_Rates[Panel]&amp;Panel_Rates[Category],0),MATCH('Time Plan HY'!E191,OFFSET(Variable!$AF$2,MATCH(Panel_New&amp;Category_New,Panel_Rates[Panel]&amp;Panel_Rates[Category],0)-1,0,1,12),0))/8,"")</f>
        <v/>
      </c>
      <c r="H191" s="92"/>
      <c r="I191" s="88" t="str">
        <f t="shared" ca="1" si="169"/>
        <v/>
      </c>
      <c r="J191" s="89" t="str">
        <f t="shared" ca="1" si="170"/>
        <v/>
      </c>
      <c r="K191" s="90" t="str">
        <f>IFERROR(_xlfn.XLOOKUP(D191,CostTableLookup[Name],CostTableLookup[Gross Cost]),"")</f>
        <v/>
      </c>
      <c r="L191" s="22"/>
      <c r="M191" s="81" t="str">
        <f t="shared" ref="M191:M221" ca="1" si="175">IFERROR(L191*I191,"")</f>
        <v/>
      </c>
      <c r="N191" s="23"/>
      <c r="O191" s="81" t="str">
        <f t="shared" ref="O191:O221" ca="1" si="176">IFERROR(N191*I191,"")</f>
        <v/>
      </c>
      <c r="P191" s="81" t="str">
        <f t="shared" ca="1" si="171"/>
        <v/>
      </c>
      <c r="Q191" s="24" t="str">
        <f t="shared" si="172"/>
        <v/>
      </c>
      <c r="R191" s="110" t="str">
        <f t="shared" ref="R191:R221" ca="1" si="177">IFERROR(((U191+O191)-(V191+Q191))/(U191+O191),"")</f>
        <v/>
      </c>
      <c r="S191" s="114">
        <f t="shared" ref="S191" ca="1" si="178">IFERROR(SUM(OFFSET(Y191,0,MATCH(Forecast_New,$Y$3:$WQ$3,0)-1,1,500))*40,"")</f>
        <v>0</v>
      </c>
      <c r="T191" s="115">
        <f t="shared" ref="T191:T221" ca="1" si="179">IFERROR(S191/8,"")</f>
        <v>0</v>
      </c>
      <c r="U191" s="116" t="str">
        <f t="shared" ca="1" si="131"/>
        <v/>
      </c>
      <c r="V191" s="99" t="str">
        <f t="shared" ca="1" si="132"/>
        <v/>
      </c>
      <c r="W191" s="100" t="str">
        <f t="shared" ref="W191:W221" ca="1" si="180">IFERROR(M191-(O191+U191),"")</f>
        <v/>
      </c>
      <c r="X191" s="83" t="str">
        <f t="shared" ref="X191:X221" ca="1" si="181">IFERROR(W191/M191,"")</f>
        <v/>
      </c>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25"/>
      <c r="EJ191" s="25"/>
      <c r="EK191" s="25"/>
      <c r="EL191" s="25"/>
      <c r="EM191" s="25"/>
      <c r="EN191" s="25"/>
      <c r="EO191" s="25"/>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c r="FL191" s="25"/>
      <c r="FM191" s="25"/>
      <c r="FN191" s="25"/>
      <c r="FO191" s="25"/>
      <c r="FP191" s="25"/>
      <c r="FQ191" s="25"/>
      <c r="FR191" s="25"/>
      <c r="FS191" s="25"/>
      <c r="FT191" s="25"/>
      <c r="FU191" s="25"/>
      <c r="FV191" s="25"/>
      <c r="FW191" s="25"/>
      <c r="FX191" s="25"/>
      <c r="FY191" s="25"/>
      <c r="FZ191" s="25"/>
      <c r="GA191" s="25"/>
      <c r="GB191" s="25"/>
      <c r="GC191" s="25"/>
      <c r="GD191" s="25"/>
      <c r="GE191" s="25"/>
      <c r="GF191" s="25"/>
      <c r="GG191" s="25"/>
      <c r="GH191" s="25"/>
      <c r="GI191" s="25"/>
      <c r="GJ191" s="25"/>
      <c r="GK191" s="25"/>
      <c r="GL191" s="25"/>
      <c r="GM191" s="25"/>
      <c r="GN191" s="25"/>
      <c r="GO191" s="25"/>
      <c r="GP191" s="25"/>
      <c r="GQ191" s="25"/>
      <c r="GR191" s="25"/>
      <c r="GS191" s="25"/>
      <c r="GT191" s="25"/>
      <c r="GU191" s="25"/>
      <c r="GV191" s="25"/>
      <c r="GW191" s="25"/>
      <c r="GX191" s="25"/>
      <c r="GY191" s="25"/>
      <c r="GZ191" s="25"/>
      <c r="HA191" s="25"/>
      <c r="HB191" s="25"/>
      <c r="HC191" s="25"/>
      <c r="HD191" s="25"/>
      <c r="HE191" s="25"/>
      <c r="HF191" s="25"/>
      <c r="HG191" s="25"/>
      <c r="HH191" s="25"/>
      <c r="HI191" s="25"/>
      <c r="HJ191" s="25"/>
      <c r="HK191" s="25"/>
      <c r="HL191" s="25"/>
      <c r="HM191" s="25"/>
      <c r="HN191" s="25"/>
      <c r="HO191" s="25"/>
      <c r="HP191" s="25"/>
      <c r="HQ191" s="25"/>
      <c r="HR191" s="25"/>
      <c r="HS191" s="25"/>
      <c r="HT191" s="25"/>
      <c r="HU191" s="25"/>
      <c r="HV191" s="25"/>
      <c r="HW191" s="25"/>
      <c r="HX191" s="25"/>
      <c r="HY191" s="25"/>
      <c r="HZ191" s="25"/>
      <c r="IA191" s="25"/>
      <c r="IB191" s="25"/>
      <c r="IC191" s="25"/>
      <c r="ID191" s="25"/>
      <c r="IE191" s="25"/>
      <c r="IF191" s="25"/>
      <c r="IG191" s="25"/>
      <c r="IH191" s="25"/>
      <c r="II191" s="25"/>
      <c r="IJ191" s="25"/>
      <c r="IK191" s="25"/>
      <c r="IL191" s="25"/>
      <c r="IM191" s="25"/>
      <c r="IN191" s="25"/>
      <c r="IO191" s="25"/>
      <c r="IP191" s="25"/>
      <c r="IQ191" s="25"/>
      <c r="IR191" s="25"/>
      <c r="IS191" s="25"/>
      <c r="IT191" s="25"/>
      <c r="IU191" s="25"/>
      <c r="IV191" s="25"/>
      <c r="IW191" s="25"/>
      <c r="IX191" s="25"/>
      <c r="IY191" s="25"/>
      <c r="IZ191" s="25"/>
      <c r="JA191" s="25"/>
      <c r="JB191" s="25"/>
      <c r="JC191" s="25"/>
      <c r="JD191" s="25"/>
      <c r="JE191" s="25"/>
      <c r="JF191" s="25"/>
      <c r="JG191" s="25"/>
      <c r="JH191" s="25"/>
      <c r="JI191" s="25"/>
      <c r="JJ191" s="25"/>
      <c r="JK191" s="25"/>
      <c r="JL191" s="25"/>
      <c r="JM191" s="25"/>
      <c r="JN191" s="25"/>
    </row>
    <row r="192" spans="2:274" ht="20.25" customHeight="1" x14ac:dyDescent="0.25">
      <c r="B192" s="20"/>
      <c r="F192" s="21"/>
      <c r="G192" s="86" t="str" cm="1">
        <f t="array" aca="1" ref="G192" ca="1">IFERROR(INDEX(Panel_Rates[[1]:[12]],MATCH(Panel_New&amp;Category_New,Panel_Rates[Panel]&amp;Panel_Rates[Category],0),MATCH('Time Plan HY'!E192,OFFSET(Variable!$AF$2,MATCH(Panel_New&amp;Category_New,Panel_Rates[Panel]&amp;Panel_Rates[Category],0)-1,0,1,12),0))/8,"")</f>
        <v/>
      </c>
      <c r="H192" s="92"/>
      <c r="I192" s="88" t="str">
        <f t="shared" ca="1" si="169"/>
        <v/>
      </c>
      <c r="J192" s="89" t="str">
        <f t="shared" ca="1" si="170"/>
        <v/>
      </c>
      <c r="K192" s="90" t="str">
        <f>IFERROR(_xlfn.XLOOKUP(D192,CostTableLookup[Name],CostTableLookup[Gross Cost]),"")</f>
        <v/>
      </c>
      <c r="L192" s="22"/>
      <c r="M192" s="81" t="str">
        <f t="shared" ca="1" si="175"/>
        <v/>
      </c>
      <c r="N192" s="23"/>
      <c r="O192" s="81" t="str">
        <f t="shared" ca="1" si="176"/>
        <v/>
      </c>
      <c r="P192" s="81" t="str">
        <f t="shared" ca="1" si="171"/>
        <v/>
      </c>
      <c r="Q192" s="24" t="str">
        <f t="shared" si="172"/>
        <v/>
      </c>
      <c r="R192" s="110" t="str">
        <f t="shared" ca="1" si="177"/>
        <v/>
      </c>
      <c r="S192" s="114">
        <f t="shared" ref="S192" ca="1" si="182">IFERROR(SUM(OFFSET(Y192,0,MATCH(Forecast_New,$Y$3:$WQ$3,0)-1,1,500))*40,"")</f>
        <v>0</v>
      </c>
      <c r="T192" s="115">
        <f t="shared" ca="1" si="179"/>
        <v>0</v>
      </c>
      <c r="U192" s="116" t="str">
        <f t="shared" ca="1" si="131"/>
        <v/>
      </c>
      <c r="V192" s="99" t="str">
        <f t="shared" ca="1" si="132"/>
        <v/>
      </c>
      <c r="W192" s="100" t="str">
        <f t="shared" ca="1" si="180"/>
        <v/>
      </c>
      <c r="X192" s="83" t="str">
        <f t="shared" ca="1" si="181"/>
        <v/>
      </c>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5"/>
      <c r="EN192" s="25"/>
      <c r="EO192" s="25"/>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5"/>
      <c r="FT192" s="25"/>
      <c r="FU192" s="25"/>
      <c r="FV192" s="25"/>
      <c r="FW192" s="25"/>
      <c r="FX192" s="25"/>
      <c r="FY192" s="25"/>
      <c r="FZ192" s="25"/>
      <c r="GA192" s="25"/>
      <c r="GB192" s="25"/>
      <c r="GC192" s="25"/>
      <c r="GD192" s="25"/>
      <c r="GE192" s="25"/>
      <c r="GF192" s="25"/>
      <c r="GG192" s="25"/>
      <c r="GH192" s="25"/>
      <c r="GI192" s="25"/>
      <c r="GJ192" s="25"/>
      <c r="GK192" s="25"/>
      <c r="GL192" s="25"/>
      <c r="GM192" s="25"/>
      <c r="GN192" s="25"/>
      <c r="GO192" s="25"/>
      <c r="GP192" s="25"/>
      <c r="GQ192" s="25"/>
      <c r="GR192" s="25"/>
      <c r="GS192" s="25"/>
      <c r="GT192" s="25"/>
      <c r="GU192" s="25"/>
      <c r="GV192" s="25"/>
      <c r="GW192" s="25"/>
      <c r="GX192" s="25"/>
      <c r="GY192" s="25"/>
      <c r="GZ192" s="25"/>
      <c r="HA192" s="25"/>
      <c r="HB192" s="25"/>
      <c r="HC192" s="25"/>
      <c r="HD192" s="25"/>
      <c r="HE192" s="25"/>
      <c r="HF192" s="25"/>
      <c r="HG192" s="25"/>
      <c r="HH192" s="25"/>
      <c r="HI192" s="25"/>
      <c r="HJ192" s="25"/>
      <c r="HK192" s="25"/>
      <c r="HL192" s="25"/>
      <c r="HM192" s="25"/>
      <c r="HN192" s="25"/>
      <c r="HO192" s="25"/>
      <c r="HP192" s="25"/>
      <c r="HQ192" s="25"/>
      <c r="HR192" s="25"/>
      <c r="HS192" s="25"/>
      <c r="HT192" s="25"/>
      <c r="HU192" s="25"/>
      <c r="HV192" s="25"/>
      <c r="HW192" s="25"/>
      <c r="HX192" s="25"/>
      <c r="HY192" s="25"/>
      <c r="HZ192" s="25"/>
      <c r="IA192" s="25"/>
      <c r="IB192" s="25"/>
      <c r="IC192" s="25"/>
      <c r="ID192" s="25"/>
      <c r="IE192" s="25"/>
      <c r="IF192" s="25"/>
      <c r="IG192" s="25"/>
      <c r="IH192" s="25"/>
      <c r="II192" s="25"/>
      <c r="IJ192" s="25"/>
      <c r="IK192" s="25"/>
      <c r="IL192" s="25"/>
      <c r="IM192" s="25"/>
      <c r="IN192" s="25"/>
      <c r="IO192" s="25"/>
      <c r="IP192" s="25"/>
      <c r="IQ192" s="25"/>
      <c r="IR192" s="25"/>
      <c r="IS192" s="25"/>
      <c r="IT192" s="25"/>
      <c r="IU192" s="25"/>
      <c r="IV192" s="25"/>
      <c r="IW192" s="25"/>
      <c r="IX192" s="25"/>
      <c r="IY192" s="25"/>
      <c r="IZ192" s="25"/>
      <c r="JA192" s="25"/>
      <c r="JB192" s="25"/>
      <c r="JC192" s="25"/>
      <c r="JD192" s="25"/>
      <c r="JE192" s="25"/>
      <c r="JF192" s="25"/>
      <c r="JG192" s="25"/>
      <c r="JH192" s="25"/>
      <c r="JI192" s="25"/>
      <c r="JJ192" s="25"/>
      <c r="JK192" s="25"/>
      <c r="JL192" s="25"/>
      <c r="JM192" s="25"/>
      <c r="JN192" s="25"/>
    </row>
    <row r="193" spans="2:274" ht="20.25" customHeight="1" x14ac:dyDescent="0.25">
      <c r="B193" s="20"/>
      <c r="F193" s="21"/>
      <c r="G193" s="86" t="str" cm="1">
        <f t="array" aca="1" ref="G193" ca="1">IFERROR(INDEX(Panel_Rates[[1]:[12]],MATCH(Panel_New&amp;Category_New,Panel_Rates[Panel]&amp;Panel_Rates[Category],0),MATCH('Time Plan HY'!E193,OFFSET(Variable!$AF$2,MATCH(Panel_New&amp;Category_New,Panel_Rates[Panel]&amp;Panel_Rates[Category],0)-1,0,1,12),0))/8,"")</f>
        <v/>
      </c>
      <c r="H193" s="92"/>
      <c r="I193" s="88" t="str">
        <f t="shared" ca="1" si="169"/>
        <v/>
      </c>
      <c r="J193" s="89" t="str">
        <f t="shared" ca="1" si="170"/>
        <v/>
      </c>
      <c r="K193" s="90" t="str">
        <f>IFERROR(_xlfn.XLOOKUP(D193,CostTableLookup[Name],CostTableLookup[Gross Cost]),"")</f>
        <v/>
      </c>
      <c r="L193" s="22"/>
      <c r="M193" s="81" t="str">
        <f t="shared" ca="1" si="175"/>
        <v/>
      </c>
      <c r="N193" s="23"/>
      <c r="O193" s="81" t="str">
        <f t="shared" ca="1" si="176"/>
        <v/>
      </c>
      <c r="P193" s="81" t="str">
        <f t="shared" ca="1" si="171"/>
        <v/>
      </c>
      <c r="Q193" s="24" t="str">
        <f t="shared" si="172"/>
        <v/>
      </c>
      <c r="R193" s="110" t="str">
        <f t="shared" ca="1" si="177"/>
        <v/>
      </c>
      <c r="S193" s="114">
        <f t="shared" ref="S193" ca="1" si="183">IFERROR(SUM(OFFSET(Y193,0,MATCH(Forecast_New,$Y$3:$WQ$3,0)-1,1,500))*40,"")</f>
        <v>0</v>
      </c>
      <c r="T193" s="115">
        <f t="shared" ca="1" si="179"/>
        <v>0</v>
      </c>
      <c r="U193" s="116" t="str">
        <f t="shared" ca="1" si="131"/>
        <v/>
      </c>
      <c r="V193" s="99" t="str">
        <f t="shared" ca="1" si="132"/>
        <v/>
      </c>
      <c r="W193" s="100" t="str">
        <f t="shared" ca="1" si="180"/>
        <v/>
      </c>
      <c r="X193" s="83" t="str">
        <f t="shared" ca="1" si="181"/>
        <v/>
      </c>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5"/>
      <c r="EN193" s="25"/>
      <c r="EO193" s="25"/>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5"/>
      <c r="GA193" s="25"/>
      <c r="GB193" s="25"/>
      <c r="GC193" s="25"/>
      <c r="GD193" s="25"/>
      <c r="GE193" s="25"/>
      <c r="GF193" s="25"/>
      <c r="GG193" s="25"/>
      <c r="GH193" s="25"/>
      <c r="GI193" s="25"/>
      <c r="GJ193" s="25"/>
      <c r="GK193" s="25"/>
      <c r="GL193" s="25"/>
      <c r="GM193" s="25"/>
      <c r="GN193" s="25"/>
      <c r="GO193" s="25"/>
      <c r="GP193" s="25"/>
      <c r="GQ193" s="25"/>
      <c r="GR193" s="25"/>
      <c r="GS193" s="25"/>
      <c r="GT193" s="25"/>
      <c r="GU193" s="25"/>
      <c r="GV193" s="25"/>
      <c r="GW193" s="25"/>
      <c r="GX193" s="25"/>
      <c r="GY193" s="25"/>
      <c r="GZ193" s="25"/>
      <c r="HA193" s="25"/>
      <c r="HB193" s="25"/>
      <c r="HC193" s="25"/>
      <c r="HD193" s="25"/>
      <c r="HE193" s="25"/>
      <c r="HF193" s="25"/>
      <c r="HG193" s="25"/>
      <c r="HH193" s="25"/>
      <c r="HI193" s="25"/>
      <c r="HJ193" s="25"/>
      <c r="HK193" s="25"/>
      <c r="HL193" s="25"/>
      <c r="HM193" s="25"/>
      <c r="HN193" s="25"/>
      <c r="HO193" s="25"/>
      <c r="HP193" s="25"/>
      <c r="HQ193" s="25"/>
      <c r="HR193" s="25"/>
      <c r="HS193" s="25"/>
      <c r="HT193" s="25"/>
      <c r="HU193" s="25"/>
      <c r="HV193" s="25"/>
      <c r="HW193" s="25"/>
      <c r="HX193" s="25"/>
      <c r="HY193" s="25"/>
      <c r="HZ193" s="25"/>
      <c r="IA193" s="25"/>
      <c r="IB193" s="25"/>
      <c r="IC193" s="25"/>
      <c r="ID193" s="25"/>
      <c r="IE193" s="25"/>
      <c r="IF193" s="25"/>
      <c r="IG193" s="25"/>
      <c r="IH193" s="25"/>
      <c r="II193" s="25"/>
      <c r="IJ193" s="25"/>
      <c r="IK193" s="25"/>
      <c r="IL193" s="25"/>
      <c r="IM193" s="25"/>
      <c r="IN193" s="25"/>
      <c r="IO193" s="25"/>
      <c r="IP193" s="25"/>
      <c r="IQ193" s="25"/>
      <c r="IR193" s="25"/>
      <c r="IS193" s="25"/>
      <c r="IT193" s="25"/>
      <c r="IU193" s="25"/>
      <c r="IV193" s="25"/>
      <c r="IW193" s="25"/>
      <c r="IX193" s="25"/>
      <c r="IY193" s="25"/>
      <c r="IZ193" s="25"/>
      <c r="JA193" s="25"/>
      <c r="JB193" s="25"/>
      <c r="JC193" s="25"/>
      <c r="JD193" s="25"/>
      <c r="JE193" s="25"/>
      <c r="JF193" s="25"/>
      <c r="JG193" s="25"/>
      <c r="JH193" s="25"/>
      <c r="JI193" s="25"/>
      <c r="JJ193" s="25"/>
      <c r="JK193" s="25"/>
      <c r="JL193" s="25"/>
      <c r="JM193" s="25"/>
      <c r="JN193" s="25"/>
    </row>
    <row r="194" spans="2:274" ht="20.25" customHeight="1" x14ac:dyDescent="0.25">
      <c r="B194" s="20"/>
      <c r="F194" s="21"/>
      <c r="G194" s="86" t="str" cm="1">
        <f t="array" aca="1" ref="G194" ca="1">IFERROR(INDEX(Panel_Rates[[1]:[12]],MATCH(Panel_New&amp;Category_New,Panel_Rates[Panel]&amp;Panel_Rates[Category],0),MATCH('Time Plan HY'!E194,OFFSET(Variable!$AF$2,MATCH(Panel_New&amp;Category_New,Panel_Rates[Panel]&amp;Panel_Rates[Category],0)-1,0,1,12),0))/8,"")</f>
        <v/>
      </c>
      <c r="H194" s="92"/>
      <c r="I194" s="88" t="str">
        <f t="shared" ca="1" si="169"/>
        <v/>
      </c>
      <c r="J194" s="89" t="str">
        <f t="shared" ca="1" si="170"/>
        <v/>
      </c>
      <c r="K194" s="90" t="str">
        <f>IFERROR(_xlfn.XLOOKUP(D194,CostTableLookup[Name],CostTableLookup[Gross Cost]),"")</f>
        <v/>
      </c>
      <c r="L194" s="22"/>
      <c r="M194" s="81" t="str">
        <f t="shared" ca="1" si="175"/>
        <v/>
      </c>
      <c r="N194" s="23"/>
      <c r="O194" s="81" t="str">
        <f t="shared" ca="1" si="176"/>
        <v/>
      </c>
      <c r="P194" s="81" t="str">
        <f t="shared" ca="1" si="171"/>
        <v/>
      </c>
      <c r="Q194" s="24" t="str">
        <f t="shared" si="172"/>
        <v/>
      </c>
      <c r="R194" s="110" t="str">
        <f t="shared" ca="1" si="177"/>
        <v/>
      </c>
      <c r="S194" s="114">
        <f t="shared" ref="S194" ca="1" si="184">IFERROR(SUM(OFFSET(Y194,0,MATCH(Forecast_New,$Y$3:$WQ$3,0)-1,1,500))*40,"")</f>
        <v>0</v>
      </c>
      <c r="T194" s="115">
        <f t="shared" ca="1" si="179"/>
        <v>0</v>
      </c>
      <c r="U194" s="116" t="str">
        <f t="shared" ca="1" si="131"/>
        <v/>
      </c>
      <c r="V194" s="99" t="str">
        <f t="shared" ca="1" si="132"/>
        <v/>
      </c>
      <c r="W194" s="100" t="str">
        <f t="shared" ca="1" si="180"/>
        <v/>
      </c>
      <c r="X194" s="83" t="str">
        <f t="shared" ca="1" si="181"/>
        <v/>
      </c>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5"/>
      <c r="EN194" s="25"/>
      <c r="EO194" s="25"/>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5"/>
      <c r="GA194" s="25"/>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5"/>
      <c r="HA194" s="25"/>
      <c r="HB194" s="25"/>
      <c r="HC194" s="25"/>
      <c r="HD194" s="25"/>
      <c r="HE194" s="25"/>
      <c r="HF194" s="25"/>
      <c r="HG194" s="25"/>
      <c r="HH194" s="25"/>
      <c r="HI194" s="25"/>
      <c r="HJ194" s="25"/>
      <c r="HK194" s="25"/>
      <c r="HL194" s="25"/>
      <c r="HM194" s="25"/>
      <c r="HN194" s="25"/>
      <c r="HO194" s="25"/>
      <c r="HP194" s="25"/>
      <c r="HQ194" s="25"/>
      <c r="HR194" s="25"/>
      <c r="HS194" s="25"/>
      <c r="HT194" s="25"/>
      <c r="HU194" s="25"/>
      <c r="HV194" s="25"/>
      <c r="HW194" s="25"/>
      <c r="HX194" s="25"/>
      <c r="HY194" s="25"/>
      <c r="HZ194" s="25"/>
      <c r="IA194" s="25"/>
      <c r="IB194" s="25"/>
      <c r="IC194" s="25"/>
      <c r="ID194" s="25"/>
      <c r="IE194" s="25"/>
      <c r="IF194" s="25"/>
      <c r="IG194" s="25"/>
      <c r="IH194" s="25"/>
      <c r="II194" s="25"/>
      <c r="IJ194" s="25"/>
      <c r="IK194" s="25"/>
      <c r="IL194" s="25"/>
      <c r="IM194" s="25"/>
      <c r="IN194" s="25"/>
      <c r="IO194" s="25"/>
      <c r="IP194" s="25"/>
      <c r="IQ194" s="25"/>
      <c r="IR194" s="25"/>
      <c r="IS194" s="25"/>
      <c r="IT194" s="25"/>
      <c r="IU194" s="25"/>
      <c r="IV194" s="25"/>
      <c r="IW194" s="25"/>
      <c r="IX194" s="25"/>
      <c r="IY194" s="25"/>
      <c r="IZ194" s="25"/>
      <c r="JA194" s="25"/>
      <c r="JB194" s="25"/>
      <c r="JC194" s="25"/>
      <c r="JD194" s="25"/>
      <c r="JE194" s="25"/>
      <c r="JF194" s="25"/>
      <c r="JG194" s="25"/>
      <c r="JH194" s="25"/>
      <c r="JI194" s="25"/>
      <c r="JJ194" s="25"/>
      <c r="JK194" s="25"/>
      <c r="JL194" s="25"/>
      <c r="JM194" s="25"/>
      <c r="JN194" s="25"/>
    </row>
    <row r="195" spans="2:274" ht="20.25" customHeight="1" x14ac:dyDescent="0.25">
      <c r="B195" s="20"/>
      <c r="F195" s="21"/>
      <c r="G195" s="86" t="str" cm="1">
        <f t="array" aca="1" ref="G195" ca="1">IFERROR(INDEX(Panel_Rates[[1]:[12]],MATCH(Panel_New&amp;Category_New,Panel_Rates[Panel]&amp;Panel_Rates[Category],0),MATCH('Time Plan HY'!E195,OFFSET(Variable!$AF$2,MATCH(Panel_New&amp;Category_New,Panel_Rates[Panel]&amp;Panel_Rates[Category],0)-1,0,1,12),0))/8,"")</f>
        <v/>
      </c>
      <c r="H195" s="92"/>
      <c r="I195" s="88" t="str">
        <f t="shared" ca="1" si="169"/>
        <v/>
      </c>
      <c r="J195" s="89" t="str">
        <f t="shared" ca="1" si="170"/>
        <v/>
      </c>
      <c r="K195" s="90" t="str">
        <f>IFERROR(_xlfn.XLOOKUP(D195,CostTableLookup[Name],CostTableLookup[Gross Cost]),"")</f>
        <v/>
      </c>
      <c r="L195" s="22"/>
      <c r="M195" s="81" t="str">
        <f t="shared" ca="1" si="175"/>
        <v/>
      </c>
      <c r="N195" s="23"/>
      <c r="O195" s="81" t="str">
        <f t="shared" ca="1" si="176"/>
        <v/>
      </c>
      <c r="P195" s="81" t="str">
        <f t="shared" ca="1" si="171"/>
        <v/>
      </c>
      <c r="Q195" s="24" t="str">
        <f t="shared" si="172"/>
        <v/>
      </c>
      <c r="R195" s="110" t="str">
        <f t="shared" ca="1" si="177"/>
        <v/>
      </c>
      <c r="S195" s="114">
        <f t="shared" ref="S195" ca="1" si="185">IFERROR(SUM(OFFSET(Y195,0,MATCH(Forecast_New,$Y$3:$WQ$3,0)-1,1,500))*40,"")</f>
        <v>0</v>
      </c>
      <c r="T195" s="115">
        <f t="shared" ca="1" si="179"/>
        <v>0</v>
      </c>
      <c r="U195" s="116" t="str">
        <f t="shared" ca="1" si="131"/>
        <v/>
      </c>
      <c r="V195" s="99" t="str">
        <f t="shared" ca="1" si="132"/>
        <v/>
      </c>
      <c r="W195" s="100" t="str">
        <f t="shared" ca="1" si="180"/>
        <v/>
      </c>
      <c r="X195" s="83" t="str">
        <f t="shared" ca="1" si="181"/>
        <v/>
      </c>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5"/>
      <c r="EN195" s="25"/>
      <c r="EO195" s="25"/>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5"/>
      <c r="GA195" s="25"/>
      <c r="GB195" s="25"/>
      <c r="GC195" s="25"/>
      <c r="GD195" s="25"/>
      <c r="GE195" s="25"/>
      <c r="GF195" s="25"/>
      <c r="GG195" s="25"/>
      <c r="GH195" s="25"/>
      <c r="GI195" s="25"/>
      <c r="GJ195" s="25"/>
      <c r="GK195" s="25"/>
      <c r="GL195" s="25"/>
      <c r="GM195" s="25"/>
      <c r="GN195" s="25"/>
      <c r="GO195" s="25"/>
      <c r="GP195" s="25"/>
      <c r="GQ195" s="25"/>
      <c r="GR195" s="25"/>
      <c r="GS195" s="25"/>
      <c r="GT195" s="25"/>
      <c r="GU195" s="25"/>
      <c r="GV195" s="25"/>
      <c r="GW195" s="25"/>
      <c r="GX195" s="25"/>
      <c r="GY195" s="25"/>
      <c r="GZ195" s="25"/>
      <c r="HA195" s="25"/>
      <c r="HB195" s="25"/>
      <c r="HC195" s="25"/>
      <c r="HD195" s="25"/>
      <c r="HE195" s="25"/>
      <c r="HF195" s="25"/>
      <c r="HG195" s="25"/>
      <c r="HH195" s="25"/>
      <c r="HI195" s="25"/>
      <c r="HJ195" s="25"/>
      <c r="HK195" s="25"/>
      <c r="HL195" s="25"/>
      <c r="HM195" s="25"/>
      <c r="HN195" s="25"/>
      <c r="HO195" s="25"/>
      <c r="HP195" s="25"/>
      <c r="HQ195" s="25"/>
      <c r="HR195" s="25"/>
      <c r="HS195" s="25"/>
      <c r="HT195" s="25"/>
      <c r="HU195" s="25"/>
      <c r="HV195" s="25"/>
      <c r="HW195" s="25"/>
      <c r="HX195" s="25"/>
      <c r="HY195" s="25"/>
      <c r="HZ195" s="25"/>
      <c r="IA195" s="25"/>
      <c r="IB195" s="25"/>
      <c r="IC195" s="25"/>
      <c r="ID195" s="25"/>
      <c r="IE195" s="25"/>
      <c r="IF195" s="25"/>
      <c r="IG195" s="25"/>
      <c r="IH195" s="25"/>
      <c r="II195" s="25"/>
      <c r="IJ195" s="25"/>
      <c r="IK195" s="25"/>
      <c r="IL195" s="25"/>
      <c r="IM195" s="25"/>
      <c r="IN195" s="25"/>
      <c r="IO195" s="25"/>
      <c r="IP195" s="25"/>
      <c r="IQ195" s="25"/>
      <c r="IR195" s="25"/>
      <c r="IS195" s="25"/>
      <c r="IT195" s="25"/>
      <c r="IU195" s="25"/>
      <c r="IV195" s="25"/>
      <c r="IW195" s="25"/>
      <c r="IX195" s="25"/>
      <c r="IY195" s="25"/>
      <c r="IZ195" s="25"/>
      <c r="JA195" s="25"/>
      <c r="JB195" s="25"/>
      <c r="JC195" s="25"/>
      <c r="JD195" s="25"/>
      <c r="JE195" s="25"/>
      <c r="JF195" s="25"/>
      <c r="JG195" s="25"/>
      <c r="JH195" s="25"/>
      <c r="JI195" s="25"/>
      <c r="JJ195" s="25"/>
      <c r="JK195" s="25"/>
      <c r="JL195" s="25"/>
      <c r="JM195" s="25"/>
      <c r="JN195" s="25"/>
    </row>
    <row r="196" spans="2:274" ht="20.25" customHeight="1" x14ac:dyDescent="0.25">
      <c r="B196" s="20"/>
      <c r="F196" s="21"/>
      <c r="G196" s="86" t="str" cm="1">
        <f t="array" aca="1" ref="G196" ca="1">IFERROR(INDEX(Panel_Rates[[1]:[12]],MATCH(Panel_New&amp;Category_New,Panel_Rates[Panel]&amp;Panel_Rates[Category],0),MATCH('Time Plan HY'!E196,OFFSET(Variable!$AF$2,MATCH(Panel_New&amp;Category_New,Panel_Rates[Panel]&amp;Panel_Rates[Category],0)-1,0,1,12),0))/8,"")</f>
        <v/>
      </c>
      <c r="H196" s="92"/>
      <c r="I196" s="88" t="str">
        <f t="shared" ca="1" si="169"/>
        <v/>
      </c>
      <c r="J196" s="89" t="str">
        <f t="shared" ca="1" si="170"/>
        <v/>
      </c>
      <c r="K196" s="90" t="str">
        <f>IFERROR(_xlfn.XLOOKUP(D196,CostTableLookup[Name],CostTableLookup[Gross Cost]),"")</f>
        <v/>
      </c>
      <c r="L196" s="22"/>
      <c r="M196" s="81" t="str">
        <f t="shared" ca="1" si="175"/>
        <v/>
      </c>
      <c r="N196" s="23"/>
      <c r="O196" s="81" t="str">
        <f t="shared" ca="1" si="176"/>
        <v/>
      </c>
      <c r="P196" s="81" t="str">
        <f t="shared" ca="1" si="171"/>
        <v/>
      </c>
      <c r="Q196" s="24" t="str">
        <f t="shared" si="172"/>
        <v/>
      </c>
      <c r="R196" s="110" t="str">
        <f t="shared" ca="1" si="177"/>
        <v/>
      </c>
      <c r="S196" s="114">
        <f t="shared" ref="S196" ca="1" si="186">IFERROR(SUM(OFFSET(Y196,0,MATCH(Forecast_New,$Y$3:$WQ$3,0)-1,1,500))*40,"")</f>
        <v>0</v>
      </c>
      <c r="T196" s="115">
        <f t="shared" ca="1" si="179"/>
        <v>0</v>
      </c>
      <c r="U196" s="116" t="str">
        <f t="shared" ca="1" si="131"/>
        <v/>
      </c>
      <c r="V196" s="99" t="str">
        <f t="shared" ca="1" si="132"/>
        <v/>
      </c>
      <c r="W196" s="100" t="str">
        <f t="shared" ca="1" si="180"/>
        <v/>
      </c>
      <c r="X196" s="83" t="str">
        <f t="shared" ca="1" si="181"/>
        <v/>
      </c>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c r="EK196" s="25"/>
      <c r="EL196" s="25"/>
      <c r="EM196" s="25"/>
      <c r="EN196" s="25"/>
      <c r="EO196" s="25"/>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c r="FS196" s="25"/>
      <c r="FT196" s="25"/>
      <c r="FU196" s="25"/>
      <c r="FV196" s="25"/>
      <c r="FW196" s="25"/>
      <c r="FX196" s="25"/>
      <c r="FY196" s="25"/>
      <c r="FZ196" s="25"/>
      <c r="GA196" s="25"/>
      <c r="GB196" s="25"/>
      <c r="GC196" s="25"/>
      <c r="GD196" s="25"/>
      <c r="GE196" s="25"/>
      <c r="GF196" s="25"/>
      <c r="GG196" s="25"/>
      <c r="GH196" s="25"/>
      <c r="GI196" s="25"/>
      <c r="GJ196" s="25"/>
      <c r="GK196" s="25"/>
      <c r="GL196" s="25"/>
      <c r="GM196" s="25"/>
      <c r="GN196" s="25"/>
      <c r="GO196" s="25"/>
      <c r="GP196" s="25"/>
      <c r="GQ196" s="25"/>
      <c r="GR196" s="25"/>
      <c r="GS196" s="25"/>
      <c r="GT196" s="25"/>
      <c r="GU196" s="25"/>
      <c r="GV196" s="25"/>
      <c r="GW196" s="25"/>
      <c r="GX196" s="25"/>
      <c r="GY196" s="25"/>
      <c r="GZ196" s="25"/>
      <c r="HA196" s="25"/>
      <c r="HB196" s="25"/>
      <c r="HC196" s="25"/>
      <c r="HD196" s="25"/>
      <c r="HE196" s="25"/>
      <c r="HF196" s="25"/>
      <c r="HG196" s="25"/>
      <c r="HH196" s="25"/>
      <c r="HI196" s="25"/>
      <c r="HJ196" s="25"/>
      <c r="HK196" s="25"/>
      <c r="HL196" s="25"/>
      <c r="HM196" s="25"/>
      <c r="HN196" s="25"/>
      <c r="HO196" s="25"/>
      <c r="HP196" s="25"/>
      <c r="HQ196" s="25"/>
      <c r="HR196" s="25"/>
      <c r="HS196" s="25"/>
      <c r="HT196" s="25"/>
      <c r="HU196" s="25"/>
      <c r="HV196" s="25"/>
      <c r="HW196" s="25"/>
      <c r="HX196" s="25"/>
      <c r="HY196" s="25"/>
      <c r="HZ196" s="25"/>
      <c r="IA196" s="25"/>
      <c r="IB196" s="25"/>
      <c r="IC196" s="25"/>
      <c r="ID196" s="25"/>
      <c r="IE196" s="25"/>
      <c r="IF196" s="25"/>
      <c r="IG196" s="25"/>
      <c r="IH196" s="25"/>
      <c r="II196" s="25"/>
      <c r="IJ196" s="25"/>
      <c r="IK196" s="25"/>
      <c r="IL196" s="25"/>
      <c r="IM196" s="25"/>
      <c r="IN196" s="25"/>
      <c r="IO196" s="25"/>
      <c r="IP196" s="25"/>
      <c r="IQ196" s="25"/>
      <c r="IR196" s="25"/>
      <c r="IS196" s="25"/>
      <c r="IT196" s="25"/>
      <c r="IU196" s="25"/>
      <c r="IV196" s="25"/>
      <c r="IW196" s="25"/>
      <c r="IX196" s="25"/>
      <c r="IY196" s="25"/>
      <c r="IZ196" s="25"/>
      <c r="JA196" s="25"/>
      <c r="JB196" s="25"/>
      <c r="JC196" s="25"/>
      <c r="JD196" s="25"/>
      <c r="JE196" s="25"/>
      <c r="JF196" s="25"/>
      <c r="JG196" s="25"/>
      <c r="JH196" s="25"/>
      <c r="JI196" s="25"/>
      <c r="JJ196" s="25"/>
      <c r="JK196" s="25"/>
      <c r="JL196" s="25"/>
      <c r="JM196" s="25"/>
      <c r="JN196" s="25"/>
    </row>
    <row r="197" spans="2:274" ht="20.25" customHeight="1" x14ac:dyDescent="0.25">
      <c r="B197" s="20"/>
      <c r="F197" s="21"/>
      <c r="G197" s="86" t="str" cm="1">
        <f t="array" aca="1" ref="G197" ca="1">IFERROR(INDEX(Panel_Rates[[1]:[12]],MATCH(Panel_New&amp;Category_New,Panel_Rates[Panel]&amp;Panel_Rates[Category],0),MATCH('Time Plan HY'!E197,OFFSET(Variable!$AF$2,MATCH(Panel_New&amp;Category_New,Panel_Rates[Panel]&amp;Panel_Rates[Category],0)-1,0,1,12),0))/8,"")</f>
        <v/>
      </c>
      <c r="H197" s="92"/>
      <c r="I197" s="88" t="str">
        <f t="shared" ca="1" si="169"/>
        <v/>
      </c>
      <c r="J197" s="89" t="str">
        <f t="shared" ca="1" si="170"/>
        <v/>
      </c>
      <c r="K197" s="90" t="str">
        <f>IFERROR(_xlfn.XLOOKUP(D197,CostTableLookup[Name],CostTableLookup[Gross Cost]),"")</f>
        <v/>
      </c>
      <c r="L197" s="22"/>
      <c r="M197" s="81" t="str">
        <f t="shared" ca="1" si="175"/>
        <v/>
      </c>
      <c r="N197" s="23"/>
      <c r="O197" s="81" t="str">
        <f t="shared" ca="1" si="176"/>
        <v/>
      </c>
      <c r="P197" s="81" t="str">
        <f t="shared" ca="1" si="171"/>
        <v/>
      </c>
      <c r="Q197" s="24" t="str">
        <f t="shared" si="172"/>
        <v/>
      </c>
      <c r="R197" s="110" t="str">
        <f t="shared" ca="1" si="177"/>
        <v/>
      </c>
      <c r="S197" s="114">
        <f t="shared" ref="S197" ca="1" si="187">IFERROR(SUM(OFFSET(Y197,0,MATCH(Forecast_New,$Y$3:$WQ$3,0)-1,1,500))*40,"")</f>
        <v>0</v>
      </c>
      <c r="T197" s="115">
        <f t="shared" ca="1" si="179"/>
        <v>0</v>
      </c>
      <c r="U197" s="116" t="str">
        <f t="shared" ca="1" si="131"/>
        <v/>
      </c>
      <c r="V197" s="99" t="str">
        <f t="shared" ca="1" si="132"/>
        <v/>
      </c>
      <c r="W197" s="100" t="str">
        <f t="shared" ca="1" si="180"/>
        <v/>
      </c>
      <c r="X197" s="83" t="str">
        <f t="shared" ca="1" si="181"/>
        <v/>
      </c>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5"/>
      <c r="EN197" s="25"/>
      <c r="EO197" s="25"/>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5"/>
      <c r="FT197" s="25"/>
      <c r="FU197" s="25"/>
      <c r="FV197" s="25"/>
      <c r="FW197" s="25"/>
      <c r="FX197" s="25"/>
      <c r="FY197" s="25"/>
      <c r="FZ197" s="25"/>
      <c r="GA197" s="25"/>
      <c r="GB197" s="25"/>
      <c r="GC197" s="25"/>
      <c r="GD197" s="25"/>
      <c r="GE197" s="25"/>
      <c r="GF197" s="25"/>
      <c r="GG197" s="25"/>
      <c r="GH197" s="25"/>
      <c r="GI197" s="25"/>
      <c r="GJ197" s="25"/>
      <c r="GK197" s="25"/>
      <c r="GL197" s="25"/>
      <c r="GM197" s="25"/>
      <c r="GN197" s="25"/>
      <c r="GO197" s="25"/>
      <c r="GP197" s="25"/>
      <c r="GQ197" s="25"/>
      <c r="GR197" s="25"/>
      <c r="GS197" s="25"/>
      <c r="GT197" s="25"/>
      <c r="GU197" s="25"/>
      <c r="GV197" s="25"/>
      <c r="GW197" s="25"/>
      <c r="GX197" s="25"/>
      <c r="GY197" s="25"/>
      <c r="GZ197" s="25"/>
      <c r="HA197" s="25"/>
      <c r="HB197" s="25"/>
      <c r="HC197" s="25"/>
      <c r="HD197" s="25"/>
      <c r="HE197" s="25"/>
      <c r="HF197" s="25"/>
      <c r="HG197" s="25"/>
      <c r="HH197" s="25"/>
      <c r="HI197" s="25"/>
      <c r="HJ197" s="25"/>
      <c r="HK197" s="25"/>
      <c r="HL197" s="25"/>
      <c r="HM197" s="25"/>
      <c r="HN197" s="25"/>
      <c r="HO197" s="25"/>
      <c r="HP197" s="25"/>
      <c r="HQ197" s="25"/>
      <c r="HR197" s="25"/>
      <c r="HS197" s="25"/>
      <c r="HT197" s="25"/>
      <c r="HU197" s="25"/>
      <c r="HV197" s="25"/>
      <c r="HW197" s="25"/>
      <c r="HX197" s="25"/>
      <c r="HY197" s="25"/>
      <c r="HZ197" s="25"/>
      <c r="IA197" s="25"/>
      <c r="IB197" s="25"/>
      <c r="IC197" s="25"/>
      <c r="ID197" s="25"/>
      <c r="IE197" s="25"/>
      <c r="IF197" s="25"/>
      <c r="IG197" s="25"/>
      <c r="IH197" s="25"/>
      <c r="II197" s="25"/>
      <c r="IJ197" s="25"/>
      <c r="IK197" s="25"/>
      <c r="IL197" s="25"/>
      <c r="IM197" s="25"/>
      <c r="IN197" s="25"/>
      <c r="IO197" s="25"/>
      <c r="IP197" s="25"/>
      <c r="IQ197" s="25"/>
      <c r="IR197" s="25"/>
      <c r="IS197" s="25"/>
      <c r="IT197" s="25"/>
      <c r="IU197" s="25"/>
      <c r="IV197" s="25"/>
      <c r="IW197" s="25"/>
      <c r="IX197" s="25"/>
      <c r="IY197" s="25"/>
      <c r="IZ197" s="25"/>
      <c r="JA197" s="25"/>
      <c r="JB197" s="25"/>
      <c r="JC197" s="25"/>
      <c r="JD197" s="25"/>
      <c r="JE197" s="25"/>
      <c r="JF197" s="25"/>
      <c r="JG197" s="25"/>
      <c r="JH197" s="25"/>
      <c r="JI197" s="25"/>
      <c r="JJ197" s="25"/>
      <c r="JK197" s="25"/>
      <c r="JL197" s="25"/>
      <c r="JM197" s="25"/>
      <c r="JN197" s="25"/>
    </row>
    <row r="198" spans="2:274" ht="20.25" customHeight="1" x14ac:dyDescent="0.25">
      <c r="B198" s="20"/>
      <c r="F198" s="21"/>
      <c r="G198" s="86" t="str" cm="1">
        <f t="array" aca="1" ref="G198" ca="1">IFERROR(INDEX(Panel_Rates[[1]:[12]],MATCH(Panel_New&amp;Category_New,Panel_Rates[Panel]&amp;Panel_Rates[Category],0),MATCH('Time Plan HY'!E198,OFFSET(Variable!$AF$2,MATCH(Panel_New&amp;Category_New,Panel_Rates[Panel]&amp;Panel_Rates[Category],0)-1,0,1,12),0))/8,"")</f>
        <v/>
      </c>
      <c r="H198" s="92"/>
      <c r="I198" s="88" t="str">
        <f t="shared" ca="1" si="169"/>
        <v/>
      </c>
      <c r="J198" s="89" t="str">
        <f t="shared" ca="1" si="170"/>
        <v/>
      </c>
      <c r="K198" s="90" t="str">
        <f>IFERROR(_xlfn.XLOOKUP(D198,CostTableLookup[Name],CostTableLookup[Gross Cost]),"")</f>
        <v/>
      </c>
      <c r="L198" s="22"/>
      <c r="M198" s="81" t="str">
        <f t="shared" ca="1" si="175"/>
        <v/>
      </c>
      <c r="N198" s="23"/>
      <c r="O198" s="81" t="str">
        <f t="shared" ca="1" si="176"/>
        <v/>
      </c>
      <c r="P198" s="81" t="str">
        <f t="shared" ca="1" si="171"/>
        <v/>
      </c>
      <c r="Q198" s="24" t="str">
        <f t="shared" si="172"/>
        <v/>
      </c>
      <c r="R198" s="110" t="str">
        <f t="shared" ca="1" si="177"/>
        <v/>
      </c>
      <c r="S198" s="114">
        <f t="shared" ref="S198" ca="1" si="188">IFERROR(SUM(OFFSET(Y198,0,MATCH(Forecast_New,$Y$3:$WQ$3,0)-1,1,500))*40,"")</f>
        <v>0</v>
      </c>
      <c r="T198" s="115">
        <f t="shared" ca="1" si="179"/>
        <v>0</v>
      </c>
      <c r="U198" s="116" t="str">
        <f t="shared" ca="1" si="131"/>
        <v/>
      </c>
      <c r="V198" s="99" t="str">
        <f t="shared" ca="1" si="132"/>
        <v/>
      </c>
      <c r="W198" s="100" t="str">
        <f t="shared" ca="1" si="180"/>
        <v/>
      </c>
      <c r="X198" s="83" t="str">
        <f t="shared" ca="1" si="181"/>
        <v/>
      </c>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25"/>
      <c r="EJ198" s="25"/>
      <c r="EK198" s="25"/>
      <c r="EL198" s="25"/>
      <c r="EM198" s="25"/>
      <c r="EN198" s="25"/>
      <c r="EO198" s="25"/>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c r="FL198" s="25"/>
      <c r="FM198" s="25"/>
      <c r="FN198" s="25"/>
      <c r="FO198" s="25"/>
      <c r="FP198" s="25"/>
      <c r="FQ198" s="25"/>
      <c r="FR198" s="25"/>
      <c r="FS198" s="25"/>
      <c r="FT198" s="25"/>
      <c r="FU198" s="25"/>
      <c r="FV198" s="25"/>
      <c r="FW198" s="25"/>
      <c r="FX198" s="25"/>
      <c r="FY198" s="25"/>
      <c r="FZ198" s="25"/>
      <c r="GA198" s="25"/>
      <c r="GB198" s="25"/>
      <c r="GC198" s="25"/>
      <c r="GD198" s="25"/>
      <c r="GE198" s="25"/>
      <c r="GF198" s="25"/>
      <c r="GG198" s="25"/>
      <c r="GH198" s="25"/>
      <c r="GI198" s="25"/>
      <c r="GJ198" s="25"/>
      <c r="GK198" s="25"/>
      <c r="GL198" s="25"/>
      <c r="GM198" s="25"/>
      <c r="GN198" s="25"/>
      <c r="GO198" s="25"/>
      <c r="GP198" s="25"/>
      <c r="GQ198" s="25"/>
      <c r="GR198" s="25"/>
      <c r="GS198" s="25"/>
      <c r="GT198" s="25"/>
      <c r="GU198" s="25"/>
      <c r="GV198" s="25"/>
      <c r="GW198" s="25"/>
      <c r="GX198" s="25"/>
      <c r="GY198" s="25"/>
      <c r="GZ198" s="25"/>
      <c r="HA198" s="25"/>
      <c r="HB198" s="25"/>
      <c r="HC198" s="25"/>
      <c r="HD198" s="25"/>
      <c r="HE198" s="25"/>
      <c r="HF198" s="25"/>
      <c r="HG198" s="25"/>
      <c r="HH198" s="25"/>
      <c r="HI198" s="25"/>
      <c r="HJ198" s="25"/>
      <c r="HK198" s="25"/>
      <c r="HL198" s="25"/>
      <c r="HM198" s="25"/>
      <c r="HN198" s="25"/>
      <c r="HO198" s="25"/>
      <c r="HP198" s="25"/>
      <c r="HQ198" s="25"/>
      <c r="HR198" s="25"/>
      <c r="HS198" s="25"/>
      <c r="HT198" s="25"/>
      <c r="HU198" s="25"/>
      <c r="HV198" s="25"/>
      <c r="HW198" s="25"/>
      <c r="HX198" s="25"/>
      <c r="HY198" s="25"/>
      <c r="HZ198" s="25"/>
      <c r="IA198" s="25"/>
      <c r="IB198" s="25"/>
      <c r="IC198" s="25"/>
      <c r="ID198" s="25"/>
      <c r="IE198" s="25"/>
      <c r="IF198" s="25"/>
      <c r="IG198" s="25"/>
      <c r="IH198" s="25"/>
      <c r="II198" s="25"/>
      <c r="IJ198" s="25"/>
      <c r="IK198" s="25"/>
      <c r="IL198" s="25"/>
      <c r="IM198" s="25"/>
      <c r="IN198" s="25"/>
      <c r="IO198" s="25"/>
      <c r="IP198" s="25"/>
      <c r="IQ198" s="25"/>
      <c r="IR198" s="25"/>
      <c r="IS198" s="25"/>
      <c r="IT198" s="25"/>
      <c r="IU198" s="25"/>
      <c r="IV198" s="25"/>
      <c r="IW198" s="25"/>
      <c r="IX198" s="25"/>
      <c r="IY198" s="25"/>
      <c r="IZ198" s="25"/>
      <c r="JA198" s="25"/>
      <c r="JB198" s="25"/>
      <c r="JC198" s="25"/>
      <c r="JD198" s="25"/>
      <c r="JE198" s="25"/>
      <c r="JF198" s="25"/>
      <c r="JG198" s="25"/>
      <c r="JH198" s="25"/>
      <c r="JI198" s="25"/>
      <c r="JJ198" s="25"/>
      <c r="JK198" s="25"/>
      <c r="JL198" s="25"/>
      <c r="JM198" s="25"/>
      <c r="JN198" s="25"/>
    </row>
    <row r="199" spans="2:274" ht="20.25" customHeight="1" x14ac:dyDescent="0.25">
      <c r="B199" s="20"/>
      <c r="F199" s="21"/>
      <c r="G199" s="86" t="str" cm="1">
        <f t="array" aca="1" ref="G199" ca="1">IFERROR(INDEX(Panel_Rates[[1]:[12]],MATCH(Panel_New&amp;Category_New,Panel_Rates[Panel]&amp;Panel_Rates[Category],0),MATCH('Time Plan HY'!E199,OFFSET(Variable!$AF$2,MATCH(Panel_New&amp;Category_New,Panel_Rates[Panel]&amp;Panel_Rates[Category],0)-1,0,1,12),0))/8,"")</f>
        <v/>
      </c>
      <c r="H199" s="92"/>
      <c r="I199" s="88" t="str">
        <f t="shared" ca="1" si="169"/>
        <v/>
      </c>
      <c r="J199" s="89" t="str">
        <f t="shared" ca="1" si="170"/>
        <v/>
      </c>
      <c r="K199" s="90" t="str">
        <f>IFERROR(_xlfn.XLOOKUP(D199,CostTableLookup[Name],CostTableLookup[Gross Cost]),"")</f>
        <v/>
      </c>
      <c r="L199" s="22"/>
      <c r="M199" s="81" t="str">
        <f t="shared" ca="1" si="175"/>
        <v/>
      </c>
      <c r="N199" s="23"/>
      <c r="O199" s="81" t="str">
        <f t="shared" ca="1" si="176"/>
        <v/>
      </c>
      <c r="P199" s="81" t="str">
        <f t="shared" ca="1" si="171"/>
        <v/>
      </c>
      <c r="Q199" s="24" t="str">
        <f t="shared" si="172"/>
        <v/>
      </c>
      <c r="R199" s="110" t="str">
        <f t="shared" ca="1" si="177"/>
        <v/>
      </c>
      <c r="S199" s="114">
        <f t="shared" ref="S199" ca="1" si="189">IFERROR(SUM(OFFSET(Y199,0,MATCH(Forecast_New,$Y$3:$WQ$3,0)-1,1,500))*40,"")</f>
        <v>0</v>
      </c>
      <c r="T199" s="115">
        <f t="shared" ca="1" si="179"/>
        <v>0</v>
      </c>
      <c r="U199" s="116" t="str">
        <f t="shared" ca="1" si="131"/>
        <v/>
      </c>
      <c r="V199" s="99" t="str">
        <f t="shared" ca="1" si="132"/>
        <v/>
      </c>
      <c r="W199" s="100" t="str">
        <f t="shared" ca="1" si="180"/>
        <v/>
      </c>
      <c r="X199" s="83" t="str">
        <f t="shared" ca="1" si="181"/>
        <v/>
      </c>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5"/>
      <c r="EN199" s="25"/>
      <c r="EO199" s="25"/>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c r="FL199" s="25"/>
      <c r="FM199" s="25"/>
      <c r="FN199" s="25"/>
      <c r="FO199" s="25"/>
      <c r="FP199" s="25"/>
      <c r="FQ199" s="25"/>
      <c r="FR199" s="25"/>
      <c r="FS199" s="25"/>
      <c r="FT199" s="25"/>
      <c r="FU199" s="25"/>
      <c r="FV199" s="25"/>
      <c r="FW199" s="25"/>
      <c r="FX199" s="25"/>
      <c r="FY199" s="25"/>
      <c r="FZ199" s="25"/>
      <c r="GA199" s="25"/>
      <c r="GB199" s="25"/>
      <c r="GC199" s="25"/>
      <c r="GD199" s="25"/>
      <c r="GE199" s="25"/>
      <c r="GF199" s="25"/>
      <c r="GG199" s="25"/>
      <c r="GH199" s="25"/>
      <c r="GI199" s="25"/>
      <c r="GJ199" s="25"/>
      <c r="GK199" s="25"/>
      <c r="GL199" s="25"/>
      <c r="GM199" s="25"/>
      <c r="GN199" s="25"/>
      <c r="GO199" s="25"/>
      <c r="GP199" s="25"/>
      <c r="GQ199" s="25"/>
      <c r="GR199" s="25"/>
      <c r="GS199" s="25"/>
      <c r="GT199" s="25"/>
      <c r="GU199" s="25"/>
      <c r="GV199" s="25"/>
      <c r="GW199" s="25"/>
      <c r="GX199" s="25"/>
      <c r="GY199" s="25"/>
      <c r="GZ199" s="25"/>
      <c r="HA199" s="25"/>
      <c r="HB199" s="25"/>
      <c r="HC199" s="25"/>
      <c r="HD199" s="25"/>
      <c r="HE199" s="25"/>
      <c r="HF199" s="25"/>
      <c r="HG199" s="25"/>
      <c r="HH199" s="25"/>
      <c r="HI199" s="25"/>
      <c r="HJ199" s="25"/>
      <c r="HK199" s="25"/>
      <c r="HL199" s="25"/>
      <c r="HM199" s="25"/>
      <c r="HN199" s="25"/>
      <c r="HO199" s="25"/>
      <c r="HP199" s="25"/>
      <c r="HQ199" s="25"/>
      <c r="HR199" s="25"/>
      <c r="HS199" s="25"/>
      <c r="HT199" s="25"/>
      <c r="HU199" s="25"/>
      <c r="HV199" s="25"/>
      <c r="HW199" s="25"/>
      <c r="HX199" s="25"/>
      <c r="HY199" s="25"/>
      <c r="HZ199" s="25"/>
      <c r="IA199" s="25"/>
      <c r="IB199" s="25"/>
      <c r="IC199" s="25"/>
      <c r="ID199" s="25"/>
      <c r="IE199" s="25"/>
      <c r="IF199" s="25"/>
      <c r="IG199" s="25"/>
      <c r="IH199" s="25"/>
      <c r="II199" s="25"/>
      <c r="IJ199" s="25"/>
      <c r="IK199" s="25"/>
      <c r="IL199" s="25"/>
      <c r="IM199" s="25"/>
      <c r="IN199" s="25"/>
      <c r="IO199" s="25"/>
      <c r="IP199" s="25"/>
      <c r="IQ199" s="25"/>
      <c r="IR199" s="25"/>
      <c r="IS199" s="25"/>
      <c r="IT199" s="25"/>
      <c r="IU199" s="25"/>
      <c r="IV199" s="25"/>
      <c r="IW199" s="25"/>
      <c r="IX199" s="25"/>
      <c r="IY199" s="25"/>
      <c r="IZ199" s="25"/>
      <c r="JA199" s="25"/>
      <c r="JB199" s="25"/>
      <c r="JC199" s="25"/>
      <c r="JD199" s="25"/>
      <c r="JE199" s="25"/>
      <c r="JF199" s="25"/>
      <c r="JG199" s="25"/>
      <c r="JH199" s="25"/>
      <c r="JI199" s="25"/>
      <c r="JJ199" s="25"/>
      <c r="JK199" s="25"/>
      <c r="JL199" s="25"/>
      <c r="JM199" s="25"/>
      <c r="JN199" s="25"/>
    </row>
    <row r="200" spans="2:274" ht="20.25" customHeight="1" x14ac:dyDescent="0.25">
      <c r="B200" s="20"/>
      <c r="F200" s="21"/>
      <c r="G200" s="86" t="str" cm="1">
        <f t="array" aca="1" ref="G200" ca="1">IFERROR(INDEX(Panel_Rates[[1]:[12]],MATCH(Panel_New&amp;Category_New,Panel_Rates[Panel]&amp;Panel_Rates[Category],0),MATCH('Time Plan HY'!E200,OFFSET(Variable!$AF$2,MATCH(Panel_New&amp;Category_New,Panel_Rates[Panel]&amp;Panel_Rates[Category],0)-1,0,1,12),0))/8,"")</f>
        <v/>
      </c>
      <c r="H200" s="92"/>
      <c r="I200" s="88" t="str">
        <f t="shared" ca="1" si="169"/>
        <v/>
      </c>
      <c r="J200" s="89" t="str">
        <f t="shared" ca="1" si="170"/>
        <v/>
      </c>
      <c r="K200" s="90" t="str">
        <f>IFERROR(_xlfn.XLOOKUP(D200,CostTableLookup[Name],CostTableLookup[Gross Cost]),"")</f>
        <v/>
      </c>
      <c r="L200" s="22"/>
      <c r="M200" s="81" t="str">
        <f t="shared" ca="1" si="175"/>
        <v/>
      </c>
      <c r="N200" s="23"/>
      <c r="O200" s="81" t="str">
        <f t="shared" ca="1" si="176"/>
        <v/>
      </c>
      <c r="P200" s="81" t="str">
        <f t="shared" ca="1" si="171"/>
        <v/>
      </c>
      <c r="Q200" s="24" t="str">
        <f t="shared" si="172"/>
        <v/>
      </c>
      <c r="R200" s="110" t="str">
        <f t="shared" ca="1" si="177"/>
        <v/>
      </c>
      <c r="S200" s="114">
        <f t="shared" ref="S200" ca="1" si="190">IFERROR(SUM(OFFSET(Y200,0,MATCH(Forecast_New,$Y$3:$WQ$3,0)-1,1,500))*40,"")</f>
        <v>0</v>
      </c>
      <c r="T200" s="115">
        <f t="shared" ca="1" si="179"/>
        <v>0</v>
      </c>
      <c r="U200" s="116" t="str">
        <f t="shared" ca="1" si="131"/>
        <v/>
      </c>
      <c r="V200" s="99" t="str">
        <f t="shared" ca="1" si="132"/>
        <v/>
      </c>
      <c r="W200" s="100" t="str">
        <f t="shared" ca="1" si="180"/>
        <v/>
      </c>
      <c r="X200" s="83" t="str">
        <f t="shared" ca="1" si="181"/>
        <v/>
      </c>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5"/>
      <c r="EN200" s="25"/>
      <c r="EO200" s="25"/>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c r="FL200" s="25"/>
      <c r="FM200" s="25"/>
      <c r="FN200" s="25"/>
      <c r="FO200" s="25"/>
      <c r="FP200" s="25"/>
      <c r="FQ200" s="25"/>
      <c r="FR200" s="25"/>
      <c r="FS200" s="25"/>
      <c r="FT200" s="25"/>
      <c r="FU200" s="25"/>
      <c r="FV200" s="25"/>
      <c r="FW200" s="25"/>
      <c r="FX200" s="25"/>
      <c r="FY200" s="25"/>
      <c r="FZ200" s="25"/>
      <c r="GA200" s="25"/>
      <c r="GB200" s="25"/>
      <c r="GC200" s="25"/>
      <c r="GD200" s="25"/>
      <c r="GE200" s="25"/>
      <c r="GF200" s="25"/>
      <c r="GG200" s="25"/>
      <c r="GH200" s="25"/>
      <c r="GI200" s="25"/>
      <c r="GJ200" s="25"/>
      <c r="GK200" s="25"/>
      <c r="GL200" s="25"/>
      <c r="GM200" s="25"/>
      <c r="GN200" s="25"/>
      <c r="GO200" s="25"/>
      <c r="GP200" s="25"/>
      <c r="GQ200" s="25"/>
      <c r="GR200" s="25"/>
      <c r="GS200" s="25"/>
      <c r="GT200" s="25"/>
      <c r="GU200" s="25"/>
      <c r="GV200" s="25"/>
      <c r="GW200" s="25"/>
      <c r="GX200" s="25"/>
      <c r="GY200" s="25"/>
      <c r="GZ200" s="25"/>
      <c r="HA200" s="25"/>
      <c r="HB200" s="25"/>
      <c r="HC200" s="25"/>
      <c r="HD200" s="25"/>
      <c r="HE200" s="25"/>
      <c r="HF200" s="25"/>
      <c r="HG200" s="25"/>
      <c r="HH200" s="25"/>
      <c r="HI200" s="25"/>
      <c r="HJ200" s="25"/>
      <c r="HK200" s="25"/>
      <c r="HL200" s="25"/>
      <c r="HM200" s="25"/>
      <c r="HN200" s="25"/>
      <c r="HO200" s="25"/>
      <c r="HP200" s="25"/>
      <c r="HQ200" s="25"/>
      <c r="HR200" s="25"/>
      <c r="HS200" s="25"/>
      <c r="HT200" s="25"/>
      <c r="HU200" s="25"/>
      <c r="HV200" s="25"/>
      <c r="HW200" s="25"/>
      <c r="HX200" s="25"/>
      <c r="HY200" s="25"/>
      <c r="HZ200" s="25"/>
      <c r="IA200" s="25"/>
      <c r="IB200" s="25"/>
      <c r="IC200" s="25"/>
      <c r="ID200" s="25"/>
      <c r="IE200" s="25"/>
      <c r="IF200" s="25"/>
      <c r="IG200" s="25"/>
      <c r="IH200" s="25"/>
      <c r="II200" s="25"/>
      <c r="IJ200" s="25"/>
      <c r="IK200" s="25"/>
      <c r="IL200" s="25"/>
      <c r="IM200" s="25"/>
      <c r="IN200" s="25"/>
      <c r="IO200" s="25"/>
      <c r="IP200" s="25"/>
      <c r="IQ200" s="25"/>
      <c r="IR200" s="25"/>
      <c r="IS200" s="25"/>
      <c r="IT200" s="25"/>
      <c r="IU200" s="25"/>
      <c r="IV200" s="25"/>
      <c r="IW200" s="25"/>
      <c r="IX200" s="25"/>
      <c r="IY200" s="25"/>
      <c r="IZ200" s="25"/>
      <c r="JA200" s="25"/>
      <c r="JB200" s="25"/>
      <c r="JC200" s="25"/>
      <c r="JD200" s="25"/>
      <c r="JE200" s="25"/>
      <c r="JF200" s="25"/>
      <c r="JG200" s="25"/>
      <c r="JH200" s="25"/>
      <c r="JI200" s="25"/>
      <c r="JJ200" s="25"/>
      <c r="JK200" s="25"/>
      <c r="JL200" s="25"/>
      <c r="JM200" s="25"/>
      <c r="JN200" s="25"/>
    </row>
    <row r="201" spans="2:274" ht="20.25" customHeight="1" x14ac:dyDescent="0.25">
      <c r="B201" s="20"/>
      <c r="F201" s="21"/>
      <c r="G201" s="86" t="str" cm="1">
        <f t="array" aca="1" ref="G201" ca="1">IFERROR(INDEX(Panel_Rates[[1]:[12]],MATCH(Panel_New&amp;Category_New,Panel_Rates[Panel]&amp;Panel_Rates[Category],0),MATCH('Time Plan HY'!E201,OFFSET(Variable!$AF$2,MATCH(Panel_New&amp;Category_New,Panel_Rates[Panel]&amp;Panel_Rates[Category],0)-1,0,1,12),0))/8,"")</f>
        <v/>
      </c>
      <c r="H201" s="92"/>
      <c r="I201" s="88" t="str">
        <f t="shared" ca="1" si="169"/>
        <v/>
      </c>
      <c r="J201" s="89" t="str">
        <f t="shared" ca="1" si="170"/>
        <v/>
      </c>
      <c r="K201" s="90" t="str">
        <f>IFERROR(_xlfn.XLOOKUP(D201,CostTableLookup[Name],CostTableLookup[Gross Cost]),"")</f>
        <v/>
      </c>
      <c r="L201" s="22"/>
      <c r="M201" s="81" t="str">
        <f t="shared" ca="1" si="175"/>
        <v/>
      </c>
      <c r="N201" s="23"/>
      <c r="O201" s="81" t="str">
        <f t="shared" ca="1" si="176"/>
        <v/>
      </c>
      <c r="P201" s="81" t="str">
        <f t="shared" ca="1" si="171"/>
        <v/>
      </c>
      <c r="Q201" s="24" t="str">
        <f t="shared" si="172"/>
        <v/>
      </c>
      <c r="R201" s="110" t="str">
        <f t="shared" ca="1" si="177"/>
        <v/>
      </c>
      <c r="S201" s="114">
        <f t="shared" ref="S201" ca="1" si="191">IFERROR(SUM(OFFSET(Y201,0,MATCH(Forecast_New,$Y$3:$WQ$3,0)-1,1,500))*40,"")</f>
        <v>0</v>
      </c>
      <c r="T201" s="115">
        <f t="shared" ca="1" si="179"/>
        <v>0</v>
      </c>
      <c r="U201" s="116" t="str">
        <f t="shared" ca="1" si="131"/>
        <v/>
      </c>
      <c r="V201" s="99" t="str">
        <f t="shared" ca="1" si="132"/>
        <v/>
      </c>
      <c r="W201" s="100" t="str">
        <f t="shared" ca="1" si="180"/>
        <v/>
      </c>
      <c r="X201" s="83" t="str">
        <f t="shared" ca="1" si="181"/>
        <v/>
      </c>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5"/>
      <c r="EN201" s="25"/>
      <c r="EO201" s="25"/>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c r="FL201" s="25"/>
      <c r="FM201" s="25"/>
      <c r="FN201" s="25"/>
      <c r="FO201" s="25"/>
      <c r="FP201" s="25"/>
      <c r="FQ201" s="25"/>
      <c r="FR201" s="25"/>
      <c r="FS201" s="25"/>
      <c r="FT201" s="25"/>
      <c r="FU201" s="25"/>
      <c r="FV201" s="25"/>
      <c r="FW201" s="25"/>
      <c r="FX201" s="25"/>
      <c r="FY201" s="25"/>
      <c r="FZ201" s="25"/>
      <c r="GA201" s="25"/>
      <c r="GB201" s="25"/>
      <c r="GC201" s="25"/>
      <c r="GD201" s="25"/>
      <c r="GE201" s="25"/>
      <c r="GF201" s="25"/>
      <c r="GG201" s="25"/>
      <c r="GH201" s="25"/>
      <c r="GI201" s="25"/>
      <c r="GJ201" s="25"/>
      <c r="GK201" s="25"/>
      <c r="GL201" s="25"/>
      <c r="GM201" s="25"/>
      <c r="GN201" s="25"/>
      <c r="GO201" s="25"/>
      <c r="GP201" s="25"/>
      <c r="GQ201" s="25"/>
      <c r="GR201" s="25"/>
      <c r="GS201" s="25"/>
      <c r="GT201" s="25"/>
      <c r="GU201" s="25"/>
      <c r="GV201" s="25"/>
      <c r="GW201" s="25"/>
      <c r="GX201" s="25"/>
      <c r="GY201" s="25"/>
      <c r="GZ201" s="25"/>
      <c r="HA201" s="25"/>
      <c r="HB201" s="25"/>
      <c r="HC201" s="25"/>
      <c r="HD201" s="25"/>
      <c r="HE201" s="25"/>
      <c r="HF201" s="25"/>
      <c r="HG201" s="25"/>
      <c r="HH201" s="25"/>
      <c r="HI201" s="25"/>
      <c r="HJ201" s="25"/>
      <c r="HK201" s="25"/>
      <c r="HL201" s="25"/>
      <c r="HM201" s="25"/>
      <c r="HN201" s="25"/>
      <c r="HO201" s="25"/>
      <c r="HP201" s="25"/>
      <c r="HQ201" s="25"/>
      <c r="HR201" s="25"/>
      <c r="HS201" s="25"/>
      <c r="HT201" s="25"/>
      <c r="HU201" s="25"/>
      <c r="HV201" s="25"/>
      <c r="HW201" s="25"/>
      <c r="HX201" s="25"/>
      <c r="HY201" s="25"/>
      <c r="HZ201" s="25"/>
      <c r="IA201" s="25"/>
      <c r="IB201" s="25"/>
      <c r="IC201" s="25"/>
      <c r="ID201" s="25"/>
      <c r="IE201" s="25"/>
      <c r="IF201" s="25"/>
      <c r="IG201" s="25"/>
      <c r="IH201" s="25"/>
      <c r="II201" s="25"/>
      <c r="IJ201" s="25"/>
      <c r="IK201" s="25"/>
      <c r="IL201" s="25"/>
      <c r="IM201" s="25"/>
      <c r="IN201" s="25"/>
      <c r="IO201" s="25"/>
      <c r="IP201" s="25"/>
      <c r="IQ201" s="25"/>
      <c r="IR201" s="25"/>
      <c r="IS201" s="25"/>
      <c r="IT201" s="25"/>
      <c r="IU201" s="25"/>
      <c r="IV201" s="25"/>
      <c r="IW201" s="25"/>
      <c r="IX201" s="25"/>
      <c r="IY201" s="25"/>
      <c r="IZ201" s="25"/>
      <c r="JA201" s="25"/>
      <c r="JB201" s="25"/>
      <c r="JC201" s="25"/>
      <c r="JD201" s="25"/>
      <c r="JE201" s="25"/>
      <c r="JF201" s="25"/>
      <c r="JG201" s="25"/>
      <c r="JH201" s="25"/>
      <c r="JI201" s="25"/>
      <c r="JJ201" s="25"/>
      <c r="JK201" s="25"/>
      <c r="JL201" s="25"/>
      <c r="JM201" s="25"/>
      <c r="JN201" s="25"/>
    </row>
    <row r="202" spans="2:274" ht="20.25" customHeight="1" x14ac:dyDescent="0.25">
      <c r="B202" s="20"/>
      <c r="F202" s="21"/>
      <c r="G202" s="86" t="str" cm="1">
        <f t="array" aca="1" ref="G202" ca="1">IFERROR(INDEX(Panel_Rates[[1]:[12]],MATCH(Panel_New&amp;Category_New,Panel_Rates[Panel]&amp;Panel_Rates[Category],0),MATCH('Time Plan HY'!E202,OFFSET(Variable!$AF$2,MATCH(Panel_New&amp;Category_New,Panel_Rates[Panel]&amp;Panel_Rates[Category],0)-1,0,1,12),0))/8,"")</f>
        <v/>
      </c>
      <c r="H202" s="92"/>
      <c r="I202" s="88" t="str">
        <f t="shared" ca="1" si="169"/>
        <v/>
      </c>
      <c r="J202" s="89" t="str">
        <f t="shared" ca="1" si="170"/>
        <v/>
      </c>
      <c r="K202" s="90" t="str">
        <f>IFERROR(_xlfn.XLOOKUP(D202,CostTableLookup[Name],CostTableLookup[Gross Cost]),"")</f>
        <v/>
      </c>
      <c r="L202" s="22"/>
      <c r="M202" s="81" t="str">
        <f t="shared" ca="1" si="175"/>
        <v/>
      </c>
      <c r="N202" s="23"/>
      <c r="O202" s="81" t="str">
        <f t="shared" ca="1" si="176"/>
        <v/>
      </c>
      <c r="P202" s="81" t="str">
        <f t="shared" ca="1" si="171"/>
        <v/>
      </c>
      <c r="Q202" s="24" t="str">
        <f t="shared" si="172"/>
        <v/>
      </c>
      <c r="R202" s="110" t="str">
        <f t="shared" ca="1" si="177"/>
        <v/>
      </c>
      <c r="S202" s="114">
        <f t="shared" ref="S202" ca="1" si="192">IFERROR(SUM(OFFSET(Y202,0,MATCH(Forecast_New,$Y$3:$WQ$3,0)-1,1,500))*40,"")</f>
        <v>0</v>
      </c>
      <c r="T202" s="115">
        <f t="shared" ca="1" si="179"/>
        <v>0</v>
      </c>
      <c r="U202" s="116" t="str">
        <f t="shared" ca="1" si="131"/>
        <v/>
      </c>
      <c r="V202" s="99" t="str">
        <f t="shared" ca="1" si="132"/>
        <v/>
      </c>
      <c r="W202" s="100" t="str">
        <f t="shared" ca="1" si="180"/>
        <v/>
      </c>
      <c r="X202" s="83" t="str">
        <f t="shared" ca="1" si="181"/>
        <v/>
      </c>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25"/>
      <c r="EJ202" s="25"/>
      <c r="EK202" s="25"/>
      <c r="EL202" s="25"/>
      <c r="EM202" s="25"/>
      <c r="EN202" s="25"/>
      <c r="EO202" s="25"/>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c r="FL202" s="25"/>
      <c r="FM202" s="25"/>
      <c r="FN202" s="25"/>
      <c r="FO202" s="25"/>
      <c r="FP202" s="25"/>
      <c r="FQ202" s="25"/>
      <c r="FR202" s="25"/>
      <c r="FS202" s="25"/>
      <c r="FT202" s="25"/>
      <c r="FU202" s="25"/>
      <c r="FV202" s="25"/>
      <c r="FW202" s="25"/>
      <c r="FX202" s="25"/>
      <c r="FY202" s="25"/>
      <c r="FZ202" s="25"/>
      <c r="GA202" s="25"/>
      <c r="GB202" s="25"/>
      <c r="GC202" s="25"/>
      <c r="GD202" s="25"/>
      <c r="GE202" s="25"/>
      <c r="GF202" s="25"/>
      <c r="GG202" s="25"/>
      <c r="GH202" s="25"/>
      <c r="GI202" s="25"/>
      <c r="GJ202" s="25"/>
      <c r="GK202" s="25"/>
      <c r="GL202" s="25"/>
      <c r="GM202" s="25"/>
      <c r="GN202" s="25"/>
      <c r="GO202" s="25"/>
      <c r="GP202" s="25"/>
      <c r="GQ202" s="25"/>
      <c r="GR202" s="25"/>
      <c r="GS202" s="25"/>
      <c r="GT202" s="25"/>
      <c r="GU202" s="25"/>
      <c r="GV202" s="25"/>
      <c r="GW202" s="25"/>
      <c r="GX202" s="25"/>
      <c r="GY202" s="25"/>
      <c r="GZ202" s="25"/>
      <c r="HA202" s="25"/>
      <c r="HB202" s="25"/>
      <c r="HC202" s="25"/>
      <c r="HD202" s="25"/>
      <c r="HE202" s="25"/>
      <c r="HF202" s="25"/>
      <c r="HG202" s="25"/>
      <c r="HH202" s="25"/>
      <c r="HI202" s="25"/>
      <c r="HJ202" s="25"/>
      <c r="HK202" s="25"/>
      <c r="HL202" s="25"/>
      <c r="HM202" s="25"/>
      <c r="HN202" s="25"/>
      <c r="HO202" s="25"/>
      <c r="HP202" s="25"/>
      <c r="HQ202" s="25"/>
      <c r="HR202" s="25"/>
      <c r="HS202" s="25"/>
      <c r="HT202" s="25"/>
      <c r="HU202" s="25"/>
      <c r="HV202" s="25"/>
      <c r="HW202" s="25"/>
      <c r="HX202" s="25"/>
      <c r="HY202" s="25"/>
      <c r="HZ202" s="25"/>
      <c r="IA202" s="25"/>
      <c r="IB202" s="25"/>
      <c r="IC202" s="25"/>
      <c r="ID202" s="25"/>
      <c r="IE202" s="25"/>
      <c r="IF202" s="25"/>
      <c r="IG202" s="25"/>
      <c r="IH202" s="25"/>
      <c r="II202" s="25"/>
      <c r="IJ202" s="25"/>
      <c r="IK202" s="25"/>
      <c r="IL202" s="25"/>
      <c r="IM202" s="25"/>
      <c r="IN202" s="25"/>
      <c r="IO202" s="25"/>
      <c r="IP202" s="25"/>
      <c r="IQ202" s="25"/>
      <c r="IR202" s="25"/>
      <c r="IS202" s="25"/>
      <c r="IT202" s="25"/>
      <c r="IU202" s="25"/>
      <c r="IV202" s="25"/>
      <c r="IW202" s="25"/>
      <c r="IX202" s="25"/>
      <c r="IY202" s="25"/>
      <c r="IZ202" s="25"/>
      <c r="JA202" s="25"/>
      <c r="JB202" s="25"/>
      <c r="JC202" s="25"/>
      <c r="JD202" s="25"/>
      <c r="JE202" s="25"/>
      <c r="JF202" s="25"/>
      <c r="JG202" s="25"/>
      <c r="JH202" s="25"/>
      <c r="JI202" s="25"/>
      <c r="JJ202" s="25"/>
      <c r="JK202" s="25"/>
      <c r="JL202" s="25"/>
      <c r="JM202" s="25"/>
      <c r="JN202" s="25"/>
    </row>
    <row r="203" spans="2:274" ht="20.25" customHeight="1" x14ac:dyDescent="0.25">
      <c r="B203" s="20"/>
      <c r="F203" s="21"/>
      <c r="G203" s="86" t="str" cm="1">
        <f t="array" aca="1" ref="G203" ca="1">IFERROR(INDEX(Panel_Rates[[1]:[12]],MATCH(Panel_New&amp;Category_New,Panel_Rates[Panel]&amp;Panel_Rates[Category],0),MATCH('Time Plan HY'!E203,OFFSET(Variable!$AF$2,MATCH(Panel_New&amp;Category_New,Panel_Rates[Panel]&amp;Panel_Rates[Category],0)-1,0,1,12),0))/8,"")</f>
        <v/>
      </c>
      <c r="H203" s="92"/>
      <c r="I203" s="88" t="str">
        <f t="shared" ca="1" si="169"/>
        <v/>
      </c>
      <c r="J203" s="89" t="str">
        <f t="shared" ca="1" si="170"/>
        <v/>
      </c>
      <c r="K203" s="90" t="str">
        <f>IFERROR(_xlfn.XLOOKUP(D203,CostTableLookup[Name],CostTableLookup[Gross Cost]),"")</f>
        <v/>
      </c>
      <c r="L203" s="22"/>
      <c r="M203" s="81" t="str">
        <f t="shared" ca="1" si="175"/>
        <v/>
      </c>
      <c r="N203" s="23"/>
      <c r="O203" s="81" t="str">
        <f t="shared" ca="1" si="176"/>
        <v/>
      </c>
      <c r="P203" s="81" t="str">
        <f t="shared" ca="1" si="171"/>
        <v/>
      </c>
      <c r="Q203" s="24" t="str">
        <f t="shared" si="172"/>
        <v/>
      </c>
      <c r="R203" s="110" t="str">
        <f t="shared" ca="1" si="177"/>
        <v/>
      </c>
      <c r="S203" s="114">
        <f t="shared" ref="S203" ca="1" si="193">IFERROR(SUM(OFFSET(Y203,0,MATCH(Forecast_New,$Y$3:$WQ$3,0)-1,1,500))*40,"")</f>
        <v>0</v>
      </c>
      <c r="T203" s="115">
        <f t="shared" ca="1" si="179"/>
        <v>0</v>
      </c>
      <c r="U203" s="116" t="str">
        <f t="shared" ca="1" si="131"/>
        <v/>
      </c>
      <c r="V203" s="99" t="str">
        <f t="shared" ca="1" si="132"/>
        <v/>
      </c>
      <c r="W203" s="100" t="str">
        <f t="shared" ca="1" si="180"/>
        <v/>
      </c>
      <c r="X203" s="83" t="str">
        <f t="shared" ca="1" si="181"/>
        <v/>
      </c>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25"/>
      <c r="EJ203" s="25"/>
      <c r="EK203" s="25"/>
      <c r="EL203" s="25"/>
      <c r="EM203" s="25"/>
      <c r="EN203" s="25"/>
      <c r="EO203" s="25"/>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c r="FL203" s="25"/>
      <c r="FM203" s="25"/>
      <c r="FN203" s="25"/>
      <c r="FO203" s="25"/>
      <c r="FP203" s="25"/>
      <c r="FQ203" s="25"/>
      <c r="FR203" s="25"/>
      <c r="FS203" s="25"/>
      <c r="FT203" s="25"/>
      <c r="FU203" s="25"/>
      <c r="FV203" s="25"/>
      <c r="FW203" s="25"/>
      <c r="FX203" s="25"/>
      <c r="FY203" s="25"/>
      <c r="FZ203" s="25"/>
      <c r="GA203" s="25"/>
      <c r="GB203" s="25"/>
      <c r="GC203" s="25"/>
      <c r="GD203" s="25"/>
      <c r="GE203" s="25"/>
      <c r="GF203" s="25"/>
      <c r="GG203" s="25"/>
      <c r="GH203" s="25"/>
      <c r="GI203" s="25"/>
      <c r="GJ203" s="25"/>
      <c r="GK203" s="25"/>
      <c r="GL203" s="25"/>
      <c r="GM203" s="25"/>
      <c r="GN203" s="25"/>
      <c r="GO203" s="25"/>
      <c r="GP203" s="25"/>
      <c r="GQ203" s="25"/>
      <c r="GR203" s="25"/>
      <c r="GS203" s="25"/>
      <c r="GT203" s="25"/>
      <c r="GU203" s="25"/>
      <c r="GV203" s="25"/>
      <c r="GW203" s="25"/>
      <c r="GX203" s="25"/>
      <c r="GY203" s="25"/>
      <c r="GZ203" s="25"/>
      <c r="HA203" s="25"/>
      <c r="HB203" s="25"/>
      <c r="HC203" s="25"/>
      <c r="HD203" s="25"/>
      <c r="HE203" s="25"/>
      <c r="HF203" s="25"/>
      <c r="HG203" s="25"/>
      <c r="HH203" s="25"/>
      <c r="HI203" s="25"/>
      <c r="HJ203" s="25"/>
      <c r="HK203" s="25"/>
      <c r="HL203" s="25"/>
      <c r="HM203" s="25"/>
      <c r="HN203" s="25"/>
      <c r="HO203" s="25"/>
      <c r="HP203" s="25"/>
      <c r="HQ203" s="25"/>
      <c r="HR203" s="25"/>
      <c r="HS203" s="25"/>
      <c r="HT203" s="25"/>
      <c r="HU203" s="25"/>
      <c r="HV203" s="25"/>
      <c r="HW203" s="25"/>
      <c r="HX203" s="25"/>
      <c r="HY203" s="25"/>
      <c r="HZ203" s="25"/>
      <c r="IA203" s="25"/>
      <c r="IB203" s="25"/>
      <c r="IC203" s="25"/>
      <c r="ID203" s="25"/>
      <c r="IE203" s="25"/>
      <c r="IF203" s="25"/>
      <c r="IG203" s="25"/>
      <c r="IH203" s="25"/>
      <c r="II203" s="25"/>
      <c r="IJ203" s="25"/>
      <c r="IK203" s="25"/>
      <c r="IL203" s="25"/>
      <c r="IM203" s="25"/>
      <c r="IN203" s="25"/>
      <c r="IO203" s="25"/>
      <c r="IP203" s="25"/>
      <c r="IQ203" s="25"/>
      <c r="IR203" s="25"/>
      <c r="IS203" s="25"/>
      <c r="IT203" s="25"/>
      <c r="IU203" s="25"/>
      <c r="IV203" s="25"/>
      <c r="IW203" s="25"/>
      <c r="IX203" s="25"/>
      <c r="IY203" s="25"/>
      <c r="IZ203" s="25"/>
      <c r="JA203" s="25"/>
      <c r="JB203" s="25"/>
      <c r="JC203" s="25"/>
      <c r="JD203" s="25"/>
      <c r="JE203" s="25"/>
      <c r="JF203" s="25"/>
      <c r="JG203" s="25"/>
      <c r="JH203" s="25"/>
      <c r="JI203" s="25"/>
      <c r="JJ203" s="25"/>
      <c r="JK203" s="25"/>
      <c r="JL203" s="25"/>
      <c r="JM203" s="25"/>
      <c r="JN203" s="25"/>
    </row>
    <row r="204" spans="2:274" ht="20.25" customHeight="1" x14ac:dyDescent="0.25">
      <c r="B204" s="20"/>
      <c r="F204" s="21"/>
      <c r="G204" s="86" t="str" cm="1">
        <f t="array" aca="1" ref="G204" ca="1">IFERROR(INDEX(Panel_Rates[[1]:[12]],MATCH(Panel_New&amp;Category_New,Panel_Rates[Panel]&amp;Panel_Rates[Category],0),MATCH('Time Plan HY'!E204,OFFSET(Variable!$AF$2,MATCH(Panel_New&amp;Category_New,Panel_Rates[Panel]&amp;Panel_Rates[Category],0)-1,0,1,12),0))/8,"")</f>
        <v/>
      </c>
      <c r="H204" s="92"/>
      <c r="I204" s="88" t="str">
        <f t="shared" ca="1" si="169"/>
        <v/>
      </c>
      <c r="J204" s="89" t="str">
        <f t="shared" ca="1" si="170"/>
        <v/>
      </c>
      <c r="K204" s="90" t="str">
        <f>IFERROR(_xlfn.XLOOKUP(D204,CostTableLookup[Name],CostTableLookup[Gross Cost]),"")</f>
        <v/>
      </c>
      <c r="L204" s="22"/>
      <c r="M204" s="81" t="str">
        <f t="shared" ca="1" si="175"/>
        <v/>
      </c>
      <c r="N204" s="23"/>
      <c r="O204" s="81" t="str">
        <f t="shared" ca="1" si="176"/>
        <v/>
      </c>
      <c r="P204" s="81" t="str">
        <f t="shared" ca="1" si="171"/>
        <v/>
      </c>
      <c r="Q204" s="24" t="str">
        <f t="shared" si="172"/>
        <v/>
      </c>
      <c r="R204" s="110" t="str">
        <f t="shared" ca="1" si="177"/>
        <v/>
      </c>
      <c r="S204" s="114">
        <f t="shared" ref="S204" ca="1" si="194">IFERROR(SUM(OFFSET(Y204,0,MATCH(Forecast_New,$Y$3:$WQ$3,0)-1,1,500))*40,"")</f>
        <v>0</v>
      </c>
      <c r="T204" s="115">
        <f t="shared" ca="1" si="179"/>
        <v>0</v>
      </c>
      <c r="U204" s="116" t="str">
        <f t="shared" ca="1" si="131"/>
        <v/>
      </c>
      <c r="V204" s="99" t="str">
        <f t="shared" ca="1" si="132"/>
        <v/>
      </c>
      <c r="W204" s="100" t="str">
        <f t="shared" ca="1" si="180"/>
        <v/>
      </c>
      <c r="X204" s="83" t="str">
        <f t="shared" ca="1" si="181"/>
        <v/>
      </c>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25"/>
      <c r="EJ204" s="25"/>
      <c r="EK204" s="25"/>
      <c r="EL204" s="25"/>
      <c r="EM204" s="25"/>
      <c r="EN204" s="25"/>
      <c r="EO204" s="25"/>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c r="FL204" s="25"/>
      <c r="FM204" s="25"/>
      <c r="FN204" s="25"/>
      <c r="FO204" s="25"/>
      <c r="FP204" s="25"/>
      <c r="FQ204" s="25"/>
      <c r="FR204" s="25"/>
      <c r="FS204" s="25"/>
      <c r="FT204" s="25"/>
      <c r="FU204" s="25"/>
      <c r="FV204" s="25"/>
      <c r="FW204" s="25"/>
      <c r="FX204" s="25"/>
      <c r="FY204" s="25"/>
      <c r="FZ204" s="25"/>
      <c r="GA204" s="25"/>
      <c r="GB204" s="25"/>
      <c r="GC204" s="25"/>
      <c r="GD204" s="25"/>
      <c r="GE204" s="25"/>
      <c r="GF204" s="25"/>
      <c r="GG204" s="25"/>
      <c r="GH204" s="25"/>
      <c r="GI204" s="25"/>
      <c r="GJ204" s="25"/>
      <c r="GK204" s="25"/>
      <c r="GL204" s="25"/>
      <c r="GM204" s="25"/>
      <c r="GN204" s="25"/>
      <c r="GO204" s="25"/>
      <c r="GP204" s="25"/>
      <c r="GQ204" s="25"/>
      <c r="GR204" s="25"/>
      <c r="GS204" s="25"/>
      <c r="GT204" s="25"/>
      <c r="GU204" s="25"/>
      <c r="GV204" s="25"/>
      <c r="GW204" s="25"/>
      <c r="GX204" s="25"/>
      <c r="GY204" s="25"/>
      <c r="GZ204" s="25"/>
      <c r="HA204" s="25"/>
      <c r="HB204" s="25"/>
      <c r="HC204" s="25"/>
      <c r="HD204" s="25"/>
      <c r="HE204" s="25"/>
      <c r="HF204" s="25"/>
      <c r="HG204" s="25"/>
      <c r="HH204" s="25"/>
      <c r="HI204" s="25"/>
      <c r="HJ204" s="25"/>
      <c r="HK204" s="25"/>
      <c r="HL204" s="25"/>
      <c r="HM204" s="25"/>
      <c r="HN204" s="25"/>
      <c r="HO204" s="25"/>
      <c r="HP204" s="25"/>
      <c r="HQ204" s="25"/>
      <c r="HR204" s="25"/>
      <c r="HS204" s="25"/>
      <c r="HT204" s="25"/>
      <c r="HU204" s="25"/>
      <c r="HV204" s="25"/>
      <c r="HW204" s="25"/>
      <c r="HX204" s="25"/>
      <c r="HY204" s="25"/>
      <c r="HZ204" s="25"/>
      <c r="IA204" s="25"/>
      <c r="IB204" s="25"/>
      <c r="IC204" s="25"/>
      <c r="ID204" s="25"/>
      <c r="IE204" s="25"/>
      <c r="IF204" s="25"/>
      <c r="IG204" s="25"/>
      <c r="IH204" s="25"/>
      <c r="II204" s="25"/>
      <c r="IJ204" s="25"/>
      <c r="IK204" s="25"/>
      <c r="IL204" s="25"/>
      <c r="IM204" s="25"/>
      <c r="IN204" s="25"/>
      <c r="IO204" s="25"/>
      <c r="IP204" s="25"/>
      <c r="IQ204" s="25"/>
      <c r="IR204" s="25"/>
      <c r="IS204" s="25"/>
      <c r="IT204" s="25"/>
      <c r="IU204" s="25"/>
      <c r="IV204" s="25"/>
      <c r="IW204" s="25"/>
      <c r="IX204" s="25"/>
      <c r="IY204" s="25"/>
      <c r="IZ204" s="25"/>
      <c r="JA204" s="25"/>
      <c r="JB204" s="25"/>
      <c r="JC204" s="25"/>
      <c r="JD204" s="25"/>
      <c r="JE204" s="25"/>
      <c r="JF204" s="25"/>
      <c r="JG204" s="25"/>
      <c r="JH204" s="25"/>
      <c r="JI204" s="25"/>
      <c r="JJ204" s="25"/>
      <c r="JK204" s="25"/>
      <c r="JL204" s="25"/>
      <c r="JM204" s="25"/>
      <c r="JN204" s="25"/>
    </row>
    <row r="205" spans="2:274" ht="20.25" customHeight="1" x14ac:dyDescent="0.25">
      <c r="B205" s="20"/>
      <c r="F205" s="21"/>
      <c r="G205" s="86" t="str" cm="1">
        <f t="array" aca="1" ref="G205" ca="1">IFERROR(INDEX(Panel_Rates[[1]:[12]],MATCH(Panel_New&amp;Category_New,Panel_Rates[Panel]&amp;Panel_Rates[Category],0),MATCH('Time Plan HY'!E205,OFFSET(Variable!$AF$2,MATCH(Panel_New&amp;Category_New,Panel_Rates[Panel]&amp;Panel_Rates[Category],0)-1,0,1,12),0))/8,"")</f>
        <v/>
      </c>
      <c r="H205" s="92"/>
      <c r="I205" s="88" t="str">
        <f t="shared" ca="1" si="169"/>
        <v/>
      </c>
      <c r="J205" s="89" t="str">
        <f t="shared" ca="1" si="170"/>
        <v/>
      </c>
      <c r="K205" s="90" t="str">
        <f>IFERROR(_xlfn.XLOOKUP(D205,CostTableLookup[Name],CostTableLookup[Gross Cost]),"")</f>
        <v/>
      </c>
      <c r="L205" s="22"/>
      <c r="M205" s="81" t="str">
        <f t="shared" ca="1" si="175"/>
        <v/>
      </c>
      <c r="N205" s="23"/>
      <c r="O205" s="81" t="str">
        <f t="shared" ca="1" si="176"/>
        <v/>
      </c>
      <c r="P205" s="81" t="str">
        <f t="shared" ca="1" si="171"/>
        <v/>
      </c>
      <c r="Q205" s="24" t="str">
        <f t="shared" si="172"/>
        <v/>
      </c>
      <c r="R205" s="110" t="str">
        <f t="shared" ca="1" si="177"/>
        <v/>
      </c>
      <c r="S205" s="114">
        <f t="shared" ref="S205" ca="1" si="195">IFERROR(SUM(OFFSET(Y205,0,MATCH(Forecast_New,$Y$3:$WQ$3,0)-1,1,500))*40,"")</f>
        <v>0</v>
      </c>
      <c r="T205" s="115">
        <f t="shared" ca="1" si="179"/>
        <v>0</v>
      </c>
      <c r="U205" s="116" t="str">
        <f t="shared" ca="1" si="131"/>
        <v/>
      </c>
      <c r="V205" s="99" t="str">
        <f t="shared" ca="1" si="132"/>
        <v/>
      </c>
      <c r="W205" s="100" t="str">
        <f t="shared" ca="1" si="180"/>
        <v/>
      </c>
      <c r="X205" s="83" t="str">
        <f t="shared" ca="1" si="181"/>
        <v/>
      </c>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25"/>
      <c r="EJ205" s="25"/>
      <c r="EK205" s="25"/>
      <c r="EL205" s="25"/>
      <c r="EM205" s="25"/>
      <c r="EN205" s="25"/>
      <c r="EO205" s="25"/>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c r="FL205" s="25"/>
      <c r="FM205" s="25"/>
      <c r="FN205" s="25"/>
      <c r="FO205" s="25"/>
      <c r="FP205" s="25"/>
      <c r="FQ205" s="25"/>
      <c r="FR205" s="25"/>
      <c r="FS205" s="25"/>
      <c r="FT205" s="25"/>
      <c r="FU205" s="25"/>
      <c r="FV205" s="25"/>
      <c r="FW205" s="25"/>
      <c r="FX205" s="25"/>
      <c r="FY205" s="25"/>
      <c r="FZ205" s="25"/>
      <c r="GA205" s="25"/>
      <c r="GB205" s="25"/>
      <c r="GC205" s="25"/>
      <c r="GD205" s="25"/>
      <c r="GE205" s="25"/>
      <c r="GF205" s="25"/>
      <c r="GG205" s="25"/>
      <c r="GH205" s="25"/>
      <c r="GI205" s="25"/>
      <c r="GJ205" s="25"/>
      <c r="GK205" s="25"/>
      <c r="GL205" s="25"/>
      <c r="GM205" s="25"/>
      <c r="GN205" s="25"/>
      <c r="GO205" s="25"/>
      <c r="GP205" s="25"/>
      <c r="GQ205" s="25"/>
      <c r="GR205" s="25"/>
      <c r="GS205" s="25"/>
      <c r="GT205" s="25"/>
      <c r="GU205" s="25"/>
      <c r="GV205" s="25"/>
      <c r="GW205" s="25"/>
      <c r="GX205" s="25"/>
      <c r="GY205" s="25"/>
      <c r="GZ205" s="25"/>
      <c r="HA205" s="25"/>
      <c r="HB205" s="25"/>
      <c r="HC205" s="25"/>
      <c r="HD205" s="25"/>
      <c r="HE205" s="25"/>
      <c r="HF205" s="25"/>
      <c r="HG205" s="25"/>
      <c r="HH205" s="25"/>
      <c r="HI205" s="25"/>
      <c r="HJ205" s="25"/>
      <c r="HK205" s="25"/>
      <c r="HL205" s="25"/>
      <c r="HM205" s="25"/>
      <c r="HN205" s="25"/>
      <c r="HO205" s="25"/>
      <c r="HP205" s="25"/>
      <c r="HQ205" s="25"/>
      <c r="HR205" s="25"/>
      <c r="HS205" s="25"/>
      <c r="HT205" s="25"/>
      <c r="HU205" s="25"/>
      <c r="HV205" s="25"/>
      <c r="HW205" s="25"/>
      <c r="HX205" s="25"/>
      <c r="HY205" s="25"/>
      <c r="HZ205" s="25"/>
      <c r="IA205" s="25"/>
      <c r="IB205" s="25"/>
      <c r="IC205" s="25"/>
      <c r="ID205" s="25"/>
      <c r="IE205" s="25"/>
      <c r="IF205" s="25"/>
      <c r="IG205" s="25"/>
      <c r="IH205" s="25"/>
      <c r="II205" s="25"/>
      <c r="IJ205" s="25"/>
      <c r="IK205" s="25"/>
      <c r="IL205" s="25"/>
      <c r="IM205" s="25"/>
      <c r="IN205" s="25"/>
      <c r="IO205" s="25"/>
      <c r="IP205" s="25"/>
      <c r="IQ205" s="25"/>
      <c r="IR205" s="25"/>
      <c r="IS205" s="25"/>
      <c r="IT205" s="25"/>
      <c r="IU205" s="25"/>
      <c r="IV205" s="25"/>
      <c r="IW205" s="25"/>
      <c r="IX205" s="25"/>
      <c r="IY205" s="25"/>
      <c r="IZ205" s="25"/>
      <c r="JA205" s="25"/>
      <c r="JB205" s="25"/>
      <c r="JC205" s="25"/>
      <c r="JD205" s="25"/>
      <c r="JE205" s="25"/>
      <c r="JF205" s="25"/>
      <c r="JG205" s="25"/>
      <c r="JH205" s="25"/>
      <c r="JI205" s="25"/>
      <c r="JJ205" s="25"/>
      <c r="JK205" s="25"/>
      <c r="JL205" s="25"/>
      <c r="JM205" s="25"/>
      <c r="JN205" s="25"/>
    </row>
    <row r="206" spans="2:274" ht="20.25" customHeight="1" x14ac:dyDescent="0.25">
      <c r="B206" s="20"/>
      <c r="F206" s="21"/>
      <c r="G206" s="86" t="str" cm="1">
        <f t="array" aca="1" ref="G206" ca="1">IFERROR(INDEX(Panel_Rates[[1]:[12]],MATCH(Panel_New&amp;Category_New,Panel_Rates[Panel]&amp;Panel_Rates[Category],0),MATCH('Time Plan HY'!E206,OFFSET(Variable!$AF$2,MATCH(Panel_New&amp;Category_New,Panel_Rates[Panel]&amp;Panel_Rates[Category],0)-1,0,1,12),0))/8,"")</f>
        <v/>
      </c>
      <c r="H206" s="92"/>
      <c r="I206" s="88" t="str">
        <f t="shared" ca="1" si="169"/>
        <v/>
      </c>
      <c r="J206" s="89" t="str">
        <f t="shared" ca="1" si="170"/>
        <v/>
      </c>
      <c r="K206" s="90" t="str">
        <f>IFERROR(_xlfn.XLOOKUP(D206,CostTableLookup[Name],CostTableLookup[Gross Cost]),"")</f>
        <v/>
      </c>
      <c r="L206" s="22"/>
      <c r="M206" s="81" t="str">
        <f t="shared" ca="1" si="175"/>
        <v/>
      </c>
      <c r="N206" s="23"/>
      <c r="O206" s="81" t="str">
        <f t="shared" ca="1" si="176"/>
        <v/>
      </c>
      <c r="P206" s="81" t="str">
        <f t="shared" ca="1" si="171"/>
        <v/>
      </c>
      <c r="Q206" s="24" t="str">
        <f t="shared" si="172"/>
        <v/>
      </c>
      <c r="R206" s="110" t="str">
        <f t="shared" ca="1" si="177"/>
        <v/>
      </c>
      <c r="S206" s="114">
        <f t="shared" ref="S206" ca="1" si="196">IFERROR(SUM(OFFSET(Y206,0,MATCH(Forecast_New,$Y$3:$WQ$3,0)-1,1,500))*40,"")</f>
        <v>0</v>
      </c>
      <c r="T206" s="115">
        <f t="shared" ca="1" si="179"/>
        <v>0</v>
      </c>
      <c r="U206" s="116" t="str">
        <f t="shared" ca="1" si="131"/>
        <v/>
      </c>
      <c r="V206" s="99" t="str">
        <f t="shared" ca="1" si="132"/>
        <v/>
      </c>
      <c r="W206" s="100" t="str">
        <f t="shared" ca="1" si="180"/>
        <v/>
      </c>
      <c r="X206" s="83" t="str">
        <f t="shared" ca="1" si="181"/>
        <v/>
      </c>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25"/>
      <c r="EJ206" s="25"/>
      <c r="EK206" s="25"/>
      <c r="EL206" s="25"/>
      <c r="EM206" s="25"/>
      <c r="EN206" s="25"/>
      <c r="EO206" s="25"/>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c r="FL206" s="25"/>
      <c r="FM206" s="25"/>
      <c r="FN206" s="25"/>
      <c r="FO206" s="25"/>
      <c r="FP206" s="25"/>
      <c r="FQ206" s="25"/>
      <c r="FR206" s="25"/>
      <c r="FS206" s="25"/>
      <c r="FT206" s="25"/>
      <c r="FU206" s="25"/>
      <c r="FV206" s="25"/>
      <c r="FW206" s="25"/>
      <c r="FX206" s="25"/>
      <c r="FY206" s="25"/>
      <c r="FZ206" s="25"/>
      <c r="GA206" s="25"/>
      <c r="GB206" s="25"/>
      <c r="GC206" s="25"/>
      <c r="GD206" s="25"/>
      <c r="GE206" s="25"/>
      <c r="GF206" s="25"/>
      <c r="GG206" s="25"/>
      <c r="GH206" s="25"/>
      <c r="GI206" s="25"/>
      <c r="GJ206" s="25"/>
      <c r="GK206" s="25"/>
      <c r="GL206" s="25"/>
      <c r="GM206" s="25"/>
      <c r="GN206" s="25"/>
      <c r="GO206" s="25"/>
      <c r="GP206" s="25"/>
      <c r="GQ206" s="25"/>
      <c r="GR206" s="25"/>
      <c r="GS206" s="25"/>
      <c r="GT206" s="25"/>
      <c r="GU206" s="25"/>
      <c r="GV206" s="25"/>
      <c r="GW206" s="25"/>
      <c r="GX206" s="25"/>
      <c r="GY206" s="25"/>
      <c r="GZ206" s="25"/>
      <c r="HA206" s="25"/>
      <c r="HB206" s="25"/>
      <c r="HC206" s="25"/>
      <c r="HD206" s="25"/>
      <c r="HE206" s="25"/>
      <c r="HF206" s="25"/>
      <c r="HG206" s="25"/>
      <c r="HH206" s="25"/>
      <c r="HI206" s="25"/>
      <c r="HJ206" s="25"/>
      <c r="HK206" s="25"/>
      <c r="HL206" s="25"/>
      <c r="HM206" s="25"/>
      <c r="HN206" s="25"/>
      <c r="HO206" s="25"/>
      <c r="HP206" s="25"/>
      <c r="HQ206" s="25"/>
      <c r="HR206" s="25"/>
      <c r="HS206" s="25"/>
      <c r="HT206" s="25"/>
      <c r="HU206" s="25"/>
      <c r="HV206" s="25"/>
      <c r="HW206" s="25"/>
      <c r="HX206" s="25"/>
      <c r="HY206" s="25"/>
      <c r="HZ206" s="25"/>
      <c r="IA206" s="25"/>
      <c r="IB206" s="25"/>
      <c r="IC206" s="25"/>
      <c r="ID206" s="25"/>
      <c r="IE206" s="25"/>
      <c r="IF206" s="25"/>
      <c r="IG206" s="25"/>
      <c r="IH206" s="25"/>
      <c r="II206" s="25"/>
      <c r="IJ206" s="25"/>
      <c r="IK206" s="25"/>
      <c r="IL206" s="25"/>
      <c r="IM206" s="25"/>
      <c r="IN206" s="25"/>
      <c r="IO206" s="25"/>
      <c r="IP206" s="25"/>
      <c r="IQ206" s="25"/>
      <c r="IR206" s="25"/>
      <c r="IS206" s="25"/>
      <c r="IT206" s="25"/>
      <c r="IU206" s="25"/>
      <c r="IV206" s="25"/>
      <c r="IW206" s="25"/>
      <c r="IX206" s="25"/>
      <c r="IY206" s="25"/>
      <c r="IZ206" s="25"/>
      <c r="JA206" s="25"/>
      <c r="JB206" s="25"/>
      <c r="JC206" s="25"/>
      <c r="JD206" s="25"/>
      <c r="JE206" s="25"/>
      <c r="JF206" s="25"/>
      <c r="JG206" s="25"/>
      <c r="JH206" s="25"/>
      <c r="JI206" s="25"/>
      <c r="JJ206" s="25"/>
      <c r="JK206" s="25"/>
      <c r="JL206" s="25"/>
      <c r="JM206" s="25"/>
      <c r="JN206" s="25"/>
    </row>
    <row r="207" spans="2:274" ht="20.25" customHeight="1" x14ac:dyDescent="0.25">
      <c r="B207" s="20"/>
      <c r="F207" s="21"/>
      <c r="G207" s="86" t="str" cm="1">
        <f t="array" aca="1" ref="G207" ca="1">IFERROR(INDEX(Panel_Rates[[1]:[12]],MATCH(Panel_New&amp;Category_New,Panel_Rates[Panel]&amp;Panel_Rates[Category],0),MATCH('Time Plan HY'!E207,OFFSET(Variable!$AF$2,MATCH(Panel_New&amp;Category_New,Panel_Rates[Panel]&amp;Panel_Rates[Category],0)-1,0,1,12),0))/8,"")</f>
        <v/>
      </c>
      <c r="H207" s="92"/>
      <c r="I207" s="88" t="str">
        <f t="shared" ca="1" si="169"/>
        <v/>
      </c>
      <c r="J207" s="89" t="str">
        <f t="shared" ca="1" si="170"/>
        <v/>
      </c>
      <c r="K207" s="90" t="str">
        <f>IFERROR(_xlfn.XLOOKUP(D207,CostTableLookup[Name],CostTableLookup[Gross Cost]),"")</f>
        <v/>
      </c>
      <c r="L207" s="22"/>
      <c r="M207" s="81" t="str">
        <f t="shared" ca="1" si="175"/>
        <v/>
      </c>
      <c r="N207" s="23"/>
      <c r="O207" s="81" t="str">
        <f t="shared" ca="1" si="176"/>
        <v/>
      </c>
      <c r="P207" s="81" t="str">
        <f t="shared" ca="1" si="171"/>
        <v/>
      </c>
      <c r="Q207" s="24" t="str">
        <f t="shared" si="172"/>
        <v/>
      </c>
      <c r="R207" s="110" t="str">
        <f t="shared" ca="1" si="177"/>
        <v/>
      </c>
      <c r="S207" s="114">
        <f t="shared" ref="S207" ca="1" si="197">IFERROR(SUM(OFFSET(Y207,0,MATCH(Forecast_New,$Y$3:$WQ$3,0)-1,1,500))*40,"")</f>
        <v>0</v>
      </c>
      <c r="T207" s="115">
        <f t="shared" ca="1" si="179"/>
        <v>0</v>
      </c>
      <c r="U207" s="116" t="str">
        <f t="shared" ca="1" si="131"/>
        <v/>
      </c>
      <c r="V207" s="99" t="str">
        <f t="shared" ca="1" si="132"/>
        <v/>
      </c>
      <c r="W207" s="100" t="str">
        <f t="shared" ca="1" si="180"/>
        <v/>
      </c>
      <c r="X207" s="83" t="str">
        <f t="shared" ca="1" si="181"/>
        <v/>
      </c>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25"/>
      <c r="EJ207" s="25"/>
      <c r="EK207" s="25"/>
      <c r="EL207" s="25"/>
      <c r="EM207" s="25"/>
      <c r="EN207" s="25"/>
      <c r="EO207" s="25"/>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c r="FL207" s="25"/>
      <c r="FM207" s="25"/>
      <c r="FN207" s="25"/>
      <c r="FO207" s="25"/>
      <c r="FP207" s="25"/>
      <c r="FQ207" s="25"/>
      <c r="FR207" s="25"/>
      <c r="FS207" s="25"/>
      <c r="FT207" s="25"/>
      <c r="FU207" s="25"/>
      <c r="FV207" s="25"/>
      <c r="FW207" s="25"/>
      <c r="FX207" s="25"/>
      <c r="FY207" s="25"/>
      <c r="FZ207" s="25"/>
      <c r="GA207" s="25"/>
      <c r="GB207" s="25"/>
      <c r="GC207" s="25"/>
      <c r="GD207" s="25"/>
      <c r="GE207" s="25"/>
      <c r="GF207" s="25"/>
      <c r="GG207" s="25"/>
      <c r="GH207" s="25"/>
      <c r="GI207" s="25"/>
      <c r="GJ207" s="25"/>
      <c r="GK207" s="25"/>
      <c r="GL207" s="25"/>
      <c r="GM207" s="25"/>
      <c r="GN207" s="25"/>
      <c r="GO207" s="25"/>
      <c r="GP207" s="25"/>
      <c r="GQ207" s="25"/>
      <c r="GR207" s="25"/>
      <c r="GS207" s="25"/>
      <c r="GT207" s="25"/>
      <c r="GU207" s="25"/>
      <c r="GV207" s="25"/>
      <c r="GW207" s="25"/>
      <c r="GX207" s="25"/>
      <c r="GY207" s="25"/>
      <c r="GZ207" s="25"/>
      <c r="HA207" s="25"/>
      <c r="HB207" s="25"/>
      <c r="HC207" s="25"/>
      <c r="HD207" s="25"/>
      <c r="HE207" s="25"/>
      <c r="HF207" s="25"/>
      <c r="HG207" s="25"/>
      <c r="HH207" s="25"/>
      <c r="HI207" s="25"/>
      <c r="HJ207" s="25"/>
      <c r="HK207" s="25"/>
      <c r="HL207" s="25"/>
      <c r="HM207" s="25"/>
      <c r="HN207" s="25"/>
      <c r="HO207" s="25"/>
      <c r="HP207" s="25"/>
      <c r="HQ207" s="25"/>
      <c r="HR207" s="25"/>
      <c r="HS207" s="25"/>
      <c r="HT207" s="25"/>
      <c r="HU207" s="25"/>
      <c r="HV207" s="25"/>
      <c r="HW207" s="25"/>
      <c r="HX207" s="25"/>
      <c r="HY207" s="25"/>
      <c r="HZ207" s="25"/>
      <c r="IA207" s="25"/>
      <c r="IB207" s="25"/>
      <c r="IC207" s="25"/>
      <c r="ID207" s="25"/>
      <c r="IE207" s="25"/>
      <c r="IF207" s="25"/>
      <c r="IG207" s="25"/>
      <c r="IH207" s="25"/>
      <c r="II207" s="25"/>
      <c r="IJ207" s="25"/>
      <c r="IK207" s="25"/>
      <c r="IL207" s="25"/>
      <c r="IM207" s="25"/>
      <c r="IN207" s="25"/>
      <c r="IO207" s="25"/>
      <c r="IP207" s="25"/>
      <c r="IQ207" s="25"/>
      <c r="IR207" s="25"/>
      <c r="IS207" s="25"/>
      <c r="IT207" s="25"/>
      <c r="IU207" s="25"/>
      <c r="IV207" s="25"/>
      <c r="IW207" s="25"/>
      <c r="IX207" s="25"/>
      <c r="IY207" s="25"/>
      <c r="IZ207" s="25"/>
      <c r="JA207" s="25"/>
      <c r="JB207" s="25"/>
      <c r="JC207" s="25"/>
      <c r="JD207" s="25"/>
      <c r="JE207" s="25"/>
      <c r="JF207" s="25"/>
      <c r="JG207" s="25"/>
      <c r="JH207" s="25"/>
      <c r="JI207" s="25"/>
      <c r="JJ207" s="25"/>
      <c r="JK207" s="25"/>
      <c r="JL207" s="25"/>
      <c r="JM207" s="25"/>
      <c r="JN207" s="25"/>
    </row>
    <row r="208" spans="2:274" ht="20.25" customHeight="1" x14ac:dyDescent="0.25">
      <c r="B208" s="20"/>
      <c r="F208" s="21"/>
      <c r="G208" s="86" t="str" cm="1">
        <f t="array" aca="1" ref="G208" ca="1">IFERROR(INDEX(Panel_Rates[[1]:[12]],MATCH(Panel_New&amp;Category_New,Panel_Rates[Panel]&amp;Panel_Rates[Category],0),MATCH('Time Plan HY'!E208,OFFSET(Variable!$AF$2,MATCH(Panel_New&amp;Category_New,Panel_Rates[Panel]&amp;Panel_Rates[Category],0)-1,0,1,12),0))/8,"")</f>
        <v/>
      </c>
      <c r="H208" s="92"/>
      <c r="I208" s="88" t="str">
        <f t="shared" ca="1" si="169"/>
        <v/>
      </c>
      <c r="J208" s="89" t="str">
        <f t="shared" ca="1" si="170"/>
        <v/>
      </c>
      <c r="K208" s="90" t="str">
        <f>IFERROR(_xlfn.XLOOKUP(D208,CostTableLookup[Name],CostTableLookup[Gross Cost]),"")</f>
        <v/>
      </c>
      <c r="L208" s="22"/>
      <c r="M208" s="81" t="str">
        <f t="shared" ca="1" si="175"/>
        <v/>
      </c>
      <c r="N208" s="23"/>
      <c r="O208" s="81" t="str">
        <f t="shared" ca="1" si="176"/>
        <v/>
      </c>
      <c r="P208" s="81" t="str">
        <f t="shared" ca="1" si="171"/>
        <v/>
      </c>
      <c r="Q208" s="24" t="str">
        <f t="shared" si="172"/>
        <v/>
      </c>
      <c r="R208" s="110" t="str">
        <f t="shared" ca="1" si="177"/>
        <v/>
      </c>
      <c r="S208" s="114">
        <f t="shared" ref="S208" ca="1" si="198">IFERROR(SUM(OFFSET(Y208,0,MATCH(Forecast_New,$Y$3:$WQ$3,0)-1,1,500))*40,"")</f>
        <v>0</v>
      </c>
      <c r="T208" s="115">
        <f t="shared" ca="1" si="179"/>
        <v>0</v>
      </c>
      <c r="U208" s="116" t="str">
        <f t="shared" ca="1" si="131"/>
        <v/>
      </c>
      <c r="V208" s="99" t="str">
        <f t="shared" ca="1" si="132"/>
        <v/>
      </c>
      <c r="W208" s="100" t="str">
        <f t="shared" ca="1" si="180"/>
        <v/>
      </c>
      <c r="X208" s="83" t="str">
        <f t="shared" ca="1" si="181"/>
        <v/>
      </c>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25"/>
      <c r="EJ208" s="25"/>
      <c r="EK208" s="25"/>
      <c r="EL208" s="25"/>
      <c r="EM208" s="25"/>
      <c r="EN208" s="25"/>
      <c r="EO208" s="25"/>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c r="FL208" s="25"/>
      <c r="FM208" s="25"/>
      <c r="FN208" s="25"/>
      <c r="FO208" s="25"/>
      <c r="FP208" s="25"/>
      <c r="FQ208" s="25"/>
      <c r="FR208" s="25"/>
      <c r="FS208" s="25"/>
      <c r="FT208" s="25"/>
      <c r="FU208" s="25"/>
      <c r="FV208" s="25"/>
      <c r="FW208" s="25"/>
      <c r="FX208" s="25"/>
      <c r="FY208" s="25"/>
      <c r="FZ208" s="25"/>
      <c r="GA208" s="25"/>
      <c r="GB208" s="25"/>
      <c r="GC208" s="25"/>
      <c r="GD208" s="25"/>
      <c r="GE208" s="25"/>
      <c r="GF208" s="25"/>
      <c r="GG208" s="25"/>
      <c r="GH208" s="25"/>
      <c r="GI208" s="25"/>
      <c r="GJ208" s="25"/>
      <c r="GK208" s="25"/>
      <c r="GL208" s="25"/>
      <c r="GM208" s="25"/>
      <c r="GN208" s="25"/>
      <c r="GO208" s="25"/>
      <c r="GP208" s="25"/>
      <c r="GQ208" s="25"/>
      <c r="GR208" s="25"/>
      <c r="GS208" s="25"/>
      <c r="GT208" s="25"/>
      <c r="GU208" s="25"/>
      <c r="GV208" s="25"/>
      <c r="GW208" s="25"/>
      <c r="GX208" s="25"/>
      <c r="GY208" s="25"/>
      <c r="GZ208" s="25"/>
      <c r="HA208" s="25"/>
      <c r="HB208" s="25"/>
      <c r="HC208" s="25"/>
      <c r="HD208" s="25"/>
      <c r="HE208" s="25"/>
      <c r="HF208" s="25"/>
      <c r="HG208" s="25"/>
      <c r="HH208" s="25"/>
      <c r="HI208" s="25"/>
      <c r="HJ208" s="25"/>
      <c r="HK208" s="25"/>
      <c r="HL208" s="25"/>
      <c r="HM208" s="25"/>
      <c r="HN208" s="25"/>
      <c r="HO208" s="25"/>
      <c r="HP208" s="25"/>
      <c r="HQ208" s="25"/>
      <c r="HR208" s="25"/>
      <c r="HS208" s="25"/>
      <c r="HT208" s="25"/>
      <c r="HU208" s="25"/>
      <c r="HV208" s="25"/>
      <c r="HW208" s="25"/>
      <c r="HX208" s="25"/>
      <c r="HY208" s="25"/>
      <c r="HZ208" s="25"/>
      <c r="IA208" s="25"/>
      <c r="IB208" s="25"/>
      <c r="IC208" s="25"/>
      <c r="ID208" s="25"/>
      <c r="IE208" s="25"/>
      <c r="IF208" s="25"/>
      <c r="IG208" s="25"/>
      <c r="IH208" s="25"/>
      <c r="II208" s="25"/>
      <c r="IJ208" s="25"/>
      <c r="IK208" s="25"/>
      <c r="IL208" s="25"/>
      <c r="IM208" s="25"/>
      <c r="IN208" s="25"/>
      <c r="IO208" s="25"/>
      <c r="IP208" s="25"/>
      <c r="IQ208" s="25"/>
      <c r="IR208" s="25"/>
      <c r="IS208" s="25"/>
      <c r="IT208" s="25"/>
      <c r="IU208" s="25"/>
      <c r="IV208" s="25"/>
      <c r="IW208" s="25"/>
      <c r="IX208" s="25"/>
      <c r="IY208" s="25"/>
      <c r="IZ208" s="25"/>
      <c r="JA208" s="25"/>
      <c r="JB208" s="25"/>
      <c r="JC208" s="25"/>
      <c r="JD208" s="25"/>
      <c r="JE208" s="25"/>
      <c r="JF208" s="25"/>
      <c r="JG208" s="25"/>
      <c r="JH208" s="25"/>
      <c r="JI208" s="25"/>
      <c r="JJ208" s="25"/>
      <c r="JK208" s="25"/>
      <c r="JL208" s="25"/>
      <c r="JM208" s="25"/>
      <c r="JN208" s="25"/>
    </row>
    <row r="209" spans="2:274" ht="20.25" customHeight="1" x14ac:dyDescent="0.25">
      <c r="B209" s="20"/>
      <c r="F209" s="21"/>
      <c r="G209" s="86" t="str" cm="1">
        <f t="array" aca="1" ref="G209" ca="1">IFERROR(INDEX(Panel_Rates[[1]:[12]],MATCH(Panel_New&amp;Category_New,Panel_Rates[Panel]&amp;Panel_Rates[Category],0),MATCH('Time Plan HY'!E209,OFFSET(Variable!$AF$2,MATCH(Panel_New&amp;Category_New,Panel_Rates[Panel]&amp;Panel_Rates[Category],0)-1,0,1,12),0))/8,"")</f>
        <v/>
      </c>
      <c r="H209" s="92"/>
      <c r="I209" s="88" t="str">
        <f t="shared" ca="1" si="169"/>
        <v/>
      </c>
      <c r="J209" s="89" t="str">
        <f t="shared" ca="1" si="170"/>
        <v/>
      </c>
      <c r="K209" s="90" t="str">
        <f>IFERROR(_xlfn.XLOOKUP(D209,CostTableLookup[Name],CostTableLookup[Gross Cost]),"")</f>
        <v/>
      </c>
      <c r="L209" s="22"/>
      <c r="M209" s="81" t="str">
        <f t="shared" ca="1" si="175"/>
        <v/>
      </c>
      <c r="N209" s="23"/>
      <c r="O209" s="81" t="str">
        <f t="shared" ca="1" si="176"/>
        <v/>
      </c>
      <c r="P209" s="81" t="str">
        <f t="shared" ca="1" si="171"/>
        <v/>
      </c>
      <c r="Q209" s="24" t="str">
        <f t="shared" si="172"/>
        <v/>
      </c>
      <c r="R209" s="110" t="str">
        <f t="shared" ca="1" si="177"/>
        <v/>
      </c>
      <c r="S209" s="114">
        <f t="shared" ref="S209" ca="1" si="199">IFERROR(SUM(OFFSET(Y209,0,MATCH(Forecast_New,$Y$3:$WQ$3,0)-1,1,500))*40,"")</f>
        <v>0</v>
      </c>
      <c r="T209" s="115">
        <f t="shared" ca="1" si="179"/>
        <v>0</v>
      </c>
      <c r="U209" s="116" t="str">
        <f t="shared" ca="1" si="131"/>
        <v/>
      </c>
      <c r="V209" s="99" t="str">
        <f t="shared" ca="1" si="132"/>
        <v/>
      </c>
      <c r="W209" s="100" t="str">
        <f t="shared" ca="1" si="180"/>
        <v/>
      </c>
      <c r="X209" s="83" t="str">
        <f t="shared" ca="1" si="181"/>
        <v/>
      </c>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25"/>
      <c r="EJ209" s="25"/>
      <c r="EK209" s="25"/>
      <c r="EL209" s="25"/>
      <c r="EM209" s="25"/>
      <c r="EN209" s="25"/>
      <c r="EO209" s="25"/>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c r="FL209" s="25"/>
      <c r="FM209" s="25"/>
      <c r="FN209" s="25"/>
      <c r="FO209" s="25"/>
      <c r="FP209" s="25"/>
      <c r="FQ209" s="25"/>
      <c r="FR209" s="25"/>
      <c r="FS209" s="25"/>
      <c r="FT209" s="25"/>
      <c r="FU209" s="25"/>
      <c r="FV209" s="25"/>
      <c r="FW209" s="25"/>
      <c r="FX209" s="25"/>
      <c r="FY209" s="25"/>
      <c r="FZ209" s="25"/>
      <c r="GA209" s="25"/>
      <c r="GB209" s="25"/>
      <c r="GC209" s="25"/>
      <c r="GD209" s="25"/>
      <c r="GE209" s="25"/>
      <c r="GF209" s="25"/>
      <c r="GG209" s="25"/>
      <c r="GH209" s="25"/>
      <c r="GI209" s="25"/>
      <c r="GJ209" s="25"/>
      <c r="GK209" s="25"/>
      <c r="GL209" s="25"/>
      <c r="GM209" s="25"/>
      <c r="GN209" s="25"/>
      <c r="GO209" s="25"/>
      <c r="GP209" s="25"/>
      <c r="GQ209" s="25"/>
      <c r="GR209" s="25"/>
      <c r="GS209" s="25"/>
      <c r="GT209" s="25"/>
      <c r="GU209" s="25"/>
      <c r="GV209" s="25"/>
      <c r="GW209" s="25"/>
      <c r="GX209" s="25"/>
      <c r="GY209" s="25"/>
      <c r="GZ209" s="25"/>
      <c r="HA209" s="25"/>
      <c r="HB209" s="25"/>
      <c r="HC209" s="25"/>
      <c r="HD209" s="25"/>
      <c r="HE209" s="25"/>
      <c r="HF209" s="25"/>
      <c r="HG209" s="25"/>
      <c r="HH209" s="25"/>
      <c r="HI209" s="25"/>
      <c r="HJ209" s="25"/>
      <c r="HK209" s="25"/>
      <c r="HL209" s="25"/>
      <c r="HM209" s="25"/>
      <c r="HN209" s="25"/>
      <c r="HO209" s="25"/>
      <c r="HP209" s="25"/>
      <c r="HQ209" s="25"/>
      <c r="HR209" s="25"/>
      <c r="HS209" s="25"/>
      <c r="HT209" s="25"/>
      <c r="HU209" s="25"/>
      <c r="HV209" s="25"/>
      <c r="HW209" s="25"/>
      <c r="HX209" s="25"/>
      <c r="HY209" s="25"/>
      <c r="HZ209" s="25"/>
      <c r="IA209" s="25"/>
      <c r="IB209" s="25"/>
      <c r="IC209" s="25"/>
      <c r="ID209" s="25"/>
      <c r="IE209" s="25"/>
      <c r="IF209" s="25"/>
      <c r="IG209" s="25"/>
      <c r="IH209" s="25"/>
      <c r="II209" s="25"/>
      <c r="IJ209" s="25"/>
      <c r="IK209" s="25"/>
      <c r="IL209" s="25"/>
      <c r="IM209" s="25"/>
      <c r="IN209" s="25"/>
      <c r="IO209" s="25"/>
      <c r="IP209" s="25"/>
      <c r="IQ209" s="25"/>
      <c r="IR209" s="25"/>
      <c r="IS209" s="25"/>
      <c r="IT209" s="25"/>
      <c r="IU209" s="25"/>
      <c r="IV209" s="25"/>
      <c r="IW209" s="25"/>
      <c r="IX209" s="25"/>
      <c r="IY209" s="25"/>
      <c r="IZ209" s="25"/>
      <c r="JA209" s="25"/>
      <c r="JB209" s="25"/>
      <c r="JC209" s="25"/>
      <c r="JD209" s="25"/>
      <c r="JE209" s="25"/>
      <c r="JF209" s="25"/>
      <c r="JG209" s="25"/>
      <c r="JH209" s="25"/>
      <c r="JI209" s="25"/>
      <c r="JJ209" s="25"/>
      <c r="JK209" s="25"/>
      <c r="JL209" s="25"/>
      <c r="JM209" s="25"/>
      <c r="JN209" s="25"/>
    </row>
    <row r="210" spans="2:274" ht="20.25" customHeight="1" x14ac:dyDescent="0.25">
      <c r="B210" s="20"/>
      <c r="F210" s="21"/>
      <c r="G210" s="86" t="str" cm="1">
        <f t="array" aca="1" ref="G210" ca="1">IFERROR(INDEX(Panel_Rates[[1]:[12]],MATCH(Panel_New&amp;Category_New,Panel_Rates[Panel]&amp;Panel_Rates[Category],0),MATCH('Time Plan HY'!E210,OFFSET(Variable!$AF$2,MATCH(Panel_New&amp;Category_New,Panel_Rates[Panel]&amp;Panel_Rates[Category],0)-1,0,1,12),0))/8,"")</f>
        <v/>
      </c>
      <c r="H210" s="92"/>
      <c r="I210" s="88" t="str">
        <f t="shared" ca="1" si="169"/>
        <v/>
      </c>
      <c r="J210" s="89" t="str">
        <f t="shared" ca="1" si="170"/>
        <v/>
      </c>
      <c r="K210" s="90" t="str">
        <f>IFERROR(_xlfn.XLOOKUP(D210,CostTableLookup[Name],CostTableLookup[Gross Cost]),"")</f>
        <v/>
      </c>
      <c r="L210" s="22"/>
      <c r="M210" s="81" t="str">
        <f t="shared" ca="1" si="175"/>
        <v/>
      </c>
      <c r="N210" s="23"/>
      <c r="O210" s="81" t="str">
        <f t="shared" ca="1" si="176"/>
        <v/>
      </c>
      <c r="P210" s="81" t="str">
        <f t="shared" ca="1" si="171"/>
        <v/>
      </c>
      <c r="Q210" s="24" t="str">
        <f t="shared" si="172"/>
        <v/>
      </c>
      <c r="R210" s="110" t="str">
        <f t="shared" ca="1" si="177"/>
        <v/>
      </c>
      <c r="S210" s="114">
        <f t="shared" ref="S210" ca="1" si="200">IFERROR(SUM(OFFSET(Y210,0,MATCH(Forecast_New,$Y$3:$WQ$3,0)-1,1,500))*40,"")</f>
        <v>0</v>
      </c>
      <c r="T210" s="115">
        <f t="shared" ca="1" si="179"/>
        <v>0</v>
      </c>
      <c r="U210" s="116" t="str">
        <f t="shared" ca="1" si="131"/>
        <v/>
      </c>
      <c r="V210" s="99" t="str">
        <f t="shared" ca="1" si="132"/>
        <v/>
      </c>
      <c r="W210" s="100" t="str">
        <f t="shared" ca="1" si="180"/>
        <v/>
      </c>
      <c r="X210" s="83" t="str">
        <f t="shared" ca="1" si="181"/>
        <v/>
      </c>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25"/>
      <c r="EJ210" s="25"/>
      <c r="EK210" s="25"/>
      <c r="EL210" s="25"/>
      <c r="EM210" s="25"/>
      <c r="EN210" s="25"/>
      <c r="EO210" s="25"/>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c r="FL210" s="25"/>
      <c r="FM210" s="25"/>
      <c r="FN210" s="25"/>
      <c r="FO210" s="25"/>
      <c r="FP210" s="25"/>
      <c r="FQ210" s="25"/>
      <c r="FR210" s="25"/>
      <c r="FS210" s="25"/>
      <c r="FT210" s="25"/>
      <c r="FU210" s="25"/>
      <c r="FV210" s="25"/>
      <c r="FW210" s="25"/>
      <c r="FX210" s="25"/>
      <c r="FY210" s="25"/>
      <c r="FZ210" s="25"/>
      <c r="GA210" s="25"/>
      <c r="GB210" s="25"/>
      <c r="GC210" s="25"/>
      <c r="GD210" s="25"/>
      <c r="GE210" s="25"/>
      <c r="GF210" s="25"/>
      <c r="GG210" s="25"/>
      <c r="GH210" s="25"/>
      <c r="GI210" s="25"/>
      <c r="GJ210" s="25"/>
      <c r="GK210" s="25"/>
      <c r="GL210" s="25"/>
      <c r="GM210" s="25"/>
      <c r="GN210" s="25"/>
      <c r="GO210" s="25"/>
      <c r="GP210" s="25"/>
      <c r="GQ210" s="25"/>
      <c r="GR210" s="25"/>
      <c r="GS210" s="25"/>
      <c r="GT210" s="25"/>
      <c r="GU210" s="25"/>
      <c r="GV210" s="25"/>
      <c r="GW210" s="25"/>
      <c r="GX210" s="25"/>
      <c r="GY210" s="25"/>
      <c r="GZ210" s="25"/>
      <c r="HA210" s="25"/>
      <c r="HB210" s="25"/>
      <c r="HC210" s="25"/>
      <c r="HD210" s="25"/>
      <c r="HE210" s="25"/>
      <c r="HF210" s="25"/>
      <c r="HG210" s="25"/>
      <c r="HH210" s="25"/>
      <c r="HI210" s="25"/>
      <c r="HJ210" s="25"/>
      <c r="HK210" s="25"/>
      <c r="HL210" s="25"/>
      <c r="HM210" s="25"/>
      <c r="HN210" s="25"/>
      <c r="HO210" s="25"/>
      <c r="HP210" s="25"/>
      <c r="HQ210" s="25"/>
      <c r="HR210" s="25"/>
      <c r="HS210" s="25"/>
      <c r="HT210" s="25"/>
      <c r="HU210" s="25"/>
      <c r="HV210" s="25"/>
      <c r="HW210" s="25"/>
      <c r="HX210" s="25"/>
      <c r="HY210" s="25"/>
      <c r="HZ210" s="25"/>
      <c r="IA210" s="25"/>
      <c r="IB210" s="25"/>
      <c r="IC210" s="25"/>
      <c r="ID210" s="25"/>
      <c r="IE210" s="25"/>
      <c r="IF210" s="25"/>
      <c r="IG210" s="25"/>
      <c r="IH210" s="25"/>
      <c r="II210" s="25"/>
      <c r="IJ210" s="25"/>
      <c r="IK210" s="25"/>
      <c r="IL210" s="25"/>
      <c r="IM210" s="25"/>
      <c r="IN210" s="25"/>
      <c r="IO210" s="25"/>
      <c r="IP210" s="25"/>
      <c r="IQ210" s="25"/>
      <c r="IR210" s="25"/>
      <c r="IS210" s="25"/>
      <c r="IT210" s="25"/>
      <c r="IU210" s="25"/>
      <c r="IV210" s="25"/>
      <c r="IW210" s="25"/>
      <c r="IX210" s="25"/>
      <c r="IY210" s="25"/>
      <c r="IZ210" s="25"/>
      <c r="JA210" s="25"/>
      <c r="JB210" s="25"/>
      <c r="JC210" s="25"/>
      <c r="JD210" s="25"/>
      <c r="JE210" s="25"/>
      <c r="JF210" s="25"/>
      <c r="JG210" s="25"/>
      <c r="JH210" s="25"/>
      <c r="JI210" s="25"/>
      <c r="JJ210" s="25"/>
      <c r="JK210" s="25"/>
      <c r="JL210" s="25"/>
      <c r="JM210" s="25"/>
      <c r="JN210" s="25"/>
    </row>
    <row r="211" spans="2:274" ht="20.25" customHeight="1" x14ac:dyDescent="0.25">
      <c r="B211" s="20"/>
      <c r="F211" s="21"/>
      <c r="G211" s="86" t="str" cm="1">
        <f t="array" aca="1" ref="G211" ca="1">IFERROR(INDEX(Panel_Rates[[1]:[12]],MATCH(Panel_New&amp;Category_New,Panel_Rates[Panel]&amp;Panel_Rates[Category],0),MATCH('Time Plan HY'!E211,OFFSET(Variable!$AF$2,MATCH(Panel_New&amp;Category_New,Panel_Rates[Panel]&amp;Panel_Rates[Category],0)-1,0,1,12),0))/8,"")</f>
        <v/>
      </c>
      <c r="H211" s="92"/>
      <c r="I211" s="88" t="str">
        <f t="shared" ca="1" si="169"/>
        <v/>
      </c>
      <c r="J211" s="89" t="str">
        <f t="shared" ca="1" si="170"/>
        <v/>
      </c>
      <c r="K211" s="90" t="str">
        <f>IFERROR(_xlfn.XLOOKUP(D211,CostTableLookup[Name],CostTableLookup[Gross Cost]),"")</f>
        <v/>
      </c>
      <c r="L211" s="22"/>
      <c r="M211" s="81" t="str">
        <f t="shared" ca="1" si="175"/>
        <v/>
      </c>
      <c r="N211" s="23"/>
      <c r="O211" s="81" t="str">
        <f t="shared" ca="1" si="176"/>
        <v/>
      </c>
      <c r="P211" s="81" t="str">
        <f t="shared" ca="1" si="171"/>
        <v/>
      </c>
      <c r="Q211" s="24" t="str">
        <f t="shared" si="172"/>
        <v/>
      </c>
      <c r="R211" s="110" t="str">
        <f t="shared" ca="1" si="177"/>
        <v/>
      </c>
      <c r="S211" s="114">
        <f t="shared" ref="S211" ca="1" si="201">IFERROR(SUM(OFFSET(Y211,0,MATCH(Forecast_New,$Y$3:$WQ$3,0)-1,1,500))*40,"")</f>
        <v>0</v>
      </c>
      <c r="T211" s="115">
        <f t="shared" ca="1" si="179"/>
        <v>0</v>
      </c>
      <c r="U211" s="116" t="str">
        <f t="shared" ca="1" si="131"/>
        <v/>
      </c>
      <c r="V211" s="99" t="str">
        <f t="shared" ca="1" si="132"/>
        <v/>
      </c>
      <c r="W211" s="100" t="str">
        <f t="shared" ca="1" si="180"/>
        <v/>
      </c>
      <c r="X211" s="83" t="str">
        <f t="shared" ca="1" si="181"/>
        <v/>
      </c>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25"/>
      <c r="EJ211" s="25"/>
      <c r="EK211" s="25"/>
      <c r="EL211" s="25"/>
      <c r="EM211" s="25"/>
      <c r="EN211" s="25"/>
      <c r="EO211" s="25"/>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c r="FL211" s="25"/>
      <c r="FM211" s="25"/>
      <c r="FN211" s="25"/>
      <c r="FO211" s="25"/>
      <c r="FP211" s="25"/>
      <c r="FQ211" s="25"/>
      <c r="FR211" s="25"/>
      <c r="FS211" s="25"/>
      <c r="FT211" s="25"/>
      <c r="FU211" s="25"/>
      <c r="FV211" s="25"/>
      <c r="FW211" s="25"/>
      <c r="FX211" s="25"/>
      <c r="FY211" s="25"/>
      <c r="FZ211" s="25"/>
      <c r="GA211" s="25"/>
      <c r="GB211" s="25"/>
      <c r="GC211" s="25"/>
      <c r="GD211" s="25"/>
      <c r="GE211" s="25"/>
      <c r="GF211" s="25"/>
      <c r="GG211" s="25"/>
      <c r="GH211" s="25"/>
      <c r="GI211" s="25"/>
      <c r="GJ211" s="25"/>
      <c r="GK211" s="25"/>
      <c r="GL211" s="25"/>
      <c r="GM211" s="25"/>
      <c r="GN211" s="25"/>
      <c r="GO211" s="25"/>
      <c r="GP211" s="25"/>
      <c r="GQ211" s="25"/>
      <c r="GR211" s="25"/>
      <c r="GS211" s="25"/>
      <c r="GT211" s="25"/>
      <c r="GU211" s="25"/>
      <c r="GV211" s="25"/>
      <c r="GW211" s="25"/>
      <c r="GX211" s="25"/>
      <c r="GY211" s="25"/>
      <c r="GZ211" s="25"/>
      <c r="HA211" s="25"/>
      <c r="HB211" s="25"/>
      <c r="HC211" s="25"/>
      <c r="HD211" s="25"/>
      <c r="HE211" s="25"/>
      <c r="HF211" s="25"/>
      <c r="HG211" s="25"/>
      <c r="HH211" s="25"/>
      <c r="HI211" s="25"/>
      <c r="HJ211" s="25"/>
      <c r="HK211" s="25"/>
      <c r="HL211" s="25"/>
      <c r="HM211" s="25"/>
      <c r="HN211" s="25"/>
      <c r="HO211" s="25"/>
      <c r="HP211" s="25"/>
      <c r="HQ211" s="25"/>
      <c r="HR211" s="25"/>
      <c r="HS211" s="25"/>
      <c r="HT211" s="25"/>
      <c r="HU211" s="25"/>
      <c r="HV211" s="25"/>
      <c r="HW211" s="25"/>
      <c r="HX211" s="25"/>
      <c r="HY211" s="25"/>
      <c r="HZ211" s="25"/>
      <c r="IA211" s="25"/>
      <c r="IB211" s="25"/>
      <c r="IC211" s="25"/>
      <c r="ID211" s="25"/>
      <c r="IE211" s="25"/>
      <c r="IF211" s="25"/>
      <c r="IG211" s="25"/>
      <c r="IH211" s="25"/>
      <c r="II211" s="25"/>
      <c r="IJ211" s="25"/>
      <c r="IK211" s="25"/>
      <c r="IL211" s="25"/>
      <c r="IM211" s="25"/>
      <c r="IN211" s="25"/>
      <c r="IO211" s="25"/>
      <c r="IP211" s="25"/>
      <c r="IQ211" s="25"/>
      <c r="IR211" s="25"/>
      <c r="IS211" s="25"/>
      <c r="IT211" s="25"/>
      <c r="IU211" s="25"/>
      <c r="IV211" s="25"/>
      <c r="IW211" s="25"/>
      <c r="IX211" s="25"/>
      <c r="IY211" s="25"/>
      <c r="IZ211" s="25"/>
      <c r="JA211" s="25"/>
      <c r="JB211" s="25"/>
      <c r="JC211" s="25"/>
      <c r="JD211" s="25"/>
      <c r="JE211" s="25"/>
      <c r="JF211" s="25"/>
      <c r="JG211" s="25"/>
      <c r="JH211" s="25"/>
      <c r="JI211" s="25"/>
      <c r="JJ211" s="25"/>
      <c r="JK211" s="25"/>
      <c r="JL211" s="25"/>
      <c r="JM211" s="25"/>
      <c r="JN211" s="25"/>
    </row>
    <row r="212" spans="2:274" ht="20.25" customHeight="1" x14ac:dyDescent="0.25">
      <c r="B212" s="20"/>
      <c r="F212" s="21"/>
      <c r="G212" s="86" t="str" cm="1">
        <f t="array" aca="1" ref="G212" ca="1">IFERROR(INDEX(Panel_Rates[[1]:[12]],MATCH(Panel_New&amp;Category_New,Panel_Rates[Panel]&amp;Panel_Rates[Category],0),MATCH('Time Plan HY'!E212,OFFSET(Variable!$AF$2,MATCH(Panel_New&amp;Category_New,Panel_Rates[Panel]&amp;Panel_Rates[Category],0)-1,0,1,12),0))/8,"")</f>
        <v/>
      </c>
      <c r="H212" s="92"/>
      <c r="I212" s="88" t="str">
        <f t="shared" ca="1" si="169"/>
        <v/>
      </c>
      <c r="J212" s="89" t="str">
        <f t="shared" ca="1" si="170"/>
        <v/>
      </c>
      <c r="K212" s="90" t="str">
        <f>IFERROR(_xlfn.XLOOKUP(D212,CostTableLookup[Name],CostTableLookup[Gross Cost]),"")</f>
        <v/>
      </c>
      <c r="L212" s="22"/>
      <c r="M212" s="81" t="str">
        <f t="shared" ca="1" si="175"/>
        <v/>
      </c>
      <c r="N212" s="23"/>
      <c r="O212" s="81" t="str">
        <f t="shared" ca="1" si="176"/>
        <v/>
      </c>
      <c r="P212" s="81" t="str">
        <f t="shared" ca="1" si="171"/>
        <v/>
      </c>
      <c r="Q212" s="24" t="str">
        <f t="shared" si="172"/>
        <v/>
      </c>
      <c r="R212" s="110" t="str">
        <f t="shared" ca="1" si="177"/>
        <v/>
      </c>
      <c r="S212" s="114">
        <f t="shared" ref="S212" ca="1" si="202">IFERROR(SUM(OFFSET(Y212,0,MATCH(Forecast_New,$Y$3:$WQ$3,0)-1,1,500))*40,"")</f>
        <v>0</v>
      </c>
      <c r="T212" s="115">
        <f t="shared" ca="1" si="179"/>
        <v>0</v>
      </c>
      <c r="U212" s="116" t="str">
        <f t="shared" ca="1" si="131"/>
        <v/>
      </c>
      <c r="V212" s="99" t="str">
        <f t="shared" ca="1" si="132"/>
        <v/>
      </c>
      <c r="W212" s="100" t="str">
        <f t="shared" ca="1" si="180"/>
        <v/>
      </c>
      <c r="X212" s="83" t="str">
        <f t="shared" ca="1" si="181"/>
        <v/>
      </c>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25"/>
      <c r="EJ212" s="25"/>
      <c r="EK212" s="25"/>
      <c r="EL212" s="25"/>
      <c r="EM212" s="25"/>
      <c r="EN212" s="25"/>
      <c r="EO212" s="25"/>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c r="FL212" s="25"/>
      <c r="FM212" s="25"/>
      <c r="FN212" s="25"/>
      <c r="FO212" s="25"/>
      <c r="FP212" s="25"/>
      <c r="FQ212" s="25"/>
      <c r="FR212" s="25"/>
      <c r="FS212" s="25"/>
      <c r="FT212" s="25"/>
      <c r="FU212" s="25"/>
      <c r="FV212" s="25"/>
      <c r="FW212" s="25"/>
      <c r="FX212" s="25"/>
      <c r="FY212" s="25"/>
      <c r="FZ212" s="25"/>
      <c r="GA212" s="25"/>
      <c r="GB212" s="25"/>
      <c r="GC212" s="25"/>
      <c r="GD212" s="25"/>
      <c r="GE212" s="25"/>
      <c r="GF212" s="25"/>
      <c r="GG212" s="25"/>
      <c r="GH212" s="25"/>
      <c r="GI212" s="25"/>
      <c r="GJ212" s="25"/>
      <c r="GK212" s="25"/>
      <c r="GL212" s="25"/>
      <c r="GM212" s="25"/>
      <c r="GN212" s="25"/>
      <c r="GO212" s="25"/>
      <c r="GP212" s="25"/>
      <c r="GQ212" s="25"/>
      <c r="GR212" s="25"/>
      <c r="GS212" s="25"/>
      <c r="GT212" s="25"/>
      <c r="GU212" s="25"/>
      <c r="GV212" s="25"/>
      <c r="GW212" s="25"/>
      <c r="GX212" s="25"/>
      <c r="GY212" s="25"/>
      <c r="GZ212" s="25"/>
      <c r="HA212" s="25"/>
      <c r="HB212" s="25"/>
      <c r="HC212" s="25"/>
      <c r="HD212" s="25"/>
      <c r="HE212" s="25"/>
      <c r="HF212" s="25"/>
      <c r="HG212" s="25"/>
      <c r="HH212" s="25"/>
      <c r="HI212" s="25"/>
      <c r="HJ212" s="25"/>
      <c r="HK212" s="25"/>
      <c r="HL212" s="25"/>
      <c r="HM212" s="25"/>
      <c r="HN212" s="25"/>
      <c r="HO212" s="25"/>
      <c r="HP212" s="25"/>
      <c r="HQ212" s="25"/>
      <c r="HR212" s="25"/>
      <c r="HS212" s="25"/>
      <c r="HT212" s="25"/>
      <c r="HU212" s="25"/>
      <c r="HV212" s="25"/>
      <c r="HW212" s="25"/>
      <c r="HX212" s="25"/>
      <c r="HY212" s="25"/>
      <c r="HZ212" s="25"/>
      <c r="IA212" s="25"/>
      <c r="IB212" s="25"/>
      <c r="IC212" s="25"/>
      <c r="ID212" s="25"/>
      <c r="IE212" s="25"/>
      <c r="IF212" s="25"/>
      <c r="IG212" s="25"/>
      <c r="IH212" s="25"/>
      <c r="II212" s="25"/>
      <c r="IJ212" s="25"/>
      <c r="IK212" s="25"/>
      <c r="IL212" s="25"/>
      <c r="IM212" s="25"/>
      <c r="IN212" s="25"/>
      <c r="IO212" s="25"/>
      <c r="IP212" s="25"/>
      <c r="IQ212" s="25"/>
      <c r="IR212" s="25"/>
      <c r="IS212" s="25"/>
      <c r="IT212" s="25"/>
      <c r="IU212" s="25"/>
      <c r="IV212" s="25"/>
      <c r="IW212" s="25"/>
      <c r="IX212" s="25"/>
      <c r="IY212" s="25"/>
      <c r="IZ212" s="25"/>
      <c r="JA212" s="25"/>
      <c r="JB212" s="25"/>
      <c r="JC212" s="25"/>
      <c r="JD212" s="25"/>
      <c r="JE212" s="25"/>
      <c r="JF212" s="25"/>
      <c r="JG212" s="25"/>
      <c r="JH212" s="25"/>
      <c r="JI212" s="25"/>
      <c r="JJ212" s="25"/>
      <c r="JK212" s="25"/>
      <c r="JL212" s="25"/>
      <c r="JM212" s="25"/>
      <c r="JN212" s="25"/>
    </row>
    <row r="213" spans="2:274" ht="20.25" customHeight="1" x14ac:dyDescent="0.25">
      <c r="B213" s="20"/>
      <c r="F213" s="21"/>
      <c r="G213" s="86" t="str" cm="1">
        <f t="array" aca="1" ref="G213" ca="1">IFERROR(INDEX(Panel_Rates[[1]:[12]],MATCH(Panel_New&amp;Category_New,Panel_Rates[Panel]&amp;Panel_Rates[Category],0),MATCH('Time Plan HY'!E213,OFFSET(Variable!$AF$2,MATCH(Panel_New&amp;Category_New,Panel_Rates[Panel]&amp;Panel_Rates[Category],0)-1,0,1,12),0))/8,"")</f>
        <v/>
      </c>
      <c r="H213" s="92"/>
      <c r="I213" s="88" t="str">
        <f t="shared" ca="1" si="169"/>
        <v/>
      </c>
      <c r="J213" s="89" t="str">
        <f t="shared" ca="1" si="170"/>
        <v/>
      </c>
      <c r="K213" s="90" t="str">
        <f>IFERROR(_xlfn.XLOOKUP(D213,CostTableLookup[Name],CostTableLookup[Gross Cost]),"")</f>
        <v/>
      </c>
      <c r="L213" s="22"/>
      <c r="M213" s="81" t="str">
        <f t="shared" ca="1" si="175"/>
        <v/>
      </c>
      <c r="N213" s="23"/>
      <c r="O213" s="81" t="str">
        <f t="shared" ca="1" si="176"/>
        <v/>
      </c>
      <c r="P213" s="81" t="str">
        <f t="shared" ca="1" si="171"/>
        <v/>
      </c>
      <c r="Q213" s="24" t="str">
        <f t="shared" si="172"/>
        <v/>
      </c>
      <c r="R213" s="110" t="str">
        <f t="shared" ca="1" si="177"/>
        <v/>
      </c>
      <c r="S213" s="114">
        <f t="shared" ref="S213" ca="1" si="203">IFERROR(SUM(OFFSET(Y213,0,MATCH(Forecast_New,$Y$3:$WQ$3,0)-1,1,500))*40,"")</f>
        <v>0</v>
      </c>
      <c r="T213" s="115">
        <f t="shared" ca="1" si="179"/>
        <v>0</v>
      </c>
      <c r="U213" s="116" t="str">
        <f t="shared" ca="1" si="131"/>
        <v/>
      </c>
      <c r="V213" s="99" t="str">
        <f t="shared" ca="1" si="132"/>
        <v/>
      </c>
      <c r="W213" s="100" t="str">
        <f t="shared" ca="1" si="180"/>
        <v/>
      </c>
      <c r="X213" s="83" t="str">
        <f t="shared" ca="1" si="181"/>
        <v/>
      </c>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5"/>
      <c r="EN213" s="25"/>
      <c r="EO213" s="25"/>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c r="FL213" s="25"/>
      <c r="FM213" s="25"/>
      <c r="FN213" s="25"/>
      <c r="FO213" s="25"/>
      <c r="FP213" s="25"/>
      <c r="FQ213" s="25"/>
      <c r="FR213" s="25"/>
      <c r="FS213" s="25"/>
      <c r="FT213" s="25"/>
      <c r="FU213" s="25"/>
      <c r="FV213" s="25"/>
      <c r="FW213" s="25"/>
      <c r="FX213" s="25"/>
      <c r="FY213" s="25"/>
      <c r="FZ213" s="25"/>
      <c r="GA213" s="25"/>
      <c r="GB213" s="25"/>
      <c r="GC213" s="25"/>
      <c r="GD213" s="25"/>
      <c r="GE213" s="25"/>
      <c r="GF213" s="25"/>
      <c r="GG213" s="25"/>
      <c r="GH213" s="25"/>
      <c r="GI213" s="25"/>
      <c r="GJ213" s="25"/>
      <c r="GK213" s="25"/>
      <c r="GL213" s="25"/>
      <c r="GM213" s="25"/>
      <c r="GN213" s="25"/>
      <c r="GO213" s="25"/>
      <c r="GP213" s="25"/>
      <c r="GQ213" s="25"/>
      <c r="GR213" s="25"/>
      <c r="GS213" s="25"/>
      <c r="GT213" s="25"/>
      <c r="GU213" s="25"/>
      <c r="GV213" s="25"/>
      <c r="GW213" s="25"/>
      <c r="GX213" s="25"/>
      <c r="GY213" s="25"/>
      <c r="GZ213" s="25"/>
      <c r="HA213" s="25"/>
      <c r="HB213" s="25"/>
      <c r="HC213" s="25"/>
      <c r="HD213" s="25"/>
      <c r="HE213" s="25"/>
      <c r="HF213" s="25"/>
      <c r="HG213" s="25"/>
      <c r="HH213" s="25"/>
      <c r="HI213" s="25"/>
      <c r="HJ213" s="25"/>
      <c r="HK213" s="25"/>
      <c r="HL213" s="25"/>
      <c r="HM213" s="25"/>
      <c r="HN213" s="25"/>
      <c r="HO213" s="25"/>
      <c r="HP213" s="25"/>
      <c r="HQ213" s="25"/>
      <c r="HR213" s="25"/>
      <c r="HS213" s="25"/>
      <c r="HT213" s="25"/>
      <c r="HU213" s="25"/>
      <c r="HV213" s="25"/>
      <c r="HW213" s="25"/>
      <c r="HX213" s="25"/>
      <c r="HY213" s="25"/>
      <c r="HZ213" s="25"/>
      <c r="IA213" s="25"/>
      <c r="IB213" s="25"/>
      <c r="IC213" s="25"/>
      <c r="ID213" s="25"/>
      <c r="IE213" s="25"/>
      <c r="IF213" s="25"/>
      <c r="IG213" s="25"/>
      <c r="IH213" s="25"/>
      <c r="II213" s="25"/>
      <c r="IJ213" s="25"/>
      <c r="IK213" s="25"/>
      <c r="IL213" s="25"/>
      <c r="IM213" s="25"/>
      <c r="IN213" s="25"/>
      <c r="IO213" s="25"/>
      <c r="IP213" s="25"/>
      <c r="IQ213" s="25"/>
      <c r="IR213" s="25"/>
      <c r="IS213" s="25"/>
      <c r="IT213" s="25"/>
      <c r="IU213" s="25"/>
      <c r="IV213" s="25"/>
      <c r="IW213" s="25"/>
      <c r="IX213" s="25"/>
      <c r="IY213" s="25"/>
      <c r="IZ213" s="25"/>
      <c r="JA213" s="25"/>
      <c r="JB213" s="25"/>
      <c r="JC213" s="25"/>
      <c r="JD213" s="25"/>
      <c r="JE213" s="25"/>
      <c r="JF213" s="25"/>
      <c r="JG213" s="25"/>
      <c r="JH213" s="25"/>
      <c r="JI213" s="25"/>
      <c r="JJ213" s="25"/>
      <c r="JK213" s="25"/>
      <c r="JL213" s="25"/>
      <c r="JM213" s="25"/>
      <c r="JN213" s="25"/>
    </row>
    <row r="214" spans="2:274" ht="20.25" customHeight="1" x14ac:dyDescent="0.25">
      <c r="B214" s="20"/>
      <c r="F214" s="21"/>
      <c r="G214" s="86" t="str" cm="1">
        <f t="array" aca="1" ref="G214" ca="1">IFERROR(INDEX(Panel_Rates[[1]:[12]],MATCH(Panel_New&amp;Category_New,Panel_Rates[Panel]&amp;Panel_Rates[Category],0),MATCH('Time Plan HY'!E214,OFFSET(Variable!$AF$2,MATCH(Panel_New&amp;Category_New,Panel_Rates[Panel]&amp;Panel_Rates[Category],0)-1,0,1,12),0))/8,"")</f>
        <v/>
      </c>
      <c r="H214" s="92"/>
      <c r="I214" s="88" t="str">
        <f t="shared" ca="1" si="169"/>
        <v/>
      </c>
      <c r="J214" s="89" t="str">
        <f t="shared" ca="1" si="170"/>
        <v/>
      </c>
      <c r="K214" s="90" t="str">
        <f>IFERROR(_xlfn.XLOOKUP(D214,CostTableLookup[Name],CostTableLookup[Gross Cost]),"")</f>
        <v/>
      </c>
      <c r="L214" s="22"/>
      <c r="M214" s="81" t="str">
        <f t="shared" ca="1" si="175"/>
        <v/>
      </c>
      <c r="N214" s="23"/>
      <c r="O214" s="81" t="str">
        <f t="shared" ca="1" si="176"/>
        <v/>
      </c>
      <c r="P214" s="81" t="str">
        <f t="shared" ca="1" si="171"/>
        <v/>
      </c>
      <c r="Q214" s="24" t="str">
        <f t="shared" si="172"/>
        <v/>
      </c>
      <c r="R214" s="110" t="str">
        <f t="shared" ca="1" si="177"/>
        <v/>
      </c>
      <c r="S214" s="114">
        <f t="shared" ref="S214" ca="1" si="204">IFERROR(SUM(OFFSET(Y214,0,MATCH(Forecast_New,$Y$3:$WQ$3,0)-1,1,500))*40,"")</f>
        <v>0</v>
      </c>
      <c r="T214" s="115">
        <f t="shared" ca="1" si="179"/>
        <v>0</v>
      </c>
      <c r="U214" s="116" t="str">
        <f t="shared" ca="1" si="131"/>
        <v/>
      </c>
      <c r="V214" s="99" t="str">
        <f t="shared" ca="1" si="132"/>
        <v/>
      </c>
      <c r="W214" s="100" t="str">
        <f t="shared" ca="1" si="180"/>
        <v/>
      </c>
      <c r="X214" s="83" t="str">
        <f t="shared" ca="1" si="181"/>
        <v/>
      </c>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25"/>
      <c r="EJ214" s="25"/>
      <c r="EK214" s="25"/>
      <c r="EL214" s="25"/>
      <c r="EM214" s="25"/>
      <c r="EN214" s="25"/>
      <c r="EO214" s="25"/>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5"/>
      <c r="FT214" s="25"/>
      <c r="FU214" s="25"/>
      <c r="FV214" s="25"/>
      <c r="FW214" s="25"/>
      <c r="FX214" s="25"/>
      <c r="FY214" s="25"/>
      <c r="FZ214" s="25"/>
      <c r="GA214" s="25"/>
      <c r="GB214" s="25"/>
      <c r="GC214" s="25"/>
      <c r="GD214" s="25"/>
      <c r="GE214" s="25"/>
      <c r="GF214" s="25"/>
      <c r="GG214" s="25"/>
      <c r="GH214" s="25"/>
      <c r="GI214" s="25"/>
      <c r="GJ214" s="25"/>
      <c r="GK214" s="25"/>
      <c r="GL214" s="25"/>
      <c r="GM214" s="25"/>
      <c r="GN214" s="25"/>
      <c r="GO214" s="25"/>
      <c r="GP214" s="25"/>
      <c r="GQ214" s="25"/>
      <c r="GR214" s="25"/>
      <c r="GS214" s="25"/>
      <c r="GT214" s="25"/>
      <c r="GU214" s="25"/>
      <c r="GV214" s="25"/>
      <c r="GW214" s="25"/>
      <c r="GX214" s="25"/>
      <c r="GY214" s="25"/>
      <c r="GZ214" s="25"/>
      <c r="HA214" s="25"/>
      <c r="HB214" s="25"/>
      <c r="HC214" s="25"/>
      <c r="HD214" s="25"/>
      <c r="HE214" s="25"/>
      <c r="HF214" s="25"/>
      <c r="HG214" s="25"/>
      <c r="HH214" s="25"/>
      <c r="HI214" s="25"/>
      <c r="HJ214" s="25"/>
      <c r="HK214" s="25"/>
      <c r="HL214" s="25"/>
      <c r="HM214" s="25"/>
      <c r="HN214" s="25"/>
      <c r="HO214" s="25"/>
      <c r="HP214" s="25"/>
      <c r="HQ214" s="25"/>
      <c r="HR214" s="25"/>
      <c r="HS214" s="25"/>
      <c r="HT214" s="25"/>
      <c r="HU214" s="25"/>
      <c r="HV214" s="25"/>
      <c r="HW214" s="25"/>
      <c r="HX214" s="25"/>
      <c r="HY214" s="25"/>
      <c r="HZ214" s="25"/>
      <c r="IA214" s="25"/>
      <c r="IB214" s="25"/>
      <c r="IC214" s="25"/>
      <c r="ID214" s="25"/>
      <c r="IE214" s="25"/>
      <c r="IF214" s="25"/>
      <c r="IG214" s="25"/>
      <c r="IH214" s="25"/>
      <c r="II214" s="25"/>
      <c r="IJ214" s="25"/>
      <c r="IK214" s="25"/>
      <c r="IL214" s="25"/>
      <c r="IM214" s="25"/>
      <c r="IN214" s="25"/>
      <c r="IO214" s="25"/>
      <c r="IP214" s="25"/>
      <c r="IQ214" s="25"/>
      <c r="IR214" s="25"/>
      <c r="IS214" s="25"/>
      <c r="IT214" s="25"/>
      <c r="IU214" s="25"/>
      <c r="IV214" s="25"/>
      <c r="IW214" s="25"/>
      <c r="IX214" s="25"/>
      <c r="IY214" s="25"/>
      <c r="IZ214" s="25"/>
      <c r="JA214" s="25"/>
      <c r="JB214" s="25"/>
      <c r="JC214" s="25"/>
      <c r="JD214" s="25"/>
      <c r="JE214" s="25"/>
      <c r="JF214" s="25"/>
      <c r="JG214" s="25"/>
      <c r="JH214" s="25"/>
      <c r="JI214" s="25"/>
      <c r="JJ214" s="25"/>
      <c r="JK214" s="25"/>
      <c r="JL214" s="25"/>
      <c r="JM214" s="25"/>
      <c r="JN214" s="25"/>
    </row>
    <row r="215" spans="2:274" ht="20.25" customHeight="1" x14ac:dyDescent="0.25">
      <c r="B215" s="20"/>
      <c r="F215" s="21"/>
      <c r="G215" s="86" t="str" cm="1">
        <f t="array" aca="1" ref="G215" ca="1">IFERROR(INDEX(Panel_Rates[[1]:[12]],MATCH(Panel_New&amp;Category_New,Panel_Rates[Panel]&amp;Panel_Rates[Category],0),MATCH('Time Plan HY'!E215,OFFSET(Variable!$AF$2,MATCH(Panel_New&amp;Category_New,Panel_Rates[Panel]&amp;Panel_Rates[Category],0)-1,0,1,12),0))/8,"")</f>
        <v/>
      </c>
      <c r="H215" s="92"/>
      <c r="I215" s="88" t="str">
        <f t="shared" ca="1" si="169"/>
        <v/>
      </c>
      <c r="J215" s="89" t="str">
        <f t="shared" ca="1" si="170"/>
        <v/>
      </c>
      <c r="K215" s="90" t="str">
        <f>IFERROR(_xlfn.XLOOKUP(D215,CostTableLookup[Name],CostTableLookup[Gross Cost]),"")</f>
        <v/>
      </c>
      <c r="L215" s="22"/>
      <c r="M215" s="81" t="str">
        <f t="shared" ca="1" si="175"/>
        <v/>
      </c>
      <c r="N215" s="23"/>
      <c r="O215" s="81" t="str">
        <f t="shared" ca="1" si="176"/>
        <v/>
      </c>
      <c r="P215" s="81" t="str">
        <f t="shared" ca="1" si="171"/>
        <v/>
      </c>
      <c r="Q215" s="24" t="str">
        <f t="shared" si="172"/>
        <v/>
      </c>
      <c r="R215" s="110" t="str">
        <f t="shared" ca="1" si="177"/>
        <v/>
      </c>
      <c r="S215" s="114">
        <f t="shared" ref="S215" ca="1" si="205">IFERROR(SUM(OFFSET(Y215,0,MATCH(Forecast_New,$Y$3:$WQ$3,0)-1,1,500))*40,"")</f>
        <v>0</v>
      </c>
      <c r="T215" s="115">
        <f t="shared" ca="1" si="179"/>
        <v>0</v>
      </c>
      <c r="U215" s="116" t="str">
        <f t="shared" ca="1" si="131"/>
        <v/>
      </c>
      <c r="V215" s="99" t="str">
        <f t="shared" ca="1" si="132"/>
        <v/>
      </c>
      <c r="W215" s="100" t="str">
        <f t="shared" ca="1" si="180"/>
        <v/>
      </c>
      <c r="X215" s="83" t="str">
        <f t="shared" ca="1" si="181"/>
        <v/>
      </c>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5"/>
      <c r="EN215" s="25"/>
      <c r="EO215" s="25"/>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5"/>
      <c r="GA215" s="25"/>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5"/>
      <c r="HA215" s="25"/>
      <c r="HB215" s="25"/>
      <c r="HC215" s="25"/>
      <c r="HD215" s="25"/>
      <c r="HE215" s="25"/>
      <c r="HF215" s="25"/>
      <c r="HG215" s="25"/>
      <c r="HH215" s="25"/>
      <c r="HI215" s="25"/>
      <c r="HJ215" s="25"/>
      <c r="HK215" s="25"/>
      <c r="HL215" s="25"/>
      <c r="HM215" s="25"/>
      <c r="HN215" s="25"/>
      <c r="HO215" s="25"/>
      <c r="HP215" s="25"/>
      <c r="HQ215" s="25"/>
      <c r="HR215" s="25"/>
      <c r="HS215" s="25"/>
      <c r="HT215" s="25"/>
      <c r="HU215" s="25"/>
      <c r="HV215" s="25"/>
      <c r="HW215" s="25"/>
      <c r="HX215" s="25"/>
      <c r="HY215" s="25"/>
      <c r="HZ215" s="25"/>
      <c r="IA215" s="25"/>
      <c r="IB215" s="25"/>
      <c r="IC215" s="25"/>
      <c r="ID215" s="25"/>
      <c r="IE215" s="25"/>
      <c r="IF215" s="25"/>
      <c r="IG215" s="25"/>
      <c r="IH215" s="25"/>
      <c r="II215" s="25"/>
      <c r="IJ215" s="25"/>
      <c r="IK215" s="25"/>
      <c r="IL215" s="25"/>
      <c r="IM215" s="25"/>
      <c r="IN215" s="25"/>
      <c r="IO215" s="25"/>
      <c r="IP215" s="25"/>
      <c r="IQ215" s="25"/>
      <c r="IR215" s="25"/>
      <c r="IS215" s="25"/>
      <c r="IT215" s="25"/>
      <c r="IU215" s="25"/>
      <c r="IV215" s="25"/>
      <c r="IW215" s="25"/>
      <c r="IX215" s="25"/>
      <c r="IY215" s="25"/>
      <c r="IZ215" s="25"/>
      <c r="JA215" s="25"/>
      <c r="JB215" s="25"/>
      <c r="JC215" s="25"/>
      <c r="JD215" s="25"/>
      <c r="JE215" s="25"/>
      <c r="JF215" s="25"/>
      <c r="JG215" s="25"/>
      <c r="JH215" s="25"/>
      <c r="JI215" s="25"/>
      <c r="JJ215" s="25"/>
      <c r="JK215" s="25"/>
      <c r="JL215" s="25"/>
      <c r="JM215" s="25"/>
      <c r="JN215" s="25"/>
    </row>
    <row r="216" spans="2:274" ht="20.25" customHeight="1" x14ac:dyDescent="0.25">
      <c r="B216" s="20"/>
      <c r="F216" s="21"/>
      <c r="G216" s="86" t="str" cm="1">
        <f t="array" aca="1" ref="G216" ca="1">IFERROR(INDEX(Panel_Rates[[1]:[12]],MATCH(Panel_New&amp;Category_New,Panel_Rates[Panel]&amp;Panel_Rates[Category],0),MATCH('Time Plan HY'!E216,OFFSET(Variable!$AF$2,MATCH(Panel_New&amp;Category_New,Panel_Rates[Panel]&amp;Panel_Rates[Category],0)-1,0,1,12),0))/8,"")</f>
        <v/>
      </c>
      <c r="H216" s="92"/>
      <c r="I216" s="88" t="str">
        <f t="shared" ca="1" si="169"/>
        <v/>
      </c>
      <c r="J216" s="89" t="str">
        <f t="shared" ca="1" si="170"/>
        <v/>
      </c>
      <c r="K216" s="90" t="str">
        <f>IFERROR(_xlfn.XLOOKUP(D216,CostTableLookup[Name],CostTableLookup[Gross Cost]),"")</f>
        <v/>
      </c>
      <c r="L216" s="22"/>
      <c r="M216" s="81" t="str">
        <f t="shared" ca="1" si="175"/>
        <v/>
      </c>
      <c r="N216" s="23"/>
      <c r="O216" s="81" t="str">
        <f t="shared" ca="1" si="176"/>
        <v/>
      </c>
      <c r="P216" s="81" t="str">
        <f t="shared" ca="1" si="171"/>
        <v/>
      </c>
      <c r="Q216" s="24" t="str">
        <f t="shared" si="172"/>
        <v/>
      </c>
      <c r="R216" s="110" t="str">
        <f t="shared" ca="1" si="177"/>
        <v/>
      </c>
      <c r="S216" s="114">
        <f t="shared" ref="S216" ca="1" si="206">IFERROR(SUM(OFFSET(Y216,0,MATCH(Forecast_New,$Y$3:$WQ$3,0)-1,1,500))*40,"")</f>
        <v>0</v>
      </c>
      <c r="T216" s="115">
        <f t="shared" ca="1" si="179"/>
        <v>0</v>
      </c>
      <c r="U216" s="116" t="str">
        <f t="shared" ref="U216:U221" ca="1" si="207">IFERROR($S216*I216,"")</f>
        <v/>
      </c>
      <c r="V216" s="99" t="str">
        <f t="shared" ref="V216:V221" ca="1" si="208">IFERROR($S216*K216,"")</f>
        <v/>
      </c>
      <c r="W216" s="100" t="str">
        <f t="shared" ca="1" si="180"/>
        <v/>
      </c>
      <c r="X216" s="83" t="str">
        <f t="shared" ca="1" si="181"/>
        <v/>
      </c>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5"/>
      <c r="EN216" s="25"/>
      <c r="EO216" s="25"/>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c r="FL216" s="25"/>
      <c r="FM216" s="25"/>
      <c r="FN216" s="25"/>
      <c r="FO216" s="25"/>
      <c r="FP216" s="25"/>
      <c r="FQ216" s="25"/>
      <c r="FR216" s="25"/>
      <c r="FS216" s="25"/>
      <c r="FT216" s="25"/>
      <c r="FU216" s="25"/>
      <c r="FV216" s="25"/>
      <c r="FW216" s="25"/>
      <c r="FX216" s="25"/>
      <c r="FY216" s="25"/>
      <c r="FZ216" s="25"/>
      <c r="GA216" s="25"/>
      <c r="GB216" s="25"/>
      <c r="GC216" s="25"/>
      <c r="GD216" s="25"/>
      <c r="GE216" s="25"/>
      <c r="GF216" s="25"/>
      <c r="GG216" s="25"/>
      <c r="GH216" s="25"/>
      <c r="GI216" s="25"/>
      <c r="GJ216" s="25"/>
      <c r="GK216" s="25"/>
      <c r="GL216" s="25"/>
      <c r="GM216" s="25"/>
      <c r="GN216" s="25"/>
      <c r="GO216" s="25"/>
      <c r="GP216" s="25"/>
      <c r="GQ216" s="25"/>
      <c r="GR216" s="25"/>
      <c r="GS216" s="25"/>
      <c r="GT216" s="25"/>
      <c r="GU216" s="25"/>
      <c r="GV216" s="25"/>
      <c r="GW216" s="25"/>
      <c r="GX216" s="25"/>
      <c r="GY216" s="25"/>
      <c r="GZ216" s="25"/>
      <c r="HA216" s="25"/>
      <c r="HB216" s="25"/>
      <c r="HC216" s="25"/>
      <c r="HD216" s="25"/>
      <c r="HE216" s="25"/>
      <c r="HF216" s="25"/>
      <c r="HG216" s="25"/>
      <c r="HH216" s="25"/>
      <c r="HI216" s="25"/>
      <c r="HJ216" s="25"/>
      <c r="HK216" s="25"/>
      <c r="HL216" s="25"/>
      <c r="HM216" s="25"/>
      <c r="HN216" s="25"/>
      <c r="HO216" s="25"/>
      <c r="HP216" s="25"/>
      <c r="HQ216" s="25"/>
      <c r="HR216" s="25"/>
      <c r="HS216" s="25"/>
      <c r="HT216" s="25"/>
      <c r="HU216" s="25"/>
      <c r="HV216" s="25"/>
      <c r="HW216" s="25"/>
      <c r="HX216" s="25"/>
      <c r="HY216" s="25"/>
      <c r="HZ216" s="25"/>
      <c r="IA216" s="25"/>
      <c r="IB216" s="25"/>
      <c r="IC216" s="25"/>
      <c r="ID216" s="25"/>
      <c r="IE216" s="25"/>
      <c r="IF216" s="25"/>
      <c r="IG216" s="25"/>
      <c r="IH216" s="25"/>
      <c r="II216" s="25"/>
      <c r="IJ216" s="25"/>
      <c r="IK216" s="25"/>
      <c r="IL216" s="25"/>
      <c r="IM216" s="25"/>
      <c r="IN216" s="25"/>
      <c r="IO216" s="25"/>
      <c r="IP216" s="25"/>
      <c r="IQ216" s="25"/>
      <c r="IR216" s="25"/>
      <c r="IS216" s="25"/>
      <c r="IT216" s="25"/>
      <c r="IU216" s="25"/>
      <c r="IV216" s="25"/>
      <c r="IW216" s="25"/>
      <c r="IX216" s="25"/>
      <c r="IY216" s="25"/>
      <c r="IZ216" s="25"/>
      <c r="JA216" s="25"/>
      <c r="JB216" s="25"/>
      <c r="JC216" s="25"/>
      <c r="JD216" s="25"/>
      <c r="JE216" s="25"/>
      <c r="JF216" s="25"/>
      <c r="JG216" s="25"/>
      <c r="JH216" s="25"/>
      <c r="JI216" s="25"/>
      <c r="JJ216" s="25"/>
      <c r="JK216" s="25"/>
      <c r="JL216" s="25"/>
      <c r="JM216" s="25"/>
      <c r="JN216" s="25"/>
    </row>
    <row r="217" spans="2:274" ht="20.25" customHeight="1" x14ac:dyDescent="0.25">
      <c r="B217" s="20"/>
      <c r="F217" s="21"/>
      <c r="G217" s="86" t="str" cm="1">
        <f t="array" aca="1" ref="G217" ca="1">IFERROR(INDEX(Panel_Rates[[1]:[12]],MATCH(Panel_New&amp;Category_New,Panel_Rates[Panel]&amp;Panel_Rates[Category],0),MATCH('Time Plan HY'!E217,OFFSET(Variable!$AF$2,MATCH(Panel_New&amp;Category_New,Panel_Rates[Panel]&amp;Panel_Rates[Category],0)-1,0,1,12),0))/8,"")</f>
        <v/>
      </c>
      <c r="H217" s="92"/>
      <c r="I217" s="88" t="str">
        <f t="shared" ca="1" si="169"/>
        <v/>
      </c>
      <c r="J217" s="89" t="str">
        <f t="shared" ca="1" si="170"/>
        <v/>
      </c>
      <c r="K217" s="90" t="str">
        <f>IFERROR(_xlfn.XLOOKUP(D217,CostTableLookup[Name],CostTableLookup[Gross Cost]),"")</f>
        <v/>
      </c>
      <c r="L217" s="22"/>
      <c r="M217" s="81" t="str">
        <f t="shared" ca="1" si="175"/>
        <v/>
      </c>
      <c r="N217" s="23"/>
      <c r="O217" s="81" t="str">
        <f t="shared" ca="1" si="176"/>
        <v/>
      </c>
      <c r="P217" s="81" t="str">
        <f t="shared" ca="1" si="171"/>
        <v/>
      </c>
      <c r="Q217" s="24" t="str">
        <f t="shared" si="172"/>
        <v/>
      </c>
      <c r="R217" s="110" t="str">
        <f t="shared" ca="1" si="177"/>
        <v/>
      </c>
      <c r="S217" s="114">
        <f t="shared" ref="S217" ca="1" si="209">IFERROR(SUM(OFFSET(Y217,0,MATCH(Forecast_New,$Y$3:$WQ$3,0)-1,1,500))*40,"")</f>
        <v>0</v>
      </c>
      <c r="T217" s="115">
        <f t="shared" ca="1" si="179"/>
        <v>0</v>
      </c>
      <c r="U217" s="116" t="str">
        <f t="shared" ca="1" si="207"/>
        <v/>
      </c>
      <c r="V217" s="99" t="str">
        <f t="shared" ca="1" si="208"/>
        <v/>
      </c>
      <c r="W217" s="100" t="str">
        <f t="shared" ca="1" si="180"/>
        <v/>
      </c>
      <c r="X217" s="83" t="str">
        <f t="shared" ca="1" si="181"/>
        <v/>
      </c>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5"/>
      <c r="EN217" s="25"/>
      <c r="EO217" s="25"/>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5"/>
      <c r="FT217" s="25"/>
      <c r="FU217" s="25"/>
      <c r="FV217" s="25"/>
      <c r="FW217" s="25"/>
      <c r="FX217" s="25"/>
      <c r="FY217" s="25"/>
      <c r="FZ217" s="25"/>
      <c r="GA217" s="25"/>
      <c r="GB217" s="25"/>
      <c r="GC217" s="25"/>
      <c r="GD217" s="25"/>
      <c r="GE217" s="25"/>
      <c r="GF217" s="25"/>
      <c r="GG217" s="25"/>
      <c r="GH217" s="25"/>
      <c r="GI217" s="25"/>
      <c r="GJ217" s="25"/>
      <c r="GK217" s="25"/>
      <c r="GL217" s="25"/>
      <c r="GM217" s="25"/>
      <c r="GN217" s="25"/>
      <c r="GO217" s="25"/>
      <c r="GP217" s="25"/>
      <c r="GQ217" s="25"/>
      <c r="GR217" s="25"/>
      <c r="GS217" s="25"/>
      <c r="GT217" s="25"/>
      <c r="GU217" s="25"/>
      <c r="GV217" s="25"/>
      <c r="GW217" s="25"/>
      <c r="GX217" s="25"/>
      <c r="GY217" s="25"/>
      <c r="GZ217" s="25"/>
      <c r="HA217" s="25"/>
      <c r="HB217" s="25"/>
      <c r="HC217" s="25"/>
      <c r="HD217" s="25"/>
      <c r="HE217" s="25"/>
      <c r="HF217" s="25"/>
      <c r="HG217" s="25"/>
      <c r="HH217" s="25"/>
      <c r="HI217" s="25"/>
      <c r="HJ217" s="25"/>
      <c r="HK217" s="25"/>
      <c r="HL217" s="25"/>
      <c r="HM217" s="25"/>
      <c r="HN217" s="25"/>
      <c r="HO217" s="25"/>
      <c r="HP217" s="25"/>
      <c r="HQ217" s="25"/>
      <c r="HR217" s="25"/>
      <c r="HS217" s="25"/>
      <c r="HT217" s="25"/>
      <c r="HU217" s="25"/>
      <c r="HV217" s="25"/>
      <c r="HW217" s="25"/>
      <c r="HX217" s="25"/>
      <c r="HY217" s="25"/>
      <c r="HZ217" s="25"/>
      <c r="IA217" s="25"/>
      <c r="IB217" s="25"/>
      <c r="IC217" s="25"/>
      <c r="ID217" s="25"/>
      <c r="IE217" s="25"/>
      <c r="IF217" s="25"/>
      <c r="IG217" s="25"/>
      <c r="IH217" s="25"/>
      <c r="II217" s="25"/>
      <c r="IJ217" s="25"/>
      <c r="IK217" s="25"/>
      <c r="IL217" s="25"/>
      <c r="IM217" s="25"/>
      <c r="IN217" s="25"/>
      <c r="IO217" s="25"/>
      <c r="IP217" s="25"/>
      <c r="IQ217" s="25"/>
      <c r="IR217" s="25"/>
      <c r="IS217" s="25"/>
      <c r="IT217" s="25"/>
      <c r="IU217" s="25"/>
      <c r="IV217" s="25"/>
      <c r="IW217" s="25"/>
      <c r="IX217" s="25"/>
      <c r="IY217" s="25"/>
      <c r="IZ217" s="25"/>
      <c r="JA217" s="25"/>
      <c r="JB217" s="25"/>
      <c r="JC217" s="25"/>
      <c r="JD217" s="25"/>
      <c r="JE217" s="25"/>
      <c r="JF217" s="25"/>
      <c r="JG217" s="25"/>
      <c r="JH217" s="25"/>
      <c r="JI217" s="25"/>
      <c r="JJ217" s="25"/>
      <c r="JK217" s="25"/>
      <c r="JL217" s="25"/>
      <c r="JM217" s="25"/>
      <c r="JN217" s="25"/>
    </row>
    <row r="218" spans="2:274" ht="20.25" customHeight="1" x14ac:dyDescent="0.25">
      <c r="B218" s="20"/>
      <c r="F218" s="21"/>
      <c r="G218" s="86" t="str" cm="1">
        <f t="array" aca="1" ref="G218" ca="1">IFERROR(INDEX(Panel_Rates[[1]:[12]],MATCH(Panel_New&amp;Category_New,Panel_Rates[Panel]&amp;Panel_Rates[Category],0),MATCH('Time Plan HY'!E218,OFFSET(Variable!$AF$2,MATCH(Panel_New&amp;Category_New,Panel_Rates[Panel]&amp;Panel_Rates[Category],0)-1,0,1,12),0))/8,"")</f>
        <v/>
      </c>
      <c r="H218" s="92"/>
      <c r="I218" s="88" t="str">
        <f t="shared" ca="1" si="169"/>
        <v/>
      </c>
      <c r="J218" s="89" t="str">
        <f t="shared" ca="1" si="170"/>
        <v/>
      </c>
      <c r="K218" s="90" t="str">
        <f>IFERROR(_xlfn.XLOOKUP(D218,CostTableLookup[Name],CostTableLookup[Gross Cost]),"")</f>
        <v/>
      </c>
      <c r="L218" s="22"/>
      <c r="M218" s="81" t="str">
        <f t="shared" ca="1" si="175"/>
        <v/>
      </c>
      <c r="N218" s="23"/>
      <c r="O218" s="81" t="str">
        <f t="shared" ca="1" si="176"/>
        <v/>
      </c>
      <c r="P218" s="81" t="str">
        <f t="shared" ca="1" si="171"/>
        <v/>
      </c>
      <c r="Q218" s="24" t="str">
        <f t="shared" si="172"/>
        <v/>
      </c>
      <c r="R218" s="110" t="str">
        <f t="shared" ca="1" si="177"/>
        <v/>
      </c>
      <c r="S218" s="114">
        <f t="shared" ref="S218" ca="1" si="210">IFERROR(SUM(OFFSET(Y218,0,MATCH(Forecast_New,$Y$3:$WQ$3,0)-1,1,500))*40,"")</f>
        <v>0</v>
      </c>
      <c r="T218" s="115">
        <f t="shared" ca="1" si="179"/>
        <v>0</v>
      </c>
      <c r="U218" s="116" t="str">
        <f t="shared" ca="1" si="207"/>
        <v/>
      </c>
      <c r="V218" s="99" t="str">
        <f t="shared" ca="1" si="208"/>
        <v/>
      </c>
      <c r="W218" s="100" t="str">
        <f t="shared" ca="1" si="180"/>
        <v/>
      </c>
      <c r="X218" s="83" t="str">
        <f t="shared" ca="1" si="181"/>
        <v/>
      </c>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5"/>
      <c r="EN218" s="25"/>
      <c r="EO218" s="25"/>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5"/>
      <c r="FT218" s="25"/>
      <c r="FU218" s="25"/>
      <c r="FV218" s="25"/>
      <c r="FW218" s="25"/>
      <c r="FX218" s="25"/>
      <c r="FY218" s="25"/>
      <c r="FZ218" s="25"/>
      <c r="GA218" s="25"/>
      <c r="GB218" s="25"/>
      <c r="GC218" s="25"/>
      <c r="GD218" s="25"/>
      <c r="GE218" s="25"/>
      <c r="GF218" s="25"/>
      <c r="GG218" s="25"/>
      <c r="GH218" s="25"/>
      <c r="GI218" s="25"/>
      <c r="GJ218" s="25"/>
      <c r="GK218" s="25"/>
      <c r="GL218" s="25"/>
      <c r="GM218" s="25"/>
      <c r="GN218" s="25"/>
      <c r="GO218" s="25"/>
      <c r="GP218" s="25"/>
      <c r="GQ218" s="25"/>
      <c r="GR218" s="25"/>
      <c r="GS218" s="25"/>
      <c r="GT218" s="25"/>
      <c r="GU218" s="25"/>
      <c r="GV218" s="25"/>
      <c r="GW218" s="25"/>
      <c r="GX218" s="25"/>
      <c r="GY218" s="25"/>
      <c r="GZ218" s="25"/>
      <c r="HA218" s="25"/>
      <c r="HB218" s="25"/>
      <c r="HC218" s="25"/>
      <c r="HD218" s="25"/>
      <c r="HE218" s="25"/>
      <c r="HF218" s="25"/>
      <c r="HG218" s="25"/>
      <c r="HH218" s="25"/>
      <c r="HI218" s="25"/>
      <c r="HJ218" s="25"/>
      <c r="HK218" s="25"/>
      <c r="HL218" s="25"/>
      <c r="HM218" s="25"/>
      <c r="HN218" s="25"/>
      <c r="HO218" s="25"/>
      <c r="HP218" s="25"/>
      <c r="HQ218" s="25"/>
      <c r="HR218" s="25"/>
      <c r="HS218" s="25"/>
      <c r="HT218" s="25"/>
      <c r="HU218" s="25"/>
      <c r="HV218" s="25"/>
      <c r="HW218" s="25"/>
      <c r="HX218" s="25"/>
      <c r="HY218" s="25"/>
      <c r="HZ218" s="25"/>
      <c r="IA218" s="25"/>
      <c r="IB218" s="25"/>
      <c r="IC218" s="25"/>
      <c r="ID218" s="25"/>
      <c r="IE218" s="25"/>
      <c r="IF218" s="25"/>
      <c r="IG218" s="25"/>
      <c r="IH218" s="25"/>
      <c r="II218" s="25"/>
      <c r="IJ218" s="25"/>
      <c r="IK218" s="25"/>
      <c r="IL218" s="25"/>
      <c r="IM218" s="25"/>
      <c r="IN218" s="25"/>
      <c r="IO218" s="25"/>
      <c r="IP218" s="25"/>
      <c r="IQ218" s="25"/>
      <c r="IR218" s="25"/>
      <c r="IS218" s="25"/>
      <c r="IT218" s="25"/>
      <c r="IU218" s="25"/>
      <c r="IV218" s="25"/>
      <c r="IW218" s="25"/>
      <c r="IX218" s="25"/>
      <c r="IY218" s="25"/>
      <c r="IZ218" s="25"/>
      <c r="JA218" s="25"/>
      <c r="JB218" s="25"/>
      <c r="JC218" s="25"/>
      <c r="JD218" s="25"/>
      <c r="JE218" s="25"/>
      <c r="JF218" s="25"/>
      <c r="JG218" s="25"/>
      <c r="JH218" s="25"/>
      <c r="JI218" s="25"/>
      <c r="JJ218" s="25"/>
      <c r="JK218" s="25"/>
      <c r="JL218" s="25"/>
      <c r="JM218" s="25"/>
      <c r="JN218" s="25"/>
    </row>
    <row r="219" spans="2:274" ht="20.25" customHeight="1" x14ac:dyDescent="0.25">
      <c r="B219" s="20"/>
      <c r="F219" s="21"/>
      <c r="G219" s="86" t="str" cm="1">
        <f t="array" aca="1" ref="G219" ca="1">IFERROR(INDEX(Panel_Rates[[1]:[12]],MATCH(Panel_New&amp;Category_New,Panel_Rates[Panel]&amp;Panel_Rates[Category],0),MATCH('Time Plan HY'!E219,OFFSET(Variable!$AF$2,MATCH(Panel_New&amp;Category_New,Panel_Rates[Panel]&amp;Panel_Rates[Category],0)-1,0,1,12),0))/8,"")</f>
        <v/>
      </c>
      <c r="H219" s="92"/>
      <c r="I219" s="88" t="str">
        <f t="shared" ca="1" si="169"/>
        <v/>
      </c>
      <c r="J219" s="89" t="str">
        <f t="shared" ca="1" si="170"/>
        <v/>
      </c>
      <c r="K219" s="90" t="str">
        <f>IFERROR(_xlfn.XLOOKUP(D219,CostTableLookup[Name],CostTableLookup[Gross Cost]),"")</f>
        <v/>
      </c>
      <c r="L219" s="22"/>
      <c r="M219" s="81" t="str">
        <f t="shared" ca="1" si="175"/>
        <v/>
      </c>
      <c r="N219" s="23"/>
      <c r="O219" s="81" t="str">
        <f t="shared" ca="1" si="176"/>
        <v/>
      </c>
      <c r="P219" s="81" t="str">
        <f t="shared" ca="1" si="171"/>
        <v/>
      </c>
      <c r="Q219" s="24" t="str">
        <f t="shared" si="172"/>
        <v/>
      </c>
      <c r="R219" s="110" t="str">
        <f t="shared" ca="1" si="177"/>
        <v/>
      </c>
      <c r="S219" s="114">
        <f t="shared" ref="S219" ca="1" si="211">IFERROR(SUM(OFFSET(Y219,0,MATCH(Forecast_New,$Y$3:$WQ$3,0)-1,1,500))*40,"")</f>
        <v>0</v>
      </c>
      <c r="T219" s="115">
        <f t="shared" ca="1" si="179"/>
        <v>0</v>
      </c>
      <c r="U219" s="116" t="str">
        <f t="shared" ca="1" si="207"/>
        <v/>
      </c>
      <c r="V219" s="99" t="str">
        <f t="shared" ca="1" si="208"/>
        <v/>
      </c>
      <c r="W219" s="100" t="str">
        <f t="shared" ca="1" si="180"/>
        <v/>
      </c>
      <c r="X219" s="83" t="str">
        <f t="shared" ca="1" si="181"/>
        <v/>
      </c>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c r="FT219" s="25"/>
      <c r="FU219" s="25"/>
      <c r="FV219" s="25"/>
      <c r="FW219" s="25"/>
      <c r="FX219" s="25"/>
      <c r="FY219" s="25"/>
      <c r="FZ219" s="25"/>
      <c r="GA219" s="25"/>
      <c r="GB219" s="25"/>
      <c r="GC219" s="25"/>
      <c r="GD219" s="25"/>
      <c r="GE219" s="25"/>
      <c r="GF219" s="25"/>
      <c r="GG219" s="25"/>
      <c r="GH219" s="25"/>
      <c r="GI219" s="25"/>
      <c r="GJ219" s="25"/>
      <c r="GK219" s="25"/>
      <c r="GL219" s="25"/>
      <c r="GM219" s="25"/>
      <c r="GN219" s="25"/>
      <c r="GO219" s="25"/>
      <c r="GP219" s="25"/>
      <c r="GQ219" s="25"/>
      <c r="GR219" s="25"/>
      <c r="GS219" s="25"/>
      <c r="GT219" s="25"/>
      <c r="GU219" s="25"/>
      <c r="GV219" s="25"/>
      <c r="GW219" s="25"/>
      <c r="GX219" s="25"/>
      <c r="GY219" s="25"/>
      <c r="GZ219" s="25"/>
      <c r="HA219" s="25"/>
      <c r="HB219" s="25"/>
      <c r="HC219" s="25"/>
      <c r="HD219" s="25"/>
      <c r="HE219" s="25"/>
      <c r="HF219" s="25"/>
      <c r="HG219" s="25"/>
      <c r="HH219" s="25"/>
      <c r="HI219" s="25"/>
      <c r="HJ219" s="25"/>
      <c r="HK219" s="25"/>
      <c r="HL219" s="25"/>
      <c r="HM219" s="25"/>
      <c r="HN219" s="25"/>
      <c r="HO219" s="25"/>
      <c r="HP219" s="25"/>
      <c r="HQ219" s="25"/>
      <c r="HR219" s="25"/>
      <c r="HS219" s="25"/>
      <c r="HT219" s="25"/>
      <c r="HU219" s="25"/>
      <c r="HV219" s="25"/>
      <c r="HW219" s="25"/>
      <c r="HX219" s="25"/>
      <c r="HY219" s="25"/>
      <c r="HZ219" s="25"/>
      <c r="IA219" s="25"/>
      <c r="IB219" s="25"/>
      <c r="IC219" s="25"/>
      <c r="ID219" s="25"/>
      <c r="IE219" s="25"/>
      <c r="IF219" s="25"/>
      <c r="IG219" s="25"/>
      <c r="IH219" s="25"/>
      <c r="II219" s="25"/>
      <c r="IJ219" s="25"/>
      <c r="IK219" s="25"/>
      <c r="IL219" s="25"/>
      <c r="IM219" s="25"/>
      <c r="IN219" s="25"/>
      <c r="IO219" s="25"/>
      <c r="IP219" s="25"/>
      <c r="IQ219" s="25"/>
      <c r="IR219" s="25"/>
      <c r="IS219" s="25"/>
      <c r="IT219" s="25"/>
      <c r="IU219" s="25"/>
      <c r="IV219" s="25"/>
      <c r="IW219" s="25"/>
      <c r="IX219" s="25"/>
      <c r="IY219" s="25"/>
      <c r="IZ219" s="25"/>
      <c r="JA219" s="25"/>
      <c r="JB219" s="25"/>
      <c r="JC219" s="25"/>
      <c r="JD219" s="25"/>
      <c r="JE219" s="25"/>
      <c r="JF219" s="25"/>
      <c r="JG219" s="25"/>
      <c r="JH219" s="25"/>
      <c r="JI219" s="25"/>
      <c r="JJ219" s="25"/>
      <c r="JK219" s="25"/>
      <c r="JL219" s="25"/>
      <c r="JM219" s="25"/>
      <c r="JN219" s="25"/>
    </row>
    <row r="220" spans="2:274" ht="20.25" customHeight="1" x14ac:dyDescent="0.25">
      <c r="B220" s="20"/>
      <c r="F220" s="21"/>
      <c r="G220" s="86" t="str" cm="1">
        <f t="array" aca="1" ref="G220" ca="1">IFERROR(INDEX(Panel_Rates[[1]:[12]],MATCH(Panel_New&amp;Category_New,Panel_Rates[Panel]&amp;Panel_Rates[Category],0),MATCH('Time Plan HY'!E220,OFFSET(Variable!$AF$2,MATCH(Panel_New&amp;Category_New,Panel_Rates[Panel]&amp;Panel_Rates[Category],0)-1,0,1,12),0))/8,"")</f>
        <v/>
      </c>
      <c r="H220" s="92"/>
      <c r="I220" s="88" t="str">
        <f t="shared" ca="1" si="169"/>
        <v/>
      </c>
      <c r="J220" s="89" t="str">
        <f t="shared" ca="1" si="170"/>
        <v/>
      </c>
      <c r="K220" s="90" t="str">
        <f>IFERROR(_xlfn.XLOOKUP(D220,CostTableLookup[Name],CostTableLookup[Gross Cost]),"")</f>
        <v/>
      </c>
      <c r="L220" s="22"/>
      <c r="M220" s="81" t="str">
        <f t="shared" ca="1" si="175"/>
        <v/>
      </c>
      <c r="N220" s="23"/>
      <c r="O220" s="81" t="str">
        <f t="shared" ca="1" si="176"/>
        <v/>
      </c>
      <c r="P220" s="81" t="str">
        <f t="shared" ca="1" si="171"/>
        <v/>
      </c>
      <c r="Q220" s="24" t="str">
        <f t="shared" si="172"/>
        <v/>
      </c>
      <c r="R220" s="110" t="str">
        <f t="shared" ca="1" si="177"/>
        <v/>
      </c>
      <c r="S220" s="114">
        <f t="shared" ref="S220" ca="1" si="212">IFERROR(SUM(OFFSET(Y220,0,MATCH(Forecast_New,$Y$3:$WQ$3,0)-1,1,500))*40,"")</f>
        <v>0</v>
      </c>
      <c r="T220" s="115">
        <f t="shared" ca="1" si="179"/>
        <v>0</v>
      </c>
      <c r="U220" s="116" t="str">
        <f t="shared" ca="1" si="207"/>
        <v/>
      </c>
      <c r="V220" s="99" t="str">
        <f t="shared" ca="1" si="208"/>
        <v/>
      </c>
      <c r="W220" s="100" t="str">
        <f t="shared" ca="1" si="180"/>
        <v/>
      </c>
      <c r="X220" s="83" t="str">
        <f t="shared" ca="1" si="181"/>
        <v/>
      </c>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5"/>
      <c r="EN220" s="25"/>
      <c r="EO220" s="25"/>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c r="FW220" s="25"/>
      <c r="FX220" s="25"/>
      <c r="FY220" s="25"/>
      <c r="FZ220" s="25"/>
      <c r="GA220" s="25"/>
      <c r="GB220" s="25"/>
      <c r="GC220" s="25"/>
      <c r="GD220" s="25"/>
      <c r="GE220" s="25"/>
      <c r="GF220" s="25"/>
      <c r="GG220" s="25"/>
      <c r="GH220" s="25"/>
      <c r="GI220" s="25"/>
      <c r="GJ220" s="25"/>
      <c r="GK220" s="25"/>
      <c r="GL220" s="25"/>
      <c r="GM220" s="25"/>
      <c r="GN220" s="25"/>
      <c r="GO220" s="25"/>
      <c r="GP220" s="25"/>
      <c r="GQ220" s="25"/>
      <c r="GR220" s="25"/>
      <c r="GS220" s="25"/>
      <c r="GT220" s="25"/>
      <c r="GU220" s="25"/>
      <c r="GV220" s="25"/>
      <c r="GW220" s="25"/>
      <c r="GX220" s="25"/>
      <c r="GY220" s="25"/>
      <c r="GZ220" s="25"/>
      <c r="HA220" s="25"/>
      <c r="HB220" s="25"/>
      <c r="HC220" s="25"/>
      <c r="HD220" s="25"/>
      <c r="HE220" s="25"/>
      <c r="HF220" s="25"/>
      <c r="HG220" s="25"/>
      <c r="HH220" s="25"/>
      <c r="HI220" s="25"/>
      <c r="HJ220" s="25"/>
      <c r="HK220" s="25"/>
      <c r="HL220" s="25"/>
      <c r="HM220" s="25"/>
      <c r="HN220" s="25"/>
      <c r="HO220" s="25"/>
      <c r="HP220" s="25"/>
      <c r="HQ220" s="25"/>
      <c r="HR220" s="25"/>
      <c r="HS220" s="25"/>
      <c r="HT220" s="25"/>
      <c r="HU220" s="25"/>
      <c r="HV220" s="25"/>
      <c r="HW220" s="25"/>
      <c r="HX220" s="25"/>
      <c r="HY220" s="25"/>
      <c r="HZ220" s="25"/>
      <c r="IA220" s="25"/>
      <c r="IB220" s="25"/>
      <c r="IC220" s="25"/>
      <c r="ID220" s="25"/>
      <c r="IE220" s="25"/>
      <c r="IF220" s="25"/>
      <c r="IG220" s="25"/>
      <c r="IH220" s="25"/>
      <c r="II220" s="25"/>
      <c r="IJ220" s="25"/>
      <c r="IK220" s="25"/>
      <c r="IL220" s="25"/>
      <c r="IM220" s="25"/>
      <c r="IN220" s="25"/>
      <c r="IO220" s="25"/>
      <c r="IP220" s="25"/>
      <c r="IQ220" s="25"/>
      <c r="IR220" s="25"/>
      <c r="IS220" s="25"/>
      <c r="IT220" s="25"/>
      <c r="IU220" s="25"/>
      <c r="IV220" s="25"/>
      <c r="IW220" s="25"/>
      <c r="IX220" s="25"/>
      <c r="IY220" s="25"/>
      <c r="IZ220" s="25"/>
      <c r="JA220" s="25"/>
      <c r="JB220" s="25"/>
      <c r="JC220" s="25"/>
      <c r="JD220" s="25"/>
      <c r="JE220" s="25"/>
      <c r="JF220" s="25"/>
      <c r="JG220" s="25"/>
      <c r="JH220" s="25"/>
      <c r="JI220" s="25"/>
      <c r="JJ220" s="25"/>
      <c r="JK220" s="25"/>
      <c r="JL220" s="25"/>
      <c r="JM220" s="25"/>
      <c r="JN220" s="25"/>
    </row>
    <row r="221" spans="2:274" ht="20.25" customHeight="1" x14ac:dyDescent="0.25">
      <c r="B221" s="26"/>
      <c r="C221" s="19"/>
      <c r="D221" s="19"/>
      <c r="E221" s="19"/>
      <c r="F221" s="27"/>
      <c r="G221" s="93" t="str" cm="1">
        <f t="array" aca="1" ref="G221" ca="1">IFERROR(INDEX(Panel_Rates[[1]:[12]],MATCH(Panel_New&amp;Category_New,Panel_Rates[Panel]&amp;Panel_Rates[Category],0),MATCH('Time Plan HY'!E221,OFFSET(Variable!$AF$2,MATCH(Panel_New&amp;Category_New,Panel_Rates[Panel]&amp;Panel_Rates[Category],0)-1,0,1,12),0))/8,"")</f>
        <v/>
      </c>
      <c r="H221" s="94"/>
      <c r="I221" s="95" t="str">
        <f t="shared" ca="1" si="169"/>
        <v/>
      </c>
      <c r="J221" s="84" t="str">
        <f t="shared" ca="1" si="170"/>
        <v/>
      </c>
      <c r="K221" s="96" t="str">
        <f>IFERROR(_xlfn.XLOOKUP(D221,CostTableLookup[Name],CostTableLookup[Gross Cost]),"")</f>
        <v/>
      </c>
      <c r="L221" s="28"/>
      <c r="M221" s="29" t="str">
        <f t="shared" ca="1" si="175"/>
        <v/>
      </c>
      <c r="N221" s="30"/>
      <c r="O221" s="29" t="str">
        <f t="shared" ca="1" si="176"/>
        <v/>
      </c>
      <c r="P221" s="29" t="str">
        <f t="shared" ca="1" si="171"/>
        <v/>
      </c>
      <c r="Q221" s="31" t="str">
        <f t="shared" si="172"/>
        <v/>
      </c>
      <c r="R221" s="111" t="str">
        <f t="shared" ca="1" si="177"/>
        <v/>
      </c>
      <c r="S221" s="117">
        <f t="shared" ref="S221" ca="1" si="213">IFERROR(SUM(OFFSET(Y221,0,MATCH(Forecast_New,$Y$3:$WQ$3,0)-1,1,500))*40,"")</f>
        <v>0</v>
      </c>
      <c r="T221" s="118">
        <f t="shared" ca="1" si="179"/>
        <v>0</v>
      </c>
      <c r="U221" s="119" t="str">
        <f t="shared" ca="1" si="207"/>
        <v/>
      </c>
      <c r="V221" s="101" t="str">
        <f t="shared" ca="1" si="208"/>
        <v/>
      </c>
      <c r="W221" s="102" t="str">
        <f t="shared" ca="1" si="180"/>
        <v/>
      </c>
      <c r="X221" s="85" t="str">
        <f t="shared" ca="1" si="181"/>
        <v/>
      </c>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c r="FL221" s="25"/>
      <c r="FM221" s="25"/>
      <c r="FN221" s="25"/>
      <c r="FO221" s="25"/>
      <c r="FP221" s="25"/>
      <c r="FQ221" s="25"/>
      <c r="FR221" s="25"/>
      <c r="FS221" s="25"/>
      <c r="FT221" s="25"/>
      <c r="FU221" s="25"/>
      <c r="FV221" s="25"/>
      <c r="FW221" s="25"/>
      <c r="FX221" s="25"/>
      <c r="FY221" s="25"/>
      <c r="FZ221" s="25"/>
      <c r="GA221" s="25"/>
      <c r="GB221" s="25"/>
      <c r="GC221" s="25"/>
      <c r="GD221" s="25"/>
      <c r="GE221" s="25"/>
      <c r="GF221" s="25"/>
      <c r="GG221" s="25"/>
      <c r="GH221" s="25"/>
      <c r="GI221" s="25"/>
      <c r="GJ221" s="25"/>
      <c r="GK221" s="25"/>
      <c r="GL221" s="25"/>
      <c r="GM221" s="25"/>
      <c r="GN221" s="25"/>
      <c r="GO221" s="25"/>
      <c r="GP221" s="25"/>
      <c r="GQ221" s="25"/>
      <c r="GR221" s="25"/>
      <c r="GS221" s="25"/>
      <c r="GT221" s="25"/>
      <c r="GU221" s="25"/>
      <c r="GV221" s="25"/>
      <c r="GW221" s="25"/>
      <c r="GX221" s="25"/>
      <c r="GY221" s="25"/>
      <c r="GZ221" s="25"/>
      <c r="HA221" s="25"/>
      <c r="HB221" s="25"/>
      <c r="HC221" s="25"/>
      <c r="HD221" s="25"/>
      <c r="HE221" s="25"/>
      <c r="HF221" s="25"/>
      <c r="HG221" s="25"/>
      <c r="HH221" s="25"/>
      <c r="HI221" s="25"/>
      <c r="HJ221" s="25"/>
      <c r="HK221" s="25"/>
      <c r="HL221" s="25"/>
      <c r="HM221" s="25"/>
      <c r="HN221" s="25"/>
      <c r="HO221" s="25"/>
      <c r="HP221" s="25"/>
      <c r="HQ221" s="25"/>
      <c r="HR221" s="25"/>
      <c r="HS221" s="25"/>
      <c r="HT221" s="25"/>
      <c r="HU221" s="25"/>
      <c r="HV221" s="25"/>
      <c r="HW221" s="25"/>
      <c r="HX221" s="25"/>
      <c r="HY221" s="25"/>
      <c r="HZ221" s="25"/>
      <c r="IA221" s="25"/>
      <c r="IB221" s="25"/>
      <c r="IC221" s="25"/>
      <c r="ID221" s="25"/>
      <c r="IE221" s="25"/>
      <c r="IF221" s="25"/>
      <c r="IG221" s="25"/>
      <c r="IH221" s="25"/>
      <c r="II221" s="25"/>
      <c r="IJ221" s="25"/>
      <c r="IK221" s="25"/>
      <c r="IL221" s="25"/>
      <c r="IM221" s="25"/>
      <c r="IN221" s="25"/>
      <c r="IO221" s="25"/>
      <c r="IP221" s="25"/>
      <c r="IQ221" s="25"/>
      <c r="IR221" s="25"/>
      <c r="IS221" s="25"/>
      <c r="IT221" s="25"/>
      <c r="IU221" s="25"/>
      <c r="IV221" s="25"/>
      <c r="IW221" s="25"/>
      <c r="IX221" s="25"/>
      <c r="IY221" s="25"/>
      <c r="IZ221" s="25"/>
      <c r="JA221" s="25"/>
      <c r="JB221" s="25"/>
      <c r="JC221" s="25"/>
      <c r="JD221" s="25"/>
      <c r="JE221" s="25"/>
      <c r="JF221" s="25"/>
      <c r="JG221" s="25"/>
      <c r="JH221" s="25"/>
      <c r="JI221" s="25"/>
      <c r="JJ221" s="25"/>
      <c r="JK221" s="25"/>
      <c r="JL221" s="25"/>
      <c r="JM221" s="25"/>
      <c r="JN221" s="25"/>
    </row>
  </sheetData>
  <mergeCells count="1">
    <mergeCell ref="L2:Q2"/>
  </mergeCells>
  <dataValidations count="2">
    <dataValidation type="list" allowBlank="1" showInputMessage="1" showErrorMessage="1" sqref="F4" xr:uid="{F39DC71D-E130-4F64-90CB-A45E0ECF10F9}">
      <formula1>INDIRECT("Panel_List")</formula1>
    </dataValidation>
    <dataValidation type="list" allowBlank="1" showInputMessage="1" showErrorMessage="1" sqref="D4:D5" xr:uid="{A5778DC6-A9B6-4405-A496-D159CC4B5B9D}">
      <formula1>PeopleList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BE61C9A-B56C-428B-B75C-51A4565829D0}">
          <x14:formula1>
            <xm:f>Variable!$AX$2:$AX$500</xm:f>
          </x14:formula1>
          <xm:sqref>F5</xm:sqref>
        </x14:dataValidation>
        <x14:dataValidation type="list" allowBlank="1" showInputMessage="1" showErrorMessage="1" xr:uid="{65F8B570-E857-4D25-920B-A3BCE2E13785}">
          <x14:formula1>
            <xm:f>Variable!$AS$2:$AS$246</xm:f>
          </x14:formula1>
          <xm:sqref>Y3 C1</xm:sqref>
        </x14:dataValidation>
        <x14:dataValidation type="list" allowBlank="1" showInputMessage="1" showErrorMessage="1" xr:uid="{87F182D7-56D9-409D-8271-BA3139E70ADC}">
          <x14:formula1>
            <xm:f>Variable!$AZ$2:$AZ$100</xm:f>
          </x14:formula1>
          <xm:sqref>E6:E221</xm:sqref>
        </x14:dataValidation>
        <x14:dataValidation type="list" allowBlank="1" showInputMessage="1" showErrorMessage="1" xr:uid="{5C539BEB-D373-400C-AC63-5D172208AFB8}">
          <x14:formula1>
            <xm:f>Variable!$H$2:$H$572</xm:f>
          </x14:formula1>
          <xm:sqref>D6:D221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B1:AZ246"/>
  <sheetViews>
    <sheetView topLeftCell="B58" zoomScale="90" zoomScaleNormal="90" workbookViewId="0">
      <selection activeCell="I42" sqref="I42"/>
    </sheetView>
  </sheetViews>
  <sheetFormatPr defaultRowHeight="15" x14ac:dyDescent="0.25"/>
  <cols>
    <col min="1" max="1" width="2.140625" customWidth="1"/>
    <col min="2" max="2" width="65.85546875" customWidth="1"/>
    <col min="3" max="3" width="11.42578125" customWidth="1"/>
    <col min="4" max="4" width="21.85546875" customWidth="1"/>
    <col min="5" max="5" width="3.7109375" customWidth="1"/>
    <col min="6" max="6" width="24.42578125" customWidth="1"/>
    <col min="7" max="7" width="4" customWidth="1"/>
    <col min="8" max="8" width="30" bestFit="1" customWidth="1"/>
    <col min="9" max="9" width="14" customWidth="1"/>
    <col min="10" max="10" width="9.85546875" customWidth="1"/>
    <col min="11" max="11" width="15" bestFit="1" customWidth="1"/>
    <col min="12" max="12" width="14" bestFit="1" customWidth="1"/>
    <col min="13" max="15" width="14" customWidth="1"/>
    <col min="16" max="16" width="5" customWidth="1"/>
    <col min="17" max="17" width="35" customWidth="1"/>
    <col min="18" max="18" width="38.85546875" customWidth="1"/>
    <col min="19" max="26" width="5.42578125" bestFit="1" customWidth="1"/>
    <col min="27" max="27" width="4.5703125" bestFit="1" customWidth="1"/>
    <col min="28" max="30" width="5.7109375" bestFit="1" customWidth="1"/>
    <col min="31" max="31" width="4.140625" customWidth="1"/>
    <col min="32" max="40" width="4.5703125" bestFit="1" customWidth="1"/>
    <col min="41" max="43" width="5.7109375" bestFit="1" customWidth="1"/>
    <col min="44" max="44" width="5" customWidth="1"/>
    <col min="45" max="45" width="13" bestFit="1" customWidth="1"/>
    <col min="46" max="46" width="15.5703125" bestFit="1" customWidth="1"/>
    <col min="47" max="47" width="3.7109375" customWidth="1"/>
    <col min="48" max="48" width="5.7109375" bestFit="1" customWidth="1"/>
    <col min="49" max="49" width="3.7109375" customWidth="1"/>
    <col min="50" max="50" width="46.7109375" style="5" customWidth="1"/>
    <col min="51" max="51" width="3.5703125" customWidth="1"/>
    <col min="52" max="52" width="38.140625" style="5" customWidth="1"/>
  </cols>
  <sheetData>
    <row r="1" spans="2:52" x14ac:dyDescent="0.25">
      <c r="B1" s="1" t="s">
        <v>259</v>
      </c>
      <c r="C1" s="1" t="s">
        <v>260</v>
      </c>
      <c r="D1" s="1" t="s">
        <v>261</v>
      </c>
      <c r="F1" s="1" t="s">
        <v>262</v>
      </c>
      <c r="H1" t="s">
        <v>263</v>
      </c>
      <c r="I1" t="s">
        <v>264</v>
      </c>
      <c r="J1" t="s">
        <v>265</v>
      </c>
      <c r="K1" t="s">
        <v>266</v>
      </c>
      <c r="L1" t="s">
        <v>267</v>
      </c>
      <c r="M1" t="s">
        <v>268</v>
      </c>
      <c r="N1" t="s">
        <v>269</v>
      </c>
      <c r="O1" t="s">
        <v>270</v>
      </c>
      <c r="Q1" t="s">
        <v>102</v>
      </c>
      <c r="R1" t="s">
        <v>46</v>
      </c>
      <c r="S1" t="s">
        <v>271</v>
      </c>
      <c r="T1" t="s">
        <v>272</v>
      </c>
      <c r="U1" t="s">
        <v>273</v>
      </c>
      <c r="V1" t="s">
        <v>274</v>
      </c>
      <c r="W1" t="s">
        <v>275</v>
      </c>
      <c r="X1" t="s">
        <v>276</v>
      </c>
      <c r="Y1" t="s">
        <v>277</v>
      </c>
      <c r="Z1" t="s">
        <v>278</v>
      </c>
      <c r="AA1" t="s">
        <v>279</v>
      </c>
      <c r="AB1" t="s">
        <v>280</v>
      </c>
      <c r="AC1" t="s">
        <v>281</v>
      </c>
      <c r="AD1" t="s">
        <v>282</v>
      </c>
      <c r="AF1" t="s">
        <v>271</v>
      </c>
      <c r="AG1" t="s">
        <v>272</v>
      </c>
      <c r="AH1" t="s">
        <v>273</v>
      </c>
      <c r="AI1" t="s">
        <v>274</v>
      </c>
      <c r="AJ1" t="s">
        <v>275</v>
      </c>
      <c r="AK1" t="s">
        <v>276</v>
      </c>
      <c r="AL1" t="s">
        <v>277</v>
      </c>
      <c r="AM1" t="s">
        <v>278</v>
      </c>
      <c r="AN1" t="s">
        <v>279</v>
      </c>
      <c r="AO1" t="s">
        <v>280</v>
      </c>
      <c r="AP1" t="s">
        <v>281</v>
      </c>
      <c r="AQ1" t="s">
        <v>282</v>
      </c>
      <c r="AS1" s="234" t="s">
        <v>283</v>
      </c>
      <c r="AT1" s="234" t="s">
        <v>284</v>
      </c>
      <c r="AV1" t="s">
        <v>102</v>
      </c>
      <c r="AX1" s="4" t="s">
        <v>285</v>
      </c>
      <c r="AZ1" s="4" t="s">
        <v>286</v>
      </c>
    </row>
    <row r="2" spans="2:52" x14ac:dyDescent="0.25">
      <c r="B2" t="s">
        <v>287</v>
      </c>
      <c r="C2" t="s">
        <v>288</v>
      </c>
      <c r="D2" t="s">
        <v>101</v>
      </c>
      <c r="F2" t="s">
        <v>101</v>
      </c>
      <c r="H2" t="s">
        <v>289</v>
      </c>
      <c r="I2">
        <v>100</v>
      </c>
      <c r="J2" t="s">
        <v>290</v>
      </c>
      <c r="M2" t="s">
        <v>291</v>
      </c>
      <c r="Q2" t="s">
        <v>292</v>
      </c>
      <c r="R2" t="s">
        <v>293</v>
      </c>
      <c r="S2">
        <v>1320</v>
      </c>
      <c r="T2">
        <v>1520</v>
      </c>
      <c r="U2">
        <v>1960</v>
      </c>
      <c r="V2">
        <v>2440</v>
      </c>
      <c r="W2">
        <v>3160</v>
      </c>
      <c r="X2">
        <v>3960</v>
      </c>
      <c r="AA2" t="s">
        <v>104</v>
      </c>
      <c r="AB2" t="s">
        <v>104</v>
      </c>
      <c r="AC2" t="s">
        <v>104</v>
      </c>
      <c r="AD2" t="s">
        <v>104</v>
      </c>
      <c r="AF2" t="s">
        <v>294</v>
      </c>
      <c r="AG2" t="s">
        <v>136</v>
      </c>
      <c r="AH2" t="s">
        <v>154</v>
      </c>
      <c r="AI2" t="s">
        <v>115</v>
      </c>
      <c r="AJ2" t="s">
        <v>112</v>
      </c>
      <c r="AK2" t="s">
        <v>110</v>
      </c>
      <c r="AL2" t="s">
        <v>104</v>
      </c>
      <c r="AM2" t="s">
        <v>104</v>
      </c>
      <c r="AN2" t="s">
        <v>104</v>
      </c>
      <c r="AO2" t="s">
        <v>104</v>
      </c>
      <c r="AP2" t="s">
        <v>104</v>
      </c>
      <c r="AQ2" t="s">
        <v>104</v>
      </c>
      <c r="AS2" s="3">
        <v>45586</v>
      </c>
      <c r="AT2" s="2"/>
      <c r="AV2" t="s">
        <v>295</v>
      </c>
      <c r="AX2" s="5" t="str" cm="1">
        <f t="array" ref="AX2:AX212">IF(Panel_Rates[Panel]=Panel_New,Panel_Rates[Category],"")</f>
        <v/>
      </c>
      <c r="AZ2" s="5" t="str" cm="1">
        <f t="array" ref="AZ2:AZ13">TRANSPOSE(_xlfn._xlws.FILTER(Panel_Names[], Panel_Rates[Panel]&amp;Panel_Rates[Category]=Panel_New&amp;Category_New))</f>
        <v>Level 1</v>
      </c>
    </row>
    <row r="3" spans="2:52" x14ac:dyDescent="0.25">
      <c r="B3" t="s">
        <v>296</v>
      </c>
      <c r="C3" t="s">
        <v>288</v>
      </c>
      <c r="D3" t="s">
        <v>101</v>
      </c>
      <c r="F3" t="s">
        <v>222</v>
      </c>
      <c r="H3" t="s">
        <v>297</v>
      </c>
      <c r="I3">
        <v>130</v>
      </c>
      <c r="J3" t="s">
        <v>298</v>
      </c>
      <c r="M3" t="s">
        <v>291</v>
      </c>
      <c r="Q3" t="s">
        <v>299</v>
      </c>
      <c r="R3" t="s">
        <v>300</v>
      </c>
      <c r="S3">
        <v>1320</v>
      </c>
      <c r="T3">
        <v>1520</v>
      </c>
      <c r="U3">
        <v>1700</v>
      </c>
      <c r="V3">
        <v>2000</v>
      </c>
      <c r="W3">
        <v>2320</v>
      </c>
      <c r="X3">
        <v>2720</v>
      </c>
      <c r="Y3">
        <v>4000</v>
      </c>
      <c r="Z3">
        <v>4550</v>
      </c>
      <c r="AA3" t="s">
        <v>104</v>
      </c>
      <c r="AB3" t="s">
        <v>104</v>
      </c>
      <c r="AC3" t="s">
        <v>104</v>
      </c>
      <c r="AD3" t="s">
        <v>104</v>
      </c>
      <c r="AF3" t="s">
        <v>301</v>
      </c>
      <c r="AG3" t="s">
        <v>294</v>
      </c>
      <c r="AH3" t="s">
        <v>136</v>
      </c>
      <c r="AI3" t="s">
        <v>154</v>
      </c>
      <c r="AJ3" t="s">
        <v>115</v>
      </c>
      <c r="AK3" t="s">
        <v>302</v>
      </c>
      <c r="AL3" t="s">
        <v>110</v>
      </c>
      <c r="AM3" t="s">
        <v>303</v>
      </c>
      <c r="AN3" t="s">
        <v>104</v>
      </c>
      <c r="AO3" t="s">
        <v>104</v>
      </c>
      <c r="AP3" t="s">
        <v>104</v>
      </c>
      <c r="AQ3" t="s">
        <v>104</v>
      </c>
      <c r="AS3" s="3">
        <f>AS2+7</f>
        <v>45593</v>
      </c>
      <c r="AT3" s="2"/>
      <c r="AV3" t="s">
        <v>304</v>
      </c>
      <c r="AX3" s="5" t="str">
        <v/>
      </c>
      <c r="AZ3" s="5" t="str">
        <v>Level 2</v>
      </c>
    </row>
    <row r="4" spans="2:52" x14ac:dyDescent="0.25">
      <c r="B4" t="s">
        <v>305</v>
      </c>
      <c r="C4" t="s">
        <v>288</v>
      </c>
      <c r="D4" t="s">
        <v>101</v>
      </c>
      <c r="F4" t="s">
        <v>306</v>
      </c>
      <c r="H4" t="s">
        <v>307</v>
      </c>
      <c r="I4">
        <v>147</v>
      </c>
      <c r="J4">
        <v>0</v>
      </c>
      <c r="K4">
        <v>45628</v>
      </c>
      <c r="L4">
        <v>46326</v>
      </c>
      <c r="M4" t="s">
        <v>291</v>
      </c>
      <c r="Q4" t="s">
        <v>299</v>
      </c>
      <c r="R4" t="s">
        <v>308</v>
      </c>
      <c r="S4">
        <v>1320</v>
      </c>
      <c r="T4">
        <v>1520</v>
      </c>
      <c r="U4">
        <v>1700</v>
      </c>
      <c r="V4">
        <v>2000</v>
      </c>
      <c r="W4">
        <v>2320</v>
      </c>
      <c r="X4">
        <v>2720</v>
      </c>
      <c r="Y4">
        <v>4000</v>
      </c>
      <c r="Z4">
        <v>4550</v>
      </c>
      <c r="AA4" t="s">
        <v>104</v>
      </c>
      <c r="AB4" t="s">
        <v>104</v>
      </c>
      <c r="AC4" t="s">
        <v>104</v>
      </c>
      <c r="AD4" t="s">
        <v>104</v>
      </c>
      <c r="AF4" t="s">
        <v>301</v>
      </c>
      <c r="AG4" t="s">
        <v>294</v>
      </c>
      <c r="AH4" t="s">
        <v>136</v>
      </c>
      <c r="AI4" t="s">
        <v>154</v>
      </c>
      <c r="AJ4" t="s">
        <v>115</v>
      </c>
      <c r="AK4" t="s">
        <v>302</v>
      </c>
      <c r="AL4" t="s">
        <v>110</v>
      </c>
      <c r="AM4" t="s">
        <v>303</v>
      </c>
      <c r="AN4" t="s">
        <v>104</v>
      </c>
      <c r="AO4" t="s">
        <v>104</v>
      </c>
      <c r="AP4" t="s">
        <v>104</v>
      </c>
      <c r="AQ4" t="s">
        <v>104</v>
      </c>
      <c r="AS4" s="3">
        <f t="shared" ref="AS4:AS67" si="0">AS3+7</f>
        <v>45600</v>
      </c>
      <c r="AT4" s="2"/>
      <c r="AV4" t="s">
        <v>309</v>
      </c>
      <c r="AX4" s="5" t="str">
        <v/>
      </c>
      <c r="AZ4" s="5" t="str">
        <v>Level 3</v>
      </c>
    </row>
    <row r="5" spans="2:52" x14ac:dyDescent="0.25">
      <c r="B5" t="s">
        <v>310</v>
      </c>
      <c r="C5" t="s">
        <v>288</v>
      </c>
      <c r="D5" t="s">
        <v>101</v>
      </c>
      <c r="F5" t="s">
        <v>311</v>
      </c>
      <c r="H5" t="s">
        <v>312</v>
      </c>
      <c r="I5">
        <v>193</v>
      </c>
      <c r="J5">
        <v>0</v>
      </c>
      <c r="M5" t="s">
        <v>291</v>
      </c>
      <c r="Q5" t="s">
        <v>299</v>
      </c>
      <c r="R5" t="s">
        <v>313</v>
      </c>
      <c r="S5">
        <v>1320</v>
      </c>
      <c r="T5">
        <v>1520</v>
      </c>
      <c r="U5">
        <v>1700</v>
      </c>
      <c r="V5">
        <v>2000</v>
      </c>
      <c r="W5">
        <v>2320</v>
      </c>
      <c r="X5">
        <v>2720</v>
      </c>
      <c r="Y5">
        <v>4000</v>
      </c>
      <c r="Z5">
        <v>4550</v>
      </c>
      <c r="AA5" t="s">
        <v>104</v>
      </c>
      <c r="AB5" t="s">
        <v>104</v>
      </c>
      <c r="AC5" t="s">
        <v>104</v>
      </c>
      <c r="AD5" t="s">
        <v>104</v>
      </c>
      <c r="AF5" t="s">
        <v>301</v>
      </c>
      <c r="AG5" t="s">
        <v>294</v>
      </c>
      <c r="AH5" t="s">
        <v>136</v>
      </c>
      <c r="AI5" t="s">
        <v>154</v>
      </c>
      <c r="AJ5" t="s">
        <v>115</v>
      </c>
      <c r="AK5" t="s">
        <v>302</v>
      </c>
      <c r="AL5" t="s">
        <v>110</v>
      </c>
      <c r="AM5" t="s">
        <v>303</v>
      </c>
      <c r="AN5" t="s">
        <v>104</v>
      </c>
      <c r="AO5" t="s">
        <v>104</v>
      </c>
      <c r="AP5" t="s">
        <v>104</v>
      </c>
      <c r="AQ5" t="s">
        <v>104</v>
      </c>
      <c r="AS5" s="3">
        <f t="shared" si="0"/>
        <v>45607</v>
      </c>
      <c r="AT5" s="2"/>
      <c r="AV5" t="s">
        <v>314</v>
      </c>
      <c r="AX5" s="5" t="str">
        <v/>
      </c>
      <c r="AZ5" s="5" t="str">
        <v>Level 4</v>
      </c>
    </row>
    <row r="6" spans="2:52" x14ac:dyDescent="0.25">
      <c r="B6" t="s">
        <v>315</v>
      </c>
      <c r="C6" t="s">
        <v>288</v>
      </c>
      <c r="D6" t="s">
        <v>316</v>
      </c>
      <c r="F6" t="s">
        <v>317</v>
      </c>
      <c r="H6" t="s">
        <v>318</v>
      </c>
      <c r="I6">
        <v>193</v>
      </c>
      <c r="J6">
        <v>0</v>
      </c>
      <c r="M6" t="s">
        <v>291</v>
      </c>
      <c r="Q6" t="s">
        <v>299</v>
      </c>
      <c r="R6" t="s">
        <v>319</v>
      </c>
      <c r="S6">
        <v>1320</v>
      </c>
      <c r="T6">
        <v>1520</v>
      </c>
      <c r="U6">
        <v>1700</v>
      </c>
      <c r="V6">
        <v>2000</v>
      </c>
      <c r="W6">
        <v>2320</v>
      </c>
      <c r="X6">
        <v>2720</v>
      </c>
      <c r="Y6">
        <v>4000</v>
      </c>
      <c r="Z6">
        <v>4550</v>
      </c>
      <c r="AA6" t="s">
        <v>104</v>
      </c>
      <c r="AB6" t="s">
        <v>104</v>
      </c>
      <c r="AC6" t="s">
        <v>104</v>
      </c>
      <c r="AD6" t="s">
        <v>104</v>
      </c>
      <c r="AF6" t="s">
        <v>301</v>
      </c>
      <c r="AG6" t="s">
        <v>294</v>
      </c>
      <c r="AH6" t="s">
        <v>136</v>
      </c>
      <c r="AI6" t="s">
        <v>154</v>
      </c>
      <c r="AJ6" t="s">
        <v>115</v>
      </c>
      <c r="AK6" t="s">
        <v>302</v>
      </c>
      <c r="AL6" t="s">
        <v>110</v>
      </c>
      <c r="AM6" t="s">
        <v>303</v>
      </c>
      <c r="AN6" t="s">
        <v>104</v>
      </c>
      <c r="AO6" t="s">
        <v>104</v>
      </c>
      <c r="AP6" t="s">
        <v>104</v>
      </c>
      <c r="AQ6" t="s">
        <v>104</v>
      </c>
      <c r="AS6" s="3">
        <f t="shared" si="0"/>
        <v>45614</v>
      </c>
      <c r="AT6" s="2"/>
      <c r="AV6" t="s">
        <v>320</v>
      </c>
      <c r="AX6" s="5" t="str">
        <v/>
      </c>
      <c r="AZ6" s="5" t="str">
        <v>Level 5</v>
      </c>
    </row>
    <row r="7" spans="2:52" x14ac:dyDescent="0.25">
      <c r="B7" t="s">
        <v>321</v>
      </c>
      <c r="C7" t="s">
        <v>288</v>
      </c>
      <c r="D7" t="s">
        <v>101</v>
      </c>
      <c r="F7" t="s">
        <v>322</v>
      </c>
      <c r="H7" t="s">
        <v>323</v>
      </c>
      <c r="I7">
        <v>125</v>
      </c>
      <c r="J7">
        <v>0</v>
      </c>
      <c r="M7" t="s">
        <v>291</v>
      </c>
      <c r="Q7" t="s">
        <v>299</v>
      </c>
      <c r="R7" t="s">
        <v>324</v>
      </c>
      <c r="S7">
        <v>1320</v>
      </c>
      <c r="T7">
        <v>1520</v>
      </c>
      <c r="U7">
        <v>1700</v>
      </c>
      <c r="V7">
        <v>2000</v>
      </c>
      <c r="W7">
        <v>2320</v>
      </c>
      <c r="X7">
        <v>2720</v>
      </c>
      <c r="Y7">
        <v>4000</v>
      </c>
      <c r="Z7">
        <v>4550</v>
      </c>
      <c r="AA7" t="s">
        <v>104</v>
      </c>
      <c r="AB7" t="s">
        <v>104</v>
      </c>
      <c r="AC7" t="s">
        <v>104</v>
      </c>
      <c r="AD7" t="s">
        <v>104</v>
      </c>
      <c r="AF7" t="s">
        <v>301</v>
      </c>
      <c r="AG7" t="s">
        <v>294</v>
      </c>
      <c r="AH7" t="s">
        <v>136</v>
      </c>
      <c r="AI7" t="s">
        <v>154</v>
      </c>
      <c r="AJ7" t="s">
        <v>115</v>
      </c>
      <c r="AK7" t="s">
        <v>302</v>
      </c>
      <c r="AL7" t="s">
        <v>110</v>
      </c>
      <c r="AM7" t="s">
        <v>303</v>
      </c>
      <c r="AN7" t="s">
        <v>104</v>
      </c>
      <c r="AO7" t="s">
        <v>104</v>
      </c>
      <c r="AP7" t="s">
        <v>104</v>
      </c>
      <c r="AQ7" t="s">
        <v>104</v>
      </c>
      <c r="AS7" s="3">
        <f t="shared" si="0"/>
        <v>45621</v>
      </c>
      <c r="AT7" s="2"/>
      <c r="AV7" t="s">
        <v>325</v>
      </c>
      <c r="AX7" s="5" t="str">
        <v/>
      </c>
      <c r="AZ7" s="5" t="str">
        <v>Level 6</v>
      </c>
    </row>
    <row r="8" spans="2:52" x14ac:dyDescent="0.25">
      <c r="B8" t="s">
        <v>326</v>
      </c>
      <c r="C8" t="s">
        <v>288</v>
      </c>
      <c r="D8" t="s">
        <v>316</v>
      </c>
      <c r="F8" t="s">
        <v>327</v>
      </c>
      <c r="H8" t="s">
        <v>328</v>
      </c>
      <c r="I8">
        <v>189.66</v>
      </c>
      <c r="J8">
        <v>0</v>
      </c>
      <c r="M8" t="s">
        <v>291</v>
      </c>
      <c r="Q8" t="s">
        <v>299</v>
      </c>
      <c r="R8" t="s">
        <v>329</v>
      </c>
      <c r="S8">
        <v>1320</v>
      </c>
      <c r="T8">
        <v>1520</v>
      </c>
      <c r="U8">
        <v>1700</v>
      </c>
      <c r="V8">
        <v>2000</v>
      </c>
      <c r="W8">
        <v>2320</v>
      </c>
      <c r="X8">
        <v>2720</v>
      </c>
      <c r="Y8">
        <v>4000</v>
      </c>
      <c r="Z8">
        <v>4550</v>
      </c>
      <c r="AA8" t="s">
        <v>104</v>
      </c>
      <c r="AB8" t="s">
        <v>104</v>
      </c>
      <c r="AC8" t="s">
        <v>104</v>
      </c>
      <c r="AD8" t="s">
        <v>104</v>
      </c>
      <c r="AF8" t="s">
        <v>301</v>
      </c>
      <c r="AG8" t="s">
        <v>294</v>
      </c>
      <c r="AH8" t="s">
        <v>136</v>
      </c>
      <c r="AI8" t="s">
        <v>154</v>
      </c>
      <c r="AJ8" t="s">
        <v>115</v>
      </c>
      <c r="AK8" t="s">
        <v>302</v>
      </c>
      <c r="AL8" t="s">
        <v>110</v>
      </c>
      <c r="AM8" t="s">
        <v>303</v>
      </c>
      <c r="AN8" t="s">
        <v>104</v>
      </c>
      <c r="AO8" t="s">
        <v>104</v>
      </c>
      <c r="AP8" t="s">
        <v>104</v>
      </c>
      <c r="AQ8" t="s">
        <v>104</v>
      </c>
      <c r="AS8" s="3">
        <f t="shared" si="0"/>
        <v>45628</v>
      </c>
      <c r="AT8" s="2"/>
      <c r="AV8" t="s">
        <v>330</v>
      </c>
      <c r="AX8" s="5" t="str">
        <v/>
      </c>
      <c r="AZ8" s="5" t="str">
        <v/>
      </c>
    </row>
    <row r="9" spans="2:52" x14ac:dyDescent="0.25">
      <c r="B9" t="s">
        <v>331</v>
      </c>
      <c r="C9" t="s">
        <v>288</v>
      </c>
      <c r="D9" t="s">
        <v>101</v>
      </c>
      <c r="F9" t="s">
        <v>332</v>
      </c>
      <c r="H9" t="s">
        <v>333</v>
      </c>
      <c r="I9">
        <v>152.91</v>
      </c>
      <c r="J9">
        <v>0</v>
      </c>
      <c r="K9">
        <v>45880</v>
      </c>
      <c r="L9">
        <v>45991</v>
      </c>
      <c r="M9" t="s">
        <v>291</v>
      </c>
      <c r="Q9" t="s">
        <v>299</v>
      </c>
      <c r="R9" t="s">
        <v>334</v>
      </c>
      <c r="S9">
        <v>1320</v>
      </c>
      <c r="T9">
        <v>1520</v>
      </c>
      <c r="U9">
        <v>1700</v>
      </c>
      <c r="V9">
        <v>2000</v>
      </c>
      <c r="W9">
        <v>2320</v>
      </c>
      <c r="X9">
        <v>2720</v>
      </c>
      <c r="Y9">
        <v>4000</v>
      </c>
      <c r="Z9">
        <v>4550</v>
      </c>
      <c r="AA9" t="s">
        <v>104</v>
      </c>
      <c r="AB9" t="s">
        <v>104</v>
      </c>
      <c r="AC9" t="s">
        <v>104</v>
      </c>
      <c r="AD9" t="s">
        <v>104</v>
      </c>
      <c r="AF9" t="s">
        <v>301</v>
      </c>
      <c r="AG9" t="s">
        <v>294</v>
      </c>
      <c r="AH9" t="s">
        <v>136</v>
      </c>
      <c r="AI9" t="s">
        <v>154</v>
      </c>
      <c r="AJ9" t="s">
        <v>115</v>
      </c>
      <c r="AK9" t="s">
        <v>302</v>
      </c>
      <c r="AL9" t="s">
        <v>110</v>
      </c>
      <c r="AM9" t="s">
        <v>303</v>
      </c>
      <c r="AN9" t="s">
        <v>104</v>
      </c>
      <c r="AO9" t="s">
        <v>104</v>
      </c>
      <c r="AP9" t="s">
        <v>104</v>
      </c>
      <c r="AQ9" t="s">
        <v>104</v>
      </c>
      <c r="AS9" s="3">
        <f t="shared" si="0"/>
        <v>45635</v>
      </c>
      <c r="AT9" s="2"/>
      <c r="AV9" t="s">
        <v>299</v>
      </c>
      <c r="AX9" s="5" t="str">
        <v/>
      </c>
      <c r="AZ9" s="5" t="str">
        <v/>
      </c>
    </row>
    <row r="10" spans="2:52" x14ac:dyDescent="0.25">
      <c r="B10" t="s">
        <v>335</v>
      </c>
      <c r="C10" t="s">
        <v>288</v>
      </c>
      <c r="D10" t="s">
        <v>101</v>
      </c>
      <c r="F10" t="s">
        <v>126</v>
      </c>
      <c r="H10" t="s">
        <v>336</v>
      </c>
      <c r="I10">
        <v>145</v>
      </c>
      <c r="J10">
        <v>0</v>
      </c>
      <c r="M10" t="s">
        <v>291</v>
      </c>
      <c r="Q10" t="s">
        <v>299</v>
      </c>
      <c r="R10" t="s">
        <v>337</v>
      </c>
      <c r="S10">
        <v>1320</v>
      </c>
      <c r="T10">
        <v>1520</v>
      </c>
      <c r="U10">
        <v>1700</v>
      </c>
      <c r="V10">
        <v>2000</v>
      </c>
      <c r="W10">
        <v>2320</v>
      </c>
      <c r="X10">
        <v>2720</v>
      </c>
      <c r="Y10">
        <v>4000</v>
      </c>
      <c r="Z10">
        <v>4550</v>
      </c>
      <c r="AA10" t="s">
        <v>104</v>
      </c>
      <c r="AB10" t="s">
        <v>104</v>
      </c>
      <c r="AC10" t="s">
        <v>104</v>
      </c>
      <c r="AD10" t="s">
        <v>104</v>
      </c>
      <c r="AF10" t="s">
        <v>301</v>
      </c>
      <c r="AG10" t="s">
        <v>294</v>
      </c>
      <c r="AH10" t="s">
        <v>136</v>
      </c>
      <c r="AI10" t="s">
        <v>154</v>
      </c>
      <c r="AJ10" t="s">
        <v>115</v>
      </c>
      <c r="AK10" t="s">
        <v>302</v>
      </c>
      <c r="AL10" t="s">
        <v>110</v>
      </c>
      <c r="AM10" t="s">
        <v>303</v>
      </c>
      <c r="AN10" t="s">
        <v>104</v>
      </c>
      <c r="AO10" t="s">
        <v>104</v>
      </c>
      <c r="AP10" t="s">
        <v>104</v>
      </c>
      <c r="AQ10" t="s">
        <v>104</v>
      </c>
      <c r="AS10" s="3">
        <f t="shared" si="0"/>
        <v>45642</v>
      </c>
      <c r="AT10" s="2"/>
      <c r="AV10" t="s">
        <v>338</v>
      </c>
      <c r="AX10" s="5" t="str">
        <v/>
      </c>
      <c r="AZ10" s="5" t="str">
        <v/>
      </c>
    </row>
    <row r="11" spans="2:52" x14ac:dyDescent="0.25">
      <c r="B11" t="s">
        <v>339</v>
      </c>
      <c r="C11" t="s">
        <v>288</v>
      </c>
      <c r="D11" t="s">
        <v>101</v>
      </c>
      <c r="F11" t="s">
        <v>118</v>
      </c>
      <c r="H11" t="s">
        <v>340</v>
      </c>
      <c r="I11">
        <v>200</v>
      </c>
      <c r="J11" t="s">
        <v>341</v>
      </c>
      <c r="M11" t="s">
        <v>291</v>
      </c>
      <c r="Q11" t="s">
        <v>299</v>
      </c>
      <c r="R11" t="s">
        <v>342</v>
      </c>
      <c r="S11">
        <v>1320</v>
      </c>
      <c r="T11">
        <v>1520</v>
      </c>
      <c r="U11">
        <v>1700</v>
      </c>
      <c r="V11">
        <v>2000</v>
      </c>
      <c r="W11">
        <v>2320</v>
      </c>
      <c r="X11">
        <v>2720</v>
      </c>
      <c r="Y11">
        <v>4000</v>
      </c>
      <c r="Z11">
        <v>4550</v>
      </c>
      <c r="AA11" t="s">
        <v>104</v>
      </c>
      <c r="AB11" t="s">
        <v>104</v>
      </c>
      <c r="AC11" t="s">
        <v>104</v>
      </c>
      <c r="AD11" t="s">
        <v>104</v>
      </c>
      <c r="AF11" t="s">
        <v>301</v>
      </c>
      <c r="AG11" t="s">
        <v>294</v>
      </c>
      <c r="AH11" t="s">
        <v>136</v>
      </c>
      <c r="AI11" t="s">
        <v>154</v>
      </c>
      <c r="AJ11" t="s">
        <v>115</v>
      </c>
      <c r="AK11" t="s">
        <v>302</v>
      </c>
      <c r="AL11" t="s">
        <v>110</v>
      </c>
      <c r="AM11" t="s">
        <v>303</v>
      </c>
      <c r="AN11" t="s">
        <v>104</v>
      </c>
      <c r="AO11" t="s">
        <v>104</v>
      </c>
      <c r="AP11" t="s">
        <v>104</v>
      </c>
      <c r="AQ11" t="s">
        <v>104</v>
      </c>
      <c r="AS11" s="3">
        <f t="shared" si="0"/>
        <v>45649</v>
      </c>
      <c r="AT11" s="2">
        <v>1</v>
      </c>
      <c r="AV11" t="s">
        <v>343</v>
      </c>
      <c r="AX11" s="5" t="str">
        <v/>
      </c>
      <c r="AZ11" s="5" t="str">
        <v/>
      </c>
    </row>
    <row r="12" spans="2:52" x14ac:dyDescent="0.25">
      <c r="B12" t="s">
        <v>344</v>
      </c>
      <c r="C12" t="s">
        <v>288</v>
      </c>
      <c r="D12" t="s">
        <v>101</v>
      </c>
      <c r="F12" t="s">
        <v>122</v>
      </c>
      <c r="H12" t="s">
        <v>345</v>
      </c>
      <c r="I12">
        <v>144.16999999999999</v>
      </c>
      <c r="J12">
        <v>0</v>
      </c>
      <c r="K12">
        <v>45888</v>
      </c>
      <c r="L12">
        <v>46059</v>
      </c>
      <c r="M12" t="s">
        <v>291</v>
      </c>
      <c r="N12" t="s">
        <v>346</v>
      </c>
      <c r="Q12" t="s">
        <v>299</v>
      </c>
      <c r="R12" t="s">
        <v>347</v>
      </c>
      <c r="S12">
        <v>1320</v>
      </c>
      <c r="T12">
        <v>1520</v>
      </c>
      <c r="U12">
        <v>1700</v>
      </c>
      <c r="V12">
        <v>2000</v>
      </c>
      <c r="W12">
        <v>2320</v>
      </c>
      <c r="X12">
        <v>2720</v>
      </c>
      <c r="Y12">
        <v>4000</v>
      </c>
      <c r="Z12">
        <v>4550</v>
      </c>
      <c r="AA12" t="s">
        <v>104</v>
      </c>
      <c r="AB12" t="s">
        <v>104</v>
      </c>
      <c r="AC12" t="s">
        <v>104</v>
      </c>
      <c r="AD12" t="s">
        <v>104</v>
      </c>
      <c r="AF12" t="s">
        <v>301</v>
      </c>
      <c r="AG12" t="s">
        <v>294</v>
      </c>
      <c r="AH12" t="s">
        <v>136</v>
      </c>
      <c r="AI12" t="s">
        <v>154</v>
      </c>
      <c r="AJ12" t="s">
        <v>115</v>
      </c>
      <c r="AK12" t="s">
        <v>302</v>
      </c>
      <c r="AL12" t="s">
        <v>110</v>
      </c>
      <c r="AM12" t="s">
        <v>303</v>
      </c>
      <c r="AN12" t="s">
        <v>104</v>
      </c>
      <c r="AO12" t="s">
        <v>104</v>
      </c>
      <c r="AP12" t="s">
        <v>104</v>
      </c>
      <c r="AQ12" t="s">
        <v>104</v>
      </c>
      <c r="AS12" s="3">
        <f t="shared" si="0"/>
        <v>45656</v>
      </c>
      <c r="AT12" s="2">
        <v>1</v>
      </c>
      <c r="AV12" t="s">
        <v>348</v>
      </c>
      <c r="AX12" s="5" t="str">
        <v/>
      </c>
      <c r="AZ12" s="5" t="str">
        <v/>
      </c>
    </row>
    <row r="13" spans="2:52" x14ac:dyDescent="0.25">
      <c r="B13" t="s">
        <v>349</v>
      </c>
      <c r="C13" t="s">
        <v>288</v>
      </c>
      <c r="D13" t="s">
        <v>101</v>
      </c>
      <c r="F13" t="s">
        <v>350</v>
      </c>
      <c r="H13" t="s">
        <v>131</v>
      </c>
      <c r="I13">
        <v>192.33</v>
      </c>
      <c r="J13">
        <v>0</v>
      </c>
      <c r="K13">
        <v>45707</v>
      </c>
      <c r="L13">
        <v>46045</v>
      </c>
      <c r="M13" t="s">
        <v>291</v>
      </c>
      <c r="N13" t="s">
        <v>351</v>
      </c>
      <c r="Q13" t="s">
        <v>299</v>
      </c>
      <c r="R13" t="s">
        <v>352</v>
      </c>
      <c r="S13">
        <v>1320</v>
      </c>
      <c r="T13">
        <v>1520</v>
      </c>
      <c r="U13">
        <v>1700</v>
      </c>
      <c r="V13">
        <v>2000</v>
      </c>
      <c r="W13">
        <v>2320</v>
      </c>
      <c r="X13">
        <v>2720</v>
      </c>
      <c r="Y13">
        <v>4000</v>
      </c>
      <c r="Z13">
        <v>4550</v>
      </c>
      <c r="AA13" t="s">
        <v>104</v>
      </c>
      <c r="AB13" t="s">
        <v>104</v>
      </c>
      <c r="AC13" t="s">
        <v>104</v>
      </c>
      <c r="AD13" t="s">
        <v>104</v>
      </c>
      <c r="AF13" t="s">
        <v>301</v>
      </c>
      <c r="AG13" t="s">
        <v>294</v>
      </c>
      <c r="AH13" t="s">
        <v>136</v>
      </c>
      <c r="AI13" t="s">
        <v>154</v>
      </c>
      <c r="AJ13" t="s">
        <v>115</v>
      </c>
      <c r="AK13" t="s">
        <v>302</v>
      </c>
      <c r="AL13" t="s">
        <v>110</v>
      </c>
      <c r="AM13" t="s">
        <v>303</v>
      </c>
      <c r="AN13" t="s">
        <v>104</v>
      </c>
      <c r="AO13" t="s">
        <v>104</v>
      </c>
      <c r="AP13" t="s">
        <v>104</v>
      </c>
      <c r="AQ13" t="s">
        <v>104</v>
      </c>
      <c r="AS13" s="3">
        <f t="shared" si="0"/>
        <v>45663</v>
      </c>
      <c r="AT13" s="2"/>
      <c r="AV13" t="s">
        <v>353</v>
      </c>
      <c r="AX13" s="5" t="str">
        <v/>
      </c>
      <c r="AZ13" s="5" t="str">
        <v/>
      </c>
    </row>
    <row r="14" spans="2:52" x14ac:dyDescent="0.25">
      <c r="B14" t="s">
        <v>354</v>
      </c>
      <c r="C14" t="s">
        <v>288</v>
      </c>
      <c r="D14" t="s">
        <v>101</v>
      </c>
      <c r="F14" t="s">
        <v>316</v>
      </c>
      <c r="H14" t="s">
        <v>101</v>
      </c>
      <c r="I14">
        <v>248</v>
      </c>
      <c r="J14" t="s">
        <v>355</v>
      </c>
      <c r="M14" t="s">
        <v>356</v>
      </c>
      <c r="Q14" t="s">
        <v>299</v>
      </c>
      <c r="R14" t="s">
        <v>357</v>
      </c>
      <c r="S14">
        <v>1320</v>
      </c>
      <c r="T14">
        <v>1520</v>
      </c>
      <c r="U14">
        <v>1700</v>
      </c>
      <c r="V14">
        <v>2000</v>
      </c>
      <c r="W14">
        <v>2320</v>
      </c>
      <c r="X14">
        <v>2720</v>
      </c>
      <c r="Y14">
        <v>4000</v>
      </c>
      <c r="Z14">
        <v>4550</v>
      </c>
      <c r="AA14" t="s">
        <v>104</v>
      </c>
      <c r="AB14" t="s">
        <v>104</v>
      </c>
      <c r="AC14" t="s">
        <v>104</v>
      </c>
      <c r="AD14" t="s">
        <v>104</v>
      </c>
      <c r="AF14" t="s">
        <v>301</v>
      </c>
      <c r="AG14" t="s">
        <v>294</v>
      </c>
      <c r="AH14" t="s">
        <v>136</v>
      </c>
      <c r="AI14" t="s">
        <v>154</v>
      </c>
      <c r="AJ14" t="s">
        <v>115</v>
      </c>
      <c r="AK14" t="s">
        <v>302</v>
      </c>
      <c r="AL14" t="s">
        <v>110</v>
      </c>
      <c r="AM14" t="s">
        <v>303</v>
      </c>
      <c r="AN14" t="s">
        <v>104</v>
      </c>
      <c r="AO14" t="s">
        <v>104</v>
      </c>
      <c r="AP14" t="s">
        <v>104</v>
      </c>
      <c r="AQ14" t="s">
        <v>104</v>
      </c>
      <c r="AS14" s="3">
        <f t="shared" si="0"/>
        <v>45670</v>
      </c>
      <c r="AT14" s="2"/>
      <c r="AV14" t="s">
        <v>292</v>
      </c>
      <c r="AX14" s="5" t="str">
        <v/>
      </c>
    </row>
    <row r="15" spans="2:52" x14ac:dyDescent="0.25">
      <c r="B15" t="s">
        <v>358</v>
      </c>
      <c r="C15" t="s">
        <v>288</v>
      </c>
      <c r="D15" t="s">
        <v>101</v>
      </c>
      <c r="F15" t="s">
        <v>135</v>
      </c>
      <c r="H15" t="s">
        <v>222</v>
      </c>
      <c r="I15">
        <v>248</v>
      </c>
      <c r="J15" t="s">
        <v>359</v>
      </c>
      <c r="M15" t="s">
        <v>291</v>
      </c>
      <c r="Q15" t="s">
        <v>299</v>
      </c>
      <c r="R15" t="s">
        <v>360</v>
      </c>
      <c r="S15">
        <v>1320</v>
      </c>
      <c r="T15">
        <v>1520</v>
      </c>
      <c r="U15">
        <v>1700</v>
      </c>
      <c r="V15">
        <v>2000</v>
      </c>
      <c r="W15">
        <v>2320</v>
      </c>
      <c r="X15">
        <v>2720</v>
      </c>
      <c r="Y15">
        <v>4000</v>
      </c>
      <c r="Z15">
        <v>4550</v>
      </c>
      <c r="AA15" t="s">
        <v>104</v>
      </c>
      <c r="AB15" t="s">
        <v>104</v>
      </c>
      <c r="AC15" t="s">
        <v>104</v>
      </c>
      <c r="AD15" t="s">
        <v>104</v>
      </c>
      <c r="AF15" t="s">
        <v>301</v>
      </c>
      <c r="AG15" t="s">
        <v>294</v>
      </c>
      <c r="AH15" t="s">
        <v>136</v>
      </c>
      <c r="AI15" t="s">
        <v>154</v>
      </c>
      <c r="AJ15" t="s">
        <v>115</v>
      </c>
      <c r="AK15" t="s">
        <v>302</v>
      </c>
      <c r="AL15" t="s">
        <v>110</v>
      </c>
      <c r="AM15" t="s">
        <v>303</v>
      </c>
      <c r="AN15" t="s">
        <v>104</v>
      </c>
      <c r="AO15" t="s">
        <v>104</v>
      </c>
      <c r="AP15" t="s">
        <v>104</v>
      </c>
      <c r="AQ15" t="s">
        <v>104</v>
      </c>
      <c r="AS15" s="3">
        <f t="shared" si="0"/>
        <v>45677</v>
      </c>
      <c r="AT15" s="2"/>
      <c r="AV15" t="s">
        <v>361</v>
      </c>
      <c r="AX15" s="5" t="str">
        <v/>
      </c>
    </row>
    <row r="16" spans="2:52" x14ac:dyDescent="0.25">
      <c r="B16" t="s">
        <v>362</v>
      </c>
      <c r="C16" t="s">
        <v>288</v>
      </c>
      <c r="D16" t="s">
        <v>101</v>
      </c>
      <c r="F16" t="s">
        <v>363</v>
      </c>
      <c r="H16" t="s">
        <v>364</v>
      </c>
      <c r="I16">
        <v>170.96</v>
      </c>
      <c r="J16">
        <v>0</v>
      </c>
      <c r="M16" t="s">
        <v>291</v>
      </c>
      <c r="Q16" t="s">
        <v>299</v>
      </c>
      <c r="R16" t="s">
        <v>365</v>
      </c>
      <c r="S16">
        <v>1320</v>
      </c>
      <c r="T16">
        <v>1520</v>
      </c>
      <c r="U16">
        <v>1700</v>
      </c>
      <c r="V16">
        <v>2000</v>
      </c>
      <c r="W16">
        <v>2320</v>
      </c>
      <c r="X16">
        <v>2720</v>
      </c>
      <c r="Y16">
        <v>4000</v>
      </c>
      <c r="Z16">
        <v>4550</v>
      </c>
      <c r="AA16" t="s">
        <v>104</v>
      </c>
      <c r="AB16" t="s">
        <v>104</v>
      </c>
      <c r="AC16" t="s">
        <v>104</v>
      </c>
      <c r="AD16" t="s">
        <v>104</v>
      </c>
      <c r="AF16" t="s">
        <v>301</v>
      </c>
      <c r="AG16" t="s">
        <v>294</v>
      </c>
      <c r="AH16" t="s">
        <v>136</v>
      </c>
      <c r="AI16" t="s">
        <v>154</v>
      </c>
      <c r="AJ16" t="s">
        <v>115</v>
      </c>
      <c r="AK16" t="s">
        <v>302</v>
      </c>
      <c r="AL16" t="s">
        <v>110</v>
      </c>
      <c r="AM16" t="s">
        <v>303</v>
      </c>
      <c r="AN16" t="s">
        <v>104</v>
      </c>
      <c r="AO16" t="s">
        <v>104</v>
      </c>
      <c r="AP16" t="s">
        <v>104</v>
      </c>
      <c r="AQ16" t="s">
        <v>104</v>
      </c>
      <c r="AS16" s="3">
        <f t="shared" si="0"/>
        <v>45684</v>
      </c>
      <c r="AT16" s="2">
        <v>0.2</v>
      </c>
      <c r="AV16" t="s">
        <v>366</v>
      </c>
      <c r="AX16" s="5" t="str">
        <v/>
      </c>
    </row>
    <row r="17" spans="2:50" x14ac:dyDescent="0.25">
      <c r="B17" t="s">
        <v>5</v>
      </c>
      <c r="C17" t="s">
        <v>288</v>
      </c>
      <c r="D17" t="s">
        <v>316</v>
      </c>
      <c r="F17" t="s">
        <v>367</v>
      </c>
      <c r="H17" t="s">
        <v>368</v>
      </c>
      <c r="I17">
        <v>173.17</v>
      </c>
      <c r="J17">
        <v>0</v>
      </c>
      <c r="K17">
        <v>45967</v>
      </c>
      <c r="L17">
        <v>45985</v>
      </c>
      <c r="M17" t="s">
        <v>291</v>
      </c>
      <c r="Q17" t="s">
        <v>299</v>
      </c>
      <c r="R17" t="s">
        <v>369</v>
      </c>
      <c r="S17">
        <v>1320</v>
      </c>
      <c r="T17">
        <v>1520</v>
      </c>
      <c r="U17">
        <v>1700</v>
      </c>
      <c r="V17">
        <v>2000</v>
      </c>
      <c r="W17">
        <v>2320</v>
      </c>
      <c r="X17">
        <v>2720</v>
      </c>
      <c r="Y17">
        <v>4000</v>
      </c>
      <c r="Z17">
        <v>4550</v>
      </c>
      <c r="AA17" t="s">
        <v>104</v>
      </c>
      <c r="AB17" t="s">
        <v>104</v>
      </c>
      <c r="AC17" t="s">
        <v>104</v>
      </c>
      <c r="AD17" t="s">
        <v>104</v>
      </c>
      <c r="AF17" t="s">
        <v>301</v>
      </c>
      <c r="AG17" t="s">
        <v>294</v>
      </c>
      <c r="AH17" t="s">
        <v>136</v>
      </c>
      <c r="AI17" t="s">
        <v>154</v>
      </c>
      <c r="AJ17" t="s">
        <v>115</v>
      </c>
      <c r="AK17" t="s">
        <v>302</v>
      </c>
      <c r="AL17" t="s">
        <v>110</v>
      </c>
      <c r="AM17" t="s">
        <v>303</v>
      </c>
      <c r="AN17" t="s">
        <v>104</v>
      </c>
      <c r="AO17" t="s">
        <v>104</v>
      </c>
      <c r="AP17" t="s">
        <v>104</v>
      </c>
      <c r="AQ17" t="s">
        <v>104</v>
      </c>
      <c r="AS17" s="3">
        <f t="shared" si="0"/>
        <v>45691</v>
      </c>
      <c r="AT17" s="2"/>
      <c r="AV17" t="s">
        <v>221</v>
      </c>
      <c r="AX17" s="5" t="str">
        <v/>
      </c>
    </row>
    <row r="18" spans="2:50" x14ac:dyDescent="0.25">
      <c r="B18" t="s">
        <v>370</v>
      </c>
      <c r="C18" t="s">
        <v>288</v>
      </c>
      <c r="D18" t="s">
        <v>101</v>
      </c>
      <c r="F18" t="s">
        <v>371</v>
      </c>
      <c r="H18" t="s">
        <v>372</v>
      </c>
      <c r="I18">
        <v>121</v>
      </c>
      <c r="J18">
        <v>0</v>
      </c>
      <c r="M18" t="s">
        <v>291</v>
      </c>
      <c r="Q18" t="s">
        <v>221</v>
      </c>
      <c r="R18" t="s">
        <v>223</v>
      </c>
      <c r="S18">
        <v>1320</v>
      </c>
      <c r="T18">
        <v>1520</v>
      </c>
      <c r="U18">
        <v>2200</v>
      </c>
      <c r="V18">
        <v>3200</v>
      </c>
      <c r="W18">
        <v>5360</v>
      </c>
      <c r="AA18" t="s">
        <v>104</v>
      </c>
      <c r="AB18" t="s">
        <v>104</v>
      </c>
      <c r="AC18" t="s">
        <v>104</v>
      </c>
      <c r="AD18" t="s">
        <v>104</v>
      </c>
      <c r="AF18" t="s">
        <v>233</v>
      </c>
      <c r="AG18" t="s">
        <v>229</v>
      </c>
      <c r="AH18" t="s">
        <v>227</v>
      </c>
      <c r="AI18" t="s">
        <v>373</v>
      </c>
      <c r="AJ18" t="s">
        <v>374</v>
      </c>
      <c r="AK18" t="s">
        <v>104</v>
      </c>
      <c r="AL18" t="s">
        <v>104</v>
      </c>
      <c r="AM18" t="s">
        <v>104</v>
      </c>
      <c r="AN18" t="s">
        <v>104</v>
      </c>
      <c r="AO18" t="s">
        <v>104</v>
      </c>
      <c r="AP18" t="s">
        <v>104</v>
      </c>
      <c r="AQ18" t="s">
        <v>104</v>
      </c>
      <c r="AS18" s="3">
        <f t="shared" si="0"/>
        <v>45698</v>
      </c>
      <c r="AT18" s="2"/>
      <c r="AV18" t="s">
        <v>375</v>
      </c>
      <c r="AX18" s="5" t="str">
        <v/>
      </c>
    </row>
    <row r="19" spans="2:50" x14ac:dyDescent="0.25">
      <c r="B19" t="s">
        <v>376</v>
      </c>
      <c r="C19" t="s">
        <v>288</v>
      </c>
      <c r="D19" t="s">
        <v>101</v>
      </c>
      <c r="F19" t="s">
        <v>377</v>
      </c>
      <c r="H19" t="s">
        <v>378</v>
      </c>
      <c r="I19">
        <v>192.33</v>
      </c>
      <c r="J19">
        <v>0</v>
      </c>
      <c r="K19">
        <v>45894</v>
      </c>
      <c r="L19">
        <v>45933</v>
      </c>
      <c r="M19" t="s">
        <v>291</v>
      </c>
      <c r="O19" t="s">
        <v>379</v>
      </c>
      <c r="Q19" t="s">
        <v>221</v>
      </c>
      <c r="R19" t="s">
        <v>380</v>
      </c>
      <c r="S19">
        <v>1320</v>
      </c>
      <c r="T19">
        <v>1520</v>
      </c>
      <c r="U19">
        <v>2200</v>
      </c>
      <c r="V19">
        <v>3200</v>
      </c>
      <c r="W19">
        <v>5360</v>
      </c>
      <c r="AA19" t="s">
        <v>104</v>
      </c>
      <c r="AB19" t="s">
        <v>104</v>
      </c>
      <c r="AC19" t="s">
        <v>104</v>
      </c>
      <c r="AD19" t="s">
        <v>104</v>
      </c>
      <c r="AF19" t="s">
        <v>233</v>
      </c>
      <c r="AG19" t="s">
        <v>229</v>
      </c>
      <c r="AH19" t="s">
        <v>227</v>
      </c>
      <c r="AI19" t="s">
        <v>373</v>
      </c>
      <c r="AJ19" t="s">
        <v>374</v>
      </c>
      <c r="AK19" t="s">
        <v>104</v>
      </c>
      <c r="AL19" t="s">
        <v>104</v>
      </c>
      <c r="AM19" t="s">
        <v>104</v>
      </c>
      <c r="AN19" t="s">
        <v>104</v>
      </c>
      <c r="AO19" t="s">
        <v>104</v>
      </c>
      <c r="AP19" t="s">
        <v>104</v>
      </c>
      <c r="AQ19" t="s">
        <v>104</v>
      </c>
      <c r="AS19" s="3">
        <f t="shared" si="0"/>
        <v>45705</v>
      </c>
      <c r="AT19" s="2"/>
      <c r="AX19" s="5" t="str">
        <v/>
      </c>
    </row>
    <row r="20" spans="2:50" x14ac:dyDescent="0.25">
      <c r="B20" t="s">
        <v>381</v>
      </c>
      <c r="C20" t="s">
        <v>288</v>
      </c>
      <c r="D20" t="s">
        <v>101</v>
      </c>
      <c r="F20" t="s">
        <v>382</v>
      </c>
      <c r="H20" t="s">
        <v>383</v>
      </c>
      <c r="I20">
        <v>146.91999999999999</v>
      </c>
      <c r="J20">
        <v>0</v>
      </c>
      <c r="K20">
        <v>45670</v>
      </c>
      <c r="L20">
        <v>46393</v>
      </c>
      <c r="M20" t="s">
        <v>291</v>
      </c>
      <c r="N20" t="s">
        <v>384</v>
      </c>
      <c r="Q20" t="s">
        <v>221</v>
      </c>
      <c r="R20" t="s">
        <v>385</v>
      </c>
      <c r="S20">
        <v>1320</v>
      </c>
      <c r="T20">
        <v>1520</v>
      </c>
      <c r="U20">
        <v>2200</v>
      </c>
      <c r="V20">
        <v>3200</v>
      </c>
      <c r="W20">
        <v>5360</v>
      </c>
      <c r="AA20" t="s">
        <v>104</v>
      </c>
      <c r="AB20" t="s">
        <v>104</v>
      </c>
      <c r="AC20" t="s">
        <v>104</v>
      </c>
      <c r="AD20" t="s">
        <v>104</v>
      </c>
      <c r="AF20" t="s">
        <v>233</v>
      </c>
      <c r="AG20" t="s">
        <v>229</v>
      </c>
      <c r="AH20" t="s">
        <v>227</v>
      </c>
      <c r="AI20" t="s">
        <v>373</v>
      </c>
      <c r="AJ20" t="s">
        <v>374</v>
      </c>
      <c r="AK20" t="s">
        <v>104</v>
      </c>
      <c r="AL20" t="s">
        <v>104</v>
      </c>
      <c r="AM20" t="s">
        <v>104</v>
      </c>
      <c r="AN20" t="s">
        <v>104</v>
      </c>
      <c r="AO20" t="s">
        <v>104</v>
      </c>
      <c r="AP20" t="s">
        <v>104</v>
      </c>
      <c r="AQ20" t="s">
        <v>104</v>
      </c>
      <c r="AS20" s="3">
        <f t="shared" si="0"/>
        <v>45712</v>
      </c>
      <c r="AT20" s="2"/>
      <c r="AX20" s="5" t="str">
        <v/>
      </c>
    </row>
    <row r="21" spans="2:50" x14ac:dyDescent="0.25">
      <c r="B21" t="s">
        <v>386</v>
      </c>
      <c r="C21" t="s">
        <v>288</v>
      </c>
      <c r="D21" t="s">
        <v>101</v>
      </c>
      <c r="H21" t="s">
        <v>387</v>
      </c>
      <c r="I21">
        <v>129</v>
      </c>
      <c r="J21" t="s">
        <v>388</v>
      </c>
      <c r="M21" t="s">
        <v>291</v>
      </c>
      <c r="Q21" t="s">
        <v>221</v>
      </c>
      <c r="R21" t="s">
        <v>389</v>
      </c>
      <c r="S21">
        <v>1320</v>
      </c>
      <c r="T21">
        <v>1520</v>
      </c>
      <c r="U21">
        <v>2200</v>
      </c>
      <c r="V21">
        <v>3200</v>
      </c>
      <c r="W21">
        <v>5360</v>
      </c>
      <c r="AA21" t="s">
        <v>104</v>
      </c>
      <c r="AB21" t="s">
        <v>104</v>
      </c>
      <c r="AC21" t="s">
        <v>104</v>
      </c>
      <c r="AD21" t="s">
        <v>104</v>
      </c>
      <c r="AF21" t="s">
        <v>233</v>
      </c>
      <c r="AG21" t="s">
        <v>229</v>
      </c>
      <c r="AH21" t="s">
        <v>227</v>
      </c>
      <c r="AI21" t="s">
        <v>373</v>
      </c>
      <c r="AJ21" t="s">
        <v>374</v>
      </c>
      <c r="AK21" t="s">
        <v>104</v>
      </c>
      <c r="AL21" t="s">
        <v>104</v>
      </c>
      <c r="AM21" t="s">
        <v>104</v>
      </c>
      <c r="AN21" t="s">
        <v>104</v>
      </c>
      <c r="AO21" t="s">
        <v>104</v>
      </c>
      <c r="AP21" t="s">
        <v>104</v>
      </c>
      <c r="AQ21" t="s">
        <v>104</v>
      </c>
      <c r="AS21" s="3">
        <f t="shared" si="0"/>
        <v>45719</v>
      </c>
      <c r="AT21" s="2"/>
      <c r="AX21" s="5" t="str">
        <v/>
      </c>
    </row>
    <row r="22" spans="2:50" x14ac:dyDescent="0.25">
      <c r="B22" t="s">
        <v>390</v>
      </c>
      <c r="C22" t="s">
        <v>288</v>
      </c>
      <c r="D22" t="s">
        <v>101</v>
      </c>
      <c r="H22" t="s">
        <v>391</v>
      </c>
      <c r="I22">
        <v>151</v>
      </c>
      <c r="J22" t="s">
        <v>392</v>
      </c>
      <c r="K22">
        <v>46083</v>
      </c>
      <c r="Q22" t="s">
        <v>221</v>
      </c>
      <c r="R22" t="s">
        <v>393</v>
      </c>
      <c r="S22">
        <v>1320</v>
      </c>
      <c r="T22">
        <v>1520</v>
      </c>
      <c r="U22">
        <v>2200</v>
      </c>
      <c r="V22">
        <v>3200</v>
      </c>
      <c r="W22">
        <v>5360</v>
      </c>
      <c r="AA22" t="s">
        <v>104</v>
      </c>
      <c r="AB22" t="s">
        <v>104</v>
      </c>
      <c r="AC22" t="s">
        <v>104</v>
      </c>
      <c r="AD22" t="s">
        <v>104</v>
      </c>
      <c r="AF22" t="s">
        <v>233</v>
      </c>
      <c r="AG22" t="s">
        <v>229</v>
      </c>
      <c r="AH22" t="s">
        <v>227</v>
      </c>
      <c r="AI22" t="s">
        <v>373</v>
      </c>
      <c r="AJ22" t="s">
        <v>374</v>
      </c>
      <c r="AK22" t="s">
        <v>104</v>
      </c>
      <c r="AL22" t="s">
        <v>104</v>
      </c>
      <c r="AM22" t="s">
        <v>104</v>
      </c>
      <c r="AN22" t="s">
        <v>104</v>
      </c>
      <c r="AO22" t="s">
        <v>104</v>
      </c>
      <c r="AP22" t="s">
        <v>104</v>
      </c>
      <c r="AQ22" t="s">
        <v>104</v>
      </c>
      <c r="AS22" s="3">
        <f t="shared" si="0"/>
        <v>45726</v>
      </c>
      <c r="AT22" s="2">
        <v>0.2</v>
      </c>
      <c r="AX22" s="5" t="str">
        <v/>
      </c>
    </row>
    <row r="23" spans="2:50" x14ac:dyDescent="0.25">
      <c r="B23" t="s">
        <v>394</v>
      </c>
      <c r="C23" t="s">
        <v>288</v>
      </c>
      <c r="D23" t="s">
        <v>101</v>
      </c>
      <c r="H23" t="s">
        <v>395</v>
      </c>
      <c r="I23">
        <v>204.35</v>
      </c>
      <c r="J23">
        <v>0</v>
      </c>
      <c r="K23">
        <v>45474</v>
      </c>
      <c r="L23">
        <v>46111</v>
      </c>
      <c r="M23" t="s">
        <v>291</v>
      </c>
      <c r="N23" t="s">
        <v>396</v>
      </c>
      <c r="Q23" t="s">
        <v>221</v>
      </c>
      <c r="R23" t="s">
        <v>397</v>
      </c>
      <c r="S23">
        <v>1320</v>
      </c>
      <c r="T23">
        <v>1520</v>
      </c>
      <c r="U23">
        <v>2200</v>
      </c>
      <c r="V23">
        <v>3200</v>
      </c>
      <c r="W23">
        <v>5360</v>
      </c>
      <c r="AA23" t="s">
        <v>104</v>
      </c>
      <c r="AB23" t="s">
        <v>104</v>
      </c>
      <c r="AC23" t="s">
        <v>104</v>
      </c>
      <c r="AD23" t="s">
        <v>104</v>
      </c>
      <c r="AF23" t="s">
        <v>233</v>
      </c>
      <c r="AG23" t="s">
        <v>229</v>
      </c>
      <c r="AH23" t="s">
        <v>227</v>
      </c>
      <c r="AI23" t="s">
        <v>373</v>
      </c>
      <c r="AJ23" t="s">
        <v>374</v>
      </c>
      <c r="AK23" t="s">
        <v>104</v>
      </c>
      <c r="AL23" t="s">
        <v>104</v>
      </c>
      <c r="AM23" t="s">
        <v>104</v>
      </c>
      <c r="AN23" t="s">
        <v>104</v>
      </c>
      <c r="AO23" t="s">
        <v>104</v>
      </c>
      <c r="AP23" t="s">
        <v>104</v>
      </c>
      <c r="AQ23" t="s">
        <v>104</v>
      </c>
      <c r="AS23" s="3">
        <f t="shared" si="0"/>
        <v>45733</v>
      </c>
      <c r="AT23" s="2"/>
      <c r="AX23" s="5" t="str">
        <v/>
      </c>
    </row>
    <row r="24" spans="2:50" x14ac:dyDescent="0.25">
      <c r="B24" t="s">
        <v>398</v>
      </c>
      <c r="C24" t="s">
        <v>288</v>
      </c>
      <c r="D24" t="s">
        <v>101</v>
      </c>
      <c r="H24" t="s">
        <v>306</v>
      </c>
      <c r="I24">
        <v>245</v>
      </c>
      <c r="J24" t="s">
        <v>399</v>
      </c>
      <c r="M24" t="s">
        <v>291</v>
      </c>
      <c r="Q24" t="s">
        <v>330</v>
      </c>
      <c r="R24" t="s">
        <v>400</v>
      </c>
      <c r="S24">
        <v>1641.25</v>
      </c>
      <c r="T24">
        <v>1835.57</v>
      </c>
      <c r="U24">
        <v>2159.64</v>
      </c>
      <c r="V24">
        <v>2505.11</v>
      </c>
      <c r="W24">
        <v>2937.04</v>
      </c>
      <c r="X24">
        <v>4232.82</v>
      </c>
      <c r="AA24" t="s">
        <v>104</v>
      </c>
      <c r="AB24" t="s">
        <v>104</v>
      </c>
      <c r="AC24" t="s">
        <v>104</v>
      </c>
      <c r="AD24" t="s">
        <v>104</v>
      </c>
      <c r="AF24" t="s">
        <v>294</v>
      </c>
      <c r="AG24" t="s">
        <v>136</v>
      </c>
      <c r="AH24" t="s">
        <v>154</v>
      </c>
      <c r="AI24" t="s">
        <v>115</v>
      </c>
      <c r="AJ24" t="s">
        <v>145</v>
      </c>
      <c r="AK24" t="s">
        <v>401</v>
      </c>
      <c r="AL24" t="s">
        <v>104</v>
      </c>
      <c r="AM24" t="s">
        <v>104</v>
      </c>
      <c r="AN24" t="s">
        <v>104</v>
      </c>
      <c r="AO24" t="s">
        <v>104</v>
      </c>
      <c r="AP24" t="s">
        <v>104</v>
      </c>
      <c r="AQ24" t="s">
        <v>104</v>
      </c>
      <c r="AS24" s="3">
        <f t="shared" si="0"/>
        <v>45740</v>
      </c>
      <c r="AT24" s="2"/>
      <c r="AX24" s="5" t="str">
        <v/>
      </c>
    </row>
    <row r="25" spans="2:50" x14ac:dyDescent="0.25">
      <c r="B25" t="s">
        <v>402</v>
      </c>
      <c r="C25" t="s">
        <v>288</v>
      </c>
      <c r="D25" t="s">
        <v>101</v>
      </c>
      <c r="H25" t="s">
        <v>403</v>
      </c>
      <c r="I25">
        <v>100</v>
      </c>
      <c r="J25">
        <v>0</v>
      </c>
      <c r="M25" t="s">
        <v>291</v>
      </c>
      <c r="Q25" t="s">
        <v>330</v>
      </c>
      <c r="R25" t="s">
        <v>404</v>
      </c>
      <c r="S25">
        <v>1425.28</v>
      </c>
      <c r="T25">
        <v>1641.25</v>
      </c>
      <c r="U25">
        <v>1835.57</v>
      </c>
      <c r="V25">
        <v>2159.64</v>
      </c>
      <c r="W25">
        <v>2937.04</v>
      </c>
      <c r="X25">
        <v>4232.82</v>
      </c>
      <c r="AA25" t="s">
        <v>104</v>
      </c>
      <c r="AB25" t="s">
        <v>104</v>
      </c>
      <c r="AC25" t="s">
        <v>104</v>
      </c>
      <c r="AD25" t="s">
        <v>104</v>
      </c>
      <c r="AF25" t="s">
        <v>294</v>
      </c>
      <c r="AG25" t="s">
        <v>136</v>
      </c>
      <c r="AH25" t="s">
        <v>154</v>
      </c>
      <c r="AI25" t="s">
        <v>115</v>
      </c>
      <c r="AJ25" t="s">
        <v>145</v>
      </c>
      <c r="AK25" t="s">
        <v>401</v>
      </c>
      <c r="AL25" t="s">
        <v>104</v>
      </c>
      <c r="AM25" t="s">
        <v>104</v>
      </c>
      <c r="AN25" t="s">
        <v>104</v>
      </c>
      <c r="AO25" t="s">
        <v>104</v>
      </c>
      <c r="AP25" t="s">
        <v>104</v>
      </c>
      <c r="AQ25" t="s">
        <v>104</v>
      </c>
      <c r="AS25" s="3">
        <f t="shared" si="0"/>
        <v>45747</v>
      </c>
      <c r="AT25" s="2"/>
      <c r="AX25" s="5" t="str">
        <v/>
      </c>
    </row>
    <row r="26" spans="2:50" x14ac:dyDescent="0.25">
      <c r="B26" t="s">
        <v>405</v>
      </c>
      <c r="C26" t="s">
        <v>288</v>
      </c>
      <c r="D26" t="s">
        <v>101</v>
      </c>
      <c r="H26" t="s">
        <v>406</v>
      </c>
      <c r="I26">
        <v>176.31</v>
      </c>
      <c r="J26">
        <v>0</v>
      </c>
      <c r="M26" t="s">
        <v>291</v>
      </c>
      <c r="Q26" t="s">
        <v>361</v>
      </c>
      <c r="R26" t="s">
        <v>407</v>
      </c>
      <c r="S26">
        <v>1823.4</v>
      </c>
      <c r="T26">
        <v>2431.1999999999998</v>
      </c>
      <c r="U26">
        <v>2735.1</v>
      </c>
      <c r="V26">
        <v>3039</v>
      </c>
      <c r="W26">
        <v>4558.5</v>
      </c>
      <c r="AA26" t="s">
        <v>104</v>
      </c>
      <c r="AB26" t="s">
        <v>104</v>
      </c>
      <c r="AC26" t="s">
        <v>104</v>
      </c>
      <c r="AD26" t="s">
        <v>104</v>
      </c>
      <c r="AF26" t="s">
        <v>294</v>
      </c>
      <c r="AG26" t="s">
        <v>408</v>
      </c>
      <c r="AH26" t="s">
        <v>115</v>
      </c>
      <c r="AI26" t="s">
        <v>409</v>
      </c>
      <c r="AJ26" t="s">
        <v>410</v>
      </c>
      <c r="AK26" t="s">
        <v>104</v>
      </c>
      <c r="AL26" t="s">
        <v>104</v>
      </c>
      <c r="AM26" t="s">
        <v>104</v>
      </c>
      <c r="AN26" t="s">
        <v>104</v>
      </c>
      <c r="AO26" t="s">
        <v>104</v>
      </c>
      <c r="AP26" t="s">
        <v>104</v>
      </c>
      <c r="AQ26" t="s">
        <v>104</v>
      </c>
      <c r="AS26" s="3">
        <f t="shared" si="0"/>
        <v>45754</v>
      </c>
      <c r="AT26" s="2"/>
      <c r="AX26" s="5" t="str">
        <v/>
      </c>
    </row>
    <row r="27" spans="2:50" x14ac:dyDescent="0.25">
      <c r="B27" t="s">
        <v>411</v>
      </c>
      <c r="C27" t="s">
        <v>288</v>
      </c>
      <c r="D27" t="s">
        <v>101</v>
      </c>
      <c r="H27" t="s">
        <v>412</v>
      </c>
      <c r="I27">
        <v>186.99</v>
      </c>
      <c r="J27">
        <v>0</v>
      </c>
      <c r="K27">
        <v>45474</v>
      </c>
      <c r="L27">
        <v>46203</v>
      </c>
      <c r="M27" t="s">
        <v>291</v>
      </c>
      <c r="N27" t="s">
        <v>413</v>
      </c>
      <c r="Q27" t="s">
        <v>361</v>
      </c>
      <c r="R27" t="s">
        <v>414</v>
      </c>
      <c r="S27">
        <v>1823.4</v>
      </c>
      <c r="T27">
        <v>2431.1999999999998</v>
      </c>
      <c r="U27">
        <v>2735.1</v>
      </c>
      <c r="V27">
        <v>3039</v>
      </c>
      <c r="W27">
        <v>4558.5</v>
      </c>
      <c r="AA27" t="s">
        <v>104</v>
      </c>
      <c r="AB27" t="s">
        <v>104</v>
      </c>
      <c r="AC27" t="s">
        <v>104</v>
      </c>
      <c r="AD27" t="s">
        <v>104</v>
      </c>
      <c r="AF27" t="s">
        <v>294</v>
      </c>
      <c r="AG27" t="s">
        <v>408</v>
      </c>
      <c r="AH27" t="s">
        <v>115</v>
      </c>
      <c r="AI27" t="s">
        <v>409</v>
      </c>
      <c r="AJ27" t="s">
        <v>410</v>
      </c>
      <c r="AK27" t="s">
        <v>104</v>
      </c>
      <c r="AL27" t="s">
        <v>104</v>
      </c>
      <c r="AM27" t="s">
        <v>104</v>
      </c>
      <c r="AN27" t="s">
        <v>104</v>
      </c>
      <c r="AO27" t="s">
        <v>104</v>
      </c>
      <c r="AP27" t="s">
        <v>104</v>
      </c>
      <c r="AQ27" t="s">
        <v>104</v>
      </c>
      <c r="AS27" s="3">
        <f t="shared" si="0"/>
        <v>45761</v>
      </c>
      <c r="AT27" s="2">
        <v>0.2</v>
      </c>
      <c r="AX27" s="5" t="str">
        <v/>
      </c>
    </row>
    <row r="28" spans="2:50" x14ac:dyDescent="0.25">
      <c r="B28" t="s">
        <v>415</v>
      </c>
      <c r="C28" t="s">
        <v>288</v>
      </c>
      <c r="D28" t="s">
        <v>101</v>
      </c>
      <c r="H28" t="s">
        <v>416</v>
      </c>
      <c r="I28">
        <v>145</v>
      </c>
      <c r="J28">
        <v>0</v>
      </c>
      <c r="M28" t="s">
        <v>291</v>
      </c>
      <c r="Q28" t="s">
        <v>295</v>
      </c>
      <c r="R28" t="s">
        <v>417</v>
      </c>
      <c r="S28">
        <v>2112.6545454545453</v>
      </c>
      <c r="T28">
        <v>2811.4181818181814</v>
      </c>
      <c r="U28">
        <v>3164.9454545454541</v>
      </c>
      <c r="V28">
        <v>3518.3999999999996</v>
      </c>
      <c r="W28">
        <v>5277.5999999999995</v>
      </c>
      <c r="AA28" t="s">
        <v>104</v>
      </c>
      <c r="AB28" t="s">
        <v>104</v>
      </c>
      <c r="AC28" t="s">
        <v>104</v>
      </c>
      <c r="AD28" t="s">
        <v>104</v>
      </c>
      <c r="AF28" t="s">
        <v>294</v>
      </c>
      <c r="AG28" t="s">
        <v>408</v>
      </c>
      <c r="AH28" t="s">
        <v>115</v>
      </c>
      <c r="AI28" t="s">
        <v>409</v>
      </c>
      <c r="AJ28" t="s">
        <v>410</v>
      </c>
      <c r="AK28" t="s">
        <v>104</v>
      </c>
      <c r="AL28" t="s">
        <v>104</v>
      </c>
      <c r="AM28" t="s">
        <v>104</v>
      </c>
      <c r="AN28" t="s">
        <v>104</v>
      </c>
      <c r="AO28" t="s">
        <v>104</v>
      </c>
      <c r="AP28" t="s">
        <v>104</v>
      </c>
      <c r="AQ28" t="s">
        <v>104</v>
      </c>
      <c r="AS28" s="3">
        <f t="shared" si="0"/>
        <v>45768</v>
      </c>
      <c r="AT28" s="2">
        <v>0.4</v>
      </c>
      <c r="AX28" s="5" t="str">
        <v/>
      </c>
    </row>
    <row r="29" spans="2:50" x14ac:dyDescent="0.25">
      <c r="B29" t="s">
        <v>418</v>
      </c>
      <c r="C29" t="s">
        <v>288</v>
      </c>
      <c r="D29" t="s">
        <v>101</v>
      </c>
      <c r="H29" t="s">
        <v>311</v>
      </c>
      <c r="I29">
        <v>245</v>
      </c>
      <c r="J29" t="s">
        <v>399</v>
      </c>
      <c r="M29" t="s">
        <v>291</v>
      </c>
      <c r="Q29" t="s">
        <v>295</v>
      </c>
      <c r="R29" t="s">
        <v>419</v>
      </c>
      <c r="S29">
        <v>1298.8363636363636</v>
      </c>
      <c r="T29">
        <v>1750.981818181818</v>
      </c>
      <c r="U29">
        <v>1948.2909090909088</v>
      </c>
      <c r="V29">
        <v>2334.6181818181817</v>
      </c>
      <c r="W29">
        <v>3518.3999999999996</v>
      </c>
      <c r="AA29" t="s">
        <v>104</v>
      </c>
      <c r="AB29" t="s">
        <v>104</v>
      </c>
      <c r="AC29" t="s">
        <v>104</v>
      </c>
      <c r="AD29" t="s">
        <v>104</v>
      </c>
      <c r="AF29" t="s">
        <v>294</v>
      </c>
      <c r="AG29" t="s">
        <v>408</v>
      </c>
      <c r="AH29" t="s">
        <v>115</v>
      </c>
      <c r="AI29" t="s">
        <v>409</v>
      </c>
      <c r="AJ29" t="s">
        <v>410</v>
      </c>
      <c r="AK29" t="s">
        <v>104</v>
      </c>
      <c r="AL29" t="s">
        <v>104</v>
      </c>
      <c r="AM29" t="s">
        <v>104</v>
      </c>
      <c r="AN29" t="s">
        <v>104</v>
      </c>
      <c r="AO29" t="s">
        <v>104</v>
      </c>
      <c r="AP29" t="s">
        <v>104</v>
      </c>
      <c r="AQ29" t="s">
        <v>104</v>
      </c>
      <c r="AS29" s="3">
        <f t="shared" si="0"/>
        <v>45775</v>
      </c>
      <c r="AT29" s="2"/>
      <c r="AX29" s="5" t="str">
        <v/>
      </c>
    </row>
    <row r="30" spans="2:50" x14ac:dyDescent="0.25">
      <c r="B30" t="s">
        <v>420</v>
      </c>
      <c r="C30" t="s">
        <v>288</v>
      </c>
      <c r="D30" t="s">
        <v>101</v>
      </c>
      <c r="H30" t="s">
        <v>421</v>
      </c>
      <c r="I30">
        <v>177</v>
      </c>
      <c r="J30">
        <v>0</v>
      </c>
      <c r="M30" t="s">
        <v>291</v>
      </c>
      <c r="Q30" t="s">
        <v>325</v>
      </c>
      <c r="R30" t="s">
        <v>422</v>
      </c>
      <c r="S30">
        <v>0</v>
      </c>
      <c r="T30">
        <v>0</v>
      </c>
      <c r="U30">
        <v>0</v>
      </c>
      <c r="V30">
        <v>0</v>
      </c>
      <c r="W30">
        <v>1799.27</v>
      </c>
      <c r="X30">
        <v>2072.2800000000002</v>
      </c>
      <c r="Y30">
        <v>2646.37</v>
      </c>
      <c r="AA30" t="s">
        <v>104</v>
      </c>
      <c r="AB30" t="s">
        <v>104</v>
      </c>
      <c r="AC30" t="s">
        <v>104</v>
      </c>
      <c r="AD30" t="s">
        <v>104</v>
      </c>
      <c r="AF30" t="s">
        <v>423</v>
      </c>
      <c r="AG30" t="s">
        <v>424</v>
      </c>
      <c r="AH30" t="s">
        <v>425</v>
      </c>
      <c r="AI30" t="s">
        <v>426</v>
      </c>
      <c r="AJ30" t="s">
        <v>427</v>
      </c>
      <c r="AK30" t="s">
        <v>428</v>
      </c>
      <c r="AL30" t="s">
        <v>429</v>
      </c>
      <c r="AM30" t="s">
        <v>104</v>
      </c>
      <c r="AN30" t="s">
        <v>104</v>
      </c>
      <c r="AO30" t="s">
        <v>104</v>
      </c>
      <c r="AP30" t="s">
        <v>104</v>
      </c>
      <c r="AQ30" t="s">
        <v>104</v>
      </c>
      <c r="AS30" s="3">
        <f t="shared" si="0"/>
        <v>45782</v>
      </c>
      <c r="AT30" s="2"/>
      <c r="AX30" s="5" t="str">
        <v/>
      </c>
    </row>
    <row r="31" spans="2:50" x14ac:dyDescent="0.25">
      <c r="B31" t="s">
        <v>430</v>
      </c>
      <c r="C31" t="s">
        <v>288</v>
      </c>
      <c r="D31" t="s">
        <v>101</v>
      </c>
      <c r="H31" t="s">
        <v>431</v>
      </c>
      <c r="I31">
        <v>225</v>
      </c>
      <c r="J31" t="s">
        <v>392</v>
      </c>
      <c r="M31" t="s">
        <v>291</v>
      </c>
      <c r="Q31" t="s">
        <v>325</v>
      </c>
      <c r="R31" t="s">
        <v>432</v>
      </c>
      <c r="S31">
        <v>0</v>
      </c>
      <c r="T31">
        <v>0</v>
      </c>
      <c r="U31">
        <v>0</v>
      </c>
      <c r="V31">
        <v>0</v>
      </c>
      <c r="W31">
        <v>1863.96</v>
      </c>
      <c r="X31">
        <v>2133.58</v>
      </c>
      <c r="Y31">
        <v>2684.1</v>
      </c>
      <c r="AA31" t="s">
        <v>104</v>
      </c>
      <c r="AB31" t="s">
        <v>104</v>
      </c>
      <c r="AC31" t="s">
        <v>104</v>
      </c>
      <c r="AD31" t="s">
        <v>104</v>
      </c>
      <c r="AF31" t="s">
        <v>423</v>
      </c>
      <c r="AG31" t="s">
        <v>424</v>
      </c>
      <c r="AH31" t="s">
        <v>425</v>
      </c>
      <c r="AI31" t="s">
        <v>426</v>
      </c>
      <c r="AJ31" t="s">
        <v>427</v>
      </c>
      <c r="AK31" t="s">
        <v>428</v>
      </c>
      <c r="AL31" t="s">
        <v>429</v>
      </c>
      <c r="AM31" t="s">
        <v>104</v>
      </c>
      <c r="AN31" t="s">
        <v>104</v>
      </c>
      <c r="AO31" t="s">
        <v>104</v>
      </c>
      <c r="AP31" t="s">
        <v>104</v>
      </c>
      <c r="AQ31" t="s">
        <v>104</v>
      </c>
      <c r="AS31" s="3">
        <f t="shared" si="0"/>
        <v>45789</v>
      </c>
      <c r="AT31" s="2"/>
      <c r="AX31" s="5" t="str">
        <v/>
      </c>
    </row>
    <row r="32" spans="2:50" x14ac:dyDescent="0.25">
      <c r="B32" t="s">
        <v>433</v>
      </c>
      <c r="C32" t="s">
        <v>288</v>
      </c>
      <c r="D32" t="s">
        <v>101</v>
      </c>
      <c r="H32" t="s">
        <v>434</v>
      </c>
      <c r="I32">
        <v>186.99</v>
      </c>
      <c r="J32">
        <v>0</v>
      </c>
      <c r="K32">
        <v>45474</v>
      </c>
      <c r="L32">
        <v>46203</v>
      </c>
      <c r="M32" t="s">
        <v>291</v>
      </c>
      <c r="N32" t="s">
        <v>435</v>
      </c>
      <c r="Q32" t="s">
        <v>325</v>
      </c>
      <c r="R32" t="s">
        <v>436</v>
      </c>
      <c r="S32">
        <v>0</v>
      </c>
      <c r="T32">
        <v>0</v>
      </c>
      <c r="U32">
        <v>0</v>
      </c>
      <c r="V32">
        <v>1662.28</v>
      </c>
      <c r="W32">
        <v>1955.21</v>
      </c>
      <c r="X32">
        <v>2348.8000000000002</v>
      </c>
      <c r="Y32">
        <v>2934.2</v>
      </c>
      <c r="AA32" t="s">
        <v>104</v>
      </c>
      <c r="AB32" t="s">
        <v>104</v>
      </c>
      <c r="AC32" t="s">
        <v>104</v>
      </c>
      <c r="AD32" t="s">
        <v>104</v>
      </c>
      <c r="AF32" t="s">
        <v>423</v>
      </c>
      <c r="AG32" t="s">
        <v>424</v>
      </c>
      <c r="AH32" t="s">
        <v>425</v>
      </c>
      <c r="AI32" t="s">
        <v>426</v>
      </c>
      <c r="AJ32" t="s">
        <v>427</v>
      </c>
      <c r="AK32" t="s">
        <v>428</v>
      </c>
      <c r="AL32" t="s">
        <v>429</v>
      </c>
      <c r="AM32" t="s">
        <v>104</v>
      </c>
      <c r="AN32" t="s">
        <v>104</v>
      </c>
      <c r="AO32" t="s">
        <v>104</v>
      </c>
      <c r="AP32" t="s">
        <v>104</v>
      </c>
      <c r="AQ32" t="s">
        <v>104</v>
      </c>
      <c r="AS32" s="3">
        <f t="shared" si="0"/>
        <v>45796</v>
      </c>
      <c r="AT32" s="2"/>
      <c r="AX32" s="5" t="str">
        <v/>
      </c>
    </row>
    <row r="33" spans="2:50" x14ac:dyDescent="0.25">
      <c r="B33" t="s">
        <v>437</v>
      </c>
      <c r="C33" t="s">
        <v>288</v>
      </c>
      <c r="D33" t="s">
        <v>101</v>
      </c>
      <c r="H33" t="s">
        <v>438</v>
      </c>
      <c r="I33">
        <v>161</v>
      </c>
      <c r="J33">
        <v>0</v>
      </c>
      <c r="M33" t="s">
        <v>291</v>
      </c>
      <c r="Q33" t="s">
        <v>325</v>
      </c>
      <c r="R33" t="s">
        <v>439</v>
      </c>
      <c r="S33">
        <v>0</v>
      </c>
      <c r="T33">
        <v>0</v>
      </c>
      <c r="U33">
        <v>0</v>
      </c>
      <c r="V33">
        <v>0</v>
      </c>
      <c r="W33">
        <v>0</v>
      </c>
      <c r="X33">
        <v>2107.08</v>
      </c>
      <c r="Y33">
        <v>2474.8000000000002</v>
      </c>
      <c r="AA33" t="s">
        <v>104</v>
      </c>
      <c r="AB33" t="s">
        <v>104</v>
      </c>
      <c r="AC33" t="s">
        <v>104</v>
      </c>
      <c r="AD33" t="s">
        <v>104</v>
      </c>
      <c r="AF33" t="s">
        <v>423</v>
      </c>
      <c r="AG33" t="s">
        <v>424</v>
      </c>
      <c r="AH33" t="s">
        <v>425</v>
      </c>
      <c r="AI33" t="s">
        <v>426</v>
      </c>
      <c r="AJ33" t="s">
        <v>427</v>
      </c>
      <c r="AK33" t="s">
        <v>428</v>
      </c>
      <c r="AL33" t="s">
        <v>429</v>
      </c>
      <c r="AM33" t="s">
        <v>104</v>
      </c>
      <c r="AN33" t="s">
        <v>104</v>
      </c>
      <c r="AO33" t="s">
        <v>104</v>
      </c>
      <c r="AP33" t="s">
        <v>104</v>
      </c>
      <c r="AQ33" t="s">
        <v>104</v>
      </c>
      <c r="AS33" s="3">
        <f t="shared" si="0"/>
        <v>45803</v>
      </c>
      <c r="AT33" s="2"/>
      <c r="AX33" s="5" t="str">
        <v/>
      </c>
    </row>
    <row r="34" spans="2:50" x14ac:dyDescent="0.25">
      <c r="B34" t="s">
        <v>440</v>
      </c>
      <c r="C34" t="s">
        <v>288</v>
      </c>
      <c r="D34" t="s">
        <v>101</v>
      </c>
      <c r="H34" t="s">
        <v>441</v>
      </c>
      <c r="I34">
        <v>202</v>
      </c>
      <c r="J34" t="s">
        <v>399</v>
      </c>
      <c r="K34">
        <v>45923</v>
      </c>
      <c r="L34">
        <v>46288</v>
      </c>
      <c r="M34" t="s">
        <v>291</v>
      </c>
      <c r="Q34" t="s">
        <v>325</v>
      </c>
      <c r="R34" t="s">
        <v>442</v>
      </c>
      <c r="S34">
        <v>0</v>
      </c>
      <c r="T34">
        <v>0</v>
      </c>
      <c r="U34">
        <v>1164.94</v>
      </c>
      <c r="V34">
        <v>1464.57</v>
      </c>
      <c r="W34">
        <v>1759.69</v>
      </c>
      <c r="X34">
        <v>2264.2600000000002</v>
      </c>
      <c r="Y34">
        <v>2657.56</v>
      </c>
      <c r="AA34" t="s">
        <v>104</v>
      </c>
      <c r="AB34" t="s">
        <v>104</v>
      </c>
      <c r="AC34" t="s">
        <v>104</v>
      </c>
      <c r="AD34" t="s">
        <v>104</v>
      </c>
      <c r="AF34" t="s">
        <v>423</v>
      </c>
      <c r="AG34" t="s">
        <v>424</v>
      </c>
      <c r="AH34" t="s">
        <v>425</v>
      </c>
      <c r="AI34" t="s">
        <v>426</v>
      </c>
      <c r="AJ34" t="s">
        <v>427</v>
      </c>
      <c r="AK34" t="s">
        <v>428</v>
      </c>
      <c r="AL34" t="s">
        <v>429</v>
      </c>
      <c r="AM34" t="s">
        <v>104</v>
      </c>
      <c r="AN34" t="s">
        <v>104</v>
      </c>
      <c r="AO34" t="s">
        <v>104</v>
      </c>
      <c r="AP34" t="s">
        <v>104</v>
      </c>
      <c r="AQ34" t="s">
        <v>104</v>
      </c>
      <c r="AS34" s="3">
        <f t="shared" si="0"/>
        <v>45810</v>
      </c>
      <c r="AT34" s="2">
        <v>0.2</v>
      </c>
      <c r="AX34" s="5" t="str">
        <v/>
      </c>
    </row>
    <row r="35" spans="2:50" x14ac:dyDescent="0.25">
      <c r="B35" t="s">
        <v>443</v>
      </c>
      <c r="C35" t="s">
        <v>288</v>
      </c>
      <c r="D35" t="s">
        <v>101</v>
      </c>
      <c r="H35" t="s">
        <v>444</v>
      </c>
      <c r="I35">
        <v>161</v>
      </c>
      <c r="J35">
        <v>0</v>
      </c>
      <c r="M35" t="s">
        <v>291</v>
      </c>
      <c r="Q35" t="s">
        <v>325</v>
      </c>
      <c r="R35" t="s">
        <v>445</v>
      </c>
      <c r="S35">
        <v>0</v>
      </c>
      <c r="T35">
        <v>0</v>
      </c>
      <c r="U35">
        <v>0</v>
      </c>
      <c r="V35">
        <v>0</v>
      </c>
      <c r="W35">
        <v>1484.38</v>
      </c>
      <c r="X35">
        <v>1778.91</v>
      </c>
      <c r="Y35">
        <v>2148.7199999999998</v>
      </c>
      <c r="AA35" t="s">
        <v>104</v>
      </c>
      <c r="AB35" t="s">
        <v>104</v>
      </c>
      <c r="AC35" t="s">
        <v>104</v>
      </c>
      <c r="AD35" t="s">
        <v>104</v>
      </c>
      <c r="AF35" t="s">
        <v>423</v>
      </c>
      <c r="AG35" t="s">
        <v>424</v>
      </c>
      <c r="AH35" t="s">
        <v>425</v>
      </c>
      <c r="AI35" t="s">
        <v>426</v>
      </c>
      <c r="AJ35" t="s">
        <v>427</v>
      </c>
      <c r="AK35" t="s">
        <v>428</v>
      </c>
      <c r="AL35" t="s">
        <v>429</v>
      </c>
      <c r="AM35" t="s">
        <v>104</v>
      </c>
      <c r="AN35" t="s">
        <v>104</v>
      </c>
      <c r="AO35" t="s">
        <v>104</v>
      </c>
      <c r="AP35" t="s">
        <v>104</v>
      </c>
      <c r="AQ35" t="s">
        <v>104</v>
      </c>
      <c r="AS35" s="3">
        <f t="shared" si="0"/>
        <v>45817</v>
      </c>
      <c r="AT35" s="2">
        <v>0.2</v>
      </c>
      <c r="AX35" s="5" t="str">
        <v/>
      </c>
    </row>
    <row r="36" spans="2:50" x14ac:dyDescent="0.25">
      <c r="B36" t="s">
        <v>446</v>
      </c>
      <c r="C36" t="s">
        <v>288</v>
      </c>
      <c r="D36" t="s">
        <v>377</v>
      </c>
      <c r="H36" t="s">
        <v>447</v>
      </c>
      <c r="I36">
        <v>151</v>
      </c>
      <c r="J36" t="s">
        <v>392</v>
      </c>
      <c r="K36">
        <v>45978</v>
      </c>
      <c r="M36" t="s">
        <v>291</v>
      </c>
      <c r="Q36" t="s">
        <v>325</v>
      </c>
      <c r="R36" t="s">
        <v>448</v>
      </c>
      <c r="S36">
        <v>0</v>
      </c>
      <c r="T36">
        <v>0</v>
      </c>
      <c r="U36">
        <v>1177.94</v>
      </c>
      <c r="V36">
        <v>1440.55</v>
      </c>
      <c r="W36">
        <v>1743.87</v>
      </c>
      <c r="X36">
        <v>2021.26</v>
      </c>
      <c r="Y36">
        <v>2335.73</v>
      </c>
      <c r="AA36" t="s">
        <v>104</v>
      </c>
      <c r="AB36" t="s">
        <v>104</v>
      </c>
      <c r="AC36" t="s">
        <v>104</v>
      </c>
      <c r="AD36" t="s">
        <v>104</v>
      </c>
      <c r="AF36" t="s">
        <v>423</v>
      </c>
      <c r="AG36" t="s">
        <v>424</v>
      </c>
      <c r="AH36" t="s">
        <v>425</v>
      </c>
      <c r="AI36" t="s">
        <v>426</v>
      </c>
      <c r="AJ36" t="s">
        <v>427</v>
      </c>
      <c r="AK36" t="s">
        <v>428</v>
      </c>
      <c r="AL36" t="s">
        <v>429</v>
      </c>
      <c r="AM36" t="s">
        <v>104</v>
      </c>
      <c r="AN36" t="s">
        <v>104</v>
      </c>
      <c r="AO36" t="s">
        <v>104</v>
      </c>
      <c r="AP36" t="s">
        <v>104</v>
      </c>
      <c r="AQ36" t="s">
        <v>104</v>
      </c>
      <c r="AS36" s="3">
        <f t="shared" si="0"/>
        <v>45824</v>
      </c>
      <c r="AT36" s="2"/>
      <c r="AX36" s="5" t="str">
        <v/>
      </c>
    </row>
    <row r="37" spans="2:50" x14ac:dyDescent="0.25">
      <c r="B37" t="s">
        <v>449</v>
      </c>
      <c r="C37" t="s">
        <v>288</v>
      </c>
      <c r="D37" t="s">
        <v>101</v>
      </c>
      <c r="H37" t="s">
        <v>450</v>
      </c>
      <c r="I37">
        <v>190.63</v>
      </c>
      <c r="J37">
        <v>0</v>
      </c>
      <c r="K37">
        <v>45950</v>
      </c>
      <c r="L37">
        <v>46112</v>
      </c>
      <c r="M37" t="s">
        <v>291</v>
      </c>
      <c r="Q37" t="s">
        <v>325</v>
      </c>
      <c r="R37" t="s">
        <v>451</v>
      </c>
      <c r="S37">
        <v>0</v>
      </c>
      <c r="T37">
        <v>0</v>
      </c>
      <c r="U37">
        <v>0</v>
      </c>
      <c r="V37">
        <v>1262.5999999999999</v>
      </c>
      <c r="W37">
        <v>1420.08</v>
      </c>
      <c r="X37">
        <v>0</v>
      </c>
      <c r="Y37">
        <v>0</v>
      </c>
      <c r="AA37" t="s">
        <v>104</v>
      </c>
      <c r="AB37" t="s">
        <v>104</v>
      </c>
      <c r="AC37" t="s">
        <v>104</v>
      </c>
      <c r="AD37" t="s">
        <v>104</v>
      </c>
      <c r="AF37" t="s">
        <v>423</v>
      </c>
      <c r="AG37" t="s">
        <v>424</v>
      </c>
      <c r="AH37" t="s">
        <v>425</v>
      </c>
      <c r="AI37" t="s">
        <v>426</v>
      </c>
      <c r="AJ37" t="s">
        <v>427</v>
      </c>
      <c r="AK37" t="s">
        <v>428</v>
      </c>
      <c r="AL37" t="s">
        <v>429</v>
      </c>
      <c r="AM37" t="s">
        <v>104</v>
      </c>
      <c r="AN37" t="s">
        <v>104</v>
      </c>
      <c r="AO37" t="s">
        <v>104</v>
      </c>
      <c r="AP37" t="s">
        <v>104</v>
      </c>
      <c r="AQ37" t="s">
        <v>104</v>
      </c>
      <c r="AS37" s="3">
        <f t="shared" si="0"/>
        <v>45831</v>
      </c>
      <c r="AT37" s="2"/>
      <c r="AX37" s="5" t="str">
        <v/>
      </c>
    </row>
    <row r="38" spans="2:50" x14ac:dyDescent="0.25">
      <c r="B38" t="s">
        <v>452</v>
      </c>
      <c r="C38" t="s">
        <v>288</v>
      </c>
      <c r="D38" t="s">
        <v>101</v>
      </c>
      <c r="H38" t="s">
        <v>453</v>
      </c>
      <c r="I38">
        <v>0</v>
      </c>
      <c r="J38" t="s">
        <v>454</v>
      </c>
      <c r="M38" t="s">
        <v>455</v>
      </c>
      <c r="Q38" t="s">
        <v>325</v>
      </c>
      <c r="R38" t="s">
        <v>456</v>
      </c>
      <c r="S38">
        <v>778.7</v>
      </c>
      <c r="T38">
        <v>895.96</v>
      </c>
      <c r="U38">
        <v>1028.83</v>
      </c>
      <c r="V38">
        <v>1197.22</v>
      </c>
      <c r="W38">
        <v>1388.85</v>
      </c>
      <c r="X38">
        <v>1637.61</v>
      </c>
      <c r="Y38">
        <v>0</v>
      </c>
      <c r="AA38" t="s">
        <v>104</v>
      </c>
      <c r="AB38" t="s">
        <v>104</v>
      </c>
      <c r="AC38" t="s">
        <v>104</v>
      </c>
      <c r="AD38" t="s">
        <v>104</v>
      </c>
      <c r="AF38" t="s">
        <v>423</v>
      </c>
      <c r="AG38" t="s">
        <v>424</v>
      </c>
      <c r="AH38" t="s">
        <v>425</v>
      </c>
      <c r="AI38" t="s">
        <v>426</v>
      </c>
      <c r="AJ38" t="s">
        <v>427</v>
      </c>
      <c r="AK38" t="s">
        <v>428</v>
      </c>
      <c r="AL38" t="s">
        <v>429</v>
      </c>
      <c r="AM38" t="s">
        <v>104</v>
      </c>
      <c r="AN38" t="s">
        <v>104</v>
      </c>
      <c r="AO38" t="s">
        <v>104</v>
      </c>
      <c r="AP38" t="s">
        <v>104</v>
      </c>
      <c r="AQ38" t="s">
        <v>104</v>
      </c>
      <c r="AS38" s="3">
        <f t="shared" si="0"/>
        <v>45838</v>
      </c>
      <c r="AT38" s="2"/>
      <c r="AX38" s="5" t="str">
        <v/>
      </c>
    </row>
    <row r="39" spans="2:50" x14ac:dyDescent="0.25">
      <c r="B39" t="s">
        <v>457</v>
      </c>
      <c r="C39" t="s">
        <v>288</v>
      </c>
      <c r="D39" t="s">
        <v>101</v>
      </c>
      <c r="H39" t="s">
        <v>458</v>
      </c>
      <c r="I39">
        <v>131.07</v>
      </c>
      <c r="J39">
        <v>0</v>
      </c>
      <c r="K39">
        <v>45474</v>
      </c>
      <c r="L39">
        <v>46059</v>
      </c>
      <c r="M39" t="s">
        <v>291</v>
      </c>
      <c r="Q39" t="s">
        <v>325</v>
      </c>
      <c r="R39" t="s">
        <v>459</v>
      </c>
      <c r="S39">
        <v>0</v>
      </c>
      <c r="T39">
        <v>0</v>
      </c>
      <c r="U39">
        <v>0</v>
      </c>
      <c r="V39">
        <v>0</v>
      </c>
      <c r="W39">
        <v>1978.62</v>
      </c>
      <c r="X39">
        <v>2317.69</v>
      </c>
      <c r="Y39">
        <v>2683.48</v>
      </c>
      <c r="AA39" t="s">
        <v>104</v>
      </c>
      <c r="AB39" t="s">
        <v>104</v>
      </c>
      <c r="AC39" t="s">
        <v>104</v>
      </c>
      <c r="AD39" t="s">
        <v>104</v>
      </c>
      <c r="AF39" t="s">
        <v>423</v>
      </c>
      <c r="AG39" t="s">
        <v>424</v>
      </c>
      <c r="AH39" t="s">
        <v>425</v>
      </c>
      <c r="AI39" t="s">
        <v>426</v>
      </c>
      <c r="AJ39" t="s">
        <v>427</v>
      </c>
      <c r="AK39" t="s">
        <v>428</v>
      </c>
      <c r="AL39" t="s">
        <v>429</v>
      </c>
      <c r="AM39" t="s">
        <v>104</v>
      </c>
      <c r="AN39" t="s">
        <v>104</v>
      </c>
      <c r="AO39" t="s">
        <v>104</v>
      </c>
      <c r="AP39" t="s">
        <v>104</v>
      </c>
      <c r="AQ39" t="s">
        <v>104</v>
      </c>
      <c r="AS39" s="3">
        <f t="shared" si="0"/>
        <v>45845</v>
      </c>
      <c r="AT39" s="2"/>
      <c r="AX39" s="5" t="str">
        <v/>
      </c>
    </row>
    <row r="40" spans="2:50" x14ac:dyDescent="0.25">
      <c r="B40" t="s">
        <v>460</v>
      </c>
      <c r="C40" t="s">
        <v>288</v>
      </c>
      <c r="D40" t="s">
        <v>101</v>
      </c>
      <c r="H40" t="s">
        <v>461</v>
      </c>
      <c r="I40">
        <v>0</v>
      </c>
      <c r="J40" t="s">
        <v>462</v>
      </c>
      <c r="M40" t="s">
        <v>455</v>
      </c>
      <c r="Q40" t="s">
        <v>325</v>
      </c>
      <c r="R40" t="s">
        <v>463</v>
      </c>
      <c r="S40">
        <v>0</v>
      </c>
      <c r="T40">
        <v>0</v>
      </c>
      <c r="U40">
        <v>0</v>
      </c>
      <c r="V40">
        <v>1818.11</v>
      </c>
      <c r="W40">
        <v>2283.1999999999998</v>
      </c>
      <c r="X40">
        <v>2709.7</v>
      </c>
      <c r="Y40">
        <v>0</v>
      </c>
      <c r="AA40" t="s">
        <v>104</v>
      </c>
      <c r="AB40" t="s">
        <v>104</v>
      </c>
      <c r="AC40" t="s">
        <v>104</v>
      </c>
      <c r="AD40" t="s">
        <v>104</v>
      </c>
      <c r="AF40" t="s">
        <v>423</v>
      </c>
      <c r="AG40" t="s">
        <v>424</v>
      </c>
      <c r="AH40" t="s">
        <v>425</v>
      </c>
      <c r="AI40" t="s">
        <v>426</v>
      </c>
      <c r="AJ40" t="s">
        <v>427</v>
      </c>
      <c r="AK40" t="s">
        <v>428</v>
      </c>
      <c r="AL40" t="s">
        <v>429</v>
      </c>
      <c r="AM40" t="s">
        <v>104</v>
      </c>
      <c r="AN40" t="s">
        <v>104</v>
      </c>
      <c r="AO40" t="s">
        <v>104</v>
      </c>
      <c r="AP40" t="s">
        <v>104</v>
      </c>
      <c r="AQ40" t="s">
        <v>104</v>
      </c>
      <c r="AS40" s="3">
        <f t="shared" si="0"/>
        <v>45852</v>
      </c>
      <c r="AT40" s="2"/>
      <c r="AX40" s="5" t="str">
        <v/>
      </c>
    </row>
    <row r="41" spans="2:50" x14ac:dyDescent="0.25">
      <c r="B41" t="s">
        <v>464</v>
      </c>
      <c r="C41" t="s">
        <v>288</v>
      </c>
      <c r="D41" t="s">
        <v>316</v>
      </c>
      <c r="H41" t="s">
        <v>465</v>
      </c>
      <c r="I41">
        <v>0</v>
      </c>
      <c r="J41" t="s">
        <v>104</v>
      </c>
      <c r="M41" t="s">
        <v>291</v>
      </c>
      <c r="Q41" t="s">
        <v>325</v>
      </c>
      <c r="R41" t="s">
        <v>466</v>
      </c>
      <c r="S41">
        <v>0</v>
      </c>
      <c r="T41">
        <v>0</v>
      </c>
      <c r="U41">
        <v>0</v>
      </c>
      <c r="V41">
        <v>0</v>
      </c>
      <c r="W41">
        <v>1778.79</v>
      </c>
      <c r="X41">
        <v>2191.52</v>
      </c>
      <c r="Y41">
        <v>2696.79</v>
      </c>
      <c r="AA41" t="s">
        <v>104</v>
      </c>
      <c r="AB41" t="s">
        <v>104</v>
      </c>
      <c r="AC41" t="s">
        <v>104</v>
      </c>
      <c r="AD41" t="s">
        <v>104</v>
      </c>
      <c r="AF41" t="s">
        <v>423</v>
      </c>
      <c r="AG41" t="s">
        <v>424</v>
      </c>
      <c r="AH41" t="s">
        <v>425</v>
      </c>
      <c r="AI41" t="s">
        <v>426</v>
      </c>
      <c r="AJ41" t="s">
        <v>427</v>
      </c>
      <c r="AK41" t="s">
        <v>428</v>
      </c>
      <c r="AL41" t="s">
        <v>429</v>
      </c>
      <c r="AM41" t="s">
        <v>104</v>
      </c>
      <c r="AN41" t="s">
        <v>104</v>
      </c>
      <c r="AO41" t="s">
        <v>104</v>
      </c>
      <c r="AP41" t="s">
        <v>104</v>
      </c>
      <c r="AQ41" t="s">
        <v>104</v>
      </c>
      <c r="AS41" s="3">
        <f t="shared" si="0"/>
        <v>45859</v>
      </c>
      <c r="AT41" s="2"/>
      <c r="AX41" s="5" t="str">
        <v/>
      </c>
    </row>
    <row r="42" spans="2:50" x14ac:dyDescent="0.25">
      <c r="B42" t="s">
        <v>467</v>
      </c>
      <c r="C42" t="s">
        <v>288</v>
      </c>
      <c r="D42" t="s">
        <v>101</v>
      </c>
      <c r="H42" t="s">
        <v>468</v>
      </c>
      <c r="I42">
        <v>161</v>
      </c>
      <c r="J42">
        <v>0</v>
      </c>
      <c r="Q42" t="s">
        <v>325</v>
      </c>
      <c r="R42" t="s">
        <v>469</v>
      </c>
      <c r="S42">
        <v>0</v>
      </c>
      <c r="T42">
        <v>0</v>
      </c>
      <c r="U42">
        <v>0</v>
      </c>
      <c r="V42">
        <v>1488.41</v>
      </c>
      <c r="W42">
        <v>1687.86</v>
      </c>
      <c r="X42">
        <v>2007.76</v>
      </c>
      <c r="Y42">
        <v>0</v>
      </c>
      <c r="AA42" t="s">
        <v>104</v>
      </c>
      <c r="AB42" t="s">
        <v>104</v>
      </c>
      <c r="AC42" t="s">
        <v>104</v>
      </c>
      <c r="AD42" t="s">
        <v>104</v>
      </c>
      <c r="AF42" t="s">
        <v>423</v>
      </c>
      <c r="AG42" t="s">
        <v>424</v>
      </c>
      <c r="AH42" t="s">
        <v>425</v>
      </c>
      <c r="AI42" t="s">
        <v>426</v>
      </c>
      <c r="AJ42" t="s">
        <v>427</v>
      </c>
      <c r="AK42" t="s">
        <v>428</v>
      </c>
      <c r="AL42" t="s">
        <v>429</v>
      </c>
      <c r="AM42" t="s">
        <v>104</v>
      </c>
      <c r="AN42" t="s">
        <v>104</v>
      </c>
      <c r="AO42" t="s">
        <v>104</v>
      </c>
      <c r="AP42" t="s">
        <v>104</v>
      </c>
      <c r="AQ42" t="s">
        <v>104</v>
      </c>
      <c r="AS42" s="3">
        <f t="shared" si="0"/>
        <v>45866</v>
      </c>
      <c r="AT42" s="2"/>
      <c r="AX42" s="5" t="str">
        <v/>
      </c>
    </row>
    <row r="43" spans="2:50" x14ac:dyDescent="0.25">
      <c r="B43" t="s">
        <v>470</v>
      </c>
      <c r="C43" t="s">
        <v>288</v>
      </c>
      <c r="D43" t="s">
        <v>101</v>
      </c>
      <c r="H43" t="s">
        <v>471</v>
      </c>
      <c r="I43">
        <v>236</v>
      </c>
      <c r="J43">
        <v>0</v>
      </c>
      <c r="Q43" t="s">
        <v>325</v>
      </c>
      <c r="R43" t="s">
        <v>472</v>
      </c>
      <c r="S43">
        <v>0</v>
      </c>
      <c r="T43">
        <v>0</v>
      </c>
      <c r="U43">
        <v>0</v>
      </c>
      <c r="V43">
        <v>0</v>
      </c>
      <c r="W43">
        <v>2336.5700000000002</v>
      </c>
      <c r="X43">
        <v>2681.13</v>
      </c>
      <c r="Y43">
        <v>2858.61</v>
      </c>
      <c r="AA43" t="s">
        <v>104</v>
      </c>
      <c r="AB43" t="s">
        <v>104</v>
      </c>
      <c r="AC43" t="s">
        <v>104</v>
      </c>
      <c r="AD43" t="s">
        <v>104</v>
      </c>
      <c r="AF43" t="s">
        <v>423</v>
      </c>
      <c r="AG43" t="s">
        <v>424</v>
      </c>
      <c r="AH43" t="s">
        <v>425</v>
      </c>
      <c r="AI43" t="s">
        <v>426</v>
      </c>
      <c r="AJ43" t="s">
        <v>427</v>
      </c>
      <c r="AK43" t="s">
        <v>428</v>
      </c>
      <c r="AL43" t="s">
        <v>429</v>
      </c>
      <c r="AM43" t="s">
        <v>104</v>
      </c>
      <c r="AN43" t="s">
        <v>104</v>
      </c>
      <c r="AO43" t="s">
        <v>104</v>
      </c>
      <c r="AP43" t="s">
        <v>104</v>
      </c>
      <c r="AQ43" t="s">
        <v>104</v>
      </c>
      <c r="AS43" s="3">
        <f t="shared" si="0"/>
        <v>45873</v>
      </c>
      <c r="AT43" s="2"/>
      <c r="AX43" s="5" t="str">
        <v/>
      </c>
    </row>
    <row r="44" spans="2:50" x14ac:dyDescent="0.25">
      <c r="B44" t="s">
        <v>473</v>
      </c>
      <c r="C44" t="s">
        <v>288</v>
      </c>
      <c r="D44" t="s">
        <v>101</v>
      </c>
      <c r="H44" t="s">
        <v>474</v>
      </c>
      <c r="I44">
        <v>214</v>
      </c>
      <c r="J44">
        <v>0</v>
      </c>
      <c r="Q44" t="s">
        <v>325</v>
      </c>
      <c r="R44" t="s">
        <v>475</v>
      </c>
      <c r="S44">
        <v>0</v>
      </c>
      <c r="T44">
        <v>0</v>
      </c>
      <c r="U44">
        <v>0</v>
      </c>
      <c r="V44">
        <v>0</v>
      </c>
      <c r="W44">
        <v>1602.7</v>
      </c>
      <c r="X44">
        <v>1795.81</v>
      </c>
      <c r="Y44">
        <v>2216.69</v>
      </c>
      <c r="AA44" t="s">
        <v>104</v>
      </c>
      <c r="AB44" t="s">
        <v>104</v>
      </c>
      <c r="AC44" t="s">
        <v>104</v>
      </c>
      <c r="AD44" t="s">
        <v>104</v>
      </c>
      <c r="AF44" t="s">
        <v>423</v>
      </c>
      <c r="AG44" t="s">
        <v>424</v>
      </c>
      <c r="AH44" t="s">
        <v>425</v>
      </c>
      <c r="AI44" t="s">
        <v>426</v>
      </c>
      <c r="AJ44" t="s">
        <v>427</v>
      </c>
      <c r="AK44" t="s">
        <v>428</v>
      </c>
      <c r="AL44" t="s">
        <v>429</v>
      </c>
      <c r="AM44" t="s">
        <v>104</v>
      </c>
      <c r="AN44" t="s">
        <v>104</v>
      </c>
      <c r="AO44" t="s">
        <v>104</v>
      </c>
      <c r="AP44" t="s">
        <v>104</v>
      </c>
      <c r="AQ44" t="s">
        <v>104</v>
      </c>
      <c r="AS44" s="3">
        <f t="shared" si="0"/>
        <v>45880</v>
      </c>
      <c r="AT44" s="2"/>
      <c r="AX44" s="5" t="str">
        <v/>
      </c>
    </row>
    <row r="45" spans="2:50" x14ac:dyDescent="0.25">
      <c r="B45" t="s">
        <v>476</v>
      </c>
      <c r="C45" t="s">
        <v>288</v>
      </c>
      <c r="D45" t="s">
        <v>101</v>
      </c>
      <c r="H45" t="s">
        <v>477</v>
      </c>
      <c r="I45">
        <v>161</v>
      </c>
      <c r="J45">
        <v>0</v>
      </c>
      <c r="Q45" t="s">
        <v>325</v>
      </c>
      <c r="R45" t="s">
        <v>478</v>
      </c>
      <c r="S45">
        <v>0</v>
      </c>
      <c r="T45">
        <v>0</v>
      </c>
      <c r="U45">
        <v>0</v>
      </c>
      <c r="V45">
        <v>0</v>
      </c>
      <c r="W45">
        <v>1767.67</v>
      </c>
      <c r="X45">
        <v>2070.9</v>
      </c>
      <c r="Y45">
        <v>2425.15</v>
      </c>
      <c r="AA45" t="s">
        <v>104</v>
      </c>
      <c r="AB45" t="s">
        <v>104</v>
      </c>
      <c r="AC45" t="s">
        <v>104</v>
      </c>
      <c r="AD45" t="s">
        <v>104</v>
      </c>
      <c r="AF45" t="s">
        <v>423</v>
      </c>
      <c r="AG45" t="s">
        <v>424</v>
      </c>
      <c r="AH45" t="s">
        <v>425</v>
      </c>
      <c r="AI45" t="s">
        <v>426</v>
      </c>
      <c r="AJ45" t="s">
        <v>427</v>
      </c>
      <c r="AK45" t="s">
        <v>428</v>
      </c>
      <c r="AL45" t="s">
        <v>429</v>
      </c>
      <c r="AM45" t="s">
        <v>104</v>
      </c>
      <c r="AN45" t="s">
        <v>104</v>
      </c>
      <c r="AO45" t="s">
        <v>104</v>
      </c>
      <c r="AP45" t="s">
        <v>104</v>
      </c>
      <c r="AQ45" t="s">
        <v>104</v>
      </c>
      <c r="AS45" s="3">
        <f t="shared" si="0"/>
        <v>45887</v>
      </c>
      <c r="AT45" s="2"/>
      <c r="AX45" s="5" t="str">
        <v/>
      </c>
    </row>
    <row r="46" spans="2:50" x14ac:dyDescent="0.25">
      <c r="B46" t="s">
        <v>479</v>
      </c>
      <c r="C46" t="s">
        <v>288</v>
      </c>
      <c r="D46" t="s">
        <v>101</v>
      </c>
      <c r="H46" t="s">
        <v>480</v>
      </c>
      <c r="I46">
        <v>193</v>
      </c>
      <c r="J46">
        <v>0</v>
      </c>
      <c r="Q46" t="s">
        <v>325</v>
      </c>
      <c r="R46" t="s">
        <v>481</v>
      </c>
      <c r="S46">
        <v>0</v>
      </c>
      <c r="T46">
        <v>0</v>
      </c>
      <c r="U46">
        <v>0</v>
      </c>
      <c r="V46">
        <v>1502.26</v>
      </c>
      <c r="W46">
        <v>1714.94</v>
      </c>
      <c r="X46">
        <v>2237.91</v>
      </c>
      <c r="Y46">
        <v>2623.05</v>
      </c>
      <c r="AA46" t="s">
        <v>104</v>
      </c>
      <c r="AB46" t="s">
        <v>104</v>
      </c>
      <c r="AC46" t="s">
        <v>104</v>
      </c>
      <c r="AD46" t="s">
        <v>104</v>
      </c>
      <c r="AF46" t="s">
        <v>423</v>
      </c>
      <c r="AG46" t="s">
        <v>424</v>
      </c>
      <c r="AH46" t="s">
        <v>425</v>
      </c>
      <c r="AI46" t="s">
        <v>426</v>
      </c>
      <c r="AJ46" t="s">
        <v>427</v>
      </c>
      <c r="AK46" t="s">
        <v>428</v>
      </c>
      <c r="AL46" t="s">
        <v>429</v>
      </c>
      <c r="AM46" t="s">
        <v>104</v>
      </c>
      <c r="AN46" t="s">
        <v>104</v>
      </c>
      <c r="AO46" t="s">
        <v>104</v>
      </c>
      <c r="AP46" t="s">
        <v>104</v>
      </c>
      <c r="AQ46" t="s">
        <v>104</v>
      </c>
      <c r="AS46" s="3">
        <f t="shared" si="0"/>
        <v>45894</v>
      </c>
      <c r="AT46" s="2"/>
      <c r="AX46" s="5" t="str">
        <v/>
      </c>
    </row>
    <row r="47" spans="2:50" x14ac:dyDescent="0.25">
      <c r="B47" t="s">
        <v>482</v>
      </c>
      <c r="C47" t="s">
        <v>483</v>
      </c>
      <c r="D47" t="s">
        <v>322</v>
      </c>
      <c r="H47" t="s">
        <v>484</v>
      </c>
      <c r="I47">
        <v>107</v>
      </c>
      <c r="J47">
        <v>0</v>
      </c>
      <c r="Q47" t="s">
        <v>325</v>
      </c>
      <c r="R47" t="s">
        <v>485</v>
      </c>
      <c r="S47">
        <v>0</v>
      </c>
      <c r="T47">
        <v>0</v>
      </c>
      <c r="U47">
        <v>0</v>
      </c>
      <c r="V47">
        <v>1507.83</v>
      </c>
      <c r="W47">
        <v>1707.33</v>
      </c>
      <c r="X47">
        <v>2247.37</v>
      </c>
      <c r="Y47">
        <v>0</v>
      </c>
      <c r="AA47" t="s">
        <v>104</v>
      </c>
      <c r="AB47" t="s">
        <v>104</v>
      </c>
      <c r="AC47" t="s">
        <v>104</v>
      </c>
      <c r="AD47" t="s">
        <v>104</v>
      </c>
      <c r="AF47" t="s">
        <v>423</v>
      </c>
      <c r="AG47" t="s">
        <v>424</v>
      </c>
      <c r="AH47" t="s">
        <v>425</v>
      </c>
      <c r="AI47" t="s">
        <v>426</v>
      </c>
      <c r="AJ47" t="s">
        <v>427</v>
      </c>
      <c r="AK47" t="s">
        <v>428</v>
      </c>
      <c r="AL47" t="s">
        <v>429</v>
      </c>
      <c r="AM47" t="s">
        <v>104</v>
      </c>
      <c r="AN47" t="s">
        <v>104</v>
      </c>
      <c r="AO47" t="s">
        <v>104</v>
      </c>
      <c r="AP47" t="s">
        <v>104</v>
      </c>
      <c r="AQ47" t="s">
        <v>104</v>
      </c>
      <c r="AS47" s="3">
        <f t="shared" si="0"/>
        <v>45901</v>
      </c>
      <c r="AT47" s="2"/>
      <c r="AX47" s="5" t="str">
        <v/>
      </c>
    </row>
    <row r="48" spans="2:50" x14ac:dyDescent="0.25">
      <c r="B48" t="s">
        <v>486</v>
      </c>
      <c r="C48" t="s">
        <v>288</v>
      </c>
      <c r="D48" t="s">
        <v>101</v>
      </c>
      <c r="H48" t="s">
        <v>487</v>
      </c>
      <c r="I48">
        <v>193</v>
      </c>
      <c r="J48">
        <v>0</v>
      </c>
      <c r="Q48" t="s">
        <v>325</v>
      </c>
      <c r="R48" t="s">
        <v>488</v>
      </c>
      <c r="S48">
        <v>0</v>
      </c>
      <c r="T48">
        <v>939.12</v>
      </c>
      <c r="U48">
        <v>1186.32</v>
      </c>
      <c r="V48">
        <v>1342.44</v>
      </c>
      <c r="W48">
        <v>1501.36</v>
      </c>
      <c r="X48">
        <v>1785.58</v>
      </c>
      <c r="Y48">
        <v>2093.79</v>
      </c>
      <c r="AA48" t="s">
        <v>104</v>
      </c>
      <c r="AB48" t="s">
        <v>104</v>
      </c>
      <c r="AC48" t="s">
        <v>104</v>
      </c>
      <c r="AD48" t="s">
        <v>104</v>
      </c>
      <c r="AF48" t="s">
        <v>423</v>
      </c>
      <c r="AG48" t="s">
        <v>424</v>
      </c>
      <c r="AH48" t="s">
        <v>425</v>
      </c>
      <c r="AI48" t="s">
        <v>426</v>
      </c>
      <c r="AJ48" t="s">
        <v>427</v>
      </c>
      <c r="AK48" t="s">
        <v>428</v>
      </c>
      <c r="AL48" t="s">
        <v>429</v>
      </c>
      <c r="AM48" t="s">
        <v>104</v>
      </c>
      <c r="AN48" t="s">
        <v>104</v>
      </c>
      <c r="AO48" t="s">
        <v>104</v>
      </c>
      <c r="AP48" t="s">
        <v>104</v>
      </c>
      <c r="AQ48" t="s">
        <v>104</v>
      </c>
      <c r="AS48" s="3">
        <f t="shared" si="0"/>
        <v>45908</v>
      </c>
      <c r="AT48" s="2"/>
      <c r="AX48" s="5" t="str">
        <v/>
      </c>
    </row>
    <row r="49" spans="2:50" x14ac:dyDescent="0.25">
      <c r="B49" t="s">
        <v>489</v>
      </c>
      <c r="C49" t="s">
        <v>288</v>
      </c>
      <c r="D49" t="s">
        <v>316</v>
      </c>
      <c r="H49" t="s">
        <v>490</v>
      </c>
      <c r="I49">
        <v>139</v>
      </c>
      <c r="J49">
        <v>0</v>
      </c>
      <c r="Q49" t="s">
        <v>325</v>
      </c>
      <c r="R49" t="s">
        <v>491</v>
      </c>
      <c r="S49">
        <v>0</v>
      </c>
      <c r="T49">
        <v>0</v>
      </c>
      <c r="U49">
        <v>0</v>
      </c>
      <c r="V49">
        <v>0</v>
      </c>
      <c r="W49">
        <v>1691.25</v>
      </c>
      <c r="X49">
        <v>1973.85</v>
      </c>
      <c r="Y49">
        <v>0</v>
      </c>
      <c r="AA49" t="s">
        <v>104</v>
      </c>
      <c r="AB49" t="s">
        <v>104</v>
      </c>
      <c r="AC49" t="s">
        <v>104</v>
      </c>
      <c r="AD49" t="s">
        <v>104</v>
      </c>
      <c r="AF49" t="s">
        <v>423</v>
      </c>
      <c r="AG49" t="s">
        <v>424</v>
      </c>
      <c r="AH49" t="s">
        <v>425</v>
      </c>
      <c r="AI49" t="s">
        <v>426</v>
      </c>
      <c r="AJ49" t="s">
        <v>427</v>
      </c>
      <c r="AK49" t="s">
        <v>428</v>
      </c>
      <c r="AL49" t="s">
        <v>429</v>
      </c>
      <c r="AM49" t="s">
        <v>104</v>
      </c>
      <c r="AN49" t="s">
        <v>104</v>
      </c>
      <c r="AO49" t="s">
        <v>104</v>
      </c>
      <c r="AP49" t="s">
        <v>104</v>
      </c>
      <c r="AQ49" t="s">
        <v>104</v>
      </c>
      <c r="AS49" s="3">
        <f t="shared" si="0"/>
        <v>45915</v>
      </c>
      <c r="AT49" s="2"/>
      <c r="AX49" s="5" t="str">
        <v/>
      </c>
    </row>
    <row r="50" spans="2:50" x14ac:dyDescent="0.25">
      <c r="B50" t="s">
        <v>492</v>
      </c>
      <c r="C50" t="s">
        <v>288</v>
      </c>
      <c r="D50" t="s">
        <v>101</v>
      </c>
      <c r="H50" t="s">
        <v>493</v>
      </c>
      <c r="I50">
        <v>161</v>
      </c>
      <c r="J50">
        <v>0</v>
      </c>
      <c r="Q50" t="s">
        <v>325</v>
      </c>
      <c r="R50" t="s">
        <v>494</v>
      </c>
      <c r="S50">
        <v>0</v>
      </c>
      <c r="T50">
        <v>0</v>
      </c>
      <c r="U50">
        <v>0</v>
      </c>
      <c r="V50">
        <v>1628.21</v>
      </c>
      <c r="W50">
        <v>1850.85</v>
      </c>
      <c r="X50">
        <v>2270.11</v>
      </c>
      <c r="Y50">
        <v>0</v>
      </c>
      <c r="AA50" t="s">
        <v>104</v>
      </c>
      <c r="AB50" t="s">
        <v>104</v>
      </c>
      <c r="AC50" t="s">
        <v>104</v>
      </c>
      <c r="AD50" t="s">
        <v>104</v>
      </c>
      <c r="AF50" t="s">
        <v>423</v>
      </c>
      <c r="AG50" t="s">
        <v>424</v>
      </c>
      <c r="AH50" t="s">
        <v>425</v>
      </c>
      <c r="AI50" t="s">
        <v>426</v>
      </c>
      <c r="AJ50" t="s">
        <v>427</v>
      </c>
      <c r="AK50" t="s">
        <v>428</v>
      </c>
      <c r="AL50" t="s">
        <v>429</v>
      </c>
      <c r="AM50" t="s">
        <v>104</v>
      </c>
      <c r="AN50" t="s">
        <v>104</v>
      </c>
      <c r="AO50" t="s">
        <v>104</v>
      </c>
      <c r="AP50" t="s">
        <v>104</v>
      </c>
      <c r="AQ50" t="s">
        <v>104</v>
      </c>
      <c r="AS50" s="3">
        <f t="shared" si="0"/>
        <v>45922</v>
      </c>
      <c r="AT50" s="2"/>
      <c r="AX50" s="5" t="str">
        <v/>
      </c>
    </row>
    <row r="51" spans="2:50" x14ac:dyDescent="0.25">
      <c r="B51" t="s">
        <v>495</v>
      </c>
      <c r="C51" t="s">
        <v>288</v>
      </c>
      <c r="D51" t="s">
        <v>101</v>
      </c>
      <c r="H51" t="s">
        <v>496</v>
      </c>
      <c r="I51">
        <v>107</v>
      </c>
      <c r="J51">
        <v>0</v>
      </c>
      <c r="Q51" t="s">
        <v>325</v>
      </c>
      <c r="R51" t="s">
        <v>497</v>
      </c>
      <c r="S51">
        <v>0</v>
      </c>
      <c r="T51">
        <v>0</v>
      </c>
      <c r="U51">
        <v>0</v>
      </c>
      <c r="V51">
        <v>1549.92</v>
      </c>
      <c r="W51">
        <v>1943.11</v>
      </c>
      <c r="X51">
        <v>0</v>
      </c>
      <c r="Y51">
        <v>0</v>
      </c>
      <c r="AA51" t="s">
        <v>104</v>
      </c>
      <c r="AB51" t="s">
        <v>104</v>
      </c>
      <c r="AC51" t="s">
        <v>104</v>
      </c>
      <c r="AD51" t="s">
        <v>104</v>
      </c>
      <c r="AF51" t="s">
        <v>423</v>
      </c>
      <c r="AG51" t="s">
        <v>424</v>
      </c>
      <c r="AH51" t="s">
        <v>425</v>
      </c>
      <c r="AI51" t="s">
        <v>426</v>
      </c>
      <c r="AJ51" t="s">
        <v>427</v>
      </c>
      <c r="AK51" t="s">
        <v>428</v>
      </c>
      <c r="AL51" t="s">
        <v>429</v>
      </c>
      <c r="AM51" t="s">
        <v>104</v>
      </c>
      <c r="AN51" t="s">
        <v>104</v>
      </c>
      <c r="AO51" t="s">
        <v>104</v>
      </c>
      <c r="AP51" t="s">
        <v>104</v>
      </c>
      <c r="AQ51" t="s">
        <v>104</v>
      </c>
      <c r="AS51" s="3">
        <f t="shared" si="0"/>
        <v>45929</v>
      </c>
      <c r="AT51" s="2"/>
      <c r="AX51" s="5" t="str">
        <v/>
      </c>
    </row>
    <row r="52" spans="2:50" x14ac:dyDescent="0.25">
      <c r="B52" t="s">
        <v>498</v>
      </c>
      <c r="C52" t="s">
        <v>288</v>
      </c>
      <c r="D52" t="s">
        <v>377</v>
      </c>
      <c r="H52" t="s">
        <v>499</v>
      </c>
      <c r="I52">
        <v>193</v>
      </c>
      <c r="J52">
        <v>0</v>
      </c>
      <c r="Q52" t="s">
        <v>325</v>
      </c>
      <c r="R52" t="s">
        <v>500</v>
      </c>
      <c r="S52">
        <v>0</v>
      </c>
      <c r="T52">
        <v>0</v>
      </c>
      <c r="U52">
        <v>0</v>
      </c>
      <c r="V52">
        <v>0</v>
      </c>
      <c r="W52">
        <v>1292.58</v>
      </c>
      <c r="X52">
        <v>1739.64</v>
      </c>
      <c r="Y52">
        <v>0</v>
      </c>
      <c r="AA52" t="s">
        <v>104</v>
      </c>
      <c r="AB52" t="s">
        <v>104</v>
      </c>
      <c r="AC52" t="s">
        <v>104</v>
      </c>
      <c r="AD52" t="s">
        <v>104</v>
      </c>
      <c r="AF52" t="s">
        <v>423</v>
      </c>
      <c r="AG52" t="s">
        <v>424</v>
      </c>
      <c r="AH52" t="s">
        <v>425</v>
      </c>
      <c r="AI52" t="s">
        <v>426</v>
      </c>
      <c r="AJ52" t="s">
        <v>427</v>
      </c>
      <c r="AK52" t="s">
        <v>428</v>
      </c>
      <c r="AL52" t="s">
        <v>429</v>
      </c>
      <c r="AM52" t="s">
        <v>104</v>
      </c>
      <c r="AN52" t="s">
        <v>104</v>
      </c>
      <c r="AO52" t="s">
        <v>104</v>
      </c>
      <c r="AP52" t="s">
        <v>104</v>
      </c>
      <c r="AQ52" t="s">
        <v>104</v>
      </c>
      <c r="AS52" s="3">
        <f t="shared" si="0"/>
        <v>45936</v>
      </c>
      <c r="AT52" s="2">
        <v>0.2</v>
      </c>
      <c r="AX52" s="5" t="str">
        <v/>
      </c>
    </row>
    <row r="53" spans="2:50" x14ac:dyDescent="0.25">
      <c r="B53" t="s">
        <v>501</v>
      </c>
      <c r="C53" t="s">
        <v>288</v>
      </c>
      <c r="D53" t="s">
        <v>316</v>
      </c>
      <c r="H53" t="s">
        <v>502</v>
      </c>
      <c r="I53">
        <v>145</v>
      </c>
      <c r="J53">
        <v>0</v>
      </c>
      <c r="Q53" t="s">
        <v>325</v>
      </c>
      <c r="R53" t="s">
        <v>503</v>
      </c>
      <c r="S53">
        <v>0</v>
      </c>
      <c r="T53">
        <v>0</v>
      </c>
      <c r="U53">
        <v>0</v>
      </c>
      <c r="V53">
        <v>1523</v>
      </c>
      <c r="W53">
        <v>1737.12</v>
      </c>
      <c r="X53">
        <v>2092.5100000000002</v>
      </c>
      <c r="Y53">
        <v>0</v>
      </c>
      <c r="AA53" t="s">
        <v>104</v>
      </c>
      <c r="AB53" t="s">
        <v>104</v>
      </c>
      <c r="AC53" t="s">
        <v>104</v>
      </c>
      <c r="AD53" t="s">
        <v>104</v>
      </c>
      <c r="AF53" t="s">
        <v>423</v>
      </c>
      <c r="AG53" t="s">
        <v>424</v>
      </c>
      <c r="AH53" t="s">
        <v>425</v>
      </c>
      <c r="AI53" t="s">
        <v>426</v>
      </c>
      <c r="AJ53" t="s">
        <v>427</v>
      </c>
      <c r="AK53" t="s">
        <v>428</v>
      </c>
      <c r="AL53" t="s">
        <v>429</v>
      </c>
      <c r="AM53" t="s">
        <v>104</v>
      </c>
      <c r="AN53" t="s">
        <v>104</v>
      </c>
      <c r="AO53" t="s">
        <v>104</v>
      </c>
      <c r="AP53" t="s">
        <v>104</v>
      </c>
      <c r="AQ53" t="s">
        <v>104</v>
      </c>
      <c r="AS53" s="3">
        <f t="shared" si="0"/>
        <v>45943</v>
      </c>
      <c r="AT53" s="2"/>
      <c r="AX53" s="5" t="str">
        <v/>
      </c>
    </row>
    <row r="54" spans="2:50" x14ac:dyDescent="0.25">
      <c r="B54" t="s">
        <v>504</v>
      </c>
      <c r="C54" t="s">
        <v>505</v>
      </c>
      <c r="D54" t="s">
        <v>306</v>
      </c>
      <c r="H54" t="s">
        <v>506</v>
      </c>
      <c r="I54">
        <v>161</v>
      </c>
      <c r="J54">
        <v>0</v>
      </c>
      <c r="Q54" t="s">
        <v>325</v>
      </c>
      <c r="R54" t="s">
        <v>507</v>
      </c>
      <c r="S54">
        <v>0</v>
      </c>
      <c r="T54">
        <v>1031.57</v>
      </c>
      <c r="U54">
        <v>1177.94</v>
      </c>
      <c r="V54">
        <v>1440.55</v>
      </c>
      <c r="W54">
        <v>1743.87</v>
      </c>
      <c r="X54">
        <v>2037.12</v>
      </c>
      <c r="Y54">
        <v>0</v>
      </c>
      <c r="AA54" t="s">
        <v>104</v>
      </c>
      <c r="AB54" t="s">
        <v>104</v>
      </c>
      <c r="AC54" t="s">
        <v>104</v>
      </c>
      <c r="AD54" t="s">
        <v>104</v>
      </c>
      <c r="AF54" t="s">
        <v>423</v>
      </c>
      <c r="AG54" t="s">
        <v>424</v>
      </c>
      <c r="AH54" t="s">
        <v>425</v>
      </c>
      <c r="AI54" t="s">
        <v>426</v>
      </c>
      <c r="AJ54" t="s">
        <v>427</v>
      </c>
      <c r="AK54" t="s">
        <v>428</v>
      </c>
      <c r="AL54" t="s">
        <v>429</v>
      </c>
      <c r="AM54" t="s">
        <v>104</v>
      </c>
      <c r="AN54" t="s">
        <v>104</v>
      </c>
      <c r="AO54" t="s">
        <v>104</v>
      </c>
      <c r="AP54" t="s">
        <v>104</v>
      </c>
      <c r="AQ54" t="s">
        <v>104</v>
      </c>
      <c r="AS54" s="3">
        <f t="shared" si="0"/>
        <v>45950</v>
      </c>
      <c r="AT54" s="2"/>
      <c r="AX54" s="5" t="str">
        <v/>
      </c>
    </row>
    <row r="55" spans="2:50" x14ac:dyDescent="0.25">
      <c r="B55" t="s">
        <v>508</v>
      </c>
      <c r="C55" t="s">
        <v>288</v>
      </c>
      <c r="D55" t="s">
        <v>101</v>
      </c>
      <c r="H55" t="s">
        <v>509</v>
      </c>
      <c r="I55">
        <v>177</v>
      </c>
      <c r="J55">
        <v>0</v>
      </c>
      <c r="Q55" t="s">
        <v>325</v>
      </c>
      <c r="R55" t="s">
        <v>510</v>
      </c>
      <c r="S55">
        <v>0</v>
      </c>
      <c r="T55">
        <v>0</v>
      </c>
      <c r="U55">
        <v>1156.02</v>
      </c>
      <c r="V55">
        <v>1399.36</v>
      </c>
      <c r="W55">
        <v>1729.83</v>
      </c>
      <c r="X55">
        <v>2192.15</v>
      </c>
      <c r="Y55">
        <v>0</v>
      </c>
      <c r="AA55" t="s">
        <v>104</v>
      </c>
      <c r="AB55" t="s">
        <v>104</v>
      </c>
      <c r="AC55" t="s">
        <v>104</v>
      </c>
      <c r="AD55" t="s">
        <v>104</v>
      </c>
      <c r="AF55" t="s">
        <v>423</v>
      </c>
      <c r="AG55" t="s">
        <v>424</v>
      </c>
      <c r="AH55" t="s">
        <v>425</v>
      </c>
      <c r="AI55" t="s">
        <v>426</v>
      </c>
      <c r="AJ55" t="s">
        <v>427</v>
      </c>
      <c r="AK55" t="s">
        <v>428</v>
      </c>
      <c r="AL55" t="s">
        <v>429</v>
      </c>
      <c r="AM55" t="s">
        <v>104</v>
      </c>
      <c r="AN55" t="s">
        <v>104</v>
      </c>
      <c r="AO55" t="s">
        <v>104</v>
      </c>
      <c r="AP55" t="s">
        <v>104</v>
      </c>
      <c r="AQ55" t="s">
        <v>104</v>
      </c>
      <c r="AS55" s="3">
        <f t="shared" si="0"/>
        <v>45957</v>
      </c>
      <c r="AT55" s="2"/>
      <c r="AX55" s="5" t="str">
        <v/>
      </c>
    </row>
    <row r="56" spans="2:50" x14ac:dyDescent="0.25">
      <c r="B56" t="s">
        <v>511</v>
      </c>
      <c r="C56" t="s">
        <v>288</v>
      </c>
      <c r="D56" t="s">
        <v>101</v>
      </c>
      <c r="H56" t="s">
        <v>512</v>
      </c>
      <c r="I56">
        <v>139</v>
      </c>
      <c r="J56">
        <v>0</v>
      </c>
      <c r="Q56" t="s">
        <v>325</v>
      </c>
      <c r="R56" t="s">
        <v>513</v>
      </c>
      <c r="S56">
        <v>0</v>
      </c>
      <c r="T56">
        <v>0</v>
      </c>
      <c r="U56">
        <v>0</v>
      </c>
      <c r="V56">
        <v>0</v>
      </c>
      <c r="W56">
        <v>1684.18</v>
      </c>
      <c r="X56">
        <v>2061.15</v>
      </c>
      <c r="Y56">
        <v>2529.73</v>
      </c>
      <c r="AA56" t="s">
        <v>104</v>
      </c>
      <c r="AB56" t="s">
        <v>104</v>
      </c>
      <c r="AC56" t="s">
        <v>104</v>
      </c>
      <c r="AD56" t="s">
        <v>104</v>
      </c>
      <c r="AF56" t="s">
        <v>423</v>
      </c>
      <c r="AG56" t="s">
        <v>424</v>
      </c>
      <c r="AH56" t="s">
        <v>425</v>
      </c>
      <c r="AI56" t="s">
        <v>426</v>
      </c>
      <c r="AJ56" t="s">
        <v>427</v>
      </c>
      <c r="AK56" t="s">
        <v>428</v>
      </c>
      <c r="AL56" t="s">
        <v>429</v>
      </c>
      <c r="AM56" t="s">
        <v>104</v>
      </c>
      <c r="AN56" t="s">
        <v>104</v>
      </c>
      <c r="AO56" t="s">
        <v>104</v>
      </c>
      <c r="AP56" t="s">
        <v>104</v>
      </c>
      <c r="AQ56" t="s">
        <v>104</v>
      </c>
      <c r="AS56" s="3">
        <f t="shared" si="0"/>
        <v>45964</v>
      </c>
      <c r="AT56" s="2"/>
      <c r="AX56" s="5" t="str">
        <v/>
      </c>
    </row>
    <row r="57" spans="2:50" x14ac:dyDescent="0.25">
      <c r="B57" t="s">
        <v>514</v>
      </c>
      <c r="C57" t="s">
        <v>288</v>
      </c>
      <c r="D57" t="s">
        <v>101</v>
      </c>
      <c r="H57" t="s">
        <v>515</v>
      </c>
      <c r="I57">
        <v>161</v>
      </c>
      <c r="J57">
        <v>0</v>
      </c>
      <c r="Q57" t="s">
        <v>325</v>
      </c>
      <c r="R57" t="s">
        <v>516</v>
      </c>
      <c r="S57">
        <v>0</v>
      </c>
      <c r="T57">
        <v>0</v>
      </c>
      <c r="U57">
        <v>0</v>
      </c>
      <c r="V57">
        <v>0</v>
      </c>
      <c r="W57">
        <v>0</v>
      </c>
      <c r="X57">
        <v>2246.94</v>
      </c>
      <c r="Y57">
        <v>2748.52</v>
      </c>
      <c r="AA57" t="s">
        <v>104</v>
      </c>
      <c r="AB57" t="s">
        <v>104</v>
      </c>
      <c r="AC57" t="s">
        <v>104</v>
      </c>
      <c r="AD57" t="s">
        <v>104</v>
      </c>
      <c r="AF57" t="s">
        <v>423</v>
      </c>
      <c r="AG57" t="s">
        <v>424</v>
      </c>
      <c r="AH57" t="s">
        <v>425</v>
      </c>
      <c r="AI57" t="s">
        <v>426</v>
      </c>
      <c r="AJ57" t="s">
        <v>427</v>
      </c>
      <c r="AK57" t="s">
        <v>428</v>
      </c>
      <c r="AL57" t="s">
        <v>429</v>
      </c>
      <c r="AM57" t="s">
        <v>104</v>
      </c>
      <c r="AN57" t="s">
        <v>104</v>
      </c>
      <c r="AO57" t="s">
        <v>104</v>
      </c>
      <c r="AP57" t="s">
        <v>104</v>
      </c>
      <c r="AQ57" t="s">
        <v>104</v>
      </c>
      <c r="AS57" s="3">
        <f t="shared" si="0"/>
        <v>45971</v>
      </c>
      <c r="AT57" s="2"/>
      <c r="AX57" s="5" t="str">
        <v/>
      </c>
    </row>
    <row r="58" spans="2:50" x14ac:dyDescent="0.25">
      <c r="B58" t="s">
        <v>517</v>
      </c>
      <c r="C58" t="s">
        <v>288</v>
      </c>
      <c r="D58" t="s">
        <v>101</v>
      </c>
      <c r="H58" t="s">
        <v>518</v>
      </c>
      <c r="I58">
        <v>145</v>
      </c>
      <c r="J58">
        <v>0</v>
      </c>
      <c r="Q58" t="s">
        <v>325</v>
      </c>
      <c r="R58" t="s">
        <v>519</v>
      </c>
      <c r="S58">
        <v>0</v>
      </c>
      <c r="T58">
        <v>0</v>
      </c>
      <c r="U58">
        <v>0</v>
      </c>
      <c r="V58">
        <v>1403.3</v>
      </c>
      <c r="W58">
        <v>1688.67</v>
      </c>
      <c r="X58">
        <v>2132.96</v>
      </c>
      <c r="Y58">
        <v>2703.79</v>
      </c>
      <c r="AA58" t="s">
        <v>104</v>
      </c>
      <c r="AB58" t="s">
        <v>104</v>
      </c>
      <c r="AC58" t="s">
        <v>104</v>
      </c>
      <c r="AD58" t="s">
        <v>104</v>
      </c>
      <c r="AF58" t="s">
        <v>423</v>
      </c>
      <c r="AG58" t="s">
        <v>424</v>
      </c>
      <c r="AH58" t="s">
        <v>425</v>
      </c>
      <c r="AI58" t="s">
        <v>426</v>
      </c>
      <c r="AJ58" t="s">
        <v>427</v>
      </c>
      <c r="AK58" t="s">
        <v>428</v>
      </c>
      <c r="AL58" t="s">
        <v>429</v>
      </c>
      <c r="AM58" t="s">
        <v>104</v>
      </c>
      <c r="AN58" t="s">
        <v>104</v>
      </c>
      <c r="AO58" t="s">
        <v>104</v>
      </c>
      <c r="AP58" t="s">
        <v>104</v>
      </c>
      <c r="AQ58" t="s">
        <v>104</v>
      </c>
      <c r="AS58" s="3">
        <f t="shared" si="0"/>
        <v>45978</v>
      </c>
      <c r="AT58" s="2"/>
      <c r="AX58" s="5" t="str">
        <v/>
      </c>
    </row>
    <row r="59" spans="2:50" x14ac:dyDescent="0.25">
      <c r="B59" t="s">
        <v>520</v>
      </c>
      <c r="C59" t="s">
        <v>288</v>
      </c>
      <c r="D59" t="s">
        <v>101</v>
      </c>
      <c r="H59" t="s">
        <v>521</v>
      </c>
      <c r="I59">
        <v>161</v>
      </c>
      <c r="J59">
        <v>0</v>
      </c>
      <c r="Q59" t="s">
        <v>325</v>
      </c>
      <c r="R59" t="s">
        <v>522</v>
      </c>
      <c r="S59">
        <v>0</v>
      </c>
      <c r="T59">
        <v>719.03</v>
      </c>
      <c r="U59">
        <v>956.39</v>
      </c>
      <c r="V59">
        <v>1185.99</v>
      </c>
      <c r="W59">
        <v>1592.34</v>
      </c>
      <c r="X59">
        <v>1813.22</v>
      </c>
      <c r="Y59">
        <v>0</v>
      </c>
      <c r="AA59" t="s">
        <v>104</v>
      </c>
      <c r="AB59" t="s">
        <v>104</v>
      </c>
      <c r="AC59" t="s">
        <v>104</v>
      </c>
      <c r="AD59" t="s">
        <v>104</v>
      </c>
      <c r="AF59" t="s">
        <v>423</v>
      </c>
      <c r="AG59" t="s">
        <v>424</v>
      </c>
      <c r="AH59" t="s">
        <v>425</v>
      </c>
      <c r="AI59" t="s">
        <v>426</v>
      </c>
      <c r="AJ59" t="s">
        <v>427</v>
      </c>
      <c r="AK59" t="s">
        <v>428</v>
      </c>
      <c r="AL59" t="s">
        <v>429</v>
      </c>
      <c r="AM59" t="s">
        <v>104</v>
      </c>
      <c r="AN59" t="s">
        <v>104</v>
      </c>
      <c r="AO59" t="s">
        <v>104</v>
      </c>
      <c r="AP59" t="s">
        <v>104</v>
      </c>
      <c r="AQ59" t="s">
        <v>104</v>
      </c>
      <c r="AS59" s="3">
        <f t="shared" si="0"/>
        <v>45985</v>
      </c>
      <c r="AT59" s="2"/>
      <c r="AX59" s="5" t="str">
        <v/>
      </c>
    </row>
    <row r="60" spans="2:50" x14ac:dyDescent="0.25">
      <c r="B60" t="s">
        <v>523</v>
      </c>
      <c r="C60" t="s">
        <v>288</v>
      </c>
      <c r="D60" t="s">
        <v>316</v>
      </c>
      <c r="H60" t="s">
        <v>524</v>
      </c>
      <c r="I60">
        <v>214</v>
      </c>
      <c r="J60">
        <v>0</v>
      </c>
      <c r="Q60" t="s">
        <v>325</v>
      </c>
      <c r="R60" t="s">
        <v>525</v>
      </c>
      <c r="S60">
        <v>0</v>
      </c>
      <c r="T60">
        <v>0</v>
      </c>
      <c r="U60">
        <v>1050.76</v>
      </c>
      <c r="V60">
        <v>1288.06</v>
      </c>
      <c r="W60">
        <v>1546.38</v>
      </c>
      <c r="X60">
        <v>1886.14</v>
      </c>
      <c r="Y60">
        <v>0</v>
      </c>
      <c r="AA60" t="s">
        <v>104</v>
      </c>
      <c r="AB60" t="s">
        <v>104</v>
      </c>
      <c r="AC60" t="s">
        <v>104</v>
      </c>
      <c r="AD60" t="s">
        <v>104</v>
      </c>
      <c r="AF60" t="s">
        <v>423</v>
      </c>
      <c r="AG60" t="s">
        <v>424</v>
      </c>
      <c r="AH60" t="s">
        <v>425</v>
      </c>
      <c r="AI60" t="s">
        <v>426</v>
      </c>
      <c r="AJ60" t="s">
        <v>427</v>
      </c>
      <c r="AK60" t="s">
        <v>428</v>
      </c>
      <c r="AL60" t="s">
        <v>429</v>
      </c>
      <c r="AM60" t="s">
        <v>104</v>
      </c>
      <c r="AN60" t="s">
        <v>104</v>
      </c>
      <c r="AO60" t="s">
        <v>104</v>
      </c>
      <c r="AP60" t="s">
        <v>104</v>
      </c>
      <c r="AQ60" t="s">
        <v>104</v>
      </c>
      <c r="AS60" s="3">
        <f t="shared" si="0"/>
        <v>45992</v>
      </c>
      <c r="AT60" s="2"/>
      <c r="AX60" s="5" t="str">
        <v/>
      </c>
    </row>
    <row r="61" spans="2:50" x14ac:dyDescent="0.25">
      <c r="B61" t="s">
        <v>526</v>
      </c>
      <c r="C61" t="s">
        <v>288</v>
      </c>
      <c r="D61" t="s">
        <v>316</v>
      </c>
      <c r="H61" t="s">
        <v>527</v>
      </c>
      <c r="I61">
        <v>193</v>
      </c>
      <c r="J61">
        <v>0</v>
      </c>
      <c r="Q61" t="s">
        <v>325</v>
      </c>
      <c r="R61" t="s">
        <v>528</v>
      </c>
      <c r="S61">
        <v>0</v>
      </c>
      <c r="T61">
        <v>1030.5999999999999</v>
      </c>
      <c r="U61">
        <v>1221.22</v>
      </c>
      <c r="V61">
        <v>1465.46</v>
      </c>
      <c r="W61">
        <v>1721.12</v>
      </c>
      <c r="X61">
        <v>2052.29</v>
      </c>
      <c r="Y61">
        <v>0</v>
      </c>
      <c r="AA61" t="s">
        <v>104</v>
      </c>
      <c r="AB61" t="s">
        <v>104</v>
      </c>
      <c r="AC61" t="s">
        <v>104</v>
      </c>
      <c r="AD61" t="s">
        <v>104</v>
      </c>
      <c r="AF61" t="s">
        <v>423</v>
      </c>
      <c r="AG61" t="s">
        <v>424</v>
      </c>
      <c r="AH61" t="s">
        <v>425</v>
      </c>
      <c r="AI61" t="s">
        <v>426</v>
      </c>
      <c r="AJ61" t="s">
        <v>427</v>
      </c>
      <c r="AK61" t="s">
        <v>428</v>
      </c>
      <c r="AL61" t="s">
        <v>429</v>
      </c>
      <c r="AM61" t="s">
        <v>104</v>
      </c>
      <c r="AN61" t="s">
        <v>104</v>
      </c>
      <c r="AO61" t="s">
        <v>104</v>
      </c>
      <c r="AP61" t="s">
        <v>104</v>
      </c>
      <c r="AQ61" t="s">
        <v>104</v>
      </c>
      <c r="AS61" s="3">
        <f t="shared" si="0"/>
        <v>45999</v>
      </c>
      <c r="AT61" s="2"/>
      <c r="AX61" s="5" t="str">
        <v/>
      </c>
    </row>
    <row r="62" spans="2:50" x14ac:dyDescent="0.25">
      <c r="B62" t="s">
        <v>529</v>
      </c>
      <c r="C62" t="s">
        <v>288</v>
      </c>
      <c r="D62" t="s">
        <v>316</v>
      </c>
      <c r="H62" t="s">
        <v>530</v>
      </c>
      <c r="I62">
        <v>175</v>
      </c>
      <c r="J62">
        <v>0</v>
      </c>
      <c r="Q62" t="s">
        <v>325</v>
      </c>
      <c r="R62" t="s">
        <v>531</v>
      </c>
      <c r="S62">
        <v>0</v>
      </c>
      <c r="T62">
        <v>0</v>
      </c>
      <c r="U62">
        <v>0</v>
      </c>
      <c r="V62">
        <v>1040.92</v>
      </c>
      <c r="W62">
        <v>1373.37</v>
      </c>
      <c r="X62">
        <v>1592.99</v>
      </c>
      <c r="Y62">
        <v>0</v>
      </c>
      <c r="AA62" t="s">
        <v>104</v>
      </c>
      <c r="AB62" t="s">
        <v>104</v>
      </c>
      <c r="AC62" t="s">
        <v>104</v>
      </c>
      <c r="AD62" t="s">
        <v>104</v>
      </c>
      <c r="AF62" t="s">
        <v>423</v>
      </c>
      <c r="AG62" t="s">
        <v>424</v>
      </c>
      <c r="AH62" t="s">
        <v>425</v>
      </c>
      <c r="AI62" t="s">
        <v>426</v>
      </c>
      <c r="AJ62" t="s">
        <v>427</v>
      </c>
      <c r="AK62" t="s">
        <v>428</v>
      </c>
      <c r="AL62" t="s">
        <v>429</v>
      </c>
      <c r="AM62" t="s">
        <v>104</v>
      </c>
      <c r="AN62" t="s">
        <v>104</v>
      </c>
      <c r="AO62" t="s">
        <v>104</v>
      </c>
      <c r="AP62" t="s">
        <v>104</v>
      </c>
      <c r="AQ62" t="s">
        <v>104</v>
      </c>
      <c r="AS62" s="3">
        <f t="shared" si="0"/>
        <v>46006</v>
      </c>
      <c r="AT62" s="2"/>
      <c r="AX62" s="5" t="str">
        <v/>
      </c>
    </row>
    <row r="63" spans="2:50" x14ac:dyDescent="0.25">
      <c r="B63" t="s">
        <v>532</v>
      </c>
      <c r="C63" t="s">
        <v>288</v>
      </c>
      <c r="D63" t="s">
        <v>316</v>
      </c>
      <c r="H63" t="s">
        <v>533</v>
      </c>
      <c r="I63">
        <v>118</v>
      </c>
      <c r="J63">
        <v>0</v>
      </c>
      <c r="Q63" t="s">
        <v>325</v>
      </c>
      <c r="R63" t="s">
        <v>534</v>
      </c>
      <c r="S63">
        <v>0</v>
      </c>
      <c r="T63">
        <v>0</v>
      </c>
      <c r="U63">
        <v>0</v>
      </c>
      <c r="V63">
        <v>0</v>
      </c>
      <c r="W63">
        <v>1701.1</v>
      </c>
      <c r="X63">
        <v>2103.85</v>
      </c>
      <c r="Y63">
        <v>0</v>
      </c>
      <c r="AA63" t="s">
        <v>104</v>
      </c>
      <c r="AB63" t="s">
        <v>104</v>
      </c>
      <c r="AC63" t="s">
        <v>104</v>
      </c>
      <c r="AD63" t="s">
        <v>104</v>
      </c>
      <c r="AF63" t="s">
        <v>423</v>
      </c>
      <c r="AG63" t="s">
        <v>424</v>
      </c>
      <c r="AH63" t="s">
        <v>425</v>
      </c>
      <c r="AI63" t="s">
        <v>426</v>
      </c>
      <c r="AJ63" t="s">
        <v>427</v>
      </c>
      <c r="AK63" t="s">
        <v>428</v>
      </c>
      <c r="AL63" t="s">
        <v>429</v>
      </c>
      <c r="AM63" t="s">
        <v>104</v>
      </c>
      <c r="AN63" t="s">
        <v>104</v>
      </c>
      <c r="AO63" t="s">
        <v>104</v>
      </c>
      <c r="AP63" t="s">
        <v>104</v>
      </c>
      <c r="AQ63" t="s">
        <v>104</v>
      </c>
      <c r="AS63" s="3">
        <f t="shared" si="0"/>
        <v>46013</v>
      </c>
      <c r="AT63" s="2">
        <v>1</v>
      </c>
      <c r="AX63" s="5" t="str">
        <v/>
      </c>
    </row>
    <row r="64" spans="2:50" x14ac:dyDescent="0.25">
      <c r="B64" t="s">
        <v>535</v>
      </c>
      <c r="C64" t="s">
        <v>288</v>
      </c>
      <c r="D64" t="s">
        <v>101</v>
      </c>
      <c r="H64" t="s">
        <v>536</v>
      </c>
      <c r="I64">
        <v>150</v>
      </c>
      <c r="J64">
        <v>0</v>
      </c>
      <c r="Q64" t="s">
        <v>325</v>
      </c>
      <c r="R64" t="s">
        <v>537</v>
      </c>
      <c r="S64">
        <v>0</v>
      </c>
      <c r="T64">
        <v>0</v>
      </c>
      <c r="U64">
        <v>0</v>
      </c>
      <c r="V64">
        <v>0</v>
      </c>
      <c r="W64">
        <v>1468.46</v>
      </c>
      <c r="X64">
        <v>1863.5</v>
      </c>
      <c r="Y64">
        <v>2086</v>
      </c>
      <c r="AA64" t="s">
        <v>104</v>
      </c>
      <c r="AB64" t="s">
        <v>104</v>
      </c>
      <c r="AC64" t="s">
        <v>104</v>
      </c>
      <c r="AD64" t="s">
        <v>104</v>
      </c>
      <c r="AF64" t="s">
        <v>423</v>
      </c>
      <c r="AG64" t="s">
        <v>424</v>
      </c>
      <c r="AH64" t="s">
        <v>425</v>
      </c>
      <c r="AI64" t="s">
        <v>426</v>
      </c>
      <c r="AJ64" t="s">
        <v>427</v>
      </c>
      <c r="AK64" t="s">
        <v>428</v>
      </c>
      <c r="AL64" t="s">
        <v>429</v>
      </c>
      <c r="AM64" t="s">
        <v>104</v>
      </c>
      <c r="AN64" t="s">
        <v>104</v>
      </c>
      <c r="AO64" t="s">
        <v>104</v>
      </c>
      <c r="AP64" t="s">
        <v>104</v>
      </c>
      <c r="AQ64" t="s">
        <v>104</v>
      </c>
      <c r="AS64" s="3">
        <f t="shared" si="0"/>
        <v>46020</v>
      </c>
      <c r="AT64" s="2">
        <v>1</v>
      </c>
      <c r="AX64" s="5" t="str">
        <v/>
      </c>
    </row>
    <row r="65" spans="2:50" x14ac:dyDescent="0.25">
      <c r="B65" t="s">
        <v>538</v>
      </c>
      <c r="C65" t="s">
        <v>288</v>
      </c>
      <c r="D65" t="s">
        <v>101</v>
      </c>
      <c r="H65" t="s">
        <v>539</v>
      </c>
      <c r="I65">
        <v>161</v>
      </c>
      <c r="J65">
        <v>0</v>
      </c>
      <c r="Q65" t="s">
        <v>325</v>
      </c>
      <c r="R65" t="s">
        <v>540</v>
      </c>
      <c r="S65">
        <v>0</v>
      </c>
      <c r="T65">
        <v>0</v>
      </c>
      <c r="U65">
        <v>0</v>
      </c>
      <c r="V65">
        <v>0</v>
      </c>
      <c r="W65">
        <v>1957.24</v>
      </c>
      <c r="X65">
        <v>2212.14</v>
      </c>
      <c r="Y65">
        <v>0</v>
      </c>
      <c r="AA65" t="s">
        <v>104</v>
      </c>
      <c r="AB65" t="s">
        <v>104</v>
      </c>
      <c r="AC65" t="s">
        <v>104</v>
      </c>
      <c r="AD65" t="s">
        <v>104</v>
      </c>
      <c r="AF65" t="s">
        <v>423</v>
      </c>
      <c r="AG65" t="s">
        <v>424</v>
      </c>
      <c r="AH65" t="s">
        <v>425</v>
      </c>
      <c r="AI65" t="s">
        <v>426</v>
      </c>
      <c r="AJ65" t="s">
        <v>427</v>
      </c>
      <c r="AK65" t="s">
        <v>428</v>
      </c>
      <c r="AL65" t="s">
        <v>429</v>
      </c>
      <c r="AM65" t="s">
        <v>104</v>
      </c>
      <c r="AN65" t="s">
        <v>104</v>
      </c>
      <c r="AO65" t="s">
        <v>104</v>
      </c>
      <c r="AP65" t="s">
        <v>104</v>
      </c>
      <c r="AQ65" t="s">
        <v>104</v>
      </c>
      <c r="AS65" s="3">
        <f t="shared" si="0"/>
        <v>46027</v>
      </c>
      <c r="AT65" s="2"/>
      <c r="AX65" s="5" t="str">
        <v/>
      </c>
    </row>
    <row r="66" spans="2:50" x14ac:dyDescent="0.25">
      <c r="B66" t="s">
        <v>541</v>
      </c>
      <c r="C66" t="s">
        <v>505</v>
      </c>
      <c r="D66" t="s">
        <v>306</v>
      </c>
      <c r="H66" t="s">
        <v>542</v>
      </c>
      <c r="I66">
        <v>177</v>
      </c>
      <c r="J66">
        <v>0</v>
      </c>
      <c r="Q66" t="s">
        <v>325</v>
      </c>
      <c r="R66" t="s">
        <v>543</v>
      </c>
      <c r="S66">
        <v>0</v>
      </c>
      <c r="T66">
        <v>876.17</v>
      </c>
      <c r="U66">
        <v>1045.3399999999999</v>
      </c>
      <c r="V66">
        <v>1266.8800000000001</v>
      </c>
      <c r="W66">
        <v>1499.53</v>
      </c>
      <c r="X66">
        <v>1862.67</v>
      </c>
      <c r="Y66">
        <v>0</v>
      </c>
      <c r="AA66" t="s">
        <v>104</v>
      </c>
      <c r="AB66" t="s">
        <v>104</v>
      </c>
      <c r="AC66" t="s">
        <v>104</v>
      </c>
      <c r="AD66" t="s">
        <v>104</v>
      </c>
      <c r="AF66" t="s">
        <v>423</v>
      </c>
      <c r="AG66" t="s">
        <v>424</v>
      </c>
      <c r="AH66" t="s">
        <v>425</v>
      </c>
      <c r="AI66" t="s">
        <v>426</v>
      </c>
      <c r="AJ66" t="s">
        <v>427</v>
      </c>
      <c r="AK66" t="s">
        <v>428</v>
      </c>
      <c r="AL66" t="s">
        <v>429</v>
      </c>
      <c r="AM66" t="s">
        <v>104</v>
      </c>
      <c r="AN66" t="s">
        <v>104</v>
      </c>
      <c r="AO66" t="s">
        <v>104</v>
      </c>
      <c r="AP66" t="s">
        <v>104</v>
      </c>
      <c r="AQ66" t="s">
        <v>104</v>
      </c>
      <c r="AS66" s="3">
        <f t="shared" si="0"/>
        <v>46034</v>
      </c>
      <c r="AT66" s="2"/>
      <c r="AX66" s="5" t="str">
        <v/>
      </c>
    </row>
    <row r="67" spans="2:50" x14ac:dyDescent="0.25">
      <c r="B67" t="s">
        <v>544</v>
      </c>
      <c r="C67" t="s">
        <v>288</v>
      </c>
      <c r="D67" t="s">
        <v>101</v>
      </c>
      <c r="H67" t="s">
        <v>545</v>
      </c>
      <c r="I67">
        <v>150</v>
      </c>
      <c r="J67">
        <v>0</v>
      </c>
      <c r="Q67" t="s">
        <v>325</v>
      </c>
      <c r="R67" t="s">
        <v>546</v>
      </c>
      <c r="S67">
        <v>0</v>
      </c>
      <c r="T67">
        <v>0</v>
      </c>
      <c r="U67">
        <v>0</v>
      </c>
      <c r="V67">
        <v>0</v>
      </c>
      <c r="W67">
        <v>1541.42</v>
      </c>
      <c r="X67">
        <v>1878.71</v>
      </c>
      <c r="Y67">
        <v>2118.4299999999998</v>
      </c>
      <c r="AA67" t="s">
        <v>104</v>
      </c>
      <c r="AB67" t="s">
        <v>104</v>
      </c>
      <c r="AC67" t="s">
        <v>104</v>
      </c>
      <c r="AD67" t="s">
        <v>104</v>
      </c>
      <c r="AF67" t="s">
        <v>423</v>
      </c>
      <c r="AG67" t="s">
        <v>424</v>
      </c>
      <c r="AH67" t="s">
        <v>425</v>
      </c>
      <c r="AI67" t="s">
        <v>426</v>
      </c>
      <c r="AJ67" t="s">
        <v>427</v>
      </c>
      <c r="AK67" t="s">
        <v>428</v>
      </c>
      <c r="AL67" t="s">
        <v>429</v>
      </c>
      <c r="AM67" t="s">
        <v>104</v>
      </c>
      <c r="AN67" t="s">
        <v>104</v>
      </c>
      <c r="AO67" t="s">
        <v>104</v>
      </c>
      <c r="AP67" t="s">
        <v>104</v>
      </c>
      <c r="AQ67" t="s">
        <v>104</v>
      </c>
      <c r="AS67" s="3">
        <f t="shared" si="0"/>
        <v>46041</v>
      </c>
      <c r="AT67" s="2"/>
      <c r="AX67" s="5" t="str">
        <v/>
      </c>
    </row>
    <row r="68" spans="2:50" x14ac:dyDescent="0.25">
      <c r="B68" t="s">
        <v>547</v>
      </c>
      <c r="C68" t="s">
        <v>288</v>
      </c>
      <c r="D68" t="s">
        <v>101</v>
      </c>
      <c r="H68" t="s">
        <v>548</v>
      </c>
      <c r="I68">
        <v>155</v>
      </c>
      <c r="J68">
        <v>0</v>
      </c>
      <c r="Q68" t="s">
        <v>325</v>
      </c>
      <c r="R68" t="s">
        <v>549</v>
      </c>
      <c r="S68">
        <v>0</v>
      </c>
      <c r="T68">
        <v>0</v>
      </c>
      <c r="U68">
        <v>0</v>
      </c>
      <c r="V68">
        <v>0</v>
      </c>
      <c r="W68">
        <v>1737.71</v>
      </c>
      <c r="X68">
        <v>1941.05</v>
      </c>
      <c r="Y68">
        <v>2416.86</v>
      </c>
      <c r="AA68" t="s">
        <v>104</v>
      </c>
      <c r="AB68" t="s">
        <v>104</v>
      </c>
      <c r="AC68" t="s">
        <v>104</v>
      </c>
      <c r="AD68" t="s">
        <v>104</v>
      </c>
      <c r="AF68" t="s">
        <v>423</v>
      </c>
      <c r="AG68" t="s">
        <v>424</v>
      </c>
      <c r="AH68" t="s">
        <v>425</v>
      </c>
      <c r="AI68" t="s">
        <v>426</v>
      </c>
      <c r="AJ68" t="s">
        <v>427</v>
      </c>
      <c r="AK68" t="s">
        <v>428</v>
      </c>
      <c r="AL68" t="s">
        <v>429</v>
      </c>
      <c r="AM68" t="s">
        <v>104</v>
      </c>
      <c r="AN68" t="s">
        <v>104</v>
      </c>
      <c r="AO68" t="s">
        <v>104</v>
      </c>
      <c r="AP68" t="s">
        <v>104</v>
      </c>
      <c r="AQ68" t="s">
        <v>104</v>
      </c>
      <c r="AS68" s="3">
        <f t="shared" ref="AS68:AS131" si="1">AS67+7</f>
        <v>46048</v>
      </c>
      <c r="AT68" s="2">
        <v>0.2</v>
      </c>
      <c r="AX68" s="5" t="str">
        <v/>
      </c>
    </row>
    <row r="69" spans="2:50" x14ac:dyDescent="0.25">
      <c r="B69" t="s">
        <v>550</v>
      </c>
      <c r="C69" t="s">
        <v>288</v>
      </c>
      <c r="D69" t="s">
        <v>222</v>
      </c>
      <c r="H69" t="s">
        <v>551</v>
      </c>
      <c r="I69">
        <v>198</v>
      </c>
      <c r="J69">
        <v>0</v>
      </c>
      <c r="Q69" t="s">
        <v>325</v>
      </c>
      <c r="R69" t="s">
        <v>552</v>
      </c>
      <c r="S69">
        <v>0</v>
      </c>
      <c r="T69">
        <v>1031.57</v>
      </c>
      <c r="U69">
        <v>1177.94</v>
      </c>
      <c r="V69">
        <v>1440.55</v>
      </c>
      <c r="W69">
        <v>1743.87</v>
      </c>
      <c r="X69">
        <v>0</v>
      </c>
      <c r="Y69">
        <v>0</v>
      </c>
      <c r="AA69" t="s">
        <v>104</v>
      </c>
      <c r="AB69" t="s">
        <v>104</v>
      </c>
      <c r="AC69" t="s">
        <v>104</v>
      </c>
      <c r="AD69" t="s">
        <v>104</v>
      </c>
      <c r="AF69" t="s">
        <v>423</v>
      </c>
      <c r="AG69" t="s">
        <v>424</v>
      </c>
      <c r="AH69" t="s">
        <v>425</v>
      </c>
      <c r="AI69" t="s">
        <v>426</v>
      </c>
      <c r="AJ69" t="s">
        <v>427</v>
      </c>
      <c r="AK69" t="s">
        <v>428</v>
      </c>
      <c r="AL69" t="s">
        <v>429</v>
      </c>
      <c r="AM69" t="s">
        <v>104</v>
      </c>
      <c r="AN69" t="s">
        <v>104</v>
      </c>
      <c r="AO69" t="s">
        <v>104</v>
      </c>
      <c r="AP69" t="s">
        <v>104</v>
      </c>
      <c r="AQ69" t="s">
        <v>104</v>
      </c>
      <c r="AS69" s="3">
        <f t="shared" si="1"/>
        <v>46055</v>
      </c>
      <c r="AT69" s="2"/>
      <c r="AX69" s="5" t="str">
        <v/>
      </c>
    </row>
    <row r="70" spans="2:50" x14ac:dyDescent="0.25">
      <c r="B70" t="s">
        <v>553</v>
      </c>
      <c r="C70" t="s">
        <v>288</v>
      </c>
      <c r="D70" t="s">
        <v>101</v>
      </c>
      <c r="H70" t="s">
        <v>554</v>
      </c>
      <c r="I70">
        <v>118</v>
      </c>
      <c r="J70">
        <v>0</v>
      </c>
      <c r="Q70" t="s">
        <v>325</v>
      </c>
      <c r="R70" t="s">
        <v>555</v>
      </c>
      <c r="S70">
        <v>0</v>
      </c>
      <c r="T70">
        <v>0</v>
      </c>
      <c r="U70">
        <v>0</v>
      </c>
      <c r="V70">
        <v>1209.81</v>
      </c>
      <c r="W70">
        <v>1543.43</v>
      </c>
      <c r="X70">
        <v>1878.47</v>
      </c>
      <c r="Y70">
        <v>0</v>
      </c>
      <c r="AA70" t="s">
        <v>104</v>
      </c>
      <c r="AB70" t="s">
        <v>104</v>
      </c>
      <c r="AC70" t="s">
        <v>104</v>
      </c>
      <c r="AD70" t="s">
        <v>104</v>
      </c>
      <c r="AF70" t="s">
        <v>423</v>
      </c>
      <c r="AG70" t="s">
        <v>424</v>
      </c>
      <c r="AH70" t="s">
        <v>425</v>
      </c>
      <c r="AI70" t="s">
        <v>426</v>
      </c>
      <c r="AJ70" t="s">
        <v>427</v>
      </c>
      <c r="AK70" t="s">
        <v>428</v>
      </c>
      <c r="AL70" t="s">
        <v>429</v>
      </c>
      <c r="AM70" t="s">
        <v>104</v>
      </c>
      <c r="AN70" t="s">
        <v>104</v>
      </c>
      <c r="AO70" t="s">
        <v>104</v>
      </c>
      <c r="AP70" t="s">
        <v>104</v>
      </c>
      <c r="AQ70" t="s">
        <v>104</v>
      </c>
      <c r="AS70" s="3">
        <f t="shared" si="1"/>
        <v>46062</v>
      </c>
      <c r="AT70" s="2"/>
      <c r="AX70" s="5" t="str">
        <v/>
      </c>
    </row>
    <row r="71" spans="2:50" x14ac:dyDescent="0.25">
      <c r="B71" t="s">
        <v>556</v>
      </c>
      <c r="C71" t="s">
        <v>288</v>
      </c>
      <c r="D71" t="s">
        <v>101</v>
      </c>
      <c r="H71" t="s">
        <v>557</v>
      </c>
      <c r="I71">
        <v>193</v>
      </c>
      <c r="J71">
        <v>0</v>
      </c>
      <c r="Q71" t="s">
        <v>325</v>
      </c>
      <c r="R71" t="s">
        <v>558</v>
      </c>
      <c r="S71">
        <v>0</v>
      </c>
      <c r="T71">
        <v>0</v>
      </c>
      <c r="U71">
        <v>0</v>
      </c>
      <c r="V71">
        <v>0</v>
      </c>
      <c r="W71">
        <v>1302.0899999999999</v>
      </c>
      <c r="X71">
        <v>1738.64</v>
      </c>
      <c r="Y71">
        <v>0</v>
      </c>
      <c r="AA71" t="s">
        <v>104</v>
      </c>
      <c r="AB71" t="s">
        <v>104</v>
      </c>
      <c r="AC71" t="s">
        <v>104</v>
      </c>
      <c r="AD71" t="s">
        <v>104</v>
      </c>
      <c r="AF71" t="s">
        <v>423</v>
      </c>
      <c r="AG71" t="s">
        <v>424</v>
      </c>
      <c r="AH71" t="s">
        <v>425</v>
      </c>
      <c r="AI71" t="s">
        <v>426</v>
      </c>
      <c r="AJ71" t="s">
        <v>427</v>
      </c>
      <c r="AK71" t="s">
        <v>428</v>
      </c>
      <c r="AL71" t="s">
        <v>429</v>
      </c>
      <c r="AM71" t="s">
        <v>104</v>
      </c>
      <c r="AN71" t="s">
        <v>104</v>
      </c>
      <c r="AO71" t="s">
        <v>104</v>
      </c>
      <c r="AP71" t="s">
        <v>104</v>
      </c>
      <c r="AQ71" t="s">
        <v>104</v>
      </c>
      <c r="AS71" s="3">
        <f t="shared" si="1"/>
        <v>46069</v>
      </c>
      <c r="AT71" s="2"/>
      <c r="AX71" s="5" t="str">
        <v/>
      </c>
    </row>
    <row r="72" spans="2:50" x14ac:dyDescent="0.25">
      <c r="B72" t="s">
        <v>559</v>
      </c>
      <c r="C72" t="s">
        <v>505</v>
      </c>
      <c r="D72" t="s">
        <v>306</v>
      </c>
      <c r="H72" t="s">
        <v>560</v>
      </c>
      <c r="I72">
        <v>145</v>
      </c>
      <c r="J72">
        <v>0</v>
      </c>
      <c r="Q72" t="s">
        <v>325</v>
      </c>
      <c r="R72" t="s">
        <v>561</v>
      </c>
      <c r="S72">
        <v>0</v>
      </c>
      <c r="T72">
        <v>0</v>
      </c>
      <c r="U72">
        <v>1060.02</v>
      </c>
      <c r="V72">
        <v>1289.31</v>
      </c>
      <c r="W72">
        <v>1637.36</v>
      </c>
      <c r="X72">
        <v>0</v>
      </c>
      <c r="Y72">
        <v>0</v>
      </c>
      <c r="AA72" t="s">
        <v>104</v>
      </c>
      <c r="AB72" t="s">
        <v>104</v>
      </c>
      <c r="AC72" t="s">
        <v>104</v>
      </c>
      <c r="AD72" t="s">
        <v>104</v>
      </c>
      <c r="AF72" t="s">
        <v>423</v>
      </c>
      <c r="AG72" t="s">
        <v>424</v>
      </c>
      <c r="AH72" t="s">
        <v>425</v>
      </c>
      <c r="AI72" t="s">
        <v>426</v>
      </c>
      <c r="AJ72" t="s">
        <v>427</v>
      </c>
      <c r="AK72" t="s">
        <v>428</v>
      </c>
      <c r="AL72" t="s">
        <v>429</v>
      </c>
      <c r="AM72" t="s">
        <v>104</v>
      </c>
      <c r="AN72" t="s">
        <v>104</v>
      </c>
      <c r="AO72" t="s">
        <v>104</v>
      </c>
      <c r="AP72" t="s">
        <v>104</v>
      </c>
      <c r="AQ72" t="s">
        <v>104</v>
      </c>
      <c r="AS72" s="3">
        <f t="shared" si="1"/>
        <v>46076</v>
      </c>
      <c r="AT72" s="2"/>
      <c r="AX72" s="5" t="str">
        <v/>
      </c>
    </row>
    <row r="73" spans="2:50" x14ac:dyDescent="0.25">
      <c r="B73" t="s">
        <v>562</v>
      </c>
      <c r="C73" t="s">
        <v>288</v>
      </c>
      <c r="D73" t="s">
        <v>316</v>
      </c>
      <c r="H73" t="s">
        <v>563</v>
      </c>
      <c r="I73">
        <v>161</v>
      </c>
      <c r="J73">
        <v>0</v>
      </c>
      <c r="Q73" t="s">
        <v>325</v>
      </c>
      <c r="R73" t="s">
        <v>564</v>
      </c>
      <c r="S73">
        <v>0</v>
      </c>
      <c r="T73">
        <v>803.29</v>
      </c>
      <c r="U73">
        <v>1001.88</v>
      </c>
      <c r="V73">
        <v>1188.68</v>
      </c>
      <c r="W73">
        <v>1475.46</v>
      </c>
      <c r="X73">
        <v>1605.07</v>
      </c>
      <c r="Y73">
        <v>0</v>
      </c>
      <c r="AA73" t="s">
        <v>104</v>
      </c>
      <c r="AB73" t="s">
        <v>104</v>
      </c>
      <c r="AC73" t="s">
        <v>104</v>
      </c>
      <c r="AD73" t="s">
        <v>104</v>
      </c>
      <c r="AF73" t="s">
        <v>423</v>
      </c>
      <c r="AG73" t="s">
        <v>424</v>
      </c>
      <c r="AH73" t="s">
        <v>425</v>
      </c>
      <c r="AI73" t="s">
        <v>426</v>
      </c>
      <c r="AJ73" t="s">
        <v>427</v>
      </c>
      <c r="AK73" t="s">
        <v>428</v>
      </c>
      <c r="AL73" t="s">
        <v>429</v>
      </c>
      <c r="AM73" t="s">
        <v>104</v>
      </c>
      <c r="AN73" t="s">
        <v>104</v>
      </c>
      <c r="AO73" t="s">
        <v>104</v>
      </c>
      <c r="AP73" t="s">
        <v>104</v>
      </c>
      <c r="AQ73" t="s">
        <v>104</v>
      </c>
      <c r="AS73" s="3">
        <f t="shared" si="1"/>
        <v>46083</v>
      </c>
      <c r="AT73" s="2"/>
      <c r="AX73" s="5" t="str">
        <v/>
      </c>
    </row>
    <row r="74" spans="2:50" x14ac:dyDescent="0.25">
      <c r="B74" t="s">
        <v>565</v>
      </c>
      <c r="C74" t="s">
        <v>288</v>
      </c>
      <c r="D74" t="s">
        <v>101</v>
      </c>
      <c r="H74" t="s">
        <v>566</v>
      </c>
      <c r="I74">
        <v>161</v>
      </c>
      <c r="J74">
        <v>0</v>
      </c>
      <c r="Q74" t="s">
        <v>325</v>
      </c>
      <c r="R74" t="s">
        <v>567</v>
      </c>
      <c r="S74">
        <v>0</v>
      </c>
      <c r="T74">
        <v>907.06</v>
      </c>
      <c r="U74">
        <v>1114.17</v>
      </c>
      <c r="V74">
        <v>1331.83</v>
      </c>
      <c r="W74">
        <v>1566.59</v>
      </c>
      <c r="X74">
        <v>1641.94</v>
      </c>
      <c r="Y74">
        <v>0</v>
      </c>
      <c r="AA74" t="s">
        <v>104</v>
      </c>
      <c r="AB74" t="s">
        <v>104</v>
      </c>
      <c r="AC74" t="s">
        <v>104</v>
      </c>
      <c r="AD74" t="s">
        <v>104</v>
      </c>
      <c r="AF74" t="s">
        <v>423</v>
      </c>
      <c r="AG74" t="s">
        <v>424</v>
      </c>
      <c r="AH74" t="s">
        <v>425</v>
      </c>
      <c r="AI74" t="s">
        <v>426</v>
      </c>
      <c r="AJ74" t="s">
        <v>427</v>
      </c>
      <c r="AK74" t="s">
        <v>428</v>
      </c>
      <c r="AL74" t="s">
        <v>429</v>
      </c>
      <c r="AM74" t="s">
        <v>104</v>
      </c>
      <c r="AN74" t="s">
        <v>104</v>
      </c>
      <c r="AO74" t="s">
        <v>104</v>
      </c>
      <c r="AP74" t="s">
        <v>104</v>
      </c>
      <c r="AQ74" t="s">
        <v>104</v>
      </c>
      <c r="AS74" s="3">
        <f t="shared" si="1"/>
        <v>46090</v>
      </c>
      <c r="AT74" s="2">
        <v>0.2</v>
      </c>
      <c r="AX74" s="5" t="str">
        <v/>
      </c>
    </row>
    <row r="75" spans="2:50" x14ac:dyDescent="0.25">
      <c r="B75" t="s">
        <v>568</v>
      </c>
      <c r="C75" t="s">
        <v>569</v>
      </c>
      <c r="D75" t="s">
        <v>222</v>
      </c>
      <c r="H75" t="s">
        <v>570</v>
      </c>
      <c r="I75">
        <v>180</v>
      </c>
      <c r="J75">
        <v>0</v>
      </c>
      <c r="Q75" t="s">
        <v>325</v>
      </c>
      <c r="R75" t="s">
        <v>571</v>
      </c>
      <c r="S75">
        <v>0</v>
      </c>
      <c r="T75">
        <v>0</v>
      </c>
      <c r="U75">
        <v>1122.31</v>
      </c>
      <c r="V75">
        <v>1391.29</v>
      </c>
      <c r="W75">
        <v>1774.95</v>
      </c>
      <c r="X75">
        <v>2160.23</v>
      </c>
      <c r="Y75">
        <v>0</v>
      </c>
      <c r="AA75" t="s">
        <v>104</v>
      </c>
      <c r="AB75" t="s">
        <v>104</v>
      </c>
      <c r="AC75" t="s">
        <v>104</v>
      </c>
      <c r="AD75" t="s">
        <v>104</v>
      </c>
      <c r="AF75" t="s">
        <v>423</v>
      </c>
      <c r="AG75" t="s">
        <v>424</v>
      </c>
      <c r="AH75" t="s">
        <v>425</v>
      </c>
      <c r="AI75" t="s">
        <v>426</v>
      </c>
      <c r="AJ75" t="s">
        <v>427</v>
      </c>
      <c r="AK75" t="s">
        <v>428</v>
      </c>
      <c r="AL75" t="s">
        <v>429</v>
      </c>
      <c r="AM75" t="s">
        <v>104</v>
      </c>
      <c r="AN75" t="s">
        <v>104</v>
      </c>
      <c r="AO75" t="s">
        <v>104</v>
      </c>
      <c r="AP75" t="s">
        <v>104</v>
      </c>
      <c r="AQ75" t="s">
        <v>104</v>
      </c>
      <c r="AS75" s="3">
        <f t="shared" si="1"/>
        <v>46097</v>
      </c>
      <c r="AT75" s="2"/>
      <c r="AX75" s="5" t="str">
        <v/>
      </c>
    </row>
    <row r="76" spans="2:50" x14ac:dyDescent="0.25">
      <c r="B76" t="s">
        <v>572</v>
      </c>
      <c r="C76" t="s">
        <v>288</v>
      </c>
      <c r="D76" t="s">
        <v>377</v>
      </c>
      <c r="H76" t="s">
        <v>573</v>
      </c>
      <c r="I76">
        <v>225</v>
      </c>
      <c r="J76">
        <v>0</v>
      </c>
      <c r="Q76" t="s">
        <v>325</v>
      </c>
      <c r="R76" t="s">
        <v>574</v>
      </c>
      <c r="S76">
        <v>0</v>
      </c>
      <c r="T76">
        <v>0</v>
      </c>
      <c r="U76">
        <v>1529.36</v>
      </c>
      <c r="V76">
        <v>1794.32</v>
      </c>
      <c r="W76">
        <v>1937.78</v>
      </c>
      <c r="X76">
        <v>2308.09</v>
      </c>
      <c r="Y76">
        <v>0</v>
      </c>
      <c r="AA76" t="s">
        <v>104</v>
      </c>
      <c r="AB76" t="s">
        <v>104</v>
      </c>
      <c r="AC76" t="s">
        <v>104</v>
      </c>
      <c r="AD76" t="s">
        <v>104</v>
      </c>
      <c r="AF76" t="s">
        <v>423</v>
      </c>
      <c r="AG76" t="s">
        <v>424</v>
      </c>
      <c r="AH76" t="s">
        <v>425</v>
      </c>
      <c r="AI76" t="s">
        <v>426</v>
      </c>
      <c r="AJ76" t="s">
        <v>427</v>
      </c>
      <c r="AK76" t="s">
        <v>428</v>
      </c>
      <c r="AL76" t="s">
        <v>429</v>
      </c>
      <c r="AM76" t="s">
        <v>104</v>
      </c>
      <c r="AN76" t="s">
        <v>104</v>
      </c>
      <c r="AO76" t="s">
        <v>104</v>
      </c>
      <c r="AP76" t="s">
        <v>104</v>
      </c>
      <c r="AQ76" t="s">
        <v>104</v>
      </c>
      <c r="AS76" s="3">
        <f t="shared" si="1"/>
        <v>46104</v>
      </c>
      <c r="AT76" s="2"/>
      <c r="AX76" s="5" t="str">
        <v/>
      </c>
    </row>
    <row r="77" spans="2:50" x14ac:dyDescent="0.25">
      <c r="B77" t="s">
        <v>575</v>
      </c>
      <c r="C77" t="s">
        <v>288</v>
      </c>
      <c r="D77" t="s">
        <v>101</v>
      </c>
      <c r="H77" t="s">
        <v>576</v>
      </c>
      <c r="I77">
        <v>75</v>
      </c>
      <c r="J77">
        <v>0</v>
      </c>
      <c r="Q77" t="s">
        <v>325</v>
      </c>
      <c r="R77" t="s">
        <v>577</v>
      </c>
      <c r="S77">
        <v>0</v>
      </c>
      <c r="T77">
        <v>847.68</v>
      </c>
      <c r="U77">
        <v>1018.58</v>
      </c>
      <c r="V77">
        <v>1259.8900000000001</v>
      </c>
      <c r="W77">
        <v>1559.79</v>
      </c>
      <c r="X77">
        <v>1852.12</v>
      </c>
      <c r="Y77">
        <v>0</v>
      </c>
      <c r="AA77" t="s">
        <v>104</v>
      </c>
      <c r="AB77" t="s">
        <v>104</v>
      </c>
      <c r="AC77" t="s">
        <v>104</v>
      </c>
      <c r="AD77" t="s">
        <v>104</v>
      </c>
      <c r="AF77" t="s">
        <v>423</v>
      </c>
      <c r="AG77" t="s">
        <v>424</v>
      </c>
      <c r="AH77" t="s">
        <v>425</v>
      </c>
      <c r="AI77" t="s">
        <v>426</v>
      </c>
      <c r="AJ77" t="s">
        <v>427</v>
      </c>
      <c r="AK77" t="s">
        <v>428</v>
      </c>
      <c r="AL77" t="s">
        <v>429</v>
      </c>
      <c r="AM77" t="s">
        <v>104</v>
      </c>
      <c r="AN77" t="s">
        <v>104</v>
      </c>
      <c r="AO77" t="s">
        <v>104</v>
      </c>
      <c r="AP77" t="s">
        <v>104</v>
      </c>
      <c r="AQ77" t="s">
        <v>104</v>
      </c>
      <c r="AS77" s="3">
        <f t="shared" si="1"/>
        <v>46111</v>
      </c>
      <c r="AT77" s="2">
        <v>0.2</v>
      </c>
      <c r="AX77" s="5" t="str">
        <v/>
      </c>
    </row>
    <row r="78" spans="2:50" x14ac:dyDescent="0.25">
      <c r="B78" t="s">
        <v>578</v>
      </c>
      <c r="C78" t="s">
        <v>288</v>
      </c>
      <c r="D78" t="s">
        <v>101</v>
      </c>
      <c r="H78" t="s">
        <v>579</v>
      </c>
      <c r="I78">
        <v>100</v>
      </c>
      <c r="J78">
        <v>0</v>
      </c>
      <c r="Q78" t="s">
        <v>325</v>
      </c>
      <c r="R78" t="s">
        <v>580</v>
      </c>
      <c r="S78">
        <v>946.53</v>
      </c>
      <c r="T78">
        <v>1094.45</v>
      </c>
      <c r="U78">
        <v>1211.29</v>
      </c>
      <c r="V78">
        <v>1352.63</v>
      </c>
      <c r="W78">
        <v>1485.24</v>
      </c>
      <c r="X78">
        <v>1844.32</v>
      </c>
      <c r="Y78">
        <v>0</v>
      </c>
      <c r="AA78" t="s">
        <v>104</v>
      </c>
      <c r="AB78" t="s">
        <v>104</v>
      </c>
      <c r="AC78" t="s">
        <v>104</v>
      </c>
      <c r="AD78" t="s">
        <v>104</v>
      </c>
      <c r="AF78" t="s">
        <v>423</v>
      </c>
      <c r="AG78" t="s">
        <v>424</v>
      </c>
      <c r="AH78" t="s">
        <v>425</v>
      </c>
      <c r="AI78" t="s">
        <v>426</v>
      </c>
      <c r="AJ78" t="s">
        <v>427</v>
      </c>
      <c r="AK78" t="s">
        <v>428</v>
      </c>
      <c r="AL78" t="s">
        <v>429</v>
      </c>
      <c r="AM78" t="s">
        <v>104</v>
      </c>
      <c r="AN78" t="s">
        <v>104</v>
      </c>
      <c r="AO78" t="s">
        <v>104</v>
      </c>
      <c r="AP78" t="s">
        <v>104</v>
      </c>
      <c r="AQ78" t="s">
        <v>104</v>
      </c>
      <c r="AS78" s="3">
        <f t="shared" si="1"/>
        <v>46118</v>
      </c>
      <c r="AT78" s="2">
        <v>0.2</v>
      </c>
      <c r="AX78" s="5" t="str">
        <v/>
      </c>
    </row>
    <row r="79" spans="2:50" x14ac:dyDescent="0.25">
      <c r="B79" t="s">
        <v>581</v>
      </c>
      <c r="C79" t="s">
        <v>288</v>
      </c>
      <c r="D79" t="s">
        <v>101</v>
      </c>
      <c r="H79" t="s">
        <v>582</v>
      </c>
      <c r="I79">
        <v>118</v>
      </c>
      <c r="J79">
        <v>0</v>
      </c>
      <c r="Q79" t="s">
        <v>325</v>
      </c>
      <c r="R79" t="s">
        <v>583</v>
      </c>
      <c r="S79">
        <v>597.78</v>
      </c>
      <c r="T79">
        <v>683.87</v>
      </c>
      <c r="U79">
        <v>886.39</v>
      </c>
      <c r="V79">
        <v>1090.44</v>
      </c>
      <c r="W79">
        <v>1298.33</v>
      </c>
      <c r="X79">
        <v>1729.75</v>
      </c>
      <c r="Y79">
        <v>0</v>
      </c>
      <c r="AA79" t="s">
        <v>104</v>
      </c>
      <c r="AB79" t="s">
        <v>104</v>
      </c>
      <c r="AC79" t="s">
        <v>104</v>
      </c>
      <c r="AD79" t="s">
        <v>104</v>
      </c>
      <c r="AF79" t="s">
        <v>423</v>
      </c>
      <c r="AG79" t="s">
        <v>424</v>
      </c>
      <c r="AH79" t="s">
        <v>425</v>
      </c>
      <c r="AI79" t="s">
        <v>426</v>
      </c>
      <c r="AJ79" t="s">
        <v>427</v>
      </c>
      <c r="AK79" t="s">
        <v>428</v>
      </c>
      <c r="AL79" t="s">
        <v>429</v>
      </c>
      <c r="AM79" t="s">
        <v>104</v>
      </c>
      <c r="AN79" t="s">
        <v>104</v>
      </c>
      <c r="AO79" t="s">
        <v>104</v>
      </c>
      <c r="AP79" t="s">
        <v>104</v>
      </c>
      <c r="AQ79" t="s">
        <v>104</v>
      </c>
      <c r="AS79" s="3">
        <f t="shared" si="1"/>
        <v>46125</v>
      </c>
      <c r="AT79" s="2"/>
      <c r="AX79" s="5" t="str">
        <v/>
      </c>
    </row>
    <row r="80" spans="2:50" x14ac:dyDescent="0.25">
      <c r="B80" t="s">
        <v>584</v>
      </c>
      <c r="C80" t="s">
        <v>288</v>
      </c>
      <c r="D80" t="s">
        <v>101</v>
      </c>
      <c r="H80" t="s">
        <v>585</v>
      </c>
      <c r="I80">
        <v>110</v>
      </c>
      <c r="J80">
        <v>0</v>
      </c>
      <c r="Q80" t="s">
        <v>325</v>
      </c>
      <c r="R80" t="s">
        <v>586</v>
      </c>
      <c r="S80">
        <v>0</v>
      </c>
      <c r="T80">
        <v>0</v>
      </c>
      <c r="U80">
        <v>1086.27</v>
      </c>
      <c r="V80">
        <v>1290.21</v>
      </c>
      <c r="W80">
        <v>1738.13</v>
      </c>
      <c r="X80">
        <v>1962.41</v>
      </c>
      <c r="Y80">
        <v>0</v>
      </c>
      <c r="AA80" t="s">
        <v>104</v>
      </c>
      <c r="AB80" t="s">
        <v>104</v>
      </c>
      <c r="AC80" t="s">
        <v>104</v>
      </c>
      <c r="AD80" t="s">
        <v>104</v>
      </c>
      <c r="AF80" t="s">
        <v>423</v>
      </c>
      <c r="AG80" t="s">
        <v>424</v>
      </c>
      <c r="AH80" t="s">
        <v>425</v>
      </c>
      <c r="AI80" t="s">
        <v>426</v>
      </c>
      <c r="AJ80" t="s">
        <v>427</v>
      </c>
      <c r="AK80" t="s">
        <v>428</v>
      </c>
      <c r="AL80" t="s">
        <v>429</v>
      </c>
      <c r="AM80" t="s">
        <v>104</v>
      </c>
      <c r="AN80" t="s">
        <v>104</v>
      </c>
      <c r="AO80" t="s">
        <v>104</v>
      </c>
      <c r="AP80" t="s">
        <v>104</v>
      </c>
      <c r="AQ80" t="s">
        <v>104</v>
      </c>
      <c r="AS80" s="3">
        <f t="shared" si="1"/>
        <v>46132</v>
      </c>
      <c r="AT80" s="2">
        <v>0.2</v>
      </c>
      <c r="AX80" s="5" t="str">
        <v/>
      </c>
    </row>
    <row r="81" spans="2:50" x14ac:dyDescent="0.25">
      <c r="B81" t="s">
        <v>587</v>
      </c>
      <c r="C81" t="s">
        <v>288</v>
      </c>
      <c r="D81" t="s">
        <v>101</v>
      </c>
      <c r="H81" t="s">
        <v>588</v>
      </c>
      <c r="I81">
        <v>130</v>
      </c>
      <c r="J81">
        <v>0</v>
      </c>
      <c r="Q81" t="s">
        <v>325</v>
      </c>
      <c r="R81" t="s">
        <v>589</v>
      </c>
      <c r="S81">
        <v>0</v>
      </c>
      <c r="T81">
        <v>0</v>
      </c>
      <c r="U81">
        <v>1027.43</v>
      </c>
      <c r="V81">
        <v>1206.31</v>
      </c>
      <c r="W81">
        <v>1717.83</v>
      </c>
      <c r="X81">
        <v>0</v>
      </c>
      <c r="Y81">
        <v>0</v>
      </c>
      <c r="AA81" t="s">
        <v>104</v>
      </c>
      <c r="AB81" t="s">
        <v>104</v>
      </c>
      <c r="AC81" t="s">
        <v>104</v>
      </c>
      <c r="AD81" t="s">
        <v>104</v>
      </c>
      <c r="AF81" t="s">
        <v>423</v>
      </c>
      <c r="AG81" t="s">
        <v>424</v>
      </c>
      <c r="AH81" t="s">
        <v>425</v>
      </c>
      <c r="AI81" t="s">
        <v>426</v>
      </c>
      <c r="AJ81" t="s">
        <v>427</v>
      </c>
      <c r="AK81" t="s">
        <v>428</v>
      </c>
      <c r="AL81" t="s">
        <v>429</v>
      </c>
      <c r="AM81" t="s">
        <v>104</v>
      </c>
      <c r="AN81" t="s">
        <v>104</v>
      </c>
      <c r="AO81" t="s">
        <v>104</v>
      </c>
      <c r="AP81" t="s">
        <v>104</v>
      </c>
      <c r="AQ81" t="s">
        <v>104</v>
      </c>
      <c r="AS81" s="3">
        <f t="shared" si="1"/>
        <v>46139</v>
      </c>
      <c r="AT81" s="2"/>
      <c r="AX81" s="5" t="str">
        <v/>
      </c>
    </row>
    <row r="82" spans="2:50" x14ac:dyDescent="0.25">
      <c r="B82" t="s">
        <v>590</v>
      </c>
      <c r="C82" t="s">
        <v>288</v>
      </c>
      <c r="D82" t="s">
        <v>101</v>
      </c>
      <c r="H82" t="s">
        <v>591</v>
      </c>
      <c r="I82">
        <v>150</v>
      </c>
      <c r="J82">
        <v>0</v>
      </c>
      <c r="Q82" t="s">
        <v>325</v>
      </c>
      <c r="R82" t="s">
        <v>592</v>
      </c>
      <c r="S82">
        <v>0</v>
      </c>
      <c r="T82">
        <v>0</v>
      </c>
      <c r="U82">
        <v>975.92</v>
      </c>
      <c r="V82">
        <v>1209.81</v>
      </c>
      <c r="W82">
        <v>1543.43</v>
      </c>
      <c r="X82">
        <v>1878.47</v>
      </c>
      <c r="Y82">
        <v>0</v>
      </c>
      <c r="AA82" t="s">
        <v>104</v>
      </c>
      <c r="AB82" t="s">
        <v>104</v>
      </c>
      <c r="AC82" t="s">
        <v>104</v>
      </c>
      <c r="AD82" t="s">
        <v>104</v>
      </c>
      <c r="AF82" t="s">
        <v>423</v>
      </c>
      <c r="AG82" t="s">
        <v>424</v>
      </c>
      <c r="AH82" t="s">
        <v>425</v>
      </c>
      <c r="AI82" t="s">
        <v>426</v>
      </c>
      <c r="AJ82" t="s">
        <v>427</v>
      </c>
      <c r="AK82" t="s">
        <v>428</v>
      </c>
      <c r="AL82" t="s">
        <v>429</v>
      </c>
      <c r="AM82" t="s">
        <v>104</v>
      </c>
      <c r="AN82" t="s">
        <v>104</v>
      </c>
      <c r="AO82" t="s">
        <v>104</v>
      </c>
      <c r="AP82" t="s">
        <v>104</v>
      </c>
      <c r="AQ82" t="s">
        <v>104</v>
      </c>
      <c r="AS82" s="3">
        <f t="shared" si="1"/>
        <v>46146</v>
      </c>
      <c r="AT82" s="2"/>
      <c r="AX82" s="5" t="str">
        <v/>
      </c>
    </row>
    <row r="83" spans="2:50" x14ac:dyDescent="0.25">
      <c r="B83" t="s">
        <v>593</v>
      </c>
      <c r="C83" t="s">
        <v>288</v>
      </c>
      <c r="D83" t="s">
        <v>101</v>
      </c>
      <c r="H83" t="s">
        <v>594</v>
      </c>
      <c r="I83">
        <v>177</v>
      </c>
      <c r="J83">
        <v>0</v>
      </c>
      <c r="Q83" t="s">
        <v>325</v>
      </c>
      <c r="R83" t="s">
        <v>595</v>
      </c>
      <c r="S83">
        <v>0</v>
      </c>
      <c r="T83">
        <v>942.82</v>
      </c>
      <c r="U83">
        <v>1215.69</v>
      </c>
      <c r="V83">
        <v>1559.09</v>
      </c>
      <c r="W83">
        <v>1864.76</v>
      </c>
      <c r="X83">
        <v>2135.0500000000002</v>
      </c>
      <c r="Y83">
        <v>0</v>
      </c>
      <c r="AA83" t="s">
        <v>104</v>
      </c>
      <c r="AB83" t="s">
        <v>104</v>
      </c>
      <c r="AC83" t="s">
        <v>104</v>
      </c>
      <c r="AD83" t="s">
        <v>104</v>
      </c>
      <c r="AF83" t="s">
        <v>423</v>
      </c>
      <c r="AG83" t="s">
        <v>424</v>
      </c>
      <c r="AH83" t="s">
        <v>425</v>
      </c>
      <c r="AI83" t="s">
        <v>426</v>
      </c>
      <c r="AJ83" t="s">
        <v>427</v>
      </c>
      <c r="AK83" t="s">
        <v>428</v>
      </c>
      <c r="AL83" t="s">
        <v>429</v>
      </c>
      <c r="AM83" t="s">
        <v>104</v>
      </c>
      <c r="AN83" t="s">
        <v>104</v>
      </c>
      <c r="AO83" t="s">
        <v>104</v>
      </c>
      <c r="AP83" t="s">
        <v>104</v>
      </c>
      <c r="AQ83" t="s">
        <v>104</v>
      </c>
      <c r="AS83" s="3">
        <f t="shared" si="1"/>
        <v>46153</v>
      </c>
      <c r="AT83" s="2"/>
      <c r="AX83" s="5" t="str">
        <v/>
      </c>
    </row>
    <row r="84" spans="2:50" x14ac:dyDescent="0.25">
      <c r="B84" t="s">
        <v>596</v>
      </c>
      <c r="C84" t="s">
        <v>505</v>
      </c>
      <c r="D84" t="s">
        <v>306</v>
      </c>
      <c r="H84" t="s">
        <v>597</v>
      </c>
      <c r="I84">
        <v>123</v>
      </c>
      <c r="J84">
        <v>0</v>
      </c>
      <c r="Q84" t="s">
        <v>325</v>
      </c>
      <c r="R84" t="s">
        <v>598</v>
      </c>
      <c r="S84">
        <v>0</v>
      </c>
      <c r="T84">
        <v>865.2</v>
      </c>
      <c r="U84">
        <v>1121.5999999999999</v>
      </c>
      <c r="V84">
        <v>1330.71</v>
      </c>
      <c r="W84">
        <v>1645.42</v>
      </c>
      <c r="X84">
        <v>2026.97</v>
      </c>
      <c r="Y84">
        <v>0</v>
      </c>
      <c r="AA84" t="s">
        <v>104</v>
      </c>
      <c r="AB84" t="s">
        <v>104</v>
      </c>
      <c r="AC84" t="s">
        <v>104</v>
      </c>
      <c r="AD84" t="s">
        <v>104</v>
      </c>
      <c r="AF84" t="s">
        <v>423</v>
      </c>
      <c r="AG84" t="s">
        <v>424</v>
      </c>
      <c r="AH84" t="s">
        <v>425</v>
      </c>
      <c r="AI84" t="s">
        <v>426</v>
      </c>
      <c r="AJ84" t="s">
        <v>427</v>
      </c>
      <c r="AK84" t="s">
        <v>428</v>
      </c>
      <c r="AL84" t="s">
        <v>429</v>
      </c>
      <c r="AM84" t="s">
        <v>104</v>
      </c>
      <c r="AN84" t="s">
        <v>104</v>
      </c>
      <c r="AO84" t="s">
        <v>104</v>
      </c>
      <c r="AP84" t="s">
        <v>104</v>
      </c>
      <c r="AQ84" t="s">
        <v>104</v>
      </c>
      <c r="AS84" s="3">
        <f t="shared" si="1"/>
        <v>46160</v>
      </c>
      <c r="AT84" s="2"/>
      <c r="AX84" s="5" t="str">
        <v/>
      </c>
    </row>
    <row r="85" spans="2:50" x14ac:dyDescent="0.25">
      <c r="B85" t="s">
        <v>599</v>
      </c>
      <c r="C85" t="s">
        <v>288</v>
      </c>
      <c r="D85" t="s">
        <v>101</v>
      </c>
      <c r="H85" t="s">
        <v>600</v>
      </c>
      <c r="I85">
        <v>150</v>
      </c>
      <c r="J85">
        <v>0</v>
      </c>
      <c r="Q85" t="s">
        <v>325</v>
      </c>
      <c r="R85" t="s">
        <v>601</v>
      </c>
      <c r="S85">
        <v>0</v>
      </c>
      <c r="T85">
        <v>0</v>
      </c>
      <c r="U85">
        <v>1121.5999999999999</v>
      </c>
      <c r="V85">
        <v>1330.71</v>
      </c>
      <c r="W85">
        <v>1645.42</v>
      </c>
      <c r="X85">
        <v>2026.97</v>
      </c>
      <c r="Y85">
        <v>0</v>
      </c>
      <c r="AA85" t="s">
        <v>104</v>
      </c>
      <c r="AB85" t="s">
        <v>104</v>
      </c>
      <c r="AC85" t="s">
        <v>104</v>
      </c>
      <c r="AD85" t="s">
        <v>104</v>
      </c>
      <c r="AF85" t="s">
        <v>423</v>
      </c>
      <c r="AG85" t="s">
        <v>424</v>
      </c>
      <c r="AH85" t="s">
        <v>425</v>
      </c>
      <c r="AI85" t="s">
        <v>426</v>
      </c>
      <c r="AJ85" t="s">
        <v>427</v>
      </c>
      <c r="AK85" t="s">
        <v>428</v>
      </c>
      <c r="AL85" t="s">
        <v>429</v>
      </c>
      <c r="AM85" t="s">
        <v>104</v>
      </c>
      <c r="AN85" t="s">
        <v>104</v>
      </c>
      <c r="AO85" t="s">
        <v>104</v>
      </c>
      <c r="AP85" t="s">
        <v>104</v>
      </c>
      <c r="AQ85" t="s">
        <v>104</v>
      </c>
      <c r="AS85" s="3">
        <f t="shared" si="1"/>
        <v>46167</v>
      </c>
      <c r="AT85" s="2"/>
      <c r="AX85" s="5" t="str">
        <v/>
      </c>
    </row>
    <row r="86" spans="2:50" x14ac:dyDescent="0.25">
      <c r="B86" t="s">
        <v>602</v>
      </c>
      <c r="C86" t="s">
        <v>288</v>
      </c>
      <c r="D86" t="s">
        <v>101</v>
      </c>
      <c r="H86" t="s">
        <v>603</v>
      </c>
      <c r="I86">
        <v>150</v>
      </c>
      <c r="J86">
        <v>0</v>
      </c>
      <c r="Q86" t="s">
        <v>325</v>
      </c>
      <c r="R86" t="s">
        <v>604</v>
      </c>
      <c r="S86">
        <v>0</v>
      </c>
      <c r="T86">
        <v>0</v>
      </c>
      <c r="U86">
        <v>0</v>
      </c>
      <c r="V86">
        <v>1209.81</v>
      </c>
      <c r="W86">
        <v>1543.43</v>
      </c>
      <c r="X86">
        <v>1878.47</v>
      </c>
      <c r="Y86">
        <v>0</v>
      </c>
      <c r="AA86" t="s">
        <v>104</v>
      </c>
      <c r="AB86" t="s">
        <v>104</v>
      </c>
      <c r="AC86" t="s">
        <v>104</v>
      </c>
      <c r="AD86" t="s">
        <v>104</v>
      </c>
      <c r="AF86" t="s">
        <v>423</v>
      </c>
      <c r="AG86" t="s">
        <v>424</v>
      </c>
      <c r="AH86" t="s">
        <v>425</v>
      </c>
      <c r="AI86" t="s">
        <v>426</v>
      </c>
      <c r="AJ86" t="s">
        <v>427</v>
      </c>
      <c r="AK86" t="s">
        <v>428</v>
      </c>
      <c r="AL86" t="s">
        <v>429</v>
      </c>
      <c r="AM86" t="s">
        <v>104</v>
      </c>
      <c r="AN86" t="s">
        <v>104</v>
      </c>
      <c r="AO86" t="s">
        <v>104</v>
      </c>
      <c r="AP86" t="s">
        <v>104</v>
      </c>
      <c r="AQ86" t="s">
        <v>104</v>
      </c>
      <c r="AS86" s="3">
        <f t="shared" si="1"/>
        <v>46174</v>
      </c>
      <c r="AT86" s="2">
        <v>0.2</v>
      </c>
      <c r="AX86" s="5" t="str">
        <v/>
      </c>
    </row>
    <row r="87" spans="2:50" x14ac:dyDescent="0.25">
      <c r="B87" t="s">
        <v>605</v>
      </c>
      <c r="C87" t="s">
        <v>505</v>
      </c>
      <c r="D87" t="s">
        <v>306</v>
      </c>
      <c r="H87" t="s">
        <v>606</v>
      </c>
      <c r="I87">
        <v>161</v>
      </c>
      <c r="J87">
        <v>0</v>
      </c>
      <c r="Q87" t="s">
        <v>325</v>
      </c>
      <c r="R87" t="s">
        <v>607</v>
      </c>
      <c r="S87">
        <v>694.6</v>
      </c>
      <c r="T87">
        <v>836.31</v>
      </c>
      <c r="U87">
        <v>1011.14</v>
      </c>
      <c r="V87">
        <v>1269.3599999999999</v>
      </c>
      <c r="W87">
        <v>1505.97</v>
      </c>
      <c r="X87">
        <v>0</v>
      </c>
      <c r="Y87">
        <v>0</v>
      </c>
      <c r="AA87" t="s">
        <v>104</v>
      </c>
      <c r="AB87" t="s">
        <v>104</v>
      </c>
      <c r="AC87" t="s">
        <v>104</v>
      </c>
      <c r="AD87" t="s">
        <v>104</v>
      </c>
      <c r="AF87" t="s">
        <v>423</v>
      </c>
      <c r="AG87" t="s">
        <v>424</v>
      </c>
      <c r="AH87" t="s">
        <v>425</v>
      </c>
      <c r="AI87" t="s">
        <v>426</v>
      </c>
      <c r="AJ87" t="s">
        <v>427</v>
      </c>
      <c r="AK87" t="s">
        <v>428</v>
      </c>
      <c r="AL87" t="s">
        <v>429</v>
      </c>
      <c r="AM87" t="s">
        <v>104</v>
      </c>
      <c r="AN87" t="s">
        <v>104</v>
      </c>
      <c r="AO87" t="s">
        <v>104</v>
      </c>
      <c r="AP87" t="s">
        <v>104</v>
      </c>
      <c r="AQ87" t="s">
        <v>104</v>
      </c>
      <c r="AS87" s="3">
        <f t="shared" si="1"/>
        <v>46181</v>
      </c>
      <c r="AT87" s="2">
        <v>0.2</v>
      </c>
      <c r="AX87" s="5" t="str">
        <v/>
      </c>
    </row>
    <row r="88" spans="2:50" x14ac:dyDescent="0.25">
      <c r="B88" t="s">
        <v>608</v>
      </c>
      <c r="C88" t="s">
        <v>288</v>
      </c>
      <c r="D88" t="s">
        <v>101</v>
      </c>
      <c r="H88" t="s">
        <v>609</v>
      </c>
      <c r="I88">
        <v>107</v>
      </c>
      <c r="J88">
        <v>0</v>
      </c>
      <c r="Q88" t="s">
        <v>325</v>
      </c>
      <c r="R88" t="s">
        <v>610</v>
      </c>
      <c r="S88">
        <v>0</v>
      </c>
      <c r="T88">
        <v>0</v>
      </c>
      <c r="U88">
        <v>0</v>
      </c>
      <c r="V88">
        <v>1556.32</v>
      </c>
      <c r="W88">
        <v>1786.32</v>
      </c>
      <c r="X88">
        <v>2118.69</v>
      </c>
      <c r="Y88">
        <v>0</v>
      </c>
      <c r="AA88" t="s">
        <v>104</v>
      </c>
      <c r="AB88" t="s">
        <v>104</v>
      </c>
      <c r="AC88" t="s">
        <v>104</v>
      </c>
      <c r="AD88" t="s">
        <v>104</v>
      </c>
      <c r="AF88" t="s">
        <v>423</v>
      </c>
      <c r="AG88" t="s">
        <v>424</v>
      </c>
      <c r="AH88" t="s">
        <v>425</v>
      </c>
      <c r="AI88" t="s">
        <v>426</v>
      </c>
      <c r="AJ88" t="s">
        <v>427</v>
      </c>
      <c r="AK88" t="s">
        <v>428</v>
      </c>
      <c r="AL88" t="s">
        <v>429</v>
      </c>
      <c r="AM88" t="s">
        <v>104</v>
      </c>
      <c r="AN88" t="s">
        <v>104</v>
      </c>
      <c r="AO88" t="s">
        <v>104</v>
      </c>
      <c r="AP88" t="s">
        <v>104</v>
      </c>
      <c r="AQ88" t="s">
        <v>104</v>
      </c>
      <c r="AS88" s="3">
        <f t="shared" si="1"/>
        <v>46188</v>
      </c>
      <c r="AT88" s="2"/>
      <c r="AX88" s="5" t="str">
        <v/>
      </c>
    </row>
    <row r="89" spans="2:50" x14ac:dyDescent="0.25">
      <c r="B89" t="s">
        <v>611</v>
      </c>
      <c r="C89" t="s">
        <v>288</v>
      </c>
      <c r="D89" t="s">
        <v>101</v>
      </c>
      <c r="H89" t="s">
        <v>612</v>
      </c>
      <c r="I89">
        <v>129</v>
      </c>
      <c r="J89">
        <v>0</v>
      </c>
      <c r="Q89" t="s">
        <v>325</v>
      </c>
      <c r="R89" t="s">
        <v>613</v>
      </c>
      <c r="S89">
        <v>0</v>
      </c>
      <c r="T89">
        <v>1028.03</v>
      </c>
      <c r="U89">
        <v>1196.98</v>
      </c>
      <c r="V89">
        <v>1455.77</v>
      </c>
      <c r="W89">
        <v>1674.78</v>
      </c>
      <c r="X89">
        <v>1972.3</v>
      </c>
      <c r="Y89">
        <v>2371.4699999999998</v>
      </c>
      <c r="AA89" t="s">
        <v>104</v>
      </c>
      <c r="AB89" t="s">
        <v>104</v>
      </c>
      <c r="AC89" t="s">
        <v>104</v>
      </c>
      <c r="AD89" t="s">
        <v>104</v>
      </c>
      <c r="AF89" t="s">
        <v>423</v>
      </c>
      <c r="AG89" t="s">
        <v>424</v>
      </c>
      <c r="AH89" t="s">
        <v>425</v>
      </c>
      <c r="AI89" t="s">
        <v>426</v>
      </c>
      <c r="AJ89" t="s">
        <v>427</v>
      </c>
      <c r="AK89" t="s">
        <v>428</v>
      </c>
      <c r="AL89" t="s">
        <v>429</v>
      </c>
      <c r="AM89" t="s">
        <v>104</v>
      </c>
      <c r="AN89" t="s">
        <v>104</v>
      </c>
      <c r="AO89" t="s">
        <v>104</v>
      </c>
      <c r="AP89" t="s">
        <v>104</v>
      </c>
      <c r="AQ89" t="s">
        <v>104</v>
      </c>
      <c r="AS89" s="3">
        <f t="shared" si="1"/>
        <v>46195</v>
      </c>
      <c r="AT89" s="2"/>
      <c r="AX89" s="5" t="str">
        <v/>
      </c>
    </row>
    <row r="90" spans="2:50" x14ac:dyDescent="0.25">
      <c r="B90" t="s">
        <v>614</v>
      </c>
      <c r="C90" t="s">
        <v>288</v>
      </c>
      <c r="D90" t="s">
        <v>101</v>
      </c>
      <c r="H90" t="s">
        <v>615</v>
      </c>
      <c r="I90">
        <v>157.28</v>
      </c>
      <c r="J90">
        <v>0</v>
      </c>
      <c r="K90">
        <v>45992</v>
      </c>
      <c r="L90">
        <v>46080</v>
      </c>
      <c r="M90" t="s">
        <v>291</v>
      </c>
      <c r="Q90" t="s">
        <v>325</v>
      </c>
      <c r="R90" t="s">
        <v>616</v>
      </c>
      <c r="S90">
        <v>0</v>
      </c>
      <c r="T90">
        <v>0</v>
      </c>
      <c r="U90">
        <v>0</v>
      </c>
      <c r="V90">
        <v>1405.23</v>
      </c>
      <c r="W90">
        <v>1550.27</v>
      </c>
      <c r="X90">
        <v>1856.68</v>
      </c>
      <c r="Y90">
        <v>0</v>
      </c>
      <c r="AA90" t="s">
        <v>104</v>
      </c>
      <c r="AB90" t="s">
        <v>104</v>
      </c>
      <c r="AC90" t="s">
        <v>104</v>
      </c>
      <c r="AD90" t="s">
        <v>104</v>
      </c>
      <c r="AF90" t="s">
        <v>423</v>
      </c>
      <c r="AG90" t="s">
        <v>424</v>
      </c>
      <c r="AH90" t="s">
        <v>425</v>
      </c>
      <c r="AI90" t="s">
        <v>426</v>
      </c>
      <c r="AJ90" t="s">
        <v>427</v>
      </c>
      <c r="AK90" t="s">
        <v>428</v>
      </c>
      <c r="AL90" t="s">
        <v>429</v>
      </c>
      <c r="AM90" t="s">
        <v>104</v>
      </c>
      <c r="AN90" t="s">
        <v>104</v>
      </c>
      <c r="AO90" t="s">
        <v>104</v>
      </c>
      <c r="AP90" t="s">
        <v>104</v>
      </c>
      <c r="AQ90" t="s">
        <v>104</v>
      </c>
      <c r="AS90" s="3">
        <f t="shared" si="1"/>
        <v>46202</v>
      </c>
      <c r="AT90" s="2"/>
      <c r="AX90" s="5" t="str">
        <v/>
      </c>
    </row>
    <row r="91" spans="2:50" x14ac:dyDescent="0.25">
      <c r="B91" t="s">
        <v>617</v>
      </c>
      <c r="C91" t="s">
        <v>288</v>
      </c>
      <c r="D91" t="s">
        <v>101</v>
      </c>
      <c r="H91" t="s">
        <v>618</v>
      </c>
      <c r="I91">
        <v>185.89</v>
      </c>
      <c r="J91">
        <v>0</v>
      </c>
      <c r="M91" t="s">
        <v>291</v>
      </c>
      <c r="Q91" t="s">
        <v>325</v>
      </c>
      <c r="R91" t="s">
        <v>619</v>
      </c>
      <c r="S91">
        <v>0</v>
      </c>
      <c r="T91">
        <v>1049.45</v>
      </c>
      <c r="U91">
        <v>1217.29</v>
      </c>
      <c r="V91">
        <v>1437.45</v>
      </c>
      <c r="W91">
        <v>1602.45</v>
      </c>
      <c r="X91">
        <v>1825.27</v>
      </c>
      <c r="Y91">
        <v>0</v>
      </c>
      <c r="AA91" t="s">
        <v>104</v>
      </c>
      <c r="AB91" t="s">
        <v>104</v>
      </c>
      <c r="AC91" t="s">
        <v>104</v>
      </c>
      <c r="AD91" t="s">
        <v>104</v>
      </c>
      <c r="AF91" t="s">
        <v>423</v>
      </c>
      <c r="AG91" t="s">
        <v>424</v>
      </c>
      <c r="AH91" t="s">
        <v>425</v>
      </c>
      <c r="AI91" t="s">
        <v>426</v>
      </c>
      <c r="AJ91" t="s">
        <v>427</v>
      </c>
      <c r="AK91" t="s">
        <v>428</v>
      </c>
      <c r="AL91" t="s">
        <v>429</v>
      </c>
      <c r="AM91" t="s">
        <v>104</v>
      </c>
      <c r="AN91" t="s">
        <v>104</v>
      </c>
      <c r="AO91" t="s">
        <v>104</v>
      </c>
      <c r="AP91" t="s">
        <v>104</v>
      </c>
      <c r="AQ91" t="s">
        <v>104</v>
      </c>
      <c r="AS91" s="3">
        <f t="shared" si="1"/>
        <v>46209</v>
      </c>
      <c r="AT91" s="2"/>
      <c r="AX91" s="5" t="str">
        <v/>
      </c>
    </row>
    <row r="92" spans="2:50" x14ac:dyDescent="0.25">
      <c r="B92" t="s">
        <v>620</v>
      </c>
      <c r="C92" t="s">
        <v>288</v>
      </c>
      <c r="D92" t="s">
        <v>101</v>
      </c>
      <c r="H92" t="s">
        <v>621</v>
      </c>
      <c r="I92">
        <v>161</v>
      </c>
      <c r="J92">
        <v>0</v>
      </c>
      <c r="M92" t="s">
        <v>291</v>
      </c>
      <c r="Q92" t="s">
        <v>325</v>
      </c>
      <c r="R92" t="s">
        <v>622</v>
      </c>
      <c r="S92">
        <v>0</v>
      </c>
      <c r="T92">
        <v>964.77</v>
      </c>
      <c r="U92">
        <v>1182.96</v>
      </c>
      <c r="V92">
        <v>1611.86</v>
      </c>
      <c r="W92">
        <v>1877.39</v>
      </c>
      <c r="X92">
        <v>2309.75</v>
      </c>
      <c r="Y92">
        <v>0</v>
      </c>
      <c r="AA92" t="s">
        <v>104</v>
      </c>
      <c r="AB92" t="s">
        <v>104</v>
      </c>
      <c r="AC92" t="s">
        <v>104</v>
      </c>
      <c r="AD92" t="s">
        <v>104</v>
      </c>
      <c r="AF92" t="s">
        <v>423</v>
      </c>
      <c r="AG92" t="s">
        <v>424</v>
      </c>
      <c r="AH92" t="s">
        <v>425</v>
      </c>
      <c r="AI92" t="s">
        <v>426</v>
      </c>
      <c r="AJ92" t="s">
        <v>427</v>
      </c>
      <c r="AK92" t="s">
        <v>428</v>
      </c>
      <c r="AL92" t="s">
        <v>429</v>
      </c>
      <c r="AM92" t="s">
        <v>104</v>
      </c>
      <c r="AN92" t="s">
        <v>104</v>
      </c>
      <c r="AO92" t="s">
        <v>104</v>
      </c>
      <c r="AP92" t="s">
        <v>104</v>
      </c>
      <c r="AQ92" t="s">
        <v>104</v>
      </c>
      <c r="AS92" s="3">
        <f t="shared" si="1"/>
        <v>46216</v>
      </c>
      <c r="AT92" s="2"/>
      <c r="AX92" s="5" t="str">
        <v/>
      </c>
    </row>
    <row r="93" spans="2:50" x14ac:dyDescent="0.25">
      <c r="B93" t="s">
        <v>623</v>
      </c>
      <c r="C93" t="s">
        <v>288</v>
      </c>
      <c r="D93" t="s">
        <v>101</v>
      </c>
      <c r="H93" t="s">
        <v>624</v>
      </c>
      <c r="I93">
        <v>162.5</v>
      </c>
      <c r="J93">
        <v>0</v>
      </c>
      <c r="M93" t="s">
        <v>291</v>
      </c>
      <c r="Q93" t="s">
        <v>325</v>
      </c>
      <c r="R93" t="s">
        <v>625</v>
      </c>
      <c r="S93">
        <v>0</v>
      </c>
      <c r="T93">
        <v>1295.95</v>
      </c>
      <c r="U93">
        <v>1481.4</v>
      </c>
      <c r="V93">
        <v>1839.58</v>
      </c>
      <c r="W93">
        <v>2142.71</v>
      </c>
      <c r="X93">
        <v>2534.91</v>
      </c>
      <c r="Y93">
        <v>0</v>
      </c>
      <c r="AA93" t="s">
        <v>104</v>
      </c>
      <c r="AB93" t="s">
        <v>104</v>
      </c>
      <c r="AC93" t="s">
        <v>104</v>
      </c>
      <c r="AD93" t="s">
        <v>104</v>
      </c>
      <c r="AF93" t="s">
        <v>423</v>
      </c>
      <c r="AG93" t="s">
        <v>424</v>
      </c>
      <c r="AH93" t="s">
        <v>425</v>
      </c>
      <c r="AI93" t="s">
        <v>426</v>
      </c>
      <c r="AJ93" t="s">
        <v>427</v>
      </c>
      <c r="AK93" t="s">
        <v>428</v>
      </c>
      <c r="AL93" t="s">
        <v>429</v>
      </c>
      <c r="AM93" t="s">
        <v>104</v>
      </c>
      <c r="AN93" t="s">
        <v>104</v>
      </c>
      <c r="AO93" t="s">
        <v>104</v>
      </c>
      <c r="AP93" t="s">
        <v>104</v>
      </c>
      <c r="AQ93" t="s">
        <v>104</v>
      </c>
      <c r="AS93" s="3">
        <f t="shared" si="1"/>
        <v>46223</v>
      </c>
      <c r="AT93" s="2"/>
      <c r="AX93" s="5" t="str">
        <v/>
      </c>
    </row>
    <row r="94" spans="2:50" x14ac:dyDescent="0.25">
      <c r="B94" t="s">
        <v>626</v>
      </c>
      <c r="C94" t="s">
        <v>288</v>
      </c>
      <c r="D94" t="s">
        <v>101</v>
      </c>
      <c r="H94" t="s">
        <v>627</v>
      </c>
      <c r="I94">
        <v>123</v>
      </c>
      <c r="J94">
        <v>0</v>
      </c>
      <c r="M94" t="s">
        <v>291</v>
      </c>
      <c r="Q94" t="s">
        <v>325</v>
      </c>
      <c r="R94" t="s">
        <v>628</v>
      </c>
      <c r="S94">
        <v>0</v>
      </c>
      <c r="T94">
        <v>0</v>
      </c>
      <c r="U94">
        <v>1089.3900000000001</v>
      </c>
      <c r="V94">
        <v>1530.41</v>
      </c>
      <c r="W94">
        <v>1927.22</v>
      </c>
      <c r="X94">
        <v>2455.8000000000002</v>
      </c>
      <c r="Y94">
        <v>0</v>
      </c>
      <c r="AA94" t="s">
        <v>104</v>
      </c>
      <c r="AB94" t="s">
        <v>104</v>
      </c>
      <c r="AC94" t="s">
        <v>104</v>
      </c>
      <c r="AD94" t="s">
        <v>104</v>
      </c>
      <c r="AF94" t="s">
        <v>423</v>
      </c>
      <c r="AG94" t="s">
        <v>424</v>
      </c>
      <c r="AH94" t="s">
        <v>425</v>
      </c>
      <c r="AI94" t="s">
        <v>426</v>
      </c>
      <c r="AJ94" t="s">
        <v>427</v>
      </c>
      <c r="AK94" t="s">
        <v>428</v>
      </c>
      <c r="AL94" t="s">
        <v>429</v>
      </c>
      <c r="AM94" t="s">
        <v>104</v>
      </c>
      <c r="AN94" t="s">
        <v>104</v>
      </c>
      <c r="AO94" t="s">
        <v>104</v>
      </c>
      <c r="AP94" t="s">
        <v>104</v>
      </c>
      <c r="AQ94" t="s">
        <v>104</v>
      </c>
      <c r="AS94" s="3">
        <f t="shared" si="1"/>
        <v>46230</v>
      </c>
      <c r="AT94" s="2"/>
      <c r="AX94" s="5" t="str">
        <v/>
      </c>
    </row>
    <row r="95" spans="2:50" x14ac:dyDescent="0.25">
      <c r="B95" t="s">
        <v>629</v>
      </c>
      <c r="C95" t="s">
        <v>288</v>
      </c>
      <c r="D95" t="s">
        <v>101</v>
      </c>
      <c r="H95" t="s">
        <v>630</v>
      </c>
      <c r="I95">
        <v>129</v>
      </c>
      <c r="J95" t="s">
        <v>388</v>
      </c>
      <c r="Q95" t="s">
        <v>325</v>
      </c>
      <c r="R95" t="s">
        <v>631</v>
      </c>
      <c r="S95">
        <v>0</v>
      </c>
      <c r="T95">
        <v>0</v>
      </c>
      <c r="U95">
        <v>947.97</v>
      </c>
      <c r="V95">
        <v>1281.1600000000001</v>
      </c>
      <c r="W95">
        <v>1830.8</v>
      </c>
      <c r="X95">
        <v>0</v>
      </c>
      <c r="Y95">
        <v>0</v>
      </c>
      <c r="AA95" t="s">
        <v>104</v>
      </c>
      <c r="AB95" t="s">
        <v>104</v>
      </c>
      <c r="AC95" t="s">
        <v>104</v>
      </c>
      <c r="AD95" t="s">
        <v>104</v>
      </c>
      <c r="AF95" t="s">
        <v>423</v>
      </c>
      <c r="AG95" t="s">
        <v>424</v>
      </c>
      <c r="AH95" t="s">
        <v>425</v>
      </c>
      <c r="AI95" t="s">
        <v>426</v>
      </c>
      <c r="AJ95" t="s">
        <v>427</v>
      </c>
      <c r="AK95" t="s">
        <v>428</v>
      </c>
      <c r="AL95" t="s">
        <v>429</v>
      </c>
      <c r="AM95" t="s">
        <v>104</v>
      </c>
      <c r="AN95" t="s">
        <v>104</v>
      </c>
      <c r="AO95" t="s">
        <v>104</v>
      </c>
      <c r="AP95" t="s">
        <v>104</v>
      </c>
      <c r="AQ95" t="s">
        <v>104</v>
      </c>
      <c r="AS95" s="3">
        <f t="shared" si="1"/>
        <v>46237</v>
      </c>
      <c r="AT95" s="2"/>
      <c r="AX95" s="5" t="str">
        <v/>
      </c>
    </row>
    <row r="96" spans="2:50" x14ac:dyDescent="0.25">
      <c r="B96" t="s">
        <v>632</v>
      </c>
      <c r="C96" t="s">
        <v>505</v>
      </c>
      <c r="D96" t="s">
        <v>306</v>
      </c>
      <c r="H96" t="s">
        <v>633</v>
      </c>
      <c r="I96">
        <v>112.5</v>
      </c>
      <c r="J96" t="s">
        <v>298</v>
      </c>
      <c r="M96" t="s">
        <v>291</v>
      </c>
      <c r="Q96" t="s">
        <v>325</v>
      </c>
      <c r="R96" t="s">
        <v>634</v>
      </c>
      <c r="S96">
        <v>0</v>
      </c>
      <c r="T96">
        <v>0</v>
      </c>
      <c r="U96">
        <v>0</v>
      </c>
      <c r="V96">
        <v>1542.39</v>
      </c>
      <c r="W96">
        <v>1859.87</v>
      </c>
      <c r="X96">
        <v>2259.69</v>
      </c>
      <c r="Y96">
        <v>0</v>
      </c>
      <c r="AA96" t="s">
        <v>104</v>
      </c>
      <c r="AB96" t="s">
        <v>104</v>
      </c>
      <c r="AC96" t="s">
        <v>104</v>
      </c>
      <c r="AD96" t="s">
        <v>104</v>
      </c>
      <c r="AF96" t="s">
        <v>423</v>
      </c>
      <c r="AG96" t="s">
        <v>424</v>
      </c>
      <c r="AH96" t="s">
        <v>425</v>
      </c>
      <c r="AI96" t="s">
        <v>426</v>
      </c>
      <c r="AJ96" t="s">
        <v>427</v>
      </c>
      <c r="AK96" t="s">
        <v>428</v>
      </c>
      <c r="AL96" t="s">
        <v>429</v>
      </c>
      <c r="AM96" t="s">
        <v>104</v>
      </c>
      <c r="AN96" t="s">
        <v>104</v>
      </c>
      <c r="AO96" t="s">
        <v>104</v>
      </c>
      <c r="AP96" t="s">
        <v>104</v>
      </c>
      <c r="AQ96" t="s">
        <v>104</v>
      </c>
      <c r="AS96" s="3">
        <f t="shared" si="1"/>
        <v>46244</v>
      </c>
      <c r="AT96" s="2"/>
      <c r="AX96" s="5" t="str">
        <v/>
      </c>
    </row>
    <row r="97" spans="2:50" x14ac:dyDescent="0.25">
      <c r="B97" t="s">
        <v>635</v>
      </c>
      <c r="C97" t="s">
        <v>288</v>
      </c>
      <c r="D97" t="s">
        <v>101</v>
      </c>
      <c r="H97" t="s">
        <v>636</v>
      </c>
      <c r="I97">
        <v>0</v>
      </c>
      <c r="J97" t="s">
        <v>637</v>
      </c>
      <c r="M97" t="s">
        <v>356</v>
      </c>
      <c r="Q97" t="s">
        <v>325</v>
      </c>
      <c r="R97" t="s">
        <v>638</v>
      </c>
      <c r="S97">
        <v>902.69</v>
      </c>
      <c r="T97">
        <v>1010.57</v>
      </c>
      <c r="U97">
        <v>1145.51</v>
      </c>
      <c r="V97">
        <v>1320.24</v>
      </c>
      <c r="W97">
        <v>1663.92</v>
      </c>
      <c r="X97">
        <v>1965.31</v>
      </c>
      <c r="Y97">
        <v>0</v>
      </c>
      <c r="AA97" t="s">
        <v>104</v>
      </c>
      <c r="AB97" t="s">
        <v>104</v>
      </c>
      <c r="AC97" t="s">
        <v>104</v>
      </c>
      <c r="AD97" t="s">
        <v>104</v>
      </c>
      <c r="AF97" t="s">
        <v>423</v>
      </c>
      <c r="AG97" t="s">
        <v>424</v>
      </c>
      <c r="AH97" t="s">
        <v>425</v>
      </c>
      <c r="AI97" t="s">
        <v>426</v>
      </c>
      <c r="AJ97" t="s">
        <v>427</v>
      </c>
      <c r="AK97" t="s">
        <v>428</v>
      </c>
      <c r="AL97" t="s">
        <v>429</v>
      </c>
      <c r="AM97" t="s">
        <v>104</v>
      </c>
      <c r="AN97" t="s">
        <v>104</v>
      </c>
      <c r="AO97" t="s">
        <v>104</v>
      </c>
      <c r="AP97" t="s">
        <v>104</v>
      </c>
      <c r="AQ97" t="s">
        <v>104</v>
      </c>
      <c r="AS97" s="3">
        <f t="shared" si="1"/>
        <v>46251</v>
      </c>
      <c r="AT97" s="2"/>
      <c r="AX97" s="5" t="str">
        <v/>
      </c>
    </row>
    <row r="98" spans="2:50" x14ac:dyDescent="0.25">
      <c r="B98" t="s">
        <v>639</v>
      </c>
      <c r="C98" t="s">
        <v>288</v>
      </c>
      <c r="D98" t="s">
        <v>101</v>
      </c>
      <c r="H98" t="s">
        <v>640</v>
      </c>
      <c r="I98">
        <v>139</v>
      </c>
      <c r="J98">
        <v>0</v>
      </c>
      <c r="K98">
        <v>45474</v>
      </c>
      <c r="L98">
        <v>45548</v>
      </c>
      <c r="M98" t="s">
        <v>291</v>
      </c>
      <c r="Q98" t="s">
        <v>325</v>
      </c>
      <c r="R98" t="s">
        <v>641</v>
      </c>
      <c r="S98">
        <v>0</v>
      </c>
      <c r="T98">
        <v>0</v>
      </c>
      <c r="U98">
        <v>0</v>
      </c>
      <c r="V98">
        <v>1177.67</v>
      </c>
      <c r="W98">
        <v>1402.19</v>
      </c>
      <c r="X98">
        <v>1868.14</v>
      </c>
      <c r="Y98">
        <v>0</v>
      </c>
      <c r="AA98" t="s">
        <v>104</v>
      </c>
      <c r="AB98" t="s">
        <v>104</v>
      </c>
      <c r="AC98" t="s">
        <v>104</v>
      </c>
      <c r="AD98" t="s">
        <v>104</v>
      </c>
      <c r="AF98" t="s">
        <v>423</v>
      </c>
      <c r="AG98" t="s">
        <v>424</v>
      </c>
      <c r="AH98" t="s">
        <v>425</v>
      </c>
      <c r="AI98" t="s">
        <v>426</v>
      </c>
      <c r="AJ98" t="s">
        <v>427</v>
      </c>
      <c r="AK98" t="s">
        <v>428</v>
      </c>
      <c r="AL98" t="s">
        <v>429</v>
      </c>
      <c r="AM98" t="s">
        <v>104</v>
      </c>
      <c r="AN98" t="s">
        <v>104</v>
      </c>
      <c r="AO98" t="s">
        <v>104</v>
      </c>
      <c r="AP98" t="s">
        <v>104</v>
      </c>
      <c r="AQ98" t="s">
        <v>104</v>
      </c>
      <c r="AS98" s="3">
        <f t="shared" si="1"/>
        <v>46258</v>
      </c>
      <c r="AT98" s="2"/>
      <c r="AX98" s="5" t="str">
        <v/>
      </c>
    </row>
    <row r="99" spans="2:50" x14ac:dyDescent="0.25">
      <c r="B99" t="s">
        <v>642</v>
      </c>
      <c r="C99" t="s">
        <v>288</v>
      </c>
      <c r="D99" t="s">
        <v>101</v>
      </c>
      <c r="H99" t="s">
        <v>643</v>
      </c>
      <c r="I99">
        <v>181.65</v>
      </c>
      <c r="J99">
        <v>0</v>
      </c>
      <c r="K99">
        <v>45796</v>
      </c>
      <c r="L99">
        <v>46073</v>
      </c>
      <c r="M99" t="s">
        <v>291</v>
      </c>
      <c r="Q99" t="s">
        <v>325</v>
      </c>
      <c r="R99" t="s">
        <v>644</v>
      </c>
      <c r="S99">
        <v>0</v>
      </c>
      <c r="T99">
        <v>901.47</v>
      </c>
      <c r="U99">
        <v>1047.4100000000001</v>
      </c>
      <c r="V99">
        <v>1364.29</v>
      </c>
      <c r="W99">
        <v>1553.05</v>
      </c>
      <c r="X99">
        <v>1889.04</v>
      </c>
      <c r="Y99">
        <v>0</v>
      </c>
      <c r="AA99" t="s">
        <v>104</v>
      </c>
      <c r="AB99" t="s">
        <v>104</v>
      </c>
      <c r="AC99" t="s">
        <v>104</v>
      </c>
      <c r="AD99" t="s">
        <v>104</v>
      </c>
      <c r="AF99" t="s">
        <v>423</v>
      </c>
      <c r="AG99" t="s">
        <v>424</v>
      </c>
      <c r="AH99" t="s">
        <v>425</v>
      </c>
      <c r="AI99" t="s">
        <v>426</v>
      </c>
      <c r="AJ99" t="s">
        <v>427</v>
      </c>
      <c r="AK99" t="s">
        <v>428</v>
      </c>
      <c r="AL99" t="s">
        <v>429</v>
      </c>
      <c r="AM99" t="s">
        <v>104</v>
      </c>
      <c r="AN99" t="s">
        <v>104</v>
      </c>
      <c r="AO99" t="s">
        <v>104</v>
      </c>
      <c r="AP99" t="s">
        <v>104</v>
      </c>
      <c r="AQ99" t="s">
        <v>104</v>
      </c>
      <c r="AS99" s="3">
        <f t="shared" si="1"/>
        <v>46265</v>
      </c>
      <c r="AT99" s="2"/>
      <c r="AX99" s="5" t="str">
        <v/>
      </c>
    </row>
    <row r="100" spans="2:50" x14ac:dyDescent="0.25">
      <c r="B100" t="s">
        <v>645</v>
      </c>
      <c r="C100" t="s">
        <v>288</v>
      </c>
      <c r="D100" t="s">
        <v>101</v>
      </c>
      <c r="H100" t="s">
        <v>646</v>
      </c>
      <c r="I100">
        <v>167</v>
      </c>
      <c r="J100">
        <v>0</v>
      </c>
      <c r="K100">
        <v>45677</v>
      </c>
      <c r="L100">
        <v>46203</v>
      </c>
      <c r="M100" t="s">
        <v>291</v>
      </c>
      <c r="Q100" t="s">
        <v>325</v>
      </c>
      <c r="R100" t="s">
        <v>647</v>
      </c>
      <c r="S100">
        <v>0</v>
      </c>
      <c r="T100">
        <v>919.24</v>
      </c>
      <c r="U100">
        <v>1094.25</v>
      </c>
      <c r="V100">
        <v>1345.14</v>
      </c>
      <c r="W100">
        <v>1586.99</v>
      </c>
      <c r="X100">
        <v>0</v>
      </c>
      <c r="Y100">
        <v>0</v>
      </c>
      <c r="AA100" t="s">
        <v>104</v>
      </c>
      <c r="AB100" t="s">
        <v>104</v>
      </c>
      <c r="AC100" t="s">
        <v>104</v>
      </c>
      <c r="AD100" t="s">
        <v>104</v>
      </c>
      <c r="AF100" t="s">
        <v>423</v>
      </c>
      <c r="AG100" t="s">
        <v>424</v>
      </c>
      <c r="AH100" t="s">
        <v>425</v>
      </c>
      <c r="AI100" t="s">
        <v>426</v>
      </c>
      <c r="AJ100" t="s">
        <v>427</v>
      </c>
      <c r="AK100" t="s">
        <v>428</v>
      </c>
      <c r="AL100" t="s">
        <v>429</v>
      </c>
      <c r="AM100" t="s">
        <v>104</v>
      </c>
      <c r="AN100" t="s">
        <v>104</v>
      </c>
      <c r="AO100" t="s">
        <v>104</v>
      </c>
      <c r="AP100" t="s">
        <v>104</v>
      </c>
      <c r="AQ100" t="s">
        <v>104</v>
      </c>
      <c r="AS100" s="3">
        <f t="shared" si="1"/>
        <v>46272</v>
      </c>
      <c r="AT100" s="2"/>
      <c r="AX100" s="5" t="str">
        <v/>
      </c>
    </row>
    <row r="101" spans="2:50" x14ac:dyDescent="0.25">
      <c r="B101" t="s">
        <v>648</v>
      </c>
      <c r="C101" t="s">
        <v>288</v>
      </c>
      <c r="D101" t="s">
        <v>101</v>
      </c>
      <c r="H101" t="s">
        <v>317</v>
      </c>
      <c r="I101">
        <v>198</v>
      </c>
      <c r="J101" t="s">
        <v>649</v>
      </c>
      <c r="K101">
        <v>45922</v>
      </c>
      <c r="M101" t="s">
        <v>291</v>
      </c>
      <c r="Q101" t="s">
        <v>325</v>
      </c>
      <c r="R101" t="s">
        <v>650</v>
      </c>
      <c r="S101">
        <v>980.25</v>
      </c>
      <c r="T101">
        <v>1130.46</v>
      </c>
      <c r="U101">
        <v>1314.48</v>
      </c>
      <c r="V101">
        <v>1553.77</v>
      </c>
      <c r="W101">
        <v>0</v>
      </c>
      <c r="X101">
        <v>0</v>
      </c>
      <c r="Y101">
        <v>0</v>
      </c>
      <c r="AA101" t="s">
        <v>104</v>
      </c>
      <c r="AB101" t="s">
        <v>104</v>
      </c>
      <c r="AC101" t="s">
        <v>104</v>
      </c>
      <c r="AD101" t="s">
        <v>104</v>
      </c>
      <c r="AF101" t="s">
        <v>423</v>
      </c>
      <c r="AG101" t="s">
        <v>424</v>
      </c>
      <c r="AH101" t="s">
        <v>425</v>
      </c>
      <c r="AI101" t="s">
        <v>426</v>
      </c>
      <c r="AJ101" t="s">
        <v>427</v>
      </c>
      <c r="AK101" t="s">
        <v>428</v>
      </c>
      <c r="AL101" t="s">
        <v>429</v>
      </c>
      <c r="AM101" t="s">
        <v>104</v>
      </c>
      <c r="AN101" t="s">
        <v>104</v>
      </c>
      <c r="AO101" t="s">
        <v>104</v>
      </c>
      <c r="AP101" t="s">
        <v>104</v>
      </c>
      <c r="AQ101" t="s">
        <v>104</v>
      </c>
      <c r="AS101" s="3">
        <f t="shared" si="1"/>
        <v>46279</v>
      </c>
      <c r="AT101" s="2"/>
      <c r="AX101" s="5" t="str">
        <v/>
      </c>
    </row>
    <row r="102" spans="2:50" x14ac:dyDescent="0.25">
      <c r="B102" t="s">
        <v>651</v>
      </c>
      <c r="C102" t="s">
        <v>288</v>
      </c>
      <c r="D102" t="s">
        <v>101</v>
      </c>
      <c r="H102" t="s">
        <v>652</v>
      </c>
      <c r="I102">
        <v>200</v>
      </c>
      <c r="J102" t="s">
        <v>341</v>
      </c>
      <c r="M102" t="s">
        <v>291</v>
      </c>
      <c r="Q102" t="s">
        <v>325</v>
      </c>
      <c r="R102" t="s">
        <v>653</v>
      </c>
      <c r="S102">
        <v>0</v>
      </c>
      <c r="T102">
        <v>911.1</v>
      </c>
      <c r="U102">
        <v>1117.49</v>
      </c>
      <c r="V102">
        <v>1388.45</v>
      </c>
      <c r="W102">
        <v>1821.52</v>
      </c>
      <c r="X102">
        <v>0</v>
      </c>
      <c r="Y102">
        <v>0</v>
      </c>
      <c r="AA102" t="s">
        <v>104</v>
      </c>
      <c r="AB102" t="s">
        <v>104</v>
      </c>
      <c r="AC102" t="s">
        <v>104</v>
      </c>
      <c r="AD102" t="s">
        <v>104</v>
      </c>
      <c r="AF102" t="s">
        <v>423</v>
      </c>
      <c r="AG102" t="s">
        <v>424</v>
      </c>
      <c r="AH102" t="s">
        <v>425</v>
      </c>
      <c r="AI102" t="s">
        <v>426</v>
      </c>
      <c r="AJ102" t="s">
        <v>427</v>
      </c>
      <c r="AK102" t="s">
        <v>428</v>
      </c>
      <c r="AL102" t="s">
        <v>429</v>
      </c>
      <c r="AM102" t="s">
        <v>104</v>
      </c>
      <c r="AN102" t="s">
        <v>104</v>
      </c>
      <c r="AO102" t="s">
        <v>104</v>
      </c>
      <c r="AP102" t="s">
        <v>104</v>
      </c>
      <c r="AQ102" t="s">
        <v>104</v>
      </c>
      <c r="AS102" s="3">
        <f t="shared" si="1"/>
        <v>46286</v>
      </c>
      <c r="AT102" s="2"/>
      <c r="AX102" s="5" t="str">
        <v/>
      </c>
    </row>
    <row r="103" spans="2:50" x14ac:dyDescent="0.25">
      <c r="B103" t="s">
        <v>654</v>
      </c>
      <c r="C103" t="s">
        <v>288</v>
      </c>
      <c r="D103" t="s">
        <v>101</v>
      </c>
      <c r="H103" t="s">
        <v>114</v>
      </c>
      <c r="I103">
        <v>164.28187500000001</v>
      </c>
      <c r="J103">
        <v>0</v>
      </c>
      <c r="K103">
        <v>45474</v>
      </c>
      <c r="L103">
        <v>46203</v>
      </c>
      <c r="M103" t="s">
        <v>291</v>
      </c>
      <c r="Q103" t="s">
        <v>325</v>
      </c>
      <c r="R103" t="s">
        <v>655</v>
      </c>
      <c r="S103">
        <v>0</v>
      </c>
      <c r="T103">
        <v>0</v>
      </c>
      <c r="U103">
        <v>1331.89</v>
      </c>
      <c r="V103">
        <v>1559.49</v>
      </c>
      <c r="W103">
        <v>1779.41</v>
      </c>
      <c r="X103">
        <v>2268.77</v>
      </c>
      <c r="Y103">
        <v>0</v>
      </c>
      <c r="AA103" t="s">
        <v>104</v>
      </c>
      <c r="AB103" t="s">
        <v>104</v>
      </c>
      <c r="AC103" t="s">
        <v>104</v>
      </c>
      <c r="AD103" t="s">
        <v>104</v>
      </c>
      <c r="AF103" t="s">
        <v>423</v>
      </c>
      <c r="AG103" t="s">
        <v>424</v>
      </c>
      <c r="AH103" t="s">
        <v>425</v>
      </c>
      <c r="AI103" t="s">
        <v>426</v>
      </c>
      <c r="AJ103" t="s">
        <v>427</v>
      </c>
      <c r="AK103" t="s">
        <v>428</v>
      </c>
      <c r="AL103" t="s">
        <v>429</v>
      </c>
      <c r="AM103" t="s">
        <v>104</v>
      </c>
      <c r="AN103" t="s">
        <v>104</v>
      </c>
      <c r="AO103" t="s">
        <v>104</v>
      </c>
      <c r="AP103" t="s">
        <v>104</v>
      </c>
      <c r="AQ103" t="s">
        <v>104</v>
      </c>
      <c r="AS103" s="3">
        <f t="shared" si="1"/>
        <v>46293</v>
      </c>
      <c r="AT103" s="2"/>
      <c r="AX103" s="5" t="str">
        <v/>
      </c>
    </row>
    <row r="104" spans="2:50" x14ac:dyDescent="0.25">
      <c r="B104" t="s">
        <v>656</v>
      </c>
      <c r="C104" t="s">
        <v>288</v>
      </c>
      <c r="D104" t="s">
        <v>316</v>
      </c>
      <c r="H104" t="s">
        <v>657</v>
      </c>
      <c r="I104">
        <v>144.47</v>
      </c>
      <c r="J104">
        <v>0</v>
      </c>
      <c r="K104">
        <v>45945</v>
      </c>
      <c r="L104">
        <v>46203</v>
      </c>
      <c r="M104" t="s">
        <v>291</v>
      </c>
      <c r="Q104" t="s">
        <v>325</v>
      </c>
      <c r="R104" t="s">
        <v>658</v>
      </c>
      <c r="S104">
        <v>0</v>
      </c>
      <c r="T104">
        <v>696.91</v>
      </c>
      <c r="U104">
        <v>852.15</v>
      </c>
      <c r="V104">
        <v>1058.92</v>
      </c>
      <c r="W104">
        <v>1292.58</v>
      </c>
      <c r="X104">
        <v>0</v>
      </c>
      <c r="Y104">
        <v>0</v>
      </c>
      <c r="AA104" t="s">
        <v>104</v>
      </c>
      <c r="AB104" t="s">
        <v>104</v>
      </c>
      <c r="AC104" t="s">
        <v>104</v>
      </c>
      <c r="AD104" t="s">
        <v>104</v>
      </c>
      <c r="AF104" t="s">
        <v>423</v>
      </c>
      <c r="AG104" t="s">
        <v>424</v>
      </c>
      <c r="AH104" t="s">
        <v>425</v>
      </c>
      <c r="AI104" t="s">
        <v>426</v>
      </c>
      <c r="AJ104" t="s">
        <v>427</v>
      </c>
      <c r="AK104" t="s">
        <v>428</v>
      </c>
      <c r="AL104" t="s">
        <v>429</v>
      </c>
      <c r="AM104" t="s">
        <v>104</v>
      </c>
      <c r="AN104" t="s">
        <v>104</v>
      </c>
      <c r="AO104" t="s">
        <v>104</v>
      </c>
      <c r="AP104" t="s">
        <v>104</v>
      </c>
      <c r="AQ104" t="s">
        <v>104</v>
      </c>
      <c r="AS104" s="3">
        <f t="shared" si="1"/>
        <v>46300</v>
      </c>
      <c r="AT104" s="2">
        <v>0.2</v>
      </c>
      <c r="AX104" s="5" t="str">
        <v/>
      </c>
    </row>
    <row r="105" spans="2:50" x14ac:dyDescent="0.25">
      <c r="B105" t="s">
        <v>659</v>
      </c>
      <c r="C105" t="s">
        <v>288</v>
      </c>
      <c r="D105" t="s">
        <v>101</v>
      </c>
      <c r="H105" t="s">
        <v>660</v>
      </c>
      <c r="I105">
        <v>136.24</v>
      </c>
      <c r="J105">
        <v>0</v>
      </c>
      <c r="K105">
        <v>45922</v>
      </c>
      <c r="L105">
        <v>46112</v>
      </c>
      <c r="M105" t="s">
        <v>291</v>
      </c>
      <c r="Q105" t="s">
        <v>325</v>
      </c>
      <c r="R105" t="s">
        <v>661</v>
      </c>
      <c r="S105">
        <v>0</v>
      </c>
      <c r="T105">
        <v>0</v>
      </c>
      <c r="U105">
        <v>1321.76</v>
      </c>
      <c r="V105">
        <v>1543.97</v>
      </c>
      <c r="W105">
        <v>1675.45</v>
      </c>
      <c r="X105">
        <v>0</v>
      </c>
      <c r="Y105">
        <v>0</v>
      </c>
      <c r="AA105" t="s">
        <v>104</v>
      </c>
      <c r="AB105" t="s">
        <v>104</v>
      </c>
      <c r="AC105" t="s">
        <v>104</v>
      </c>
      <c r="AD105" t="s">
        <v>104</v>
      </c>
      <c r="AF105" t="s">
        <v>423</v>
      </c>
      <c r="AG105" t="s">
        <v>424</v>
      </c>
      <c r="AH105" t="s">
        <v>425</v>
      </c>
      <c r="AI105" t="s">
        <v>426</v>
      </c>
      <c r="AJ105" t="s">
        <v>427</v>
      </c>
      <c r="AK105" t="s">
        <v>428</v>
      </c>
      <c r="AL105" t="s">
        <v>429</v>
      </c>
      <c r="AM105" t="s">
        <v>104</v>
      </c>
      <c r="AN105" t="s">
        <v>104</v>
      </c>
      <c r="AO105" t="s">
        <v>104</v>
      </c>
      <c r="AP105" t="s">
        <v>104</v>
      </c>
      <c r="AQ105" t="s">
        <v>104</v>
      </c>
      <c r="AS105" s="3">
        <f t="shared" si="1"/>
        <v>46307</v>
      </c>
      <c r="AT105" s="2"/>
      <c r="AX105" s="5" t="str">
        <v/>
      </c>
    </row>
    <row r="106" spans="2:50" x14ac:dyDescent="0.25">
      <c r="B106" t="s">
        <v>662</v>
      </c>
      <c r="C106" t="s">
        <v>288</v>
      </c>
      <c r="D106" t="s">
        <v>101</v>
      </c>
      <c r="H106" t="s">
        <v>663</v>
      </c>
      <c r="I106">
        <v>193</v>
      </c>
      <c r="J106">
        <v>0</v>
      </c>
      <c r="M106" t="s">
        <v>291</v>
      </c>
      <c r="Q106" t="s">
        <v>325</v>
      </c>
      <c r="R106" t="s">
        <v>664</v>
      </c>
      <c r="S106">
        <v>0</v>
      </c>
      <c r="T106">
        <v>844.64</v>
      </c>
      <c r="U106">
        <v>1070.3699999999999</v>
      </c>
      <c r="V106">
        <v>1264.53</v>
      </c>
      <c r="W106">
        <v>1544.87</v>
      </c>
      <c r="X106">
        <v>0</v>
      </c>
      <c r="Y106">
        <v>0</v>
      </c>
      <c r="AA106" t="s">
        <v>104</v>
      </c>
      <c r="AB106" t="s">
        <v>104</v>
      </c>
      <c r="AC106" t="s">
        <v>104</v>
      </c>
      <c r="AD106" t="s">
        <v>104</v>
      </c>
      <c r="AF106" t="s">
        <v>423</v>
      </c>
      <c r="AG106" t="s">
        <v>424</v>
      </c>
      <c r="AH106" t="s">
        <v>425</v>
      </c>
      <c r="AI106" t="s">
        <v>426</v>
      </c>
      <c r="AJ106" t="s">
        <v>427</v>
      </c>
      <c r="AK106" t="s">
        <v>428</v>
      </c>
      <c r="AL106" t="s">
        <v>429</v>
      </c>
      <c r="AM106" t="s">
        <v>104</v>
      </c>
      <c r="AN106" t="s">
        <v>104</v>
      </c>
      <c r="AO106" t="s">
        <v>104</v>
      </c>
      <c r="AP106" t="s">
        <v>104</v>
      </c>
      <c r="AQ106" t="s">
        <v>104</v>
      </c>
      <c r="AS106" s="3">
        <f t="shared" si="1"/>
        <v>46314</v>
      </c>
      <c r="AT106" s="2"/>
      <c r="AX106" s="5" t="str">
        <v/>
      </c>
    </row>
    <row r="107" spans="2:50" x14ac:dyDescent="0.25">
      <c r="B107" t="s">
        <v>665</v>
      </c>
      <c r="C107" t="s">
        <v>288</v>
      </c>
      <c r="D107" t="s">
        <v>316</v>
      </c>
      <c r="H107" t="s">
        <v>666</v>
      </c>
      <c r="I107">
        <v>193.98</v>
      </c>
      <c r="J107">
        <v>0</v>
      </c>
      <c r="K107">
        <v>45978</v>
      </c>
      <c r="L107">
        <v>46080</v>
      </c>
      <c r="M107" t="s">
        <v>291</v>
      </c>
      <c r="Q107" t="s">
        <v>325</v>
      </c>
      <c r="R107" t="s">
        <v>667</v>
      </c>
      <c r="S107">
        <v>0</v>
      </c>
      <c r="T107">
        <v>0</v>
      </c>
      <c r="U107">
        <v>1291.8499999999999</v>
      </c>
      <c r="V107">
        <v>1509.45</v>
      </c>
      <c r="W107">
        <v>1707.33</v>
      </c>
      <c r="X107">
        <v>2247.37</v>
      </c>
      <c r="Y107">
        <v>0</v>
      </c>
      <c r="AA107" t="s">
        <v>104</v>
      </c>
      <c r="AB107" t="s">
        <v>104</v>
      </c>
      <c r="AC107" t="s">
        <v>104</v>
      </c>
      <c r="AD107" t="s">
        <v>104</v>
      </c>
      <c r="AF107" t="s">
        <v>423</v>
      </c>
      <c r="AG107" t="s">
        <v>424</v>
      </c>
      <c r="AH107" t="s">
        <v>425</v>
      </c>
      <c r="AI107" t="s">
        <v>426</v>
      </c>
      <c r="AJ107" t="s">
        <v>427</v>
      </c>
      <c r="AK107" t="s">
        <v>428</v>
      </c>
      <c r="AL107" t="s">
        <v>429</v>
      </c>
      <c r="AM107" t="s">
        <v>104</v>
      </c>
      <c r="AN107" t="s">
        <v>104</v>
      </c>
      <c r="AO107" t="s">
        <v>104</v>
      </c>
      <c r="AP107" t="s">
        <v>104</v>
      </c>
      <c r="AQ107" t="s">
        <v>104</v>
      </c>
      <c r="AS107" s="3">
        <f t="shared" si="1"/>
        <v>46321</v>
      </c>
      <c r="AT107" s="2"/>
      <c r="AX107" s="5" t="str">
        <v/>
      </c>
    </row>
    <row r="108" spans="2:50" x14ac:dyDescent="0.25">
      <c r="B108" t="s">
        <v>668</v>
      </c>
      <c r="C108" t="s">
        <v>288</v>
      </c>
      <c r="D108" t="s">
        <v>101</v>
      </c>
      <c r="H108" t="s">
        <v>669</v>
      </c>
      <c r="I108">
        <v>134</v>
      </c>
      <c r="J108">
        <v>0</v>
      </c>
      <c r="K108">
        <v>45420</v>
      </c>
      <c r="L108">
        <v>46149</v>
      </c>
      <c r="M108" t="s">
        <v>291</v>
      </c>
      <c r="Q108" t="s">
        <v>325</v>
      </c>
      <c r="R108" t="s">
        <v>670</v>
      </c>
      <c r="S108">
        <v>0</v>
      </c>
      <c r="T108">
        <v>0</v>
      </c>
      <c r="U108">
        <v>1300.73</v>
      </c>
      <c r="V108">
        <v>1530.73</v>
      </c>
      <c r="W108">
        <v>1745.8</v>
      </c>
      <c r="X108">
        <v>2132.73</v>
      </c>
      <c r="Y108">
        <v>2471.14</v>
      </c>
      <c r="AA108" t="s">
        <v>104</v>
      </c>
      <c r="AB108" t="s">
        <v>104</v>
      </c>
      <c r="AC108" t="s">
        <v>104</v>
      </c>
      <c r="AD108" t="s">
        <v>104</v>
      </c>
      <c r="AF108" t="s">
        <v>423</v>
      </c>
      <c r="AG108" t="s">
        <v>424</v>
      </c>
      <c r="AH108" t="s">
        <v>425</v>
      </c>
      <c r="AI108" t="s">
        <v>426</v>
      </c>
      <c r="AJ108" t="s">
        <v>427</v>
      </c>
      <c r="AK108" t="s">
        <v>428</v>
      </c>
      <c r="AL108" t="s">
        <v>429</v>
      </c>
      <c r="AM108" t="s">
        <v>104</v>
      </c>
      <c r="AN108" t="s">
        <v>104</v>
      </c>
      <c r="AO108" t="s">
        <v>104</v>
      </c>
      <c r="AP108" t="s">
        <v>104</v>
      </c>
      <c r="AQ108" t="s">
        <v>104</v>
      </c>
      <c r="AS108" s="3">
        <f t="shared" si="1"/>
        <v>46328</v>
      </c>
      <c r="AT108" s="2"/>
      <c r="AX108" s="5" t="str">
        <v/>
      </c>
    </row>
    <row r="109" spans="2:50" x14ac:dyDescent="0.25">
      <c r="B109" t="s">
        <v>671</v>
      </c>
      <c r="C109" t="s">
        <v>288</v>
      </c>
      <c r="D109" t="s">
        <v>222</v>
      </c>
      <c r="H109" t="s">
        <v>672</v>
      </c>
      <c r="I109">
        <v>245</v>
      </c>
      <c r="J109" t="s">
        <v>399</v>
      </c>
      <c r="K109">
        <v>45936</v>
      </c>
      <c r="M109" t="s">
        <v>291</v>
      </c>
      <c r="Q109" t="s">
        <v>325</v>
      </c>
      <c r="R109" t="s">
        <v>673</v>
      </c>
      <c r="S109">
        <v>0</v>
      </c>
      <c r="T109">
        <v>0</v>
      </c>
      <c r="U109">
        <v>1298.8699999999999</v>
      </c>
      <c r="V109">
        <v>1533.48</v>
      </c>
      <c r="W109">
        <v>1723.49</v>
      </c>
      <c r="X109">
        <v>2103.0300000000002</v>
      </c>
      <c r="Y109">
        <v>0</v>
      </c>
      <c r="AA109" t="s">
        <v>104</v>
      </c>
      <c r="AB109" t="s">
        <v>104</v>
      </c>
      <c r="AC109" t="s">
        <v>104</v>
      </c>
      <c r="AD109" t="s">
        <v>104</v>
      </c>
      <c r="AF109" t="s">
        <v>423</v>
      </c>
      <c r="AG109" t="s">
        <v>424</v>
      </c>
      <c r="AH109" t="s">
        <v>425</v>
      </c>
      <c r="AI109" t="s">
        <v>426</v>
      </c>
      <c r="AJ109" t="s">
        <v>427</v>
      </c>
      <c r="AK109" t="s">
        <v>428</v>
      </c>
      <c r="AL109" t="s">
        <v>429</v>
      </c>
      <c r="AM109" t="s">
        <v>104</v>
      </c>
      <c r="AN109" t="s">
        <v>104</v>
      </c>
      <c r="AO109" t="s">
        <v>104</v>
      </c>
      <c r="AP109" t="s">
        <v>104</v>
      </c>
      <c r="AQ109" t="s">
        <v>104</v>
      </c>
      <c r="AS109" s="3">
        <f t="shared" si="1"/>
        <v>46335</v>
      </c>
      <c r="AT109" s="2"/>
      <c r="AX109" s="5" t="str">
        <v/>
      </c>
    </row>
    <row r="110" spans="2:50" x14ac:dyDescent="0.25">
      <c r="B110" t="s">
        <v>674</v>
      </c>
      <c r="C110" t="s">
        <v>288</v>
      </c>
      <c r="D110" t="s">
        <v>316</v>
      </c>
      <c r="H110" t="s">
        <v>675</v>
      </c>
      <c r="I110">
        <v>0</v>
      </c>
      <c r="J110" t="s">
        <v>676</v>
      </c>
      <c r="M110" t="s">
        <v>455</v>
      </c>
      <c r="Q110" t="s">
        <v>325</v>
      </c>
      <c r="R110" t="s">
        <v>677</v>
      </c>
      <c r="S110">
        <v>0</v>
      </c>
      <c r="T110">
        <v>0</v>
      </c>
      <c r="U110">
        <v>1272.96</v>
      </c>
      <c r="V110">
        <v>1538.84</v>
      </c>
      <c r="W110">
        <v>1745.8</v>
      </c>
      <c r="X110">
        <v>0</v>
      </c>
      <c r="Y110">
        <v>0</v>
      </c>
      <c r="AA110" t="s">
        <v>104</v>
      </c>
      <c r="AB110" t="s">
        <v>104</v>
      </c>
      <c r="AC110" t="s">
        <v>104</v>
      </c>
      <c r="AD110" t="s">
        <v>104</v>
      </c>
      <c r="AF110" t="s">
        <v>423</v>
      </c>
      <c r="AG110" t="s">
        <v>424</v>
      </c>
      <c r="AH110" t="s">
        <v>425</v>
      </c>
      <c r="AI110" t="s">
        <v>426</v>
      </c>
      <c r="AJ110" t="s">
        <v>427</v>
      </c>
      <c r="AK110" t="s">
        <v>428</v>
      </c>
      <c r="AL110" t="s">
        <v>429</v>
      </c>
      <c r="AM110" t="s">
        <v>104</v>
      </c>
      <c r="AN110" t="s">
        <v>104</v>
      </c>
      <c r="AO110" t="s">
        <v>104</v>
      </c>
      <c r="AP110" t="s">
        <v>104</v>
      </c>
      <c r="AQ110" t="s">
        <v>104</v>
      </c>
      <c r="AS110" s="3">
        <f t="shared" si="1"/>
        <v>46342</v>
      </c>
      <c r="AT110" s="2"/>
      <c r="AX110" s="5" t="str">
        <v/>
      </c>
    </row>
    <row r="111" spans="2:50" x14ac:dyDescent="0.25">
      <c r="B111" t="s">
        <v>678</v>
      </c>
      <c r="C111" t="s">
        <v>679</v>
      </c>
      <c r="D111" t="s">
        <v>101</v>
      </c>
      <c r="H111" t="s">
        <v>680</v>
      </c>
      <c r="I111">
        <v>146</v>
      </c>
      <c r="J111" t="s">
        <v>681</v>
      </c>
      <c r="M111" t="s">
        <v>291</v>
      </c>
      <c r="Q111" t="s">
        <v>325</v>
      </c>
      <c r="R111" t="s">
        <v>682</v>
      </c>
      <c r="S111">
        <v>0</v>
      </c>
      <c r="T111">
        <v>0</v>
      </c>
      <c r="U111">
        <v>1529.01</v>
      </c>
      <c r="V111">
        <v>1770.76</v>
      </c>
      <c r="W111">
        <v>2166.4299999999998</v>
      </c>
      <c r="X111">
        <v>0</v>
      </c>
      <c r="Y111">
        <v>0</v>
      </c>
      <c r="AA111" t="s">
        <v>104</v>
      </c>
      <c r="AB111" t="s">
        <v>104</v>
      </c>
      <c r="AC111" t="s">
        <v>104</v>
      </c>
      <c r="AD111" t="s">
        <v>104</v>
      </c>
      <c r="AF111" t="s">
        <v>423</v>
      </c>
      <c r="AG111" t="s">
        <v>424</v>
      </c>
      <c r="AH111" t="s">
        <v>425</v>
      </c>
      <c r="AI111" t="s">
        <v>426</v>
      </c>
      <c r="AJ111" t="s">
        <v>427</v>
      </c>
      <c r="AK111" t="s">
        <v>428</v>
      </c>
      <c r="AL111" t="s">
        <v>429</v>
      </c>
      <c r="AM111" t="s">
        <v>104</v>
      </c>
      <c r="AN111" t="s">
        <v>104</v>
      </c>
      <c r="AO111" t="s">
        <v>104</v>
      </c>
      <c r="AP111" t="s">
        <v>104</v>
      </c>
      <c r="AQ111" t="s">
        <v>104</v>
      </c>
      <c r="AS111" s="3">
        <f t="shared" si="1"/>
        <v>46349</v>
      </c>
      <c r="AT111" s="2"/>
      <c r="AX111" s="5" t="str">
        <v/>
      </c>
    </row>
    <row r="112" spans="2:50" x14ac:dyDescent="0.25">
      <c r="B112" t="s">
        <v>683</v>
      </c>
      <c r="C112" t="s">
        <v>288</v>
      </c>
      <c r="D112" t="s">
        <v>316</v>
      </c>
      <c r="H112" t="s">
        <v>684</v>
      </c>
      <c r="I112">
        <v>124</v>
      </c>
      <c r="J112">
        <v>0</v>
      </c>
      <c r="M112" t="s">
        <v>291</v>
      </c>
      <c r="Q112" t="s">
        <v>325</v>
      </c>
      <c r="R112" t="s">
        <v>685</v>
      </c>
      <c r="S112">
        <v>0</v>
      </c>
      <c r="T112">
        <v>0</v>
      </c>
      <c r="U112">
        <v>0</v>
      </c>
      <c r="V112">
        <v>0</v>
      </c>
      <c r="W112">
        <v>2125.06</v>
      </c>
      <c r="X112">
        <v>2445.79</v>
      </c>
      <c r="Y112">
        <v>0</v>
      </c>
      <c r="AA112" t="s">
        <v>104</v>
      </c>
      <c r="AB112" t="s">
        <v>104</v>
      </c>
      <c r="AC112" t="s">
        <v>104</v>
      </c>
      <c r="AD112" t="s">
        <v>104</v>
      </c>
      <c r="AF112" t="s">
        <v>423</v>
      </c>
      <c r="AG112" t="s">
        <v>424</v>
      </c>
      <c r="AH112" t="s">
        <v>425</v>
      </c>
      <c r="AI112" t="s">
        <v>426</v>
      </c>
      <c r="AJ112" t="s">
        <v>427</v>
      </c>
      <c r="AK112" t="s">
        <v>428</v>
      </c>
      <c r="AL112" t="s">
        <v>429</v>
      </c>
      <c r="AM112" t="s">
        <v>104</v>
      </c>
      <c r="AN112" t="s">
        <v>104</v>
      </c>
      <c r="AO112" t="s">
        <v>104</v>
      </c>
      <c r="AP112" t="s">
        <v>104</v>
      </c>
      <c r="AQ112" t="s">
        <v>104</v>
      </c>
      <c r="AS112" s="3">
        <f t="shared" si="1"/>
        <v>46356</v>
      </c>
      <c r="AT112" s="2"/>
      <c r="AX112" s="5" t="str">
        <v/>
      </c>
    </row>
    <row r="113" spans="2:50" x14ac:dyDescent="0.25">
      <c r="B113" t="s">
        <v>686</v>
      </c>
      <c r="C113" t="s">
        <v>288</v>
      </c>
      <c r="D113" t="s">
        <v>101</v>
      </c>
      <c r="H113" t="s">
        <v>687</v>
      </c>
      <c r="I113">
        <v>181.71</v>
      </c>
      <c r="J113">
        <v>0</v>
      </c>
      <c r="K113">
        <v>45978</v>
      </c>
      <c r="L113">
        <v>46063</v>
      </c>
      <c r="M113" t="s">
        <v>291</v>
      </c>
      <c r="Q113" t="s">
        <v>325</v>
      </c>
      <c r="R113" t="s">
        <v>688</v>
      </c>
      <c r="S113">
        <v>0</v>
      </c>
      <c r="T113">
        <v>0</v>
      </c>
      <c r="U113">
        <v>0</v>
      </c>
      <c r="V113">
        <v>1532.63</v>
      </c>
      <c r="W113">
        <v>1726.64</v>
      </c>
      <c r="X113">
        <v>2238.8200000000002</v>
      </c>
      <c r="Y113">
        <v>0</v>
      </c>
      <c r="AA113" t="s">
        <v>104</v>
      </c>
      <c r="AB113" t="s">
        <v>104</v>
      </c>
      <c r="AC113" t="s">
        <v>104</v>
      </c>
      <c r="AD113" t="s">
        <v>104</v>
      </c>
      <c r="AF113" t="s">
        <v>423</v>
      </c>
      <c r="AG113" t="s">
        <v>424</v>
      </c>
      <c r="AH113" t="s">
        <v>425</v>
      </c>
      <c r="AI113" t="s">
        <v>426</v>
      </c>
      <c r="AJ113" t="s">
        <v>427</v>
      </c>
      <c r="AK113" t="s">
        <v>428</v>
      </c>
      <c r="AL113" t="s">
        <v>429</v>
      </c>
      <c r="AM113" t="s">
        <v>104</v>
      </c>
      <c r="AN113" t="s">
        <v>104</v>
      </c>
      <c r="AO113" t="s">
        <v>104</v>
      </c>
      <c r="AP113" t="s">
        <v>104</v>
      </c>
      <c r="AQ113" t="s">
        <v>104</v>
      </c>
      <c r="AS113" s="3">
        <f t="shared" si="1"/>
        <v>46363</v>
      </c>
      <c r="AT113" s="2"/>
      <c r="AX113" s="5" t="str">
        <v/>
      </c>
    </row>
    <row r="114" spans="2:50" x14ac:dyDescent="0.25">
      <c r="B114" t="s">
        <v>689</v>
      </c>
      <c r="C114" t="s">
        <v>288</v>
      </c>
      <c r="D114" t="s">
        <v>101</v>
      </c>
      <c r="H114" t="s">
        <v>690</v>
      </c>
      <c r="I114">
        <v>204.35</v>
      </c>
      <c r="J114">
        <v>0</v>
      </c>
      <c r="K114">
        <v>45957</v>
      </c>
      <c r="M114" t="s">
        <v>291</v>
      </c>
      <c r="Q114" t="s">
        <v>325</v>
      </c>
      <c r="R114" t="s">
        <v>691</v>
      </c>
      <c r="S114">
        <v>0</v>
      </c>
      <c r="T114">
        <v>0</v>
      </c>
      <c r="U114">
        <v>0</v>
      </c>
      <c r="V114">
        <v>1606.46</v>
      </c>
      <c r="W114">
        <v>1813.41</v>
      </c>
      <c r="X114">
        <v>205.73</v>
      </c>
      <c r="Y114">
        <v>0</v>
      </c>
      <c r="AA114" t="s">
        <v>104</v>
      </c>
      <c r="AB114" t="s">
        <v>104</v>
      </c>
      <c r="AC114" t="s">
        <v>104</v>
      </c>
      <c r="AD114" t="s">
        <v>104</v>
      </c>
      <c r="AF114" t="s">
        <v>423</v>
      </c>
      <c r="AG114" t="s">
        <v>424</v>
      </c>
      <c r="AH114" t="s">
        <v>425</v>
      </c>
      <c r="AI114" t="s">
        <v>426</v>
      </c>
      <c r="AJ114" t="s">
        <v>427</v>
      </c>
      <c r="AK114" t="s">
        <v>428</v>
      </c>
      <c r="AL114" t="s">
        <v>429</v>
      </c>
      <c r="AM114" t="s">
        <v>104</v>
      </c>
      <c r="AN114" t="s">
        <v>104</v>
      </c>
      <c r="AO114" t="s">
        <v>104</v>
      </c>
      <c r="AP114" t="s">
        <v>104</v>
      </c>
      <c r="AQ114" t="s">
        <v>104</v>
      </c>
      <c r="AS114" s="3">
        <f t="shared" si="1"/>
        <v>46370</v>
      </c>
      <c r="AT114" s="2"/>
      <c r="AX114" s="5" t="str">
        <v/>
      </c>
    </row>
    <row r="115" spans="2:50" x14ac:dyDescent="0.25">
      <c r="B115" t="s">
        <v>692</v>
      </c>
      <c r="C115" t="s">
        <v>288</v>
      </c>
      <c r="D115" t="s">
        <v>316</v>
      </c>
      <c r="H115" t="s">
        <v>693</v>
      </c>
      <c r="I115">
        <v>177</v>
      </c>
      <c r="J115">
        <v>0</v>
      </c>
      <c r="M115" t="s">
        <v>291</v>
      </c>
      <c r="Q115" t="s">
        <v>325</v>
      </c>
      <c r="R115" t="s">
        <v>694</v>
      </c>
      <c r="S115">
        <v>0</v>
      </c>
      <c r="T115">
        <v>0</v>
      </c>
      <c r="U115">
        <v>0</v>
      </c>
      <c r="V115">
        <v>1414.17</v>
      </c>
      <c r="W115">
        <v>1590.46</v>
      </c>
      <c r="X115">
        <v>1934.55</v>
      </c>
      <c r="Y115">
        <v>0</v>
      </c>
      <c r="AA115" t="s">
        <v>104</v>
      </c>
      <c r="AB115" t="s">
        <v>104</v>
      </c>
      <c r="AC115" t="s">
        <v>104</v>
      </c>
      <c r="AD115" t="s">
        <v>104</v>
      </c>
      <c r="AF115" t="s">
        <v>423</v>
      </c>
      <c r="AG115" t="s">
        <v>424</v>
      </c>
      <c r="AH115" t="s">
        <v>425</v>
      </c>
      <c r="AI115" t="s">
        <v>426</v>
      </c>
      <c r="AJ115" t="s">
        <v>427</v>
      </c>
      <c r="AK115" t="s">
        <v>428</v>
      </c>
      <c r="AL115" t="s">
        <v>429</v>
      </c>
      <c r="AM115" t="s">
        <v>104</v>
      </c>
      <c r="AN115" t="s">
        <v>104</v>
      </c>
      <c r="AO115" t="s">
        <v>104</v>
      </c>
      <c r="AP115" t="s">
        <v>104</v>
      </c>
      <c r="AQ115" t="s">
        <v>104</v>
      </c>
      <c r="AS115" s="3">
        <f t="shared" si="1"/>
        <v>46377</v>
      </c>
      <c r="AT115" s="2">
        <v>1</v>
      </c>
      <c r="AX115" s="5" t="str">
        <v/>
      </c>
    </row>
    <row r="116" spans="2:50" x14ac:dyDescent="0.25">
      <c r="B116" t="s">
        <v>695</v>
      </c>
      <c r="C116" t="s">
        <v>288</v>
      </c>
      <c r="D116" t="s">
        <v>377</v>
      </c>
      <c r="H116" t="s">
        <v>696</v>
      </c>
      <c r="I116">
        <v>0</v>
      </c>
      <c r="J116" t="s">
        <v>676</v>
      </c>
      <c r="M116" t="s">
        <v>455</v>
      </c>
      <c r="Q116" t="s">
        <v>325</v>
      </c>
      <c r="R116" t="s">
        <v>697</v>
      </c>
      <c r="S116">
        <v>0</v>
      </c>
      <c r="T116">
        <v>0</v>
      </c>
      <c r="U116">
        <v>1198.92</v>
      </c>
      <c r="V116">
        <v>1423.56</v>
      </c>
      <c r="W116">
        <v>1607.84</v>
      </c>
      <c r="X116">
        <v>1945.39</v>
      </c>
      <c r="Y116">
        <v>2350.29</v>
      </c>
      <c r="AA116" t="s">
        <v>104</v>
      </c>
      <c r="AB116" t="s">
        <v>104</v>
      </c>
      <c r="AC116" t="s">
        <v>104</v>
      </c>
      <c r="AD116" t="s">
        <v>104</v>
      </c>
      <c r="AF116" t="s">
        <v>423</v>
      </c>
      <c r="AG116" t="s">
        <v>424</v>
      </c>
      <c r="AH116" t="s">
        <v>425</v>
      </c>
      <c r="AI116" t="s">
        <v>426</v>
      </c>
      <c r="AJ116" t="s">
        <v>427</v>
      </c>
      <c r="AK116" t="s">
        <v>428</v>
      </c>
      <c r="AL116" t="s">
        <v>429</v>
      </c>
      <c r="AM116" t="s">
        <v>104</v>
      </c>
      <c r="AN116" t="s">
        <v>104</v>
      </c>
      <c r="AO116" t="s">
        <v>104</v>
      </c>
      <c r="AP116" t="s">
        <v>104</v>
      </c>
      <c r="AQ116" t="s">
        <v>104</v>
      </c>
      <c r="AS116" s="3">
        <f t="shared" si="1"/>
        <v>46384</v>
      </c>
      <c r="AT116" s="2">
        <v>1</v>
      </c>
      <c r="AX116" s="5" t="str">
        <v/>
      </c>
    </row>
    <row r="117" spans="2:50" x14ac:dyDescent="0.25">
      <c r="B117" t="s">
        <v>698</v>
      </c>
      <c r="C117" t="s">
        <v>288</v>
      </c>
      <c r="D117" t="s">
        <v>363</v>
      </c>
      <c r="H117" t="s">
        <v>322</v>
      </c>
      <c r="I117">
        <v>245</v>
      </c>
      <c r="J117" t="s">
        <v>399</v>
      </c>
      <c r="M117" t="s">
        <v>291</v>
      </c>
      <c r="Q117" t="s">
        <v>325</v>
      </c>
      <c r="R117" t="s">
        <v>699</v>
      </c>
      <c r="S117">
        <v>0</v>
      </c>
      <c r="T117">
        <v>0</v>
      </c>
      <c r="U117">
        <v>1198.23</v>
      </c>
      <c r="V117">
        <v>1405.23</v>
      </c>
      <c r="W117">
        <v>1550.27</v>
      </c>
      <c r="X117">
        <v>1856.68</v>
      </c>
      <c r="Y117">
        <v>0</v>
      </c>
      <c r="AA117" t="s">
        <v>104</v>
      </c>
      <c r="AB117" t="s">
        <v>104</v>
      </c>
      <c r="AC117" t="s">
        <v>104</v>
      </c>
      <c r="AD117" t="s">
        <v>104</v>
      </c>
      <c r="AF117" t="s">
        <v>423</v>
      </c>
      <c r="AG117" t="s">
        <v>424</v>
      </c>
      <c r="AH117" t="s">
        <v>425</v>
      </c>
      <c r="AI117" t="s">
        <v>426</v>
      </c>
      <c r="AJ117" t="s">
        <v>427</v>
      </c>
      <c r="AK117" t="s">
        <v>428</v>
      </c>
      <c r="AL117" t="s">
        <v>429</v>
      </c>
      <c r="AM117" t="s">
        <v>104</v>
      </c>
      <c r="AN117" t="s">
        <v>104</v>
      </c>
      <c r="AO117" t="s">
        <v>104</v>
      </c>
      <c r="AP117" t="s">
        <v>104</v>
      </c>
      <c r="AQ117" t="s">
        <v>104</v>
      </c>
      <c r="AS117" s="3">
        <f t="shared" si="1"/>
        <v>46391</v>
      </c>
      <c r="AT117" s="2"/>
      <c r="AX117" s="5" t="str">
        <v/>
      </c>
    </row>
    <row r="118" spans="2:50" x14ac:dyDescent="0.25">
      <c r="B118" t="s">
        <v>700</v>
      </c>
      <c r="C118" t="s">
        <v>288</v>
      </c>
      <c r="D118" t="s">
        <v>316</v>
      </c>
      <c r="H118" t="s">
        <v>701</v>
      </c>
      <c r="I118">
        <v>190.63</v>
      </c>
      <c r="J118">
        <v>0</v>
      </c>
      <c r="K118">
        <v>45950</v>
      </c>
      <c r="L118">
        <v>46066</v>
      </c>
      <c r="M118" t="s">
        <v>291</v>
      </c>
      <c r="Q118" t="s">
        <v>325</v>
      </c>
      <c r="R118" t="s">
        <v>702</v>
      </c>
      <c r="S118">
        <v>0</v>
      </c>
      <c r="T118">
        <v>0</v>
      </c>
      <c r="U118">
        <v>1199.33</v>
      </c>
      <c r="V118">
        <v>1424.87</v>
      </c>
      <c r="W118">
        <v>1541.43</v>
      </c>
      <c r="X118">
        <v>1796.3</v>
      </c>
      <c r="Y118">
        <v>0</v>
      </c>
      <c r="AA118" t="s">
        <v>104</v>
      </c>
      <c r="AB118" t="s">
        <v>104</v>
      </c>
      <c r="AC118" t="s">
        <v>104</v>
      </c>
      <c r="AD118" t="s">
        <v>104</v>
      </c>
      <c r="AF118" t="s">
        <v>423</v>
      </c>
      <c r="AG118" t="s">
        <v>424</v>
      </c>
      <c r="AH118" t="s">
        <v>425</v>
      </c>
      <c r="AI118" t="s">
        <v>426</v>
      </c>
      <c r="AJ118" t="s">
        <v>427</v>
      </c>
      <c r="AK118" t="s">
        <v>428</v>
      </c>
      <c r="AL118" t="s">
        <v>429</v>
      </c>
      <c r="AM118" t="s">
        <v>104</v>
      </c>
      <c r="AN118" t="s">
        <v>104</v>
      </c>
      <c r="AO118" t="s">
        <v>104</v>
      </c>
      <c r="AP118" t="s">
        <v>104</v>
      </c>
      <c r="AQ118" t="s">
        <v>104</v>
      </c>
      <c r="AS118" s="3">
        <f t="shared" si="1"/>
        <v>46398</v>
      </c>
      <c r="AT118" s="2"/>
      <c r="AX118" s="5" t="str">
        <v/>
      </c>
    </row>
    <row r="119" spans="2:50" x14ac:dyDescent="0.25">
      <c r="B119" t="s">
        <v>703</v>
      </c>
      <c r="C119" t="s">
        <v>288</v>
      </c>
      <c r="D119" t="s">
        <v>316</v>
      </c>
      <c r="H119" t="s">
        <v>704</v>
      </c>
      <c r="I119">
        <v>100</v>
      </c>
      <c r="J119">
        <v>0</v>
      </c>
      <c r="K119">
        <v>45630</v>
      </c>
      <c r="L119">
        <v>45930</v>
      </c>
      <c r="M119" t="s">
        <v>291</v>
      </c>
      <c r="Q119" t="s">
        <v>325</v>
      </c>
      <c r="R119" t="s">
        <v>705</v>
      </c>
      <c r="S119">
        <v>0</v>
      </c>
      <c r="T119">
        <v>0</v>
      </c>
      <c r="U119">
        <v>1354.81</v>
      </c>
      <c r="V119">
        <v>1603.19</v>
      </c>
      <c r="W119">
        <v>1733.57</v>
      </c>
      <c r="X119">
        <v>2069.46</v>
      </c>
      <c r="Y119">
        <v>0</v>
      </c>
      <c r="AA119" t="s">
        <v>104</v>
      </c>
      <c r="AB119" t="s">
        <v>104</v>
      </c>
      <c r="AC119" t="s">
        <v>104</v>
      </c>
      <c r="AD119" t="s">
        <v>104</v>
      </c>
      <c r="AF119" t="s">
        <v>423</v>
      </c>
      <c r="AG119" t="s">
        <v>424</v>
      </c>
      <c r="AH119" t="s">
        <v>425</v>
      </c>
      <c r="AI119" t="s">
        <v>426</v>
      </c>
      <c r="AJ119" t="s">
        <v>427</v>
      </c>
      <c r="AK119" t="s">
        <v>428</v>
      </c>
      <c r="AL119" t="s">
        <v>429</v>
      </c>
      <c r="AM119" t="s">
        <v>104</v>
      </c>
      <c r="AN119" t="s">
        <v>104</v>
      </c>
      <c r="AO119" t="s">
        <v>104</v>
      </c>
      <c r="AP119" t="s">
        <v>104</v>
      </c>
      <c r="AQ119" t="s">
        <v>104</v>
      </c>
      <c r="AS119" s="3">
        <f t="shared" si="1"/>
        <v>46405</v>
      </c>
      <c r="AT119" s="2"/>
      <c r="AX119" s="5" t="str">
        <v/>
      </c>
    </row>
    <row r="120" spans="2:50" x14ac:dyDescent="0.25">
      <c r="B120" t="s">
        <v>706</v>
      </c>
      <c r="C120" t="s">
        <v>288</v>
      </c>
      <c r="D120" t="s">
        <v>101</v>
      </c>
      <c r="H120" t="s">
        <v>707</v>
      </c>
      <c r="I120">
        <v>161</v>
      </c>
      <c r="J120">
        <v>0</v>
      </c>
      <c r="M120" t="s">
        <v>291</v>
      </c>
      <c r="Q120" t="s">
        <v>325</v>
      </c>
      <c r="R120" t="s">
        <v>708</v>
      </c>
      <c r="S120">
        <v>0</v>
      </c>
      <c r="T120">
        <v>0</v>
      </c>
      <c r="U120">
        <v>0</v>
      </c>
      <c r="V120">
        <v>0</v>
      </c>
      <c r="W120">
        <v>1746.93</v>
      </c>
      <c r="X120">
        <v>2103.19</v>
      </c>
      <c r="Y120">
        <v>0</v>
      </c>
      <c r="AA120" t="s">
        <v>104</v>
      </c>
      <c r="AB120" t="s">
        <v>104</v>
      </c>
      <c r="AC120" t="s">
        <v>104</v>
      </c>
      <c r="AD120" t="s">
        <v>104</v>
      </c>
      <c r="AF120" t="s">
        <v>423</v>
      </c>
      <c r="AG120" t="s">
        <v>424</v>
      </c>
      <c r="AH120" t="s">
        <v>425</v>
      </c>
      <c r="AI120" t="s">
        <v>426</v>
      </c>
      <c r="AJ120" t="s">
        <v>427</v>
      </c>
      <c r="AK120" t="s">
        <v>428</v>
      </c>
      <c r="AL120" t="s">
        <v>429</v>
      </c>
      <c r="AM120" t="s">
        <v>104</v>
      </c>
      <c r="AN120" t="s">
        <v>104</v>
      </c>
      <c r="AO120" t="s">
        <v>104</v>
      </c>
      <c r="AP120" t="s">
        <v>104</v>
      </c>
      <c r="AQ120" t="s">
        <v>104</v>
      </c>
      <c r="AS120" s="3">
        <f t="shared" si="1"/>
        <v>46412</v>
      </c>
      <c r="AT120" s="2">
        <v>0.2</v>
      </c>
      <c r="AX120" s="5" t="str">
        <v/>
      </c>
    </row>
    <row r="121" spans="2:50" x14ac:dyDescent="0.25">
      <c r="B121" t="s">
        <v>709</v>
      </c>
      <c r="C121" t="s">
        <v>288</v>
      </c>
      <c r="D121" t="s">
        <v>101</v>
      </c>
      <c r="H121" t="s">
        <v>710</v>
      </c>
      <c r="I121">
        <v>186.99</v>
      </c>
      <c r="J121">
        <v>0</v>
      </c>
      <c r="K121">
        <v>45474</v>
      </c>
      <c r="L121">
        <v>46203</v>
      </c>
      <c r="M121" t="s">
        <v>291</v>
      </c>
      <c r="N121" t="s">
        <v>711</v>
      </c>
      <c r="Q121" t="s">
        <v>325</v>
      </c>
      <c r="R121" t="s">
        <v>712</v>
      </c>
      <c r="S121">
        <v>0</v>
      </c>
      <c r="T121">
        <v>0</v>
      </c>
      <c r="U121">
        <v>0</v>
      </c>
      <c r="V121">
        <v>1220.47</v>
      </c>
      <c r="W121">
        <v>1466.42</v>
      </c>
      <c r="X121">
        <v>1886.88</v>
      </c>
      <c r="Y121">
        <v>0</v>
      </c>
      <c r="AA121" t="s">
        <v>104</v>
      </c>
      <c r="AB121" t="s">
        <v>104</v>
      </c>
      <c r="AC121" t="s">
        <v>104</v>
      </c>
      <c r="AD121" t="s">
        <v>104</v>
      </c>
      <c r="AF121" t="s">
        <v>423</v>
      </c>
      <c r="AG121" t="s">
        <v>424</v>
      </c>
      <c r="AH121" t="s">
        <v>425</v>
      </c>
      <c r="AI121" t="s">
        <v>426</v>
      </c>
      <c r="AJ121" t="s">
        <v>427</v>
      </c>
      <c r="AK121" t="s">
        <v>428</v>
      </c>
      <c r="AL121" t="s">
        <v>429</v>
      </c>
      <c r="AM121" t="s">
        <v>104</v>
      </c>
      <c r="AN121" t="s">
        <v>104</v>
      </c>
      <c r="AO121" t="s">
        <v>104</v>
      </c>
      <c r="AP121" t="s">
        <v>104</v>
      </c>
      <c r="AQ121" t="s">
        <v>104</v>
      </c>
      <c r="AS121" s="3">
        <f t="shared" si="1"/>
        <v>46419</v>
      </c>
      <c r="AT121" s="2"/>
      <c r="AX121" s="5" t="str">
        <v/>
      </c>
    </row>
    <row r="122" spans="2:50" x14ac:dyDescent="0.25">
      <c r="B122" t="s">
        <v>713</v>
      </c>
      <c r="C122" t="s">
        <v>288</v>
      </c>
      <c r="D122" t="s">
        <v>101</v>
      </c>
      <c r="H122" t="s">
        <v>714</v>
      </c>
      <c r="I122">
        <v>146.76</v>
      </c>
      <c r="J122">
        <v>0</v>
      </c>
      <c r="M122" t="s">
        <v>291</v>
      </c>
      <c r="Q122" t="s">
        <v>309</v>
      </c>
      <c r="R122" t="s">
        <v>107</v>
      </c>
      <c r="S122">
        <v>1700</v>
      </c>
      <c r="T122">
        <v>1700</v>
      </c>
      <c r="U122">
        <v>2000</v>
      </c>
      <c r="V122">
        <v>2320</v>
      </c>
      <c r="W122">
        <v>2720</v>
      </c>
      <c r="X122">
        <v>4000</v>
      </c>
      <c r="AA122" t="s">
        <v>104</v>
      </c>
      <c r="AB122" t="s">
        <v>104</v>
      </c>
      <c r="AC122" t="s">
        <v>104</v>
      </c>
      <c r="AD122" t="s">
        <v>104</v>
      </c>
      <c r="AF122" t="s">
        <v>294</v>
      </c>
      <c r="AG122" t="s">
        <v>136</v>
      </c>
      <c r="AH122" t="s">
        <v>154</v>
      </c>
      <c r="AI122" t="s">
        <v>115</v>
      </c>
      <c r="AJ122" t="s">
        <v>112</v>
      </c>
      <c r="AK122" t="s">
        <v>110</v>
      </c>
      <c r="AL122" t="s">
        <v>104</v>
      </c>
      <c r="AM122" t="s">
        <v>104</v>
      </c>
      <c r="AN122" t="s">
        <v>104</v>
      </c>
      <c r="AO122" t="s">
        <v>104</v>
      </c>
      <c r="AP122" t="s">
        <v>104</v>
      </c>
      <c r="AQ122" t="s">
        <v>104</v>
      </c>
      <c r="AS122" s="3">
        <f t="shared" si="1"/>
        <v>46426</v>
      </c>
      <c r="AT122" s="2"/>
      <c r="AX122" s="5" t="str">
        <v/>
      </c>
    </row>
    <row r="123" spans="2:50" x14ac:dyDescent="0.25">
      <c r="B123" t="s">
        <v>715</v>
      </c>
      <c r="C123" t="s">
        <v>288</v>
      </c>
      <c r="D123" t="s">
        <v>377</v>
      </c>
      <c r="H123" t="s">
        <v>716</v>
      </c>
      <c r="I123">
        <v>65.91</v>
      </c>
      <c r="J123">
        <v>0</v>
      </c>
      <c r="K123">
        <v>45926</v>
      </c>
      <c r="L123">
        <v>46069</v>
      </c>
      <c r="M123" t="s">
        <v>291</v>
      </c>
      <c r="Q123" t="s">
        <v>348</v>
      </c>
      <c r="R123" t="s">
        <v>717</v>
      </c>
      <c r="S123">
        <v>0</v>
      </c>
      <c r="T123">
        <v>0</v>
      </c>
      <c r="U123">
        <v>1657.92</v>
      </c>
      <c r="V123">
        <v>1761.52</v>
      </c>
      <c r="W123">
        <v>2072.4</v>
      </c>
      <c r="X123">
        <v>2072.4</v>
      </c>
      <c r="AA123" t="s">
        <v>104</v>
      </c>
      <c r="AB123" t="s">
        <v>104</v>
      </c>
      <c r="AC123" t="s">
        <v>104</v>
      </c>
      <c r="AD123" t="s">
        <v>104</v>
      </c>
      <c r="AF123" t="s">
        <v>294</v>
      </c>
      <c r="AG123" t="s">
        <v>136</v>
      </c>
      <c r="AH123" t="s">
        <v>154</v>
      </c>
      <c r="AI123" t="s">
        <v>115</v>
      </c>
      <c r="AJ123" t="s">
        <v>112</v>
      </c>
      <c r="AK123" t="s">
        <v>110</v>
      </c>
      <c r="AL123" t="s">
        <v>104</v>
      </c>
      <c r="AM123" t="s">
        <v>104</v>
      </c>
      <c r="AN123" t="s">
        <v>104</v>
      </c>
      <c r="AO123" t="s">
        <v>104</v>
      </c>
      <c r="AP123" t="s">
        <v>104</v>
      </c>
      <c r="AQ123" t="s">
        <v>104</v>
      </c>
      <c r="AS123" s="3">
        <f t="shared" si="1"/>
        <v>46433</v>
      </c>
      <c r="AT123" s="2"/>
      <c r="AX123" s="5" t="str">
        <v/>
      </c>
    </row>
    <row r="124" spans="2:50" x14ac:dyDescent="0.25">
      <c r="B124" t="s">
        <v>718</v>
      </c>
      <c r="C124" t="s">
        <v>288</v>
      </c>
      <c r="D124" t="s">
        <v>222</v>
      </c>
      <c r="H124" t="s">
        <v>719</v>
      </c>
      <c r="I124">
        <v>154.94</v>
      </c>
      <c r="J124">
        <v>0</v>
      </c>
      <c r="K124">
        <v>45670</v>
      </c>
      <c r="L124">
        <v>46015</v>
      </c>
      <c r="M124" t="s">
        <v>291</v>
      </c>
      <c r="Q124" t="s">
        <v>348</v>
      </c>
      <c r="R124" t="s">
        <v>720</v>
      </c>
      <c r="S124">
        <v>0</v>
      </c>
      <c r="T124">
        <v>0</v>
      </c>
      <c r="U124">
        <v>1657.92</v>
      </c>
      <c r="V124">
        <v>1761.52</v>
      </c>
      <c r="W124">
        <v>2072.4</v>
      </c>
      <c r="X124">
        <v>2072.4</v>
      </c>
      <c r="AA124" t="s">
        <v>104</v>
      </c>
      <c r="AB124" t="s">
        <v>104</v>
      </c>
      <c r="AC124" t="s">
        <v>104</v>
      </c>
      <c r="AD124" t="s">
        <v>104</v>
      </c>
      <c r="AF124" t="s">
        <v>294</v>
      </c>
      <c r="AG124" t="s">
        <v>136</v>
      </c>
      <c r="AH124" t="s">
        <v>154</v>
      </c>
      <c r="AI124" t="s">
        <v>115</v>
      </c>
      <c r="AJ124" t="s">
        <v>112</v>
      </c>
      <c r="AK124" t="s">
        <v>110</v>
      </c>
      <c r="AL124" t="s">
        <v>104</v>
      </c>
      <c r="AM124" t="s">
        <v>104</v>
      </c>
      <c r="AN124" t="s">
        <v>104</v>
      </c>
      <c r="AO124" t="s">
        <v>104</v>
      </c>
      <c r="AP124" t="s">
        <v>104</v>
      </c>
      <c r="AQ124" t="s">
        <v>104</v>
      </c>
      <c r="AS124" s="3">
        <f t="shared" si="1"/>
        <v>46440</v>
      </c>
      <c r="AT124" s="2"/>
      <c r="AX124" s="5" t="str">
        <v/>
      </c>
    </row>
    <row r="125" spans="2:50" x14ac:dyDescent="0.25">
      <c r="B125" t="s">
        <v>721</v>
      </c>
      <c r="C125" t="s">
        <v>288</v>
      </c>
      <c r="D125" t="s">
        <v>222</v>
      </c>
      <c r="H125" t="s">
        <v>722</v>
      </c>
      <c r="I125">
        <v>0</v>
      </c>
      <c r="J125" t="s">
        <v>723</v>
      </c>
      <c r="M125" t="s">
        <v>455</v>
      </c>
      <c r="Q125" t="s">
        <v>375</v>
      </c>
      <c r="R125" t="s">
        <v>724</v>
      </c>
      <c r="S125">
        <v>0</v>
      </c>
      <c r="T125">
        <v>0</v>
      </c>
      <c r="U125">
        <v>0</v>
      </c>
      <c r="V125">
        <v>1976</v>
      </c>
      <c r="W125">
        <v>2720</v>
      </c>
      <c r="X125">
        <v>0</v>
      </c>
      <c r="AA125" t="s">
        <v>104</v>
      </c>
      <c r="AB125" t="s">
        <v>104</v>
      </c>
      <c r="AC125" t="s">
        <v>104</v>
      </c>
      <c r="AD125" t="s">
        <v>104</v>
      </c>
      <c r="AF125" t="s">
        <v>294</v>
      </c>
      <c r="AG125" t="s">
        <v>136</v>
      </c>
      <c r="AH125" t="s">
        <v>154</v>
      </c>
      <c r="AI125" t="s">
        <v>115</v>
      </c>
      <c r="AJ125" t="s">
        <v>112</v>
      </c>
      <c r="AK125" t="s">
        <v>110</v>
      </c>
      <c r="AL125" t="s">
        <v>104</v>
      </c>
      <c r="AM125" t="s">
        <v>104</v>
      </c>
      <c r="AN125" t="s">
        <v>104</v>
      </c>
      <c r="AO125" t="s">
        <v>104</v>
      </c>
      <c r="AP125" t="s">
        <v>104</v>
      </c>
      <c r="AQ125" t="s">
        <v>104</v>
      </c>
      <c r="AS125" s="3">
        <f t="shared" si="1"/>
        <v>46447</v>
      </c>
      <c r="AT125" s="2"/>
      <c r="AX125" s="5" t="str">
        <v/>
      </c>
    </row>
    <row r="126" spans="2:50" x14ac:dyDescent="0.25">
      <c r="B126" t="s">
        <v>725</v>
      </c>
      <c r="C126" t="s">
        <v>288</v>
      </c>
      <c r="D126" t="s">
        <v>101</v>
      </c>
      <c r="H126" t="s">
        <v>726</v>
      </c>
      <c r="I126">
        <v>171.36</v>
      </c>
      <c r="J126">
        <v>0</v>
      </c>
      <c r="K126">
        <v>45888</v>
      </c>
      <c r="L126">
        <v>46010</v>
      </c>
      <c r="M126" t="s">
        <v>291</v>
      </c>
      <c r="Q126" t="s">
        <v>353</v>
      </c>
      <c r="R126" t="s">
        <v>727</v>
      </c>
      <c r="S126">
        <v>1570</v>
      </c>
      <c r="T126">
        <v>1680</v>
      </c>
      <c r="U126">
        <v>1990</v>
      </c>
      <c r="AA126" t="s">
        <v>104</v>
      </c>
      <c r="AB126" t="s">
        <v>104</v>
      </c>
      <c r="AC126" t="s">
        <v>104</v>
      </c>
      <c r="AD126" t="s">
        <v>104</v>
      </c>
      <c r="AF126" t="s">
        <v>728</v>
      </c>
      <c r="AG126" t="s">
        <v>729</v>
      </c>
      <c r="AH126" t="s">
        <v>145</v>
      </c>
      <c r="AI126" t="s">
        <v>104</v>
      </c>
      <c r="AJ126" t="s">
        <v>104</v>
      </c>
      <c r="AK126" t="s">
        <v>104</v>
      </c>
      <c r="AL126" t="s">
        <v>104</v>
      </c>
      <c r="AM126" t="s">
        <v>104</v>
      </c>
      <c r="AN126" t="s">
        <v>104</v>
      </c>
      <c r="AO126" t="s">
        <v>104</v>
      </c>
      <c r="AP126" t="s">
        <v>104</v>
      </c>
      <c r="AQ126" t="s">
        <v>104</v>
      </c>
      <c r="AS126" s="3">
        <f t="shared" si="1"/>
        <v>46454</v>
      </c>
      <c r="AT126" s="2">
        <v>0.2</v>
      </c>
      <c r="AX126" s="5" t="str">
        <v/>
      </c>
    </row>
    <row r="127" spans="2:50" x14ac:dyDescent="0.25">
      <c r="B127" t="s">
        <v>730</v>
      </c>
      <c r="C127" t="s">
        <v>288</v>
      </c>
      <c r="D127" t="s">
        <v>316</v>
      </c>
      <c r="H127" t="s">
        <v>731</v>
      </c>
      <c r="I127">
        <v>151</v>
      </c>
      <c r="J127" t="s">
        <v>392</v>
      </c>
      <c r="K127">
        <v>46083</v>
      </c>
      <c r="M127" t="s">
        <v>291</v>
      </c>
      <c r="Q127" t="s">
        <v>353</v>
      </c>
      <c r="R127" t="s">
        <v>732</v>
      </c>
      <c r="S127">
        <v>1820</v>
      </c>
      <c r="T127">
        <v>1888</v>
      </c>
      <c r="U127">
        <v>2192</v>
      </c>
      <c r="AA127" t="s">
        <v>104</v>
      </c>
      <c r="AB127" t="s">
        <v>104</v>
      </c>
      <c r="AC127" t="s">
        <v>104</v>
      </c>
      <c r="AD127" t="s">
        <v>104</v>
      </c>
      <c r="AF127" t="s">
        <v>728</v>
      </c>
      <c r="AG127" t="s">
        <v>729</v>
      </c>
      <c r="AH127" t="s">
        <v>145</v>
      </c>
      <c r="AI127" t="s">
        <v>104</v>
      </c>
      <c r="AJ127" t="s">
        <v>104</v>
      </c>
      <c r="AK127" t="s">
        <v>104</v>
      </c>
      <c r="AL127" t="s">
        <v>104</v>
      </c>
      <c r="AM127" t="s">
        <v>104</v>
      </c>
      <c r="AN127" t="s">
        <v>104</v>
      </c>
      <c r="AO127" t="s">
        <v>104</v>
      </c>
      <c r="AP127" t="s">
        <v>104</v>
      </c>
      <c r="AQ127" t="s">
        <v>104</v>
      </c>
      <c r="AS127" s="3">
        <f t="shared" si="1"/>
        <v>46461</v>
      </c>
      <c r="AT127" s="2"/>
      <c r="AX127" s="5" t="str">
        <v/>
      </c>
    </row>
    <row r="128" spans="2:50" x14ac:dyDescent="0.25">
      <c r="H128" t="s">
        <v>733</v>
      </c>
      <c r="I128">
        <v>139</v>
      </c>
      <c r="J128">
        <v>0</v>
      </c>
      <c r="M128" t="s">
        <v>291</v>
      </c>
      <c r="Q128" t="s">
        <v>353</v>
      </c>
      <c r="R128" t="s">
        <v>734</v>
      </c>
      <c r="S128">
        <v>1256</v>
      </c>
      <c r="T128">
        <v>1500</v>
      </c>
      <c r="U128">
        <v>1710</v>
      </c>
      <c r="AA128" t="s">
        <v>104</v>
      </c>
      <c r="AB128" t="s">
        <v>104</v>
      </c>
      <c r="AC128" t="s">
        <v>104</v>
      </c>
      <c r="AD128" t="s">
        <v>104</v>
      </c>
      <c r="AF128" t="s">
        <v>728</v>
      </c>
      <c r="AG128" t="s">
        <v>729</v>
      </c>
      <c r="AH128" t="s">
        <v>145</v>
      </c>
      <c r="AI128" t="s">
        <v>104</v>
      </c>
      <c r="AJ128" t="s">
        <v>104</v>
      </c>
      <c r="AK128" t="s">
        <v>104</v>
      </c>
      <c r="AL128" t="s">
        <v>104</v>
      </c>
      <c r="AM128" t="s">
        <v>104</v>
      </c>
      <c r="AN128" t="s">
        <v>104</v>
      </c>
      <c r="AO128" t="s">
        <v>104</v>
      </c>
      <c r="AP128" t="s">
        <v>104</v>
      </c>
      <c r="AQ128" t="s">
        <v>104</v>
      </c>
      <c r="AS128" s="3">
        <f t="shared" si="1"/>
        <v>46468</v>
      </c>
      <c r="AT128" s="2">
        <v>0.2</v>
      </c>
      <c r="AX128" s="5" t="str">
        <v/>
      </c>
    </row>
    <row r="129" spans="8:50" x14ac:dyDescent="0.25">
      <c r="H129" t="s">
        <v>327</v>
      </c>
      <c r="I129">
        <v>146</v>
      </c>
      <c r="J129" t="s">
        <v>681</v>
      </c>
      <c r="K129">
        <v>45887</v>
      </c>
      <c r="M129" t="s">
        <v>291</v>
      </c>
      <c r="Q129" t="s">
        <v>353</v>
      </c>
      <c r="R129" t="s">
        <v>735</v>
      </c>
      <c r="S129">
        <v>1570</v>
      </c>
      <c r="T129">
        <v>1680</v>
      </c>
      <c r="U129">
        <v>2070</v>
      </c>
      <c r="AA129" t="s">
        <v>104</v>
      </c>
      <c r="AB129" t="s">
        <v>104</v>
      </c>
      <c r="AC129" t="s">
        <v>104</v>
      </c>
      <c r="AD129" t="s">
        <v>104</v>
      </c>
      <c r="AF129" t="s">
        <v>728</v>
      </c>
      <c r="AG129" t="s">
        <v>729</v>
      </c>
      <c r="AH129" t="s">
        <v>145</v>
      </c>
      <c r="AI129" t="s">
        <v>104</v>
      </c>
      <c r="AJ129" t="s">
        <v>104</v>
      </c>
      <c r="AK129" t="s">
        <v>104</v>
      </c>
      <c r="AL129" t="s">
        <v>104</v>
      </c>
      <c r="AM129" t="s">
        <v>104</v>
      </c>
      <c r="AN129" t="s">
        <v>104</v>
      </c>
      <c r="AO129" t="s">
        <v>104</v>
      </c>
      <c r="AP129" t="s">
        <v>104</v>
      </c>
      <c r="AQ129" t="s">
        <v>104</v>
      </c>
      <c r="AS129" s="3">
        <f t="shared" si="1"/>
        <v>46475</v>
      </c>
      <c r="AT129" s="2">
        <v>0.2</v>
      </c>
      <c r="AX129" s="5" t="str">
        <v/>
      </c>
    </row>
    <row r="130" spans="8:50" x14ac:dyDescent="0.25">
      <c r="H130" t="s">
        <v>736</v>
      </c>
      <c r="I130">
        <v>90</v>
      </c>
      <c r="J130" t="s">
        <v>298</v>
      </c>
      <c r="K130">
        <v>45957</v>
      </c>
      <c r="M130" t="s">
        <v>291</v>
      </c>
      <c r="Q130" t="s">
        <v>353</v>
      </c>
      <c r="R130" t="s">
        <v>737</v>
      </c>
      <c r="S130">
        <v>1570</v>
      </c>
      <c r="T130">
        <v>1680</v>
      </c>
      <c r="U130">
        <v>2070</v>
      </c>
      <c r="AA130" t="s">
        <v>104</v>
      </c>
      <c r="AB130" t="s">
        <v>104</v>
      </c>
      <c r="AC130" t="s">
        <v>104</v>
      </c>
      <c r="AD130" t="s">
        <v>104</v>
      </c>
      <c r="AF130" t="s">
        <v>728</v>
      </c>
      <c r="AG130" t="s">
        <v>729</v>
      </c>
      <c r="AH130" t="s">
        <v>145</v>
      </c>
      <c r="AI130" t="s">
        <v>104</v>
      </c>
      <c r="AJ130" t="s">
        <v>104</v>
      </c>
      <c r="AK130" t="s">
        <v>104</v>
      </c>
      <c r="AL130" t="s">
        <v>104</v>
      </c>
      <c r="AM130" t="s">
        <v>104</v>
      </c>
      <c r="AN130" t="s">
        <v>104</v>
      </c>
      <c r="AO130" t="s">
        <v>104</v>
      </c>
      <c r="AP130" t="s">
        <v>104</v>
      </c>
      <c r="AQ130" t="s">
        <v>104</v>
      </c>
      <c r="AS130" s="3">
        <f t="shared" si="1"/>
        <v>46482</v>
      </c>
      <c r="AT130" s="2"/>
      <c r="AX130" s="5" t="str">
        <v/>
      </c>
    </row>
    <row r="131" spans="8:50" x14ac:dyDescent="0.25">
      <c r="H131" t="s">
        <v>738</v>
      </c>
      <c r="I131">
        <v>175</v>
      </c>
      <c r="J131">
        <v>0</v>
      </c>
      <c r="K131">
        <v>45988</v>
      </c>
      <c r="L131">
        <v>46066</v>
      </c>
      <c r="M131" t="s">
        <v>291</v>
      </c>
      <c r="Q131" t="s">
        <v>353</v>
      </c>
      <c r="R131" t="s">
        <v>739</v>
      </c>
      <c r="S131">
        <v>1570</v>
      </c>
      <c r="T131">
        <v>1680</v>
      </c>
      <c r="U131">
        <v>2070</v>
      </c>
      <c r="AA131" t="s">
        <v>104</v>
      </c>
      <c r="AB131" t="s">
        <v>104</v>
      </c>
      <c r="AC131" t="s">
        <v>104</v>
      </c>
      <c r="AD131" t="s">
        <v>104</v>
      </c>
      <c r="AF131" t="s">
        <v>728</v>
      </c>
      <c r="AG131" t="s">
        <v>729</v>
      </c>
      <c r="AH131" t="s">
        <v>145</v>
      </c>
      <c r="AI131" t="s">
        <v>104</v>
      </c>
      <c r="AJ131" t="s">
        <v>104</v>
      </c>
      <c r="AK131" t="s">
        <v>104</v>
      </c>
      <c r="AL131" t="s">
        <v>104</v>
      </c>
      <c r="AM131" t="s">
        <v>104</v>
      </c>
      <c r="AN131" t="s">
        <v>104</v>
      </c>
      <c r="AO131" t="s">
        <v>104</v>
      </c>
      <c r="AP131" t="s">
        <v>104</v>
      </c>
      <c r="AQ131" t="s">
        <v>104</v>
      </c>
      <c r="AS131" s="3">
        <f t="shared" si="1"/>
        <v>46489</v>
      </c>
      <c r="AT131" s="2"/>
      <c r="AX131" s="5" t="str">
        <v/>
      </c>
    </row>
    <row r="132" spans="8:50" x14ac:dyDescent="0.25">
      <c r="H132" t="s">
        <v>740</v>
      </c>
      <c r="I132">
        <v>0</v>
      </c>
      <c r="J132" t="s">
        <v>741</v>
      </c>
      <c r="M132" t="s">
        <v>356</v>
      </c>
      <c r="Q132" t="s">
        <v>304</v>
      </c>
      <c r="R132" t="s">
        <v>717</v>
      </c>
      <c r="S132">
        <v>1400</v>
      </c>
      <c r="T132">
        <v>1700</v>
      </c>
      <c r="U132">
        <v>1900</v>
      </c>
      <c r="V132">
        <v>2100</v>
      </c>
      <c r="W132">
        <v>2100</v>
      </c>
      <c r="AA132" t="s">
        <v>104</v>
      </c>
      <c r="AB132" t="s">
        <v>104</v>
      </c>
      <c r="AC132" t="s">
        <v>104</v>
      </c>
      <c r="AD132" t="s">
        <v>104</v>
      </c>
      <c r="AF132" t="s">
        <v>742</v>
      </c>
      <c r="AG132" t="s">
        <v>743</v>
      </c>
      <c r="AH132" t="s">
        <v>744</v>
      </c>
      <c r="AI132" t="s">
        <v>729</v>
      </c>
      <c r="AJ132" t="s">
        <v>745</v>
      </c>
      <c r="AK132" t="s">
        <v>104</v>
      </c>
      <c r="AL132" t="s">
        <v>104</v>
      </c>
      <c r="AM132" t="s">
        <v>104</v>
      </c>
      <c r="AN132" t="s">
        <v>104</v>
      </c>
      <c r="AO132" t="s">
        <v>104</v>
      </c>
      <c r="AP132" t="s">
        <v>104</v>
      </c>
      <c r="AQ132" t="s">
        <v>104</v>
      </c>
      <c r="AS132" s="3">
        <f t="shared" ref="AS132:AS195" si="2">AS131+7</f>
        <v>46496</v>
      </c>
      <c r="AT132" s="2"/>
      <c r="AX132" s="5" t="str">
        <v/>
      </c>
    </row>
    <row r="133" spans="8:50" x14ac:dyDescent="0.25">
      <c r="H133" t="s">
        <v>746</v>
      </c>
      <c r="I133">
        <v>90</v>
      </c>
      <c r="J133" t="s">
        <v>747</v>
      </c>
      <c r="M133" t="s">
        <v>291</v>
      </c>
      <c r="Q133" t="s">
        <v>304</v>
      </c>
      <c r="R133" t="s">
        <v>720</v>
      </c>
      <c r="S133">
        <v>1400</v>
      </c>
      <c r="T133">
        <v>1700</v>
      </c>
      <c r="U133">
        <v>1900</v>
      </c>
      <c r="V133">
        <v>2100</v>
      </c>
      <c r="W133">
        <v>2100</v>
      </c>
      <c r="AA133" t="s">
        <v>104</v>
      </c>
      <c r="AB133" t="s">
        <v>104</v>
      </c>
      <c r="AC133" t="s">
        <v>104</v>
      </c>
      <c r="AD133" t="s">
        <v>104</v>
      </c>
      <c r="AF133" t="s">
        <v>742</v>
      </c>
      <c r="AG133" t="s">
        <v>743</v>
      </c>
      <c r="AH133" t="s">
        <v>744</v>
      </c>
      <c r="AI133" t="s">
        <v>729</v>
      </c>
      <c r="AJ133" t="s">
        <v>745</v>
      </c>
      <c r="AK133" t="s">
        <v>104</v>
      </c>
      <c r="AL133" t="s">
        <v>104</v>
      </c>
      <c r="AM133" t="s">
        <v>104</v>
      </c>
      <c r="AN133" t="s">
        <v>104</v>
      </c>
      <c r="AO133" t="s">
        <v>104</v>
      </c>
      <c r="AP133" t="s">
        <v>104</v>
      </c>
      <c r="AQ133" t="s">
        <v>104</v>
      </c>
      <c r="AS133" s="3">
        <f t="shared" si="2"/>
        <v>46503</v>
      </c>
      <c r="AT133" s="2">
        <v>0.2</v>
      </c>
      <c r="AX133" s="5" t="str">
        <v/>
      </c>
    </row>
    <row r="134" spans="8:50" x14ac:dyDescent="0.25">
      <c r="H134" t="s">
        <v>748</v>
      </c>
      <c r="I134">
        <v>144.06</v>
      </c>
      <c r="J134">
        <v>0</v>
      </c>
      <c r="K134">
        <v>45957</v>
      </c>
      <c r="L134">
        <v>46112</v>
      </c>
      <c r="M134" t="s">
        <v>291</v>
      </c>
      <c r="Q134" t="s">
        <v>338</v>
      </c>
      <c r="R134" t="s">
        <v>749</v>
      </c>
      <c r="S134">
        <v>1520</v>
      </c>
      <c r="T134">
        <v>1800</v>
      </c>
      <c r="U134">
        <v>2200</v>
      </c>
      <c r="V134">
        <v>3200</v>
      </c>
      <c r="W134">
        <v>4000</v>
      </c>
      <c r="X134">
        <v>5400</v>
      </c>
      <c r="AF134" t="s">
        <v>750</v>
      </c>
      <c r="AG134" t="s">
        <v>751</v>
      </c>
      <c r="AH134" t="s">
        <v>752</v>
      </c>
      <c r="AI134" t="s">
        <v>753</v>
      </c>
      <c r="AJ134" t="s">
        <v>754</v>
      </c>
      <c r="AK134" t="s">
        <v>755</v>
      </c>
      <c r="AL134" t="s">
        <v>104</v>
      </c>
      <c r="AM134" t="s">
        <v>104</v>
      </c>
      <c r="AN134" t="s">
        <v>104</v>
      </c>
      <c r="AO134" t="s">
        <v>104</v>
      </c>
      <c r="AP134" t="s">
        <v>104</v>
      </c>
      <c r="AQ134" t="s">
        <v>104</v>
      </c>
      <c r="AS134" s="3">
        <f t="shared" si="2"/>
        <v>46510</v>
      </c>
      <c r="AT134" s="2"/>
      <c r="AX134" s="5" t="str">
        <v>Maximum Rates - Application, software engineering and development services</v>
      </c>
    </row>
    <row r="135" spans="8:50" x14ac:dyDescent="0.25">
      <c r="H135" t="s">
        <v>756</v>
      </c>
      <c r="I135">
        <v>170.96</v>
      </c>
      <c r="J135">
        <v>0</v>
      </c>
      <c r="K135">
        <v>46083</v>
      </c>
      <c r="M135" t="s">
        <v>291</v>
      </c>
      <c r="Q135" t="s">
        <v>338</v>
      </c>
      <c r="R135" t="s">
        <v>757</v>
      </c>
      <c r="S135">
        <v>1520</v>
      </c>
      <c r="T135">
        <v>1800</v>
      </c>
      <c r="U135">
        <v>2200</v>
      </c>
      <c r="V135">
        <v>3200</v>
      </c>
      <c r="W135">
        <v>4000</v>
      </c>
      <c r="X135">
        <v>5400</v>
      </c>
      <c r="AF135" t="s">
        <v>750</v>
      </c>
      <c r="AG135" t="s">
        <v>751</v>
      </c>
      <c r="AH135" t="s">
        <v>752</v>
      </c>
      <c r="AI135" t="s">
        <v>753</v>
      </c>
      <c r="AJ135" t="s">
        <v>754</v>
      </c>
      <c r="AK135" t="s">
        <v>755</v>
      </c>
      <c r="AL135" t="s">
        <v>104</v>
      </c>
      <c r="AM135" t="s">
        <v>104</v>
      </c>
      <c r="AN135" t="s">
        <v>104</v>
      </c>
      <c r="AO135" t="s">
        <v>104</v>
      </c>
      <c r="AP135" t="s">
        <v>104</v>
      </c>
      <c r="AQ135" t="s">
        <v>104</v>
      </c>
      <c r="AS135" s="3">
        <f t="shared" si="2"/>
        <v>46517</v>
      </c>
      <c r="AT135" s="2"/>
      <c r="AX135" s="5" t="str">
        <v>Maximum Rates - Architecture services</v>
      </c>
    </row>
    <row r="136" spans="8:50" x14ac:dyDescent="0.25">
      <c r="H136" t="s">
        <v>332</v>
      </c>
      <c r="I136">
        <v>0</v>
      </c>
      <c r="J136" t="s">
        <v>758</v>
      </c>
      <c r="M136" t="s">
        <v>356</v>
      </c>
      <c r="Q136" t="s">
        <v>338</v>
      </c>
      <c r="R136" t="s">
        <v>759</v>
      </c>
      <c r="S136">
        <v>1520</v>
      </c>
      <c r="T136">
        <v>1800</v>
      </c>
      <c r="U136">
        <v>2200</v>
      </c>
      <c r="V136">
        <v>3200</v>
      </c>
      <c r="W136">
        <v>4000</v>
      </c>
      <c r="X136">
        <v>5400</v>
      </c>
      <c r="AF136" t="s">
        <v>750</v>
      </c>
      <c r="AG136" t="s">
        <v>751</v>
      </c>
      <c r="AH136" t="s">
        <v>752</v>
      </c>
      <c r="AI136" t="s">
        <v>753</v>
      </c>
      <c r="AJ136" t="s">
        <v>754</v>
      </c>
      <c r="AK136" t="s">
        <v>755</v>
      </c>
      <c r="AL136" t="s">
        <v>104</v>
      </c>
      <c r="AM136" t="s">
        <v>104</v>
      </c>
      <c r="AN136" t="s">
        <v>104</v>
      </c>
      <c r="AO136" t="s">
        <v>104</v>
      </c>
      <c r="AP136" t="s">
        <v>104</v>
      </c>
      <c r="AQ136" t="s">
        <v>104</v>
      </c>
      <c r="AS136" s="3">
        <f t="shared" si="2"/>
        <v>46524</v>
      </c>
      <c r="AT136" s="2"/>
      <c r="AX136" s="5" t="str">
        <v>Maximum Rates - Business, systems and process analysis services</v>
      </c>
    </row>
    <row r="137" spans="8:50" x14ac:dyDescent="0.25">
      <c r="H137" t="s">
        <v>760</v>
      </c>
      <c r="I137">
        <v>174</v>
      </c>
      <c r="J137" t="s">
        <v>681</v>
      </c>
      <c r="K137">
        <v>45579</v>
      </c>
      <c r="L137">
        <v>46295</v>
      </c>
      <c r="M137" t="s">
        <v>291</v>
      </c>
      <c r="Q137" t="s">
        <v>338</v>
      </c>
      <c r="R137" t="s">
        <v>761</v>
      </c>
      <c r="S137">
        <v>1200</v>
      </c>
      <c r="T137">
        <v>1520</v>
      </c>
      <c r="U137">
        <v>1800</v>
      </c>
      <c r="V137">
        <v>2200</v>
      </c>
      <c r="W137">
        <v>3200</v>
      </c>
      <c r="X137">
        <v>4400</v>
      </c>
      <c r="AF137" t="s">
        <v>750</v>
      </c>
      <c r="AG137" t="s">
        <v>751</v>
      </c>
      <c r="AH137" t="s">
        <v>752</v>
      </c>
      <c r="AI137" t="s">
        <v>753</v>
      </c>
      <c r="AJ137" t="s">
        <v>754</v>
      </c>
      <c r="AK137" t="s">
        <v>755</v>
      </c>
      <c r="AL137" t="s">
        <v>104</v>
      </c>
      <c r="AM137" t="s">
        <v>104</v>
      </c>
      <c r="AN137" t="s">
        <v>104</v>
      </c>
      <c r="AO137" t="s">
        <v>104</v>
      </c>
      <c r="AP137" t="s">
        <v>104</v>
      </c>
      <c r="AQ137" t="s">
        <v>104</v>
      </c>
      <c r="AS137" s="3">
        <f t="shared" si="2"/>
        <v>46531</v>
      </c>
      <c r="AT137" s="2"/>
      <c r="AX137" s="5" t="str">
        <v>Maximum Rates - Content and publishing services</v>
      </c>
    </row>
    <row r="138" spans="8:50" x14ac:dyDescent="0.25">
      <c r="H138" t="s">
        <v>762</v>
      </c>
      <c r="I138">
        <v>138.91</v>
      </c>
      <c r="J138">
        <v>0</v>
      </c>
      <c r="K138">
        <v>45859</v>
      </c>
      <c r="L138">
        <v>46003</v>
      </c>
      <c r="M138" t="s">
        <v>291</v>
      </c>
      <c r="Q138" t="s">
        <v>338</v>
      </c>
      <c r="R138" t="s">
        <v>763</v>
      </c>
      <c r="S138">
        <v>1520</v>
      </c>
      <c r="T138">
        <v>1800</v>
      </c>
      <c r="U138">
        <v>2200</v>
      </c>
      <c r="V138">
        <v>3200</v>
      </c>
      <c r="W138">
        <v>4000</v>
      </c>
      <c r="X138">
        <v>5400</v>
      </c>
      <c r="AF138" t="s">
        <v>750</v>
      </c>
      <c r="AG138" t="s">
        <v>751</v>
      </c>
      <c r="AH138" t="s">
        <v>752</v>
      </c>
      <c r="AI138" t="s">
        <v>753</v>
      </c>
      <c r="AJ138" t="s">
        <v>754</v>
      </c>
      <c r="AK138" t="s">
        <v>755</v>
      </c>
      <c r="AL138" t="s">
        <v>104</v>
      </c>
      <c r="AM138" t="s">
        <v>104</v>
      </c>
      <c r="AN138" t="s">
        <v>104</v>
      </c>
      <c r="AO138" t="s">
        <v>104</v>
      </c>
      <c r="AP138" t="s">
        <v>104</v>
      </c>
      <c r="AQ138" t="s">
        <v>104</v>
      </c>
      <c r="AS138" s="3">
        <f t="shared" si="2"/>
        <v>46538</v>
      </c>
      <c r="AT138" s="2">
        <v>0.2</v>
      </c>
      <c r="AX138" s="5" t="str">
        <v>Maximum Rates - Cybersecurity Services</v>
      </c>
    </row>
    <row r="139" spans="8:50" x14ac:dyDescent="0.25">
      <c r="H139" t="s">
        <v>764</v>
      </c>
      <c r="I139">
        <v>193</v>
      </c>
      <c r="J139">
        <v>0</v>
      </c>
      <c r="M139" t="s">
        <v>291</v>
      </c>
      <c r="Q139" t="s">
        <v>338</v>
      </c>
      <c r="R139" t="s">
        <v>765</v>
      </c>
      <c r="S139">
        <v>1520</v>
      </c>
      <c r="T139">
        <v>1800</v>
      </c>
      <c r="U139">
        <v>2200</v>
      </c>
      <c r="V139">
        <v>3200</v>
      </c>
      <c r="W139">
        <v>4000</v>
      </c>
      <c r="X139">
        <v>5400</v>
      </c>
      <c r="AF139" t="s">
        <v>750</v>
      </c>
      <c r="AG139" t="s">
        <v>751</v>
      </c>
      <c r="AH139" t="s">
        <v>752</v>
      </c>
      <c r="AI139" t="s">
        <v>753</v>
      </c>
      <c r="AJ139" t="s">
        <v>754</v>
      </c>
      <c r="AK139" t="s">
        <v>755</v>
      </c>
      <c r="AL139" t="s">
        <v>104</v>
      </c>
      <c r="AM139" t="s">
        <v>104</v>
      </c>
      <c r="AN139" t="s">
        <v>104</v>
      </c>
      <c r="AO139" t="s">
        <v>104</v>
      </c>
      <c r="AP139" t="s">
        <v>104</v>
      </c>
      <c r="AQ139" t="s">
        <v>104</v>
      </c>
      <c r="AS139" s="3">
        <f t="shared" si="2"/>
        <v>46545</v>
      </c>
      <c r="AT139" s="2"/>
      <c r="AX139" s="5" t="str">
        <v>Maximum Rates - Data analytics and business intelligence services</v>
      </c>
    </row>
    <row r="140" spans="8:50" x14ac:dyDescent="0.25">
      <c r="H140" t="s">
        <v>126</v>
      </c>
      <c r="I140">
        <v>146</v>
      </c>
      <c r="J140" t="s">
        <v>681</v>
      </c>
      <c r="M140" t="s">
        <v>291</v>
      </c>
      <c r="Q140" t="s">
        <v>338</v>
      </c>
      <c r="R140" t="s">
        <v>766</v>
      </c>
      <c r="S140">
        <v>1520</v>
      </c>
      <c r="T140">
        <v>1800</v>
      </c>
      <c r="U140">
        <v>2200</v>
      </c>
      <c r="V140">
        <v>3200</v>
      </c>
      <c r="W140">
        <v>4000</v>
      </c>
      <c r="X140">
        <v>5400</v>
      </c>
      <c r="AF140" t="s">
        <v>750</v>
      </c>
      <c r="AG140" t="s">
        <v>751</v>
      </c>
      <c r="AH140" t="s">
        <v>752</v>
      </c>
      <c r="AI140" t="s">
        <v>753</v>
      </c>
      <c r="AJ140" t="s">
        <v>754</v>
      </c>
      <c r="AK140" t="s">
        <v>755</v>
      </c>
      <c r="AL140" t="s">
        <v>104</v>
      </c>
      <c r="AM140" t="s">
        <v>104</v>
      </c>
      <c r="AN140" t="s">
        <v>104</v>
      </c>
      <c r="AO140" t="s">
        <v>104</v>
      </c>
      <c r="AP140" t="s">
        <v>104</v>
      </c>
      <c r="AQ140" t="s">
        <v>104</v>
      </c>
      <c r="AS140" s="3">
        <f t="shared" si="2"/>
        <v>46552</v>
      </c>
      <c r="AT140" s="2">
        <v>0.2</v>
      </c>
      <c r="AX140" s="5" t="str">
        <v>Maximum Rates - Digital sourcing, procurement and contract management services</v>
      </c>
    </row>
    <row r="141" spans="8:50" x14ac:dyDescent="0.25">
      <c r="H141" t="s">
        <v>767</v>
      </c>
      <c r="I141">
        <v>90</v>
      </c>
      <c r="J141" t="s">
        <v>298</v>
      </c>
      <c r="K141">
        <v>45950</v>
      </c>
      <c r="M141" t="s">
        <v>291</v>
      </c>
      <c r="Q141" t="s">
        <v>338</v>
      </c>
      <c r="R141" t="s">
        <v>768</v>
      </c>
      <c r="S141">
        <v>1520</v>
      </c>
      <c r="T141">
        <v>1800</v>
      </c>
      <c r="U141">
        <v>2200</v>
      </c>
      <c r="V141">
        <v>3200</v>
      </c>
      <c r="W141">
        <v>4000</v>
      </c>
      <c r="X141">
        <v>5400</v>
      </c>
      <c r="AF141" t="s">
        <v>750</v>
      </c>
      <c r="AG141" t="s">
        <v>751</v>
      </c>
      <c r="AH141" t="s">
        <v>752</v>
      </c>
      <c r="AI141" t="s">
        <v>753</v>
      </c>
      <c r="AJ141" t="s">
        <v>754</v>
      </c>
      <c r="AK141" t="s">
        <v>755</v>
      </c>
      <c r="AL141" t="s">
        <v>104</v>
      </c>
      <c r="AM141" t="s">
        <v>104</v>
      </c>
      <c r="AN141" t="s">
        <v>104</v>
      </c>
      <c r="AO141" t="s">
        <v>104</v>
      </c>
      <c r="AP141" t="s">
        <v>104</v>
      </c>
      <c r="AQ141" t="s">
        <v>104</v>
      </c>
      <c r="AS141" s="3">
        <f t="shared" si="2"/>
        <v>46559</v>
      </c>
      <c r="AT141" s="2"/>
      <c r="AX141" s="5" t="str">
        <v>Maximum Rates - Market research and advisory services</v>
      </c>
    </row>
    <row r="142" spans="8:50" x14ac:dyDescent="0.25">
      <c r="H142" t="s">
        <v>769</v>
      </c>
      <c r="I142">
        <v>147</v>
      </c>
      <c r="J142">
        <v>0</v>
      </c>
      <c r="M142" t="s">
        <v>291</v>
      </c>
      <c r="Q142" t="s">
        <v>338</v>
      </c>
      <c r="R142" t="s">
        <v>770</v>
      </c>
      <c r="S142">
        <v>1520</v>
      </c>
      <c r="T142">
        <v>1800</v>
      </c>
      <c r="U142">
        <v>2200</v>
      </c>
      <c r="V142">
        <v>3200</v>
      </c>
      <c r="W142">
        <v>4000</v>
      </c>
      <c r="X142">
        <v>5400</v>
      </c>
      <c r="AF142" t="s">
        <v>750</v>
      </c>
      <c r="AG142" t="s">
        <v>751</v>
      </c>
      <c r="AH142" t="s">
        <v>752</v>
      </c>
      <c r="AI142" t="s">
        <v>753</v>
      </c>
      <c r="AJ142" t="s">
        <v>754</v>
      </c>
      <c r="AK142" t="s">
        <v>755</v>
      </c>
      <c r="AL142" t="s">
        <v>104</v>
      </c>
      <c r="AM142" t="s">
        <v>104</v>
      </c>
      <c r="AN142" t="s">
        <v>104</v>
      </c>
      <c r="AO142" t="s">
        <v>104</v>
      </c>
      <c r="AP142" t="s">
        <v>104</v>
      </c>
      <c r="AQ142" t="s">
        <v>104</v>
      </c>
      <c r="AS142" s="3">
        <f t="shared" si="2"/>
        <v>46566</v>
      </c>
      <c r="AT142" s="2"/>
      <c r="AX142" s="5" t="str">
        <v>Maximum Rates - Marketing, advertising communications and engagement services</v>
      </c>
    </row>
    <row r="143" spans="8:50" x14ac:dyDescent="0.25">
      <c r="H143" t="s">
        <v>771</v>
      </c>
      <c r="I143">
        <v>145</v>
      </c>
      <c r="J143">
        <v>0</v>
      </c>
      <c r="K143">
        <v>45888</v>
      </c>
      <c r="L143">
        <v>45924</v>
      </c>
      <c r="M143" t="s">
        <v>291</v>
      </c>
      <c r="Q143" t="s">
        <v>338</v>
      </c>
      <c r="R143" t="s">
        <v>772</v>
      </c>
      <c r="S143">
        <v>1520</v>
      </c>
      <c r="T143">
        <v>1800</v>
      </c>
      <c r="U143">
        <v>2200</v>
      </c>
      <c r="V143">
        <v>3200</v>
      </c>
      <c r="W143">
        <v>4000</v>
      </c>
      <c r="X143">
        <v>5400</v>
      </c>
      <c r="AF143" t="s">
        <v>750</v>
      </c>
      <c r="AG143" t="s">
        <v>751</v>
      </c>
      <c r="AH143" t="s">
        <v>752</v>
      </c>
      <c r="AI143" t="s">
        <v>753</v>
      </c>
      <c r="AJ143" t="s">
        <v>754</v>
      </c>
      <c r="AK143" t="s">
        <v>755</v>
      </c>
      <c r="AL143" t="s">
        <v>104</v>
      </c>
      <c r="AM143" t="s">
        <v>104</v>
      </c>
      <c r="AN143" t="s">
        <v>104</v>
      </c>
      <c r="AO143" t="s">
        <v>104</v>
      </c>
      <c r="AP143" t="s">
        <v>104</v>
      </c>
      <c r="AQ143" t="s">
        <v>104</v>
      </c>
      <c r="AS143" s="3">
        <f t="shared" si="2"/>
        <v>46573</v>
      </c>
      <c r="AT143" s="2"/>
      <c r="AX143" s="5" t="str">
        <v>Maximum Rates - Program, project and change management services</v>
      </c>
    </row>
    <row r="144" spans="8:50" x14ac:dyDescent="0.25">
      <c r="H144" t="s">
        <v>773</v>
      </c>
      <c r="I144">
        <v>187</v>
      </c>
      <c r="J144">
        <v>0</v>
      </c>
      <c r="K144">
        <v>45658</v>
      </c>
      <c r="L144">
        <v>46387</v>
      </c>
      <c r="M144" t="s">
        <v>291</v>
      </c>
      <c r="Q144" t="s">
        <v>338</v>
      </c>
      <c r="R144" t="s">
        <v>774</v>
      </c>
      <c r="S144">
        <v>1520</v>
      </c>
      <c r="T144">
        <v>1800</v>
      </c>
      <c r="U144">
        <v>2200</v>
      </c>
      <c r="V144">
        <v>3200</v>
      </c>
      <c r="W144">
        <v>4000</v>
      </c>
      <c r="X144">
        <v>5400</v>
      </c>
      <c r="AF144" t="s">
        <v>750</v>
      </c>
      <c r="AG144" t="s">
        <v>751</v>
      </c>
      <c r="AH144" t="s">
        <v>752</v>
      </c>
      <c r="AI144" t="s">
        <v>753</v>
      </c>
      <c r="AJ144" t="s">
        <v>754</v>
      </c>
      <c r="AK144" t="s">
        <v>755</v>
      </c>
      <c r="AL144" t="s">
        <v>104</v>
      </c>
      <c r="AM144" t="s">
        <v>104</v>
      </c>
      <c r="AN144" t="s">
        <v>104</v>
      </c>
      <c r="AO144" t="s">
        <v>104</v>
      </c>
      <c r="AP144" t="s">
        <v>104</v>
      </c>
      <c r="AQ144" t="s">
        <v>104</v>
      </c>
      <c r="AS144" s="3">
        <f t="shared" si="2"/>
        <v>46580</v>
      </c>
      <c r="AT144" s="2"/>
      <c r="AX144" s="5" t="str">
        <v>Maximum Rates - Risk management, benchmarking and audit services</v>
      </c>
    </row>
    <row r="145" spans="8:50" x14ac:dyDescent="0.25">
      <c r="H145" t="s">
        <v>775</v>
      </c>
      <c r="I145">
        <v>146</v>
      </c>
      <c r="J145" t="s">
        <v>681</v>
      </c>
      <c r="K145" t="s">
        <v>776</v>
      </c>
      <c r="M145" t="s">
        <v>291</v>
      </c>
      <c r="Q145" t="s">
        <v>338</v>
      </c>
      <c r="R145" t="s">
        <v>777</v>
      </c>
      <c r="S145">
        <v>1520</v>
      </c>
      <c r="T145">
        <v>1800</v>
      </c>
      <c r="U145">
        <v>2200</v>
      </c>
      <c r="V145">
        <v>3200</v>
      </c>
      <c r="W145">
        <v>4000</v>
      </c>
      <c r="X145">
        <v>5400</v>
      </c>
      <c r="AF145" t="s">
        <v>750</v>
      </c>
      <c r="AG145" t="s">
        <v>751</v>
      </c>
      <c r="AH145" t="s">
        <v>752</v>
      </c>
      <c r="AI145" t="s">
        <v>753</v>
      </c>
      <c r="AJ145" t="s">
        <v>754</v>
      </c>
      <c r="AK145" t="s">
        <v>755</v>
      </c>
      <c r="AL145" t="s">
        <v>104</v>
      </c>
      <c r="AM145" t="s">
        <v>104</v>
      </c>
      <c r="AN145" t="s">
        <v>104</v>
      </c>
      <c r="AO145" t="s">
        <v>104</v>
      </c>
      <c r="AP145" t="s">
        <v>104</v>
      </c>
      <c r="AQ145" t="s">
        <v>104</v>
      </c>
      <c r="AS145" s="3">
        <f t="shared" si="2"/>
        <v>46587</v>
      </c>
      <c r="AT145" s="2"/>
      <c r="AX145" s="5" t="str">
        <v>Maximum Rates - Solutions implementation services</v>
      </c>
    </row>
    <row r="146" spans="8:50" x14ac:dyDescent="0.25">
      <c r="H146" t="s">
        <v>118</v>
      </c>
      <c r="I146">
        <v>146</v>
      </c>
      <c r="J146" t="s">
        <v>681</v>
      </c>
      <c r="M146" t="s">
        <v>291</v>
      </c>
      <c r="Q146" t="s">
        <v>338</v>
      </c>
      <c r="R146" t="s">
        <v>778</v>
      </c>
      <c r="S146">
        <v>1520</v>
      </c>
      <c r="T146">
        <v>1800</v>
      </c>
      <c r="U146">
        <v>2200</v>
      </c>
      <c r="V146">
        <v>3200</v>
      </c>
      <c r="W146">
        <v>4000</v>
      </c>
      <c r="X146">
        <v>5400</v>
      </c>
      <c r="AF146" t="s">
        <v>750</v>
      </c>
      <c r="AG146" t="s">
        <v>751</v>
      </c>
      <c r="AH146" t="s">
        <v>752</v>
      </c>
      <c r="AI146" t="s">
        <v>753</v>
      </c>
      <c r="AJ146" t="s">
        <v>754</v>
      </c>
      <c r="AK146" t="s">
        <v>755</v>
      </c>
      <c r="AL146" t="s">
        <v>104</v>
      </c>
      <c r="AM146" t="s">
        <v>104</v>
      </c>
      <c r="AN146" t="s">
        <v>104</v>
      </c>
      <c r="AO146" t="s">
        <v>104</v>
      </c>
      <c r="AP146" t="s">
        <v>104</v>
      </c>
      <c r="AQ146" t="s">
        <v>104</v>
      </c>
      <c r="AS146" s="3">
        <f t="shared" si="2"/>
        <v>46594</v>
      </c>
      <c r="AT146" s="2"/>
      <c r="AX146" s="5" t="str">
        <v>Maximum Rates - Strategy, policy and governance services</v>
      </c>
    </row>
    <row r="147" spans="8:50" x14ac:dyDescent="0.25">
      <c r="H147" t="s">
        <v>779</v>
      </c>
      <c r="I147">
        <v>161.23308750000001</v>
      </c>
      <c r="J147">
        <v>0</v>
      </c>
      <c r="K147">
        <v>45901</v>
      </c>
      <c r="L147">
        <v>46066</v>
      </c>
      <c r="M147" t="s">
        <v>291</v>
      </c>
      <c r="Q147" t="s">
        <v>338</v>
      </c>
      <c r="R147" t="s">
        <v>780</v>
      </c>
      <c r="S147">
        <v>1200</v>
      </c>
      <c r="T147">
        <v>1520</v>
      </c>
      <c r="U147">
        <v>1800</v>
      </c>
      <c r="V147">
        <v>2200</v>
      </c>
      <c r="W147">
        <v>3200</v>
      </c>
      <c r="X147">
        <v>4400</v>
      </c>
      <c r="AF147" t="s">
        <v>750</v>
      </c>
      <c r="AG147" t="s">
        <v>751</v>
      </c>
      <c r="AH147" t="s">
        <v>752</v>
      </c>
      <c r="AI147" t="s">
        <v>753</v>
      </c>
      <c r="AJ147" t="s">
        <v>754</v>
      </c>
      <c r="AK147" t="s">
        <v>755</v>
      </c>
      <c r="AL147" t="s">
        <v>104</v>
      </c>
      <c r="AM147" t="s">
        <v>104</v>
      </c>
      <c r="AN147" t="s">
        <v>104</v>
      </c>
      <c r="AO147" t="s">
        <v>104</v>
      </c>
      <c r="AP147" t="s">
        <v>104</v>
      </c>
      <c r="AQ147" t="s">
        <v>104</v>
      </c>
      <c r="AS147" s="3">
        <f t="shared" si="2"/>
        <v>46601</v>
      </c>
      <c r="AT147" s="2"/>
      <c r="AX147" s="5" t="str">
        <v>Maximum Rates - Support and operations services</v>
      </c>
    </row>
    <row r="148" spans="8:50" x14ac:dyDescent="0.25">
      <c r="H148" t="s">
        <v>781</v>
      </c>
      <c r="I148">
        <v>214</v>
      </c>
      <c r="J148">
        <v>0</v>
      </c>
      <c r="K148">
        <v>45474</v>
      </c>
      <c r="L148">
        <v>45905</v>
      </c>
      <c r="M148" t="s">
        <v>291</v>
      </c>
      <c r="Q148" t="s">
        <v>338</v>
      </c>
      <c r="R148" t="s">
        <v>782</v>
      </c>
      <c r="S148">
        <v>1200</v>
      </c>
      <c r="T148">
        <v>1520</v>
      </c>
      <c r="U148">
        <v>1800</v>
      </c>
      <c r="V148">
        <v>2200</v>
      </c>
      <c r="W148">
        <v>3200</v>
      </c>
      <c r="X148">
        <v>4400</v>
      </c>
      <c r="AF148" t="s">
        <v>750</v>
      </c>
      <c r="AG148" t="s">
        <v>751</v>
      </c>
      <c r="AH148" t="s">
        <v>752</v>
      </c>
      <c r="AI148" t="s">
        <v>753</v>
      </c>
      <c r="AJ148" t="s">
        <v>754</v>
      </c>
      <c r="AK148" t="s">
        <v>755</v>
      </c>
      <c r="AL148" t="s">
        <v>104</v>
      </c>
      <c r="AM148" t="s">
        <v>104</v>
      </c>
      <c r="AN148" t="s">
        <v>104</v>
      </c>
      <c r="AO148" t="s">
        <v>104</v>
      </c>
      <c r="AP148" t="s">
        <v>104</v>
      </c>
      <c r="AQ148" t="s">
        <v>104</v>
      </c>
      <c r="AS148" s="3">
        <f t="shared" si="2"/>
        <v>46608</v>
      </c>
      <c r="AT148" s="2"/>
      <c r="AX148" s="5" t="str">
        <v>Maximum Rates - Training, learning and development services</v>
      </c>
    </row>
    <row r="149" spans="8:50" x14ac:dyDescent="0.25">
      <c r="H149" t="s">
        <v>783</v>
      </c>
      <c r="I149">
        <v>144.16999999999999</v>
      </c>
      <c r="J149">
        <v>0</v>
      </c>
      <c r="K149">
        <v>45901</v>
      </c>
      <c r="L149">
        <v>45994</v>
      </c>
      <c r="M149" t="s">
        <v>291</v>
      </c>
      <c r="Q149" t="s">
        <v>338</v>
      </c>
      <c r="R149" t="s">
        <v>784</v>
      </c>
      <c r="S149">
        <v>1200</v>
      </c>
      <c r="T149">
        <v>1520</v>
      </c>
      <c r="U149">
        <v>1800</v>
      </c>
      <c r="V149">
        <v>2200</v>
      </c>
      <c r="W149">
        <v>3200</v>
      </c>
      <c r="X149">
        <v>4400</v>
      </c>
      <c r="AF149" t="s">
        <v>750</v>
      </c>
      <c r="AG149" t="s">
        <v>751</v>
      </c>
      <c r="AH149" t="s">
        <v>752</v>
      </c>
      <c r="AI149" t="s">
        <v>753</v>
      </c>
      <c r="AJ149" t="s">
        <v>754</v>
      </c>
      <c r="AK149" t="s">
        <v>755</v>
      </c>
      <c r="AL149" t="s">
        <v>104</v>
      </c>
      <c r="AM149" t="s">
        <v>104</v>
      </c>
      <c r="AN149" t="s">
        <v>104</v>
      </c>
      <c r="AO149" t="s">
        <v>104</v>
      </c>
      <c r="AP149" t="s">
        <v>104</v>
      </c>
      <c r="AQ149" t="s">
        <v>104</v>
      </c>
      <c r="AS149" s="3">
        <f t="shared" si="2"/>
        <v>46615</v>
      </c>
      <c r="AT149" s="2"/>
      <c r="AX149" s="5" t="str">
        <v>Maximum Rates - User research and design services</v>
      </c>
    </row>
    <row r="150" spans="8:50" x14ac:dyDescent="0.25">
      <c r="H150" t="s">
        <v>785</v>
      </c>
      <c r="I150">
        <v>171.36</v>
      </c>
      <c r="J150">
        <v>0</v>
      </c>
      <c r="M150" t="s">
        <v>291</v>
      </c>
      <c r="Q150" t="s">
        <v>338</v>
      </c>
      <c r="R150" t="s">
        <v>786</v>
      </c>
      <c r="S150">
        <v>1320</v>
      </c>
      <c r="T150">
        <v>1520</v>
      </c>
      <c r="U150">
        <v>1960</v>
      </c>
      <c r="V150">
        <v>2440</v>
      </c>
      <c r="W150">
        <v>3160</v>
      </c>
      <c r="X150">
        <v>3960</v>
      </c>
      <c r="AF150" t="s">
        <v>750</v>
      </c>
      <c r="AG150" t="s">
        <v>751</v>
      </c>
      <c r="AH150" t="s">
        <v>752</v>
      </c>
      <c r="AI150" t="s">
        <v>753</v>
      </c>
      <c r="AJ150" t="s">
        <v>754</v>
      </c>
      <c r="AK150" t="s">
        <v>755</v>
      </c>
      <c r="AL150" t="s">
        <v>104</v>
      </c>
      <c r="AM150" t="s">
        <v>104</v>
      </c>
      <c r="AN150" t="s">
        <v>104</v>
      </c>
      <c r="AO150" t="s">
        <v>104</v>
      </c>
      <c r="AP150" t="s">
        <v>104</v>
      </c>
      <c r="AQ150" t="s">
        <v>104</v>
      </c>
      <c r="AS150" s="3">
        <f t="shared" si="2"/>
        <v>46622</v>
      </c>
      <c r="AT150" s="2"/>
      <c r="AX150" s="5" t="str">
        <v>Market Rates - Application, software engineering and development services</v>
      </c>
    </row>
    <row r="151" spans="8:50" x14ac:dyDescent="0.25">
      <c r="H151" t="s">
        <v>787</v>
      </c>
      <c r="I151">
        <v>151</v>
      </c>
      <c r="J151" t="s">
        <v>392</v>
      </c>
      <c r="K151">
        <v>46062</v>
      </c>
      <c r="M151" t="s">
        <v>291</v>
      </c>
      <c r="Q151" t="s">
        <v>338</v>
      </c>
      <c r="R151" t="s">
        <v>788</v>
      </c>
      <c r="S151">
        <v>1320</v>
      </c>
      <c r="T151">
        <v>1520</v>
      </c>
      <c r="U151">
        <v>1960</v>
      </c>
      <c r="V151">
        <v>2440</v>
      </c>
      <c r="W151">
        <v>3160</v>
      </c>
      <c r="X151">
        <v>3960</v>
      </c>
      <c r="AF151" t="s">
        <v>750</v>
      </c>
      <c r="AG151" t="s">
        <v>751</v>
      </c>
      <c r="AH151" t="s">
        <v>752</v>
      </c>
      <c r="AI151" t="s">
        <v>753</v>
      </c>
      <c r="AJ151" t="s">
        <v>754</v>
      </c>
      <c r="AK151" t="s">
        <v>755</v>
      </c>
      <c r="AL151" t="s">
        <v>104</v>
      </c>
      <c r="AM151" t="s">
        <v>104</v>
      </c>
      <c r="AN151" t="s">
        <v>104</v>
      </c>
      <c r="AO151" t="s">
        <v>104</v>
      </c>
      <c r="AP151" t="s">
        <v>104</v>
      </c>
      <c r="AQ151" t="s">
        <v>104</v>
      </c>
      <c r="AS151" s="3">
        <f t="shared" si="2"/>
        <v>46629</v>
      </c>
      <c r="AT151" s="2"/>
      <c r="AX151" s="5" t="str">
        <v>Market Rates - Architecture services</v>
      </c>
    </row>
    <row r="152" spans="8:50" x14ac:dyDescent="0.25">
      <c r="H152" t="s">
        <v>789</v>
      </c>
      <c r="I152">
        <v>78</v>
      </c>
      <c r="J152" t="s">
        <v>290</v>
      </c>
      <c r="Q152" t="s">
        <v>338</v>
      </c>
      <c r="R152" t="s">
        <v>790</v>
      </c>
      <c r="S152">
        <v>1320</v>
      </c>
      <c r="T152">
        <v>1520</v>
      </c>
      <c r="U152">
        <v>1960</v>
      </c>
      <c r="V152">
        <v>2440</v>
      </c>
      <c r="W152">
        <v>3160</v>
      </c>
      <c r="X152">
        <v>3960</v>
      </c>
      <c r="AF152" t="s">
        <v>750</v>
      </c>
      <c r="AG152" t="s">
        <v>751</v>
      </c>
      <c r="AH152" t="s">
        <v>752</v>
      </c>
      <c r="AI152" t="s">
        <v>753</v>
      </c>
      <c r="AJ152" t="s">
        <v>754</v>
      </c>
      <c r="AK152" t="s">
        <v>755</v>
      </c>
      <c r="AL152" t="s">
        <v>104</v>
      </c>
      <c r="AM152" t="s">
        <v>104</v>
      </c>
      <c r="AN152" t="s">
        <v>104</v>
      </c>
      <c r="AO152" t="s">
        <v>104</v>
      </c>
      <c r="AP152" t="s">
        <v>104</v>
      </c>
      <c r="AQ152" t="s">
        <v>104</v>
      </c>
      <c r="AS152" s="3">
        <f t="shared" si="2"/>
        <v>46636</v>
      </c>
      <c r="AT152" s="2"/>
      <c r="AX152" s="5" t="str">
        <v>Market Rates - Business, systems and process analysis services</v>
      </c>
    </row>
    <row r="153" spans="8:50" x14ac:dyDescent="0.25">
      <c r="H153" t="s">
        <v>791</v>
      </c>
      <c r="I153">
        <v>248</v>
      </c>
      <c r="J153" t="s">
        <v>792</v>
      </c>
      <c r="Q153" t="s">
        <v>338</v>
      </c>
      <c r="R153" t="s">
        <v>793</v>
      </c>
      <c r="S153">
        <v>1000</v>
      </c>
      <c r="T153">
        <v>1320</v>
      </c>
      <c r="U153">
        <v>1520</v>
      </c>
      <c r="V153">
        <v>1960</v>
      </c>
      <c r="W153">
        <v>2440</v>
      </c>
      <c r="X153">
        <v>3160</v>
      </c>
      <c r="AF153" t="s">
        <v>750</v>
      </c>
      <c r="AG153" t="s">
        <v>751</v>
      </c>
      <c r="AH153" t="s">
        <v>752</v>
      </c>
      <c r="AI153" t="s">
        <v>753</v>
      </c>
      <c r="AJ153" t="s">
        <v>754</v>
      </c>
      <c r="AK153" t="s">
        <v>755</v>
      </c>
      <c r="AL153" t="s">
        <v>104</v>
      </c>
      <c r="AM153" t="s">
        <v>104</v>
      </c>
      <c r="AN153" t="s">
        <v>104</v>
      </c>
      <c r="AO153" t="s">
        <v>104</v>
      </c>
      <c r="AP153" t="s">
        <v>104</v>
      </c>
      <c r="AQ153" t="s">
        <v>104</v>
      </c>
      <c r="AS153" s="3">
        <f t="shared" si="2"/>
        <v>46643</v>
      </c>
      <c r="AT153" s="2"/>
      <c r="AX153" s="5" t="str">
        <v>Market Rates - Content and publishing services</v>
      </c>
    </row>
    <row r="154" spans="8:50" x14ac:dyDescent="0.25">
      <c r="H154" t="s">
        <v>794</v>
      </c>
      <c r="I154">
        <v>245</v>
      </c>
      <c r="J154" t="s">
        <v>399</v>
      </c>
      <c r="Q154" t="s">
        <v>338</v>
      </c>
      <c r="R154" t="s">
        <v>795</v>
      </c>
      <c r="S154">
        <v>1320</v>
      </c>
      <c r="T154">
        <v>1520</v>
      </c>
      <c r="U154">
        <v>1960</v>
      </c>
      <c r="V154">
        <v>2440</v>
      </c>
      <c r="W154">
        <v>3160</v>
      </c>
      <c r="X154">
        <v>3960</v>
      </c>
      <c r="AF154" t="s">
        <v>750</v>
      </c>
      <c r="AG154" t="s">
        <v>751</v>
      </c>
      <c r="AH154" t="s">
        <v>752</v>
      </c>
      <c r="AI154" t="s">
        <v>753</v>
      </c>
      <c r="AJ154" t="s">
        <v>754</v>
      </c>
      <c r="AK154" t="s">
        <v>755</v>
      </c>
      <c r="AL154" t="s">
        <v>104</v>
      </c>
      <c r="AM154" t="s">
        <v>104</v>
      </c>
      <c r="AN154" t="s">
        <v>104</v>
      </c>
      <c r="AO154" t="s">
        <v>104</v>
      </c>
      <c r="AP154" t="s">
        <v>104</v>
      </c>
      <c r="AQ154" t="s">
        <v>104</v>
      </c>
      <c r="AS154" s="3">
        <f t="shared" si="2"/>
        <v>46650</v>
      </c>
      <c r="AT154" s="2"/>
      <c r="AX154" s="5" t="str">
        <v>Market Rates - Cybersecurity Services</v>
      </c>
    </row>
    <row r="155" spans="8:50" x14ac:dyDescent="0.25">
      <c r="H155" t="s">
        <v>796</v>
      </c>
      <c r="I155">
        <v>129</v>
      </c>
      <c r="J155" t="s">
        <v>388</v>
      </c>
      <c r="Q155" t="s">
        <v>338</v>
      </c>
      <c r="R155" t="s">
        <v>797</v>
      </c>
      <c r="S155">
        <v>1320</v>
      </c>
      <c r="T155">
        <v>1520</v>
      </c>
      <c r="U155">
        <v>1960</v>
      </c>
      <c r="V155">
        <v>2440</v>
      </c>
      <c r="W155">
        <v>3160</v>
      </c>
      <c r="X155">
        <v>3960</v>
      </c>
      <c r="AF155" t="s">
        <v>750</v>
      </c>
      <c r="AG155" t="s">
        <v>751</v>
      </c>
      <c r="AH155" t="s">
        <v>752</v>
      </c>
      <c r="AI155" t="s">
        <v>753</v>
      </c>
      <c r="AJ155" t="s">
        <v>754</v>
      </c>
      <c r="AK155" t="s">
        <v>755</v>
      </c>
      <c r="AL155" t="s">
        <v>104</v>
      </c>
      <c r="AM155" t="s">
        <v>104</v>
      </c>
      <c r="AN155" t="s">
        <v>104</v>
      </c>
      <c r="AO155" t="s">
        <v>104</v>
      </c>
      <c r="AP155" t="s">
        <v>104</v>
      </c>
      <c r="AQ155" t="s">
        <v>104</v>
      </c>
      <c r="AS155" s="3">
        <f t="shared" si="2"/>
        <v>46657</v>
      </c>
      <c r="AT155" s="2"/>
      <c r="AX155" s="5" t="str">
        <v>Market Rates - Data analytics and business intelligence services</v>
      </c>
    </row>
    <row r="156" spans="8:50" x14ac:dyDescent="0.25">
      <c r="H156" t="s">
        <v>798</v>
      </c>
      <c r="I156">
        <v>248</v>
      </c>
      <c r="J156" t="s">
        <v>359</v>
      </c>
      <c r="Q156" t="s">
        <v>338</v>
      </c>
      <c r="R156" t="s">
        <v>799</v>
      </c>
      <c r="S156">
        <v>1320</v>
      </c>
      <c r="T156">
        <v>1520</v>
      </c>
      <c r="U156">
        <v>1960</v>
      </c>
      <c r="V156">
        <v>2440</v>
      </c>
      <c r="W156">
        <v>3160</v>
      </c>
      <c r="X156">
        <v>3960</v>
      </c>
      <c r="AF156" t="s">
        <v>750</v>
      </c>
      <c r="AG156" t="s">
        <v>751</v>
      </c>
      <c r="AH156" t="s">
        <v>752</v>
      </c>
      <c r="AI156" t="s">
        <v>753</v>
      </c>
      <c r="AJ156" t="s">
        <v>754</v>
      </c>
      <c r="AK156" t="s">
        <v>755</v>
      </c>
      <c r="AL156" t="s">
        <v>104</v>
      </c>
      <c r="AM156" t="s">
        <v>104</v>
      </c>
      <c r="AN156" t="s">
        <v>104</v>
      </c>
      <c r="AO156" t="s">
        <v>104</v>
      </c>
      <c r="AP156" t="s">
        <v>104</v>
      </c>
      <c r="AQ156" t="s">
        <v>104</v>
      </c>
      <c r="AS156" s="3">
        <f t="shared" si="2"/>
        <v>46664</v>
      </c>
      <c r="AT156" s="2">
        <v>0.2</v>
      </c>
      <c r="AX156" s="5" t="str">
        <v>Market Rates - Digital sourcing, procurement and contract management services</v>
      </c>
    </row>
    <row r="157" spans="8:50" x14ac:dyDescent="0.25">
      <c r="H157" t="s">
        <v>800</v>
      </c>
      <c r="I157">
        <v>189</v>
      </c>
      <c r="J157" t="s">
        <v>801</v>
      </c>
      <c r="Q157" t="s">
        <v>338</v>
      </c>
      <c r="R157" t="s">
        <v>802</v>
      </c>
      <c r="S157">
        <v>1320</v>
      </c>
      <c r="T157">
        <v>1520</v>
      </c>
      <c r="U157">
        <v>1960</v>
      </c>
      <c r="V157">
        <v>2440</v>
      </c>
      <c r="W157">
        <v>3160</v>
      </c>
      <c r="X157">
        <v>3960</v>
      </c>
      <c r="AF157" t="s">
        <v>750</v>
      </c>
      <c r="AG157" t="s">
        <v>751</v>
      </c>
      <c r="AH157" t="s">
        <v>752</v>
      </c>
      <c r="AI157" t="s">
        <v>753</v>
      </c>
      <c r="AJ157" t="s">
        <v>754</v>
      </c>
      <c r="AK157" t="s">
        <v>755</v>
      </c>
      <c r="AL157" t="s">
        <v>104</v>
      </c>
      <c r="AM157" t="s">
        <v>104</v>
      </c>
      <c r="AN157" t="s">
        <v>104</v>
      </c>
      <c r="AO157" t="s">
        <v>104</v>
      </c>
      <c r="AP157" t="s">
        <v>104</v>
      </c>
      <c r="AQ157" t="s">
        <v>104</v>
      </c>
      <c r="AS157" s="3">
        <f t="shared" si="2"/>
        <v>46671</v>
      </c>
      <c r="AT157" s="2"/>
      <c r="AX157" s="5" t="str">
        <v>Market Rates - Market research and advisory services</v>
      </c>
    </row>
    <row r="158" spans="8:50" x14ac:dyDescent="0.25">
      <c r="H158" t="s">
        <v>803</v>
      </c>
      <c r="I158">
        <v>90</v>
      </c>
      <c r="J158" t="s">
        <v>298</v>
      </c>
      <c r="Q158" t="s">
        <v>338</v>
      </c>
      <c r="R158" t="s">
        <v>804</v>
      </c>
      <c r="S158">
        <v>1320</v>
      </c>
      <c r="T158">
        <v>1520</v>
      </c>
      <c r="U158">
        <v>1960</v>
      </c>
      <c r="V158">
        <v>2440</v>
      </c>
      <c r="W158">
        <v>3160</v>
      </c>
      <c r="X158">
        <v>3960</v>
      </c>
      <c r="AF158" t="s">
        <v>750</v>
      </c>
      <c r="AG158" t="s">
        <v>751</v>
      </c>
      <c r="AH158" t="s">
        <v>752</v>
      </c>
      <c r="AI158" t="s">
        <v>753</v>
      </c>
      <c r="AJ158" t="s">
        <v>754</v>
      </c>
      <c r="AK158" t="s">
        <v>755</v>
      </c>
      <c r="AL158" t="s">
        <v>104</v>
      </c>
      <c r="AM158" t="s">
        <v>104</v>
      </c>
      <c r="AN158" t="s">
        <v>104</v>
      </c>
      <c r="AO158" t="s">
        <v>104</v>
      </c>
      <c r="AP158" t="s">
        <v>104</v>
      </c>
      <c r="AQ158" t="s">
        <v>104</v>
      </c>
      <c r="AS158" s="3">
        <f t="shared" si="2"/>
        <v>46678</v>
      </c>
      <c r="AT158" s="2"/>
      <c r="AX158" s="5" t="str">
        <v>Market Rates - Marketing, advertising communications and engagement services</v>
      </c>
    </row>
    <row r="159" spans="8:50" x14ac:dyDescent="0.25">
      <c r="H159" t="s">
        <v>805</v>
      </c>
      <c r="I159">
        <v>78</v>
      </c>
      <c r="J159" t="s">
        <v>806</v>
      </c>
      <c r="Q159" t="s">
        <v>338</v>
      </c>
      <c r="R159" t="s">
        <v>807</v>
      </c>
      <c r="S159">
        <v>1320</v>
      </c>
      <c r="T159">
        <v>1520</v>
      </c>
      <c r="U159">
        <v>1960</v>
      </c>
      <c r="V159">
        <v>2440</v>
      </c>
      <c r="W159">
        <v>3160</v>
      </c>
      <c r="X159">
        <v>3960</v>
      </c>
      <c r="AF159" t="s">
        <v>750</v>
      </c>
      <c r="AG159" t="s">
        <v>751</v>
      </c>
      <c r="AH159" t="s">
        <v>752</v>
      </c>
      <c r="AI159" t="s">
        <v>753</v>
      </c>
      <c r="AJ159" t="s">
        <v>754</v>
      </c>
      <c r="AK159" t="s">
        <v>755</v>
      </c>
      <c r="AL159" t="s">
        <v>104</v>
      </c>
      <c r="AM159" t="s">
        <v>104</v>
      </c>
      <c r="AN159" t="s">
        <v>104</v>
      </c>
      <c r="AO159" t="s">
        <v>104</v>
      </c>
      <c r="AP159" t="s">
        <v>104</v>
      </c>
      <c r="AQ159" t="s">
        <v>104</v>
      </c>
      <c r="AS159" s="3">
        <f t="shared" si="2"/>
        <v>46685</v>
      </c>
      <c r="AT159" s="2"/>
      <c r="AX159" s="5" t="str">
        <v>Market Rates - Program, project and change management services</v>
      </c>
    </row>
    <row r="160" spans="8:50" x14ac:dyDescent="0.25">
      <c r="H160" t="s">
        <v>808</v>
      </c>
      <c r="I160">
        <v>151</v>
      </c>
      <c r="J160" t="s">
        <v>392</v>
      </c>
      <c r="Q160" t="s">
        <v>338</v>
      </c>
      <c r="R160" t="s">
        <v>809</v>
      </c>
      <c r="S160">
        <v>1320</v>
      </c>
      <c r="T160">
        <v>1520</v>
      </c>
      <c r="U160">
        <v>1960</v>
      </c>
      <c r="V160">
        <v>2440</v>
      </c>
      <c r="W160">
        <v>3160</v>
      </c>
      <c r="X160">
        <v>3960</v>
      </c>
      <c r="AF160" t="s">
        <v>750</v>
      </c>
      <c r="AG160" t="s">
        <v>751</v>
      </c>
      <c r="AH160" t="s">
        <v>752</v>
      </c>
      <c r="AI160" t="s">
        <v>753</v>
      </c>
      <c r="AJ160" t="s">
        <v>754</v>
      </c>
      <c r="AK160" t="s">
        <v>755</v>
      </c>
      <c r="AL160" t="s">
        <v>104</v>
      </c>
      <c r="AM160" t="s">
        <v>104</v>
      </c>
      <c r="AN160" t="s">
        <v>104</v>
      </c>
      <c r="AO160" t="s">
        <v>104</v>
      </c>
      <c r="AP160" t="s">
        <v>104</v>
      </c>
      <c r="AQ160" t="s">
        <v>104</v>
      </c>
      <c r="AS160" s="3">
        <f t="shared" si="2"/>
        <v>46692</v>
      </c>
      <c r="AT160" s="2"/>
      <c r="AX160" s="5" t="str">
        <v>Market Rates - Risk management, benchmarking and audit services</v>
      </c>
    </row>
    <row r="161" spans="8:50" x14ac:dyDescent="0.25">
      <c r="H161" t="s">
        <v>810</v>
      </c>
      <c r="I161">
        <v>108</v>
      </c>
      <c r="J161" t="s">
        <v>811</v>
      </c>
      <c r="Q161" t="s">
        <v>338</v>
      </c>
      <c r="R161" t="s">
        <v>812</v>
      </c>
      <c r="S161">
        <v>1320</v>
      </c>
      <c r="T161">
        <v>1520</v>
      </c>
      <c r="U161">
        <v>1960</v>
      </c>
      <c r="V161">
        <v>2440</v>
      </c>
      <c r="W161">
        <v>3160</v>
      </c>
      <c r="X161">
        <v>3960</v>
      </c>
      <c r="AF161" t="s">
        <v>750</v>
      </c>
      <c r="AG161" t="s">
        <v>751</v>
      </c>
      <c r="AH161" t="s">
        <v>752</v>
      </c>
      <c r="AI161" t="s">
        <v>753</v>
      </c>
      <c r="AJ161" t="s">
        <v>754</v>
      </c>
      <c r="AK161" t="s">
        <v>755</v>
      </c>
      <c r="AL161" t="s">
        <v>104</v>
      </c>
      <c r="AM161" t="s">
        <v>104</v>
      </c>
      <c r="AN161" t="s">
        <v>104</v>
      </c>
      <c r="AO161" t="s">
        <v>104</v>
      </c>
      <c r="AP161" t="s">
        <v>104</v>
      </c>
      <c r="AQ161" t="s">
        <v>104</v>
      </c>
      <c r="AS161" s="3">
        <f t="shared" si="2"/>
        <v>46699</v>
      </c>
      <c r="AT161" s="2"/>
      <c r="AX161" s="5" t="str">
        <v>Market Rates - Solutions implementation services</v>
      </c>
    </row>
    <row r="162" spans="8:50" x14ac:dyDescent="0.25">
      <c r="H162" t="s">
        <v>813</v>
      </c>
      <c r="I162">
        <v>198</v>
      </c>
      <c r="J162" t="s">
        <v>649</v>
      </c>
      <c r="Q162" t="s">
        <v>338</v>
      </c>
      <c r="R162" t="s">
        <v>814</v>
      </c>
      <c r="S162">
        <v>1320</v>
      </c>
      <c r="T162">
        <v>1520</v>
      </c>
      <c r="U162">
        <v>1960</v>
      </c>
      <c r="V162">
        <v>2440</v>
      </c>
      <c r="W162">
        <v>3160</v>
      </c>
      <c r="X162">
        <v>3960</v>
      </c>
      <c r="AF162" t="s">
        <v>750</v>
      </c>
      <c r="AG162" t="s">
        <v>751</v>
      </c>
      <c r="AH162" t="s">
        <v>752</v>
      </c>
      <c r="AI162" t="s">
        <v>753</v>
      </c>
      <c r="AJ162" t="s">
        <v>754</v>
      </c>
      <c r="AK162" t="s">
        <v>755</v>
      </c>
      <c r="AL162" t="s">
        <v>104</v>
      </c>
      <c r="AM162" t="s">
        <v>104</v>
      </c>
      <c r="AN162" t="s">
        <v>104</v>
      </c>
      <c r="AO162" t="s">
        <v>104</v>
      </c>
      <c r="AP162" t="s">
        <v>104</v>
      </c>
      <c r="AQ162" t="s">
        <v>104</v>
      </c>
      <c r="AS162" s="3">
        <f t="shared" si="2"/>
        <v>46706</v>
      </c>
      <c r="AT162" s="2"/>
      <c r="AX162" s="5" t="str">
        <v>Market Rates - Strategy, policy and governance services</v>
      </c>
    </row>
    <row r="163" spans="8:50" x14ac:dyDescent="0.25">
      <c r="H163" t="s">
        <v>815</v>
      </c>
      <c r="I163">
        <v>57</v>
      </c>
      <c r="J163" t="s">
        <v>816</v>
      </c>
      <c r="Q163" t="s">
        <v>338</v>
      </c>
      <c r="R163" t="s">
        <v>817</v>
      </c>
      <c r="S163">
        <v>1000</v>
      </c>
      <c r="T163">
        <v>1320</v>
      </c>
      <c r="U163">
        <v>1520</v>
      </c>
      <c r="V163">
        <v>1960</v>
      </c>
      <c r="W163">
        <v>2440</v>
      </c>
      <c r="X163">
        <v>3160</v>
      </c>
      <c r="AF163" t="s">
        <v>750</v>
      </c>
      <c r="AG163" t="s">
        <v>751</v>
      </c>
      <c r="AH163" t="s">
        <v>752</v>
      </c>
      <c r="AI163" t="s">
        <v>753</v>
      </c>
      <c r="AJ163" t="s">
        <v>754</v>
      </c>
      <c r="AK163" t="s">
        <v>755</v>
      </c>
      <c r="AL163" t="s">
        <v>104</v>
      </c>
      <c r="AM163" t="s">
        <v>104</v>
      </c>
      <c r="AN163" t="s">
        <v>104</v>
      </c>
      <c r="AO163" t="s">
        <v>104</v>
      </c>
      <c r="AP163" t="s">
        <v>104</v>
      </c>
      <c r="AQ163" t="s">
        <v>104</v>
      </c>
      <c r="AS163" s="3">
        <f t="shared" si="2"/>
        <v>46713</v>
      </c>
      <c r="AT163" s="2"/>
      <c r="AX163" s="5" t="str">
        <v>Market Rates - Support and operations services</v>
      </c>
    </row>
    <row r="164" spans="8:50" x14ac:dyDescent="0.25">
      <c r="H164" t="s">
        <v>818</v>
      </c>
      <c r="I164">
        <v>82</v>
      </c>
      <c r="J164" t="s">
        <v>819</v>
      </c>
      <c r="Q164" t="s">
        <v>338</v>
      </c>
      <c r="R164" t="s">
        <v>820</v>
      </c>
      <c r="S164">
        <v>1000</v>
      </c>
      <c r="T164">
        <v>1320</v>
      </c>
      <c r="U164">
        <v>1520</v>
      </c>
      <c r="V164">
        <v>1960</v>
      </c>
      <c r="W164">
        <v>2440</v>
      </c>
      <c r="X164">
        <v>3160</v>
      </c>
      <c r="AF164" t="s">
        <v>750</v>
      </c>
      <c r="AG164" t="s">
        <v>751</v>
      </c>
      <c r="AH164" t="s">
        <v>752</v>
      </c>
      <c r="AI164" t="s">
        <v>753</v>
      </c>
      <c r="AJ164" t="s">
        <v>754</v>
      </c>
      <c r="AK164" t="s">
        <v>755</v>
      </c>
      <c r="AL164" t="s">
        <v>104</v>
      </c>
      <c r="AM164" t="s">
        <v>104</v>
      </c>
      <c r="AN164" t="s">
        <v>104</v>
      </c>
      <c r="AO164" t="s">
        <v>104</v>
      </c>
      <c r="AP164" t="s">
        <v>104</v>
      </c>
      <c r="AQ164" t="s">
        <v>104</v>
      </c>
      <c r="AS164" s="3">
        <f t="shared" si="2"/>
        <v>46720</v>
      </c>
      <c r="AT164" s="2"/>
      <c r="AX164" s="5" t="str">
        <v>Market Rates - Training, learning and development services</v>
      </c>
    </row>
    <row r="165" spans="8:50" x14ac:dyDescent="0.25">
      <c r="H165" t="s">
        <v>821</v>
      </c>
      <c r="I165">
        <v>90</v>
      </c>
      <c r="J165" t="s">
        <v>747</v>
      </c>
      <c r="Q165" t="s">
        <v>338</v>
      </c>
      <c r="R165" t="s">
        <v>822</v>
      </c>
      <c r="S165">
        <v>1000</v>
      </c>
      <c r="T165">
        <v>1320</v>
      </c>
      <c r="U165">
        <v>1520</v>
      </c>
      <c r="V165">
        <v>1960</v>
      </c>
      <c r="W165">
        <v>2440</v>
      </c>
      <c r="X165">
        <v>3160</v>
      </c>
      <c r="AF165" t="s">
        <v>750</v>
      </c>
      <c r="AG165" t="s">
        <v>751</v>
      </c>
      <c r="AH165" t="s">
        <v>752</v>
      </c>
      <c r="AI165" t="s">
        <v>753</v>
      </c>
      <c r="AJ165" t="s">
        <v>754</v>
      </c>
      <c r="AK165" t="s">
        <v>755</v>
      </c>
      <c r="AL165" t="s">
        <v>104</v>
      </c>
      <c r="AM165" t="s">
        <v>104</v>
      </c>
      <c r="AN165" t="s">
        <v>104</v>
      </c>
      <c r="AO165" t="s">
        <v>104</v>
      </c>
      <c r="AP165" t="s">
        <v>104</v>
      </c>
      <c r="AQ165" t="s">
        <v>104</v>
      </c>
      <c r="AS165" s="3">
        <f t="shared" si="2"/>
        <v>46727</v>
      </c>
      <c r="AT165" s="2"/>
      <c r="AX165" s="5" t="str">
        <v>Market Rates - User research and design services</v>
      </c>
    </row>
    <row r="166" spans="8:50" x14ac:dyDescent="0.25">
      <c r="H166" t="s">
        <v>823</v>
      </c>
      <c r="I166">
        <v>175</v>
      </c>
      <c r="J166" t="s">
        <v>824</v>
      </c>
      <c r="Q166" t="s">
        <v>320</v>
      </c>
      <c r="R166" t="s">
        <v>825</v>
      </c>
      <c r="S166">
        <v>1480</v>
      </c>
      <c r="T166">
        <v>1680</v>
      </c>
      <c r="U166">
        <v>1960</v>
      </c>
      <c r="V166">
        <v>2240</v>
      </c>
      <c r="W166">
        <v>2600</v>
      </c>
      <c r="X166">
        <v>3800</v>
      </c>
      <c r="AF166" t="s">
        <v>294</v>
      </c>
      <c r="AG166" t="s">
        <v>136</v>
      </c>
      <c r="AH166" t="s">
        <v>154</v>
      </c>
      <c r="AI166" t="s">
        <v>115</v>
      </c>
      <c r="AJ166" t="s">
        <v>145</v>
      </c>
      <c r="AK166" t="s">
        <v>110</v>
      </c>
      <c r="AL166" t="s">
        <v>104</v>
      </c>
      <c r="AM166" t="s">
        <v>104</v>
      </c>
      <c r="AN166" t="s">
        <v>104</v>
      </c>
      <c r="AO166" t="s">
        <v>104</v>
      </c>
      <c r="AP166" t="s">
        <v>104</v>
      </c>
      <c r="AQ166" t="s">
        <v>104</v>
      </c>
      <c r="AS166" s="3">
        <f t="shared" si="2"/>
        <v>46734</v>
      </c>
      <c r="AT166" s="2"/>
      <c r="AX166" s="5" t="str">
        <v/>
      </c>
    </row>
    <row r="167" spans="8:50" x14ac:dyDescent="0.25">
      <c r="H167" t="s">
        <v>826</v>
      </c>
      <c r="I167">
        <v>108</v>
      </c>
      <c r="J167" t="s">
        <v>341</v>
      </c>
      <c r="Q167" t="s">
        <v>320</v>
      </c>
      <c r="R167" t="s">
        <v>827</v>
      </c>
      <c r="S167">
        <v>1400</v>
      </c>
      <c r="T167">
        <v>1600</v>
      </c>
      <c r="U167">
        <v>1800</v>
      </c>
      <c r="V167">
        <v>2100</v>
      </c>
      <c r="W167">
        <v>2400</v>
      </c>
      <c r="X167">
        <v>3200</v>
      </c>
      <c r="AF167" t="s">
        <v>294</v>
      </c>
      <c r="AG167" t="s">
        <v>136</v>
      </c>
      <c r="AH167" t="s">
        <v>154</v>
      </c>
      <c r="AI167" t="s">
        <v>115</v>
      </c>
      <c r="AJ167" t="s">
        <v>145</v>
      </c>
      <c r="AK167" t="s">
        <v>110</v>
      </c>
      <c r="AL167" t="s">
        <v>104</v>
      </c>
      <c r="AM167" t="s">
        <v>104</v>
      </c>
      <c r="AN167" t="s">
        <v>104</v>
      </c>
      <c r="AO167" t="s">
        <v>104</v>
      </c>
      <c r="AP167" t="s">
        <v>104</v>
      </c>
      <c r="AQ167" t="s">
        <v>104</v>
      </c>
      <c r="AS167" s="3">
        <f t="shared" si="2"/>
        <v>46741</v>
      </c>
      <c r="AT167" s="2">
        <v>1</v>
      </c>
      <c r="AX167" s="5" t="str">
        <v/>
      </c>
    </row>
    <row r="168" spans="8:50" x14ac:dyDescent="0.25">
      <c r="H168" t="s">
        <v>828</v>
      </c>
      <c r="I168">
        <v>146</v>
      </c>
      <c r="J168" t="s">
        <v>681</v>
      </c>
      <c r="Q168" t="s">
        <v>314</v>
      </c>
      <c r="R168" t="s">
        <v>829</v>
      </c>
      <c r="S168">
        <v>1200</v>
      </c>
      <c r="T168">
        <v>1450</v>
      </c>
      <c r="U168">
        <v>1575</v>
      </c>
      <c r="V168">
        <v>1700</v>
      </c>
      <c r="AF168" t="s">
        <v>830</v>
      </c>
      <c r="AG168" t="s">
        <v>831</v>
      </c>
      <c r="AH168" t="s">
        <v>832</v>
      </c>
      <c r="AI168" t="s">
        <v>833</v>
      </c>
      <c r="AJ168" t="s">
        <v>104</v>
      </c>
      <c r="AK168" t="s">
        <v>104</v>
      </c>
      <c r="AL168" t="s">
        <v>104</v>
      </c>
      <c r="AM168" t="s">
        <v>104</v>
      </c>
      <c r="AN168" t="s">
        <v>104</v>
      </c>
      <c r="AO168" t="s">
        <v>104</v>
      </c>
      <c r="AP168" t="s">
        <v>104</v>
      </c>
      <c r="AQ168" t="s">
        <v>104</v>
      </c>
      <c r="AS168" s="3">
        <f t="shared" si="2"/>
        <v>46748</v>
      </c>
      <c r="AT168" s="2">
        <v>1</v>
      </c>
      <c r="AX168" s="5" t="str">
        <v/>
      </c>
    </row>
    <row r="169" spans="8:50" x14ac:dyDescent="0.25">
      <c r="H169" t="s">
        <v>122</v>
      </c>
      <c r="I169">
        <v>198</v>
      </c>
      <c r="J169" t="s">
        <v>649</v>
      </c>
      <c r="M169" t="s">
        <v>291</v>
      </c>
      <c r="Q169" t="s">
        <v>314</v>
      </c>
      <c r="R169" t="s">
        <v>834</v>
      </c>
      <c r="S169">
        <v>1400</v>
      </c>
      <c r="T169">
        <v>1500</v>
      </c>
      <c r="U169">
        <v>1600</v>
      </c>
      <c r="V169">
        <v>1700</v>
      </c>
      <c r="AF169" t="s">
        <v>830</v>
      </c>
      <c r="AG169" t="s">
        <v>831</v>
      </c>
      <c r="AH169" t="s">
        <v>832</v>
      </c>
      <c r="AI169" t="s">
        <v>833</v>
      </c>
      <c r="AJ169" t="s">
        <v>104</v>
      </c>
      <c r="AK169" t="s">
        <v>104</v>
      </c>
      <c r="AL169" t="s">
        <v>104</v>
      </c>
      <c r="AM169" t="s">
        <v>104</v>
      </c>
      <c r="AN169" t="s">
        <v>104</v>
      </c>
      <c r="AO169" t="s">
        <v>104</v>
      </c>
      <c r="AP169" t="s">
        <v>104</v>
      </c>
      <c r="AQ169" t="s">
        <v>104</v>
      </c>
      <c r="AS169" s="3">
        <f t="shared" si="2"/>
        <v>46755</v>
      </c>
      <c r="AT169" s="2"/>
      <c r="AX169" s="5" t="str">
        <v/>
      </c>
    </row>
    <row r="170" spans="8:50" x14ac:dyDescent="0.25">
      <c r="H170" t="s">
        <v>835</v>
      </c>
      <c r="I170">
        <v>126.89</v>
      </c>
      <c r="J170">
        <v>0</v>
      </c>
      <c r="K170">
        <v>45783</v>
      </c>
      <c r="L170">
        <v>45838</v>
      </c>
      <c r="M170" t="s">
        <v>291</v>
      </c>
      <c r="Q170" t="s">
        <v>314</v>
      </c>
      <c r="R170" t="s">
        <v>836</v>
      </c>
      <c r="S170">
        <v>1250</v>
      </c>
      <c r="T170">
        <v>1400</v>
      </c>
      <c r="U170">
        <v>1550</v>
      </c>
      <c r="V170">
        <v>1700</v>
      </c>
      <c r="AF170" t="s">
        <v>830</v>
      </c>
      <c r="AG170" t="s">
        <v>831</v>
      </c>
      <c r="AH170" t="s">
        <v>832</v>
      </c>
      <c r="AI170" t="s">
        <v>833</v>
      </c>
      <c r="AJ170" t="s">
        <v>104</v>
      </c>
      <c r="AK170" t="s">
        <v>104</v>
      </c>
      <c r="AL170" t="s">
        <v>104</v>
      </c>
      <c r="AM170" t="s">
        <v>104</v>
      </c>
      <c r="AN170" t="s">
        <v>104</v>
      </c>
      <c r="AO170" t="s">
        <v>104</v>
      </c>
      <c r="AP170" t="s">
        <v>104</v>
      </c>
      <c r="AQ170" t="s">
        <v>104</v>
      </c>
      <c r="AS170" s="3">
        <f t="shared" si="2"/>
        <v>46762</v>
      </c>
      <c r="AT170" s="2"/>
      <c r="AX170" s="5" t="str">
        <v/>
      </c>
    </row>
    <row r="171" spans="8:50" x14ac:dyDescent="0.25">
      <c r="H171" t="s">
        <v>837</v>
      </c>
      <c r="I171">
        <v>120</v>
      </c>
      <c r="J171">
        <v>0</v>
      </c>
      <c r="M171" t="s">
        <v>291</v>
      </c>
      <c r="Q171" t="s">
        <v>314</v>
      </c>
      <c r="R171" t="s">
        <v>838</v>
      </c>
      <c r="S171">
        <v>1050</v>
      </c>
      <c r="T171">
        <v>1300</v>
      </c>
      <c r="U171">
        <v>1550</v>
      </c>
      <c r="V171">
        <v>1800</v>
      </c>
      <c r="AF171" t="s">
        <v>830</v>
      </c>
      <c r="AG171" t="s">
        <v>831</v>
      </c>
      <c r="AH171" t="s">
        <v>832</v>
      </c>
      <c r="AI171" t="s">
        <v>833</v>
      </c>
      <c r="AJ171" t="s">
        <v>104</v>
      </c>
      <c r="AK171" t="s">
        <v>104</v>
      </c>
      <c r="AL171" t="s">
        <v>104</v>
      </c>
      <c r="AM171" t="s">
        <v>104</v>
      </c>
      <c r="AN171" t="s">
        <v>104</v>
      </c>
      <c r="AO171" t="s">
        <v>104</v>
      </c>
      <c r="AP171" t="s">
        <v>104</v>
      </c>
      <c r="AQ171" t="s">
        <v>104</v>
      </c>
      <c r="AS171" s="3">
        <f t="shared" si="2"/>
        <v>46769</v>
      </c>
      <c r="AT171" s="2"/>
      <c r="AX171" s="5" t="str">
        <v/>
      </c>
    </row>
    <row r="172" spans="8:50" x14ac:dyDescent="0.25">
      <c r="H172" t="s">
        <v>839</v>
      </c>
      <c r="I172">
        <v>126.59</v>
      </c>
      <c r="J172">
        <v>0</v>
      </c>
      <c r="K172">
        <v>45670</v>
      </c>
      <c r="L172">
        <v>46393</v>
      </c>
      <c r="M172" t="s">
        <v>291</v>
      </c>
      <c r="Q172" t="s">
        <v>314</v>
      </c>
      <c r="R172" t="s">
        <v>840</v>
      </c>
      <c r="S172">
        <v>1275</v>
      </c>
      <c r="T172">
        <v>1350</v>
      </c>
      <c r="U172">
        <v>1425</v>
      </c>
      <c r="V172">
        <v>1500</v>
      </c>
      <c r="AF172" t="s">
        <v>830</v>
      </c>
      <c r="AG172" t="s">
        <v>831</v>
      </c>
      <c r="AH172" t="s">
        <v>832</v>
      </c>
      <c r="AI172" t="s">
        <v>833</v>
      </c>
      <c r="AJ172" t="s">
        <v>104</v>
      </c>
      <c r="AK172" t="s">
        <v>104</v>
      </c>
      <c r="AL172" t="s">
        <v>104</v>
      </c>
      <c r="AM172" t="s">
        <v>104</v>
      </c>
      <c r="AN172" t="s">
        <v>104</v>
      </c>
      <c r="AO172" t="s">
        <v>104</v>
      </c>
      <c r="AP172" t="s">
        <v>104</v>
      </c>
      <c r="AQ172" t="s">
        <v>104</v>
      </c>
      <c r="AS172" s="3">
        <f t="shared" si="2"/>
        <v>46776</v>
      </c>
      <c r="AT172" s="2">
        <v>0.2</v>
      </c>
      <c r="AX172" s="5" t="str">
        <v/>
      </c>
    </row>
    <row r="173" spans="8:50" x14ac:dyDescent="0.25">
      <c r="H173" t="s">
        <v>841</v>
      </c>
      <c r="I173">
        <v>173.64</v>
      </c>
      <c r="J173">
        <v>0</v>
      </c>
      <c r="M173" t="s">
        <v>291</v>
      </c>
      <c r="Q173" t="s">
        <v>314</v>
      </c>
      <c r="R173" t="s">
        <v>842</v>
      </c>
      <c r="S173">
        <v>1050</v>
      </c>
      <c r="T173">
        <v>1440</v>
      </c>
      <c r="U173">
        <v>1920</v>
      </c>
      <c r="V173">
        <v>2400</v>
      </c>
      <c r="AF173" t="s">
        <v>830</v>
      </c>
      <c r="AG173" t="s">
        <v>831</v>
      </c>
      <c r="AH173" t="s">
        <v>832</v>
      </c>
      <c r="AI173" t="s">
        <v>833</v>
      </c>
      <c r="AJ173" t="s">
        <v>104</v>
      </c>
      <c r="AK173" t="s">
        <v>104</v>
      </c>
      <c r="AL173" t="s">
        <v>104</v>
      </c>
      <c r="AM173" t="s">
        <v>104</v>
      </c>
      <c r="AN173" t="s">
        <v>104</v>
      </c>
      <c r="AO173" t="s">
        <v>104</v>
      </c>
      <c r="AP173" t="s">
        <v>104</v>
      </c>
      <c r="AQ173" t="s">
        <v>104</v>
      </c>
      <c r="AS173" s="3">
        <f t="shared" si="2"/>
        <v>46783</v>
      </c>
      <c r="AT173" s="2"/>
      <c r="AX173" s="5" t="str">
        <v/>
      </c>
    </row>
    <row r="174" spans="8:50" x14ac:dyDescent="0.25">
      <c r="H174" t="s">
        <v>843</v>
      </c>
      <c r="I174">
        <v>161</v>
      </c>
      <c r="J174">
        <v>0</v>
      </c>
      <c r="M174" t="s">
        <v>291</v>
      </c>
      <c r="Q174" t="s">
        <v>314</v>
      </c>
      <c r="R174" t="s">
        <v>844</v>
      </c>
      <c r="S174">
        <v>1200</v>
      </c>
      <c r="T174">
        <v>1470</v>
      </c>
      <c r="U174">
        <v>1835</v>
      </c>
      <c r="V174">
        <v>2200</v>
      </c>
      <c r="AF174" t="s">
        <v>830</v>
      </c>
      <c r="AG174" t="s">
        <v>831</v>
      </c>
      <c r="AH174" t="s">
        <v>832</v>
      </c>
      <c r="AI174" t="s">
        <v>833</v>
      </c>
      <c r="AJ174" t="s">
        <v>104</v>
      </c>
      <c r="AK174" t="s">
        <v>104</v>
      </c>
      <c r="AL174" t="s">
        <v>104</v>
      </c>
      <c r="AM174" t="s">
        <v>104</v>
      </c>
      <c r="AN174" t="s">
        <v>104</v>
      </c>
      <c r="AO174" t="s">
        <v>104</v>
      </c>
      <c r="AP174" t="s">
        <v>104</v>
      </c>
      <c r="AQ174" t="s">
        <v>104</v>
      </c>
      <c r="AS174" s="3">
        <f t="shared" si="2"/>
        <v>46790</v>
      </c>
      <c r="AT174" s="2"/>
      <c r="AX174" s="5" t="str">
        <v/>
      </c>
    </row>
    <row r="175" spans="8:50" x14ac:dyDescent="0.25">
      <c r="H175" t="s">
        <v>845</v>
      </c>
      <c r="I175">
        <v>157.28</v>
      </c>
      <c r="J175">
        <v>0</v>
      </c>
      <c r="K175">
        <v>45888</v>
      </c>
      <c r="L175">
        <v>46003</v>
      </c>
      <c r="M175" t="s">
        <v>291</v>
      </c>
      <c r="Q175" t="s">
        <v>314</v>
      </c>
      <c r="R175" t="s">
        <v>846</v>
      </c>
      <c r="S175">
        <v>1150</v>
      </c>
      <c r="T175">
        <v>1500</v>
      </c>
      <c r="U175">
        <v>1850</v>
      </c>
      <c r="V175">
        <v>2200</v>
      </c>
      <c r="AF175" t="s">
        <v>830</v>
      </c>
      <c r="AG175" t="s">
        <v>831</v>
      </c>
      <c r="AH175" t="s">
        <v>832</v>
      </c>
      <c r="AI175" t="s">
        <v>833</v>
      </c>
      <c r="AJ175" t="s">
        <v>104</v>
      </c>
      <c r="AK175" t="s">
        <v>104</v>
      </c>
      <c r="AL175" t="s">
        <v>104</v>
      </c>
      <c r="AM175" t="s">
        <v>104</v>
      </c>
      <c r="AN175" t="s">
        <v>104</v>
      </c>
      <c r="AO175" t="s">
        <v>104</v>
      </c>
      <c r="AP175" t="s">
        <v>104</v>
      </c>
      <c r="AQ175" t="s">
        <v>104</v>
      </c>
      <c r="AS175" s="3">
        <f t="shared" si="2"/>
        <v>46797</v>
      </c>
      <c r="AT175" s="2"/>
      <c r="AX175" s="5" t="str">
        <v/>
      </c>
    </row>
    <row r="176" spans="8:50" x14ac:dyDescent="0.25">
      <c r="H176" t="s">
        <v>847</v>
      </c>
      <c r="I176">
        <v>170.96</v>
      </c>
      <c r="J176">
        <v>0</v>
      </c>
      <c r="K176">
        <v>45831</v>
      </c>
      <c r="L176">
        <v>45887</v>
      </c>
      <c r="M176" t="s">
        <v>291</v>
      </c>
      <c r="Q176" t="s">
        <v>314</v>
      </c>
      <c r="R176" t="s">
        <v>848</v>
      </c>
      <c r="S176">
        <v>800</v>
      </c>
      <c r="T176">
        <v>1100</v>
      </c>
      <c r="U176">
        <v>1200</v>
      </c>
      <c r="V176">
        <v>1300</v>
      </c>
      <c r="AF176" t="s">
        <v>830</v>
      </c>
      <c r="AG176" t="s">
        <v>831</v>
      </c>
      <c r="AH176" t="s">
        <v>832</v>
      </c>
      <c r="AI176" t="s">
        <v>833</v>
      </c>
      <c r="AJ176" t="s">
        <v>104</v>
      </c>
      <c r="AK176" t="s">
        <v>104</v>
      </c>
      <c r="AL176" t="s">
        <v>104</v>
      </c>
      <c r="AM176" t="s">
        <v>104</v>
      </c>
      <c r="AN176" t="s">
        <v>104</v>
      </c>
      <c r="AO176" t="s">
        <v>104</v>
      </c>
      <c r="AP176" t="s">
        <v>104</v>
      </c>
      <c r="AQ176" t="s">
        <v>104</v>
      </c>
      <c r="AS176" s="3">
        <f t="shared" si="2"/>
        <v>46804</v>
      </c>
      <c r="AT176" s="2"/>
      <c r="AX176" s="5" t="str">
        <v/>
      </c>
    </row>
    <row r="177" spans="8:50" x14ac:dyDescent="0.25">
      <c r="H177" t="s">
        <v>849</v>
      </c>
      <c r="I177">
        <v>170.39</v>
      </c>
      <c r="J177">
        <v>0</v>
      </c>
      <c r="K177">
        <v>45888</v>
      </c>
      <c r="L177">
        <v>46038</v>
      </c>
      <c r="M177" t="s">
        <v>291</v>
      </c>
      <c r="Q177" t="s">
        <v>314</v>
      </c>
      <c r="R177" t="s">
        <v>850</v>
      </c>
      <c r="S177">
        <v>1450</v>
      </c>
      <c r="T177">
        <v>1700</v>
      </c>
      <c r="U177">
        <v>1950</v>
      </c>
      <c r="V177">
        <v>2200</v>
      </c>
      <c r="AF177" t="s">
        <v>830</v>
      </c>
      <c r="AG177" t="s">
        <v>831</v>
      </c>
      <c r="AH177" t="s">
        <v>832</v>
      </c>
      <c r="AI177" t="s">
        <v>833</v>
      </c>
      <c r="AJ177" t="s">
        <v>104</v>
      </c>
      <c r="AK177" t="s">
        <v>104</v>
      </c>
      <c r="AL177" t="s">
        <v>104</v>
      </c>
      <c r="AM177" t="s">
        <v>104</v>
      </c>
      <c r="AN177" t="s">
        <v>104</v>
      </c>
      <c r="AO177" t="s">
        <v>104</v>
      </c>
      <c r="AP177" t="s">
        <v>104</v>
      </c>
      <c r="AQ177" t="s">
        <v>104</v>
      </c>
      <c r="AS177" s="3">
        <f t="shared" si="2"/>
        <v>46811</v>
      </c>
      <c r="AT177" s="2"/>
      <c r="AX177" s="5" t="str">
        <v/>
      </c>
    </row>
    <row r="178" spans="8:50" x14ac:dyDescent="0.25">
      <c r="H178" t="s">
        <v>851</v>
      </c>
      <c r="I178">
        <v>193</v>
      </c>
      <c r="J178">
        <v>0</v>
      </c>
      <c r="M178" t="s">
        <v>291</v>
      </c>
      <c r="Q178" t="s">
        <v>314</v>
      </c>
      <c r="R178" t="s">
        <v>852</v>
      </c>
      <c r="S178">
        <v>1300</v>
      </c>
      <c r="T178">
        <v>1600</v>
      </c>
      <c r="U178">
        <v>1900</v>
      </c>
      <c r="V178">
        <v>2200</v>
      </c>
      <c r="AF178" t="s">
        <v>830</v>
      </c>
      <c r="AG178" t="s">
        <v>831</v>
      </c>
      <c r="AH178" t="s">
        <v>832</v>
      </c>
      <c r="AI178" t="s">
        <v>833</v>
      </c>
      <c r="AJ178" t="s">
        <v>104</v>
      </c>
      <c r="AK178" t="s">
        <v>104</v>
      </c>
      <c r="AL178" t="s">
        <v>104</v>
      </c>
      <c r="AM178" t="s">
        <v>104</v>
      </c>
      <c r="AN178" t="s">
        <v>104</v>
      </c>
      <c r="AO178" t="s">
        <v>104</v>
      </c>
      <c r="AP178" t="s">
        <v>104</v>
      </c>
      <c r="AQ178" t="s">
        <v>104</v>
      </c>
      <c r="AS178" s="3">
        <f t="shared" si="2"/>
        <v>46818</v>
      </c>
      <c r="AT178" s="2"/>
      <c r="AX178" s="5" t="str">
        <v/>
      </c>
    </row>
    <row r="179" spans="8:50" x14ac:dyDescent="0.25">
      <c r="H179" t="s">
        <v>853</v>
      </c>
      <c r="I179">
        <v>157.60374999999999</v>
      </c>
      <c r="J179">
        <v>0</v>
      </c>
      <c r="K179">
        <v>45803</v>
      </c>
      <c r="L179">
        <v>46038</v>
      </c>
      <c r="M179" t="s">
        <v>291</v>
      </c>
      <c r="Q179" t="s">
        <v>314</v>
      </c>
      <c r="R179" t="s">
        <v>854</v>
      </c>
      <c r="S179">
        <v>1025</v>
      </c>
      <c r="T179">
        <v>1250</v>
      </c>
      <c r="U179">
        <v>1475</v>
      </c>
      <c r="V179">
        <v>1700</v>
      </c>
      <c r="AF179" t="s">
        <v>830</v>
      </c>
      <c r="AG179" t="s">
        <v>831</v>
      </c>
      <c r="AH179" t="s">
        <v>832</v>
      </c>
      <c r="AI179" t="s">
        <v>833</v>
      </c>
      <c r="AJ179" t="s">
        <v>104</v>
      </c>
      <c r="AK179" t="s">
        <v>104</v>
      </c>
      <c r="AL179" t="s">
        <v>104</v>
      </c>
      <c r="AM179" t="s">
        <v>104</v>
      </c>
      <c r="AN179" t="s">
        <v>104</v>
      </c>
      <c r="AO179" t="s">
        <v>104</v>
      </c>
      <c r="AP179" t="s">
        <v>104</v>
      </c>
      <c r="AQ179" t="s">
        <v>104</v>
      </c>
      <c r="AS179" s="3">
        <f t="shared" si="2"/>
        <v>46825</v>
      </c>
      <c r="AT179" s="2">
        <v>0.4</v>
      </c>
      <c r="AX179" s="5" t="str">
        <v/>
      </c>
    </row>
    <row r="180" spans="8:50" x14ac:dyDescent="0.25">
      <c r="H180" t="s">
        <v>350</v>
      </c>
      <c r="I180">
        <v>178</v>
      </c>
      <c r="J180" t="s">
        <v>824</v>
      </c>
      <c r="M180" t="s">
        <v>291</v>
      </c>
      <c r="Q180" t="s">
        <v>343</v>
      </c>
      <c r="R180" t="s">
        <v>855</v>
      </c>
      <c r="S180">
        <v>1440</v>
      </c>
      <c r="T180">
        <v>1760</v>
      </c>
      <c r="U180">
        <v>2120</v>
      </c>
      <c r="V180">
        <v>2960</v>
      </c>
      <c r="AF180" t="s">
        <v>856</v>
      </c>
      <c r="AG180" t="s">
        <v>831</v>
      </c>
      <c r="AH180" t="s">
        <v>832</v>
      </c>
      <c r="AI180" t="s">
        <v>833</v>
      </c>
      <c r="AJ180" t="s">
        <v>104</v>
      </c>
      <c r="AK180" t="s">
        <v>104</v>
      </c>
      <c r="AL180" t="s">
        <v>104</v>
      </c>
      <c r="AM180" t="s">
        <v>104</v>
      </c>
      <c r="AN180" t="s">
        <v>104</v>
      </c>
      <c r="AO180" t="s">
        <v>104</v>
      </c>
      <c r="AP180" t="s">
        <v>104</v>
      </c>
      <c r="AQ180" t="s">
        <v>104</v>
      </c>
      <c r="AS180" s="3">
        <f t="shared" si="2"/>
        <v>46832</v>
      </c>
      <c r="AT180" s="2">
        <v>0.2</v>
      </c>
      <c r="AX180" s="5" t="str">
        <v/>
      </c>
    </row>
    <row r="181" spans="8:50" x14ac:dyDescent="0.25">
      <c r="H181" t="s">
        <v>857</v>
      </c>
      <c r="I181">
        <v>176.31</v>
      </c>
      <c r="J181">
        <v>0</v>
      </c>
      <c r="Q181" t="s">
        <v>343</v>
      </c>
      <c r="R181" t="s">
        <v>858</v>
      </c>
      <c r="S181">
        <v>1376</v>
      </c>
      <c r="T181">
        <v>1720</v>
      </c>
      <c r="U181">
        <v>2064</v>
      </c>
      <c r="V181">
        <v>2864</v>
      </c>
      <c r="AF181" t="s">
        <v>856</v>
      </c>
      <c r="AG181" t="s">
        <v>831</v>
      </c>
      <c r="AH181" t="s">
        <v>832</v>
      </c>
      <c r="AI181" t="s">
        <v>833</v>
      </c>
      <c r="AJ181" t="s">
        <v>104</v>
      </c>
      <c r="AK181" t="s">
        <v>104</v>
      </c>
      <c r="AL181" t="s">
        <v>104</v>
      </c>
      <c r="AM181" t="s">
        <v>104</v>
      </c>
      <c r="AN181" t="s">
        <v>104</v>
      </c>
      <c r="AO181" t="s">
        <v>104</v>
      </c>
      <c r="AP181" t="s">
        <v>104</v>
      </c>
      <c r="AQ181" t="s">
        <v>104</v>
      </c>
      <c r="AS181" s="3">
        <f t="shared" si="2"/>
        <v>46839</v>
      </c>
      <c r="AT181" s="2"/>
      <c r="AX181" s="5" t="str">
        <v/>
      </c>
    </row>
    <row r="182" spans="8:50" x14ac:dyDescent="0.25">
      <c r="H182" t="s">
        <v>859</v>
      </c>
      <c r="I182">
        <v>161</v>
      </c>
      <c r="J182">
        <v>0</v>
      </c>
      <c r="M182" t="s">
        <v>291</v>
      </c>
      <c r="Q182" t="s">
        <v>343</v>
      </c>
      <c r="R182" t="s">
        <v>503</v>
      </c>
      <c r="S182">
        <v>1320</v>
      </c>
      <c r="T182">
        <v>1600</v>
      </c>
      <c r="U182">
        <v>1944</v>
      </c>
      <c r="V182">
        <v>2744</v>
      </c>
      <c r="AF182" t="s">
        <v>856</v>
      </c>
      <c r="AG182" t="s">
        <v>831</v>
      </c>
      <c r="AH182" t="s">
        <v>832</v>
      </c>
      <c r="AI182" t="s">
        <v>833</v>
      </c>
      <c r="AJ182" t="s">
        <v>104</v>
      </c>
      <c r="AK182" t="s">
        <v>104</v>
      </c>
      <c r="AL182" t="s">
        <v>104</v>
      </c>
      <c r="AM182" t="s">
        <v>104</v>
      </c>
      <c r="AN182" t="s">
        <v>104</v>
      </c>
      <c r="AO182" t="s">
        <v>104</v>
      </c>
      <c r="AP182" t="s">
        <v>104</v>
      </c>
      <c r="AQ182" t="s">
        <v>104</v>
      </c>
      <c r="AS182" s="3">
        <f t="shared" si="2"/>
        <v>46846</v>
      </c>
      <c r="AT182" s="2"/>
      <c r="AX182" s="5" t="str">
        <v/>
      </c>
    </row>
    <row r="183" spans="8:50" x14ac:dyDescent="0.25">
      <c r="H183" t="s">
        <v>860</v>
      </c>
      <c r="I183">
        <v>185.89</v>
      </c>
      <c r="J183">
        <v>0</v>
      </c>
      <c r="M183" t="s">
        <v>291</v>
      </c>
      <c r="Q183" t="s">
        <v>343</v>
      </c>
      <c r="R183" t="s">
        <v>861</v>
      </c>
      <c r="S183">
        <v>1264</v>
      </c>
      <c r="T183">
        <v>1544</v>
      </c>
      <c r="U183">
        <v>1832</v>
      </c>
      <c r="V183">
        <v>2520</v>
      </c>
      <c r="AF183" t="s">
        <v>856</v>
      </c>
      <c r="AG183" t="s">
        <v>831</v>
      </c>
      <c r="AH183" t="s">
        <v>832</v>
      </c>
      <c r="AI183" t="s">
        <v>833</v>
      </c>
      <c r="AJ183" t="s">
        <v>104</v>
      </c>
      <c r="AK183" t="s">
        <v>104</v>
      </c>
      <c r="AL183" t="s">
        <v>104</v>
      </c>
      <c r="AM183" t="s">
        <v>104</v>
      </c>
      <c r="AN183" t="s">
        <v>104</v>
      </c>
      <c r="AO183" t="s">
        <v>104</v>
      </c>
      <c r="AP183" t="s">
        <v>104</v>
      </c>
      <c r="AQ183" t="s">
        <v>104</v>
      </c>
      <c r="AS183" s="3">
        <f t="shared" si="2"/>
        <v>46853</v>
      </c>
      <c r="AT183" s="2"/>
      <c r="AX183" s="5" t="str">
        <v/>
      </c>
    </row>
    <row r="184" spans="8:50" x14ac:dyDescent="0.25">
      <c r="H184" t="s">
        <v>862</v>
      </c>
      <c r="I184">
        <v>137.08500000000001</v>
      </c>
      <c r="J184">
        <v>0</v>
      </c>
      <c r="K184">
        <v>45880</v>
      </c>
      <c r="L184">
        <v>46014</v>
      </c>
      <c r="M184" t="s">
        <v>291</v>
      </c>
      <c r="Q184" t="s">
        <v>343</v>
      </c>
      <c r="R184" t="s">
        <v>863</v>
      </c>
      <c r="S184">
        <v>1376</v>
      </c>
      <c r="T184">
        <v>1720</v>
      </c>
      <c r="U184">
        <v>2064</v>
      </c>
      <c r="V184">
        <v>2744</v>
      </c>
      <c r="AF184" t="s">
        <v>856</v>
      </c>
      <c r="AG184" t="s">
        <v>831</v>
      </c>
      <c r="AH184" t="s">
        <v>832</v>
      </c>
      <c r="AI184" t="s">
        <v>833</v>
      </c>
      <c r="AJ184" t="s">
        <v>104</v>
      </c>
      <c r="AK184" t="s">
        <v>104</v>
      </c>
      <c r="AL184" t="s">
        <v>104</v>
      </c>
      <c r="AM184" t="s">
        <v>104</v>
      </c>
      <c r="AN184" t="s">
        <v>104</v>
      </c>
      <c r="AO184" t="s">
        <v>104</v>
      </c>
      <c r="AP184" t="s">
        <v>104</v>
      </c>
      <c r="AQ184" t="s">
        <v>104</v>
      </c>
      <c r="AS184" s="3">
        <f t="shared" si="2"/>
        <v>46860</v>
      </c>
      <c r="AT184" s="2"/>
      <c r="AX184" s="5" t="str">
        <v/>
      </c>
    </row>
    <row r="185" spans="8:50" x14ac:dyDescent="0.25">
      <c r="H185" t="s">
        <v>864</v>
      </c>
      <c r="I185">
        <v>189.66</v>
      </c>
      <c r="J185">
        <v>0</v>
      </c>
      <c r="M185" t="s">
        <v>291</v>
      </c>
      <c r="Q185" t="s">
        <v>343</v>
      </c>
      <c r="R185" t="s">
        <v>865</v>
      </c>
      <c r="S185">
        <v>1144</v>
      </c>
      <c r="T185">
        <v>1432</v>
      </c>
      <c r="U185">
        <v>1720</v>
      </c>
      <c r="V185">
        <v>2288</v>
      </c>
      <c r="AF185" t="s">
        <v>856</v>
      </c>
      <c r="AG185" t="s">
        <v>831</v>
      </c>
      <c r="AH185" t="s">
        <v>832</v>
      </c>
      <c r="AI185" t="s">
        <v>833</v>
      </c>
      <c r="AJ185" t="s">
        <v>104</v>
      </c>
      <c r="AK185" t="s">
        <v>104</v>
      </c>
      <c r="AL185" t="s">
        <v>104</v>
      </c>
      <c r="AM185" t="s">
        <v>104</v>
      </c>
      <c r="AN185" t="s">
        <v>104</v>
      </c>
      <c r="AO185" t="s">
        <v>104</v>
      </c>
      <c r="AP185" t="s">
        <v>104</v>
      </c>
      <c r="AQ185" t="s">
        <v>104</v>
      </c>
      <c r="AS185" s="3">
        <f t="shared" si="2"/>
        <v>46867</v>
      </c>
      <c r="AT185" s="2">
        <v>0.2</v>
      </c>
      <c r="AX185" s="5" t="str">
        <v/>
      </c>
    </row>
    <row r="186" spans="8:50" x14ac:dyDescent="0.25">
      <c r="H186" t="s">
        <v>866</v>
      </c>
      <c r="I186">
        <v>160.27500000000001</v>
      </c>
      <c r="J186">
        <v>0</v>
      </c>
      <c r="K186">
        <v>45985</v>
      </c>
      <c r="L186">
        <v>46112</v>
      </c>
      <c r="M186" t="s">
        <v>291</v>
      </c>
      <c r="Q186" t="s">
        <v>343</v>
      </c>
      <c r="R186" t="s">
        <v>867</v>
      </c>
      <c r="S186">
        <v>1264</v>
      </c>
      <c r="T186">
        <v>1600</v>
      </c>
      <c r="U186">
        <v>1944</v>
      </c>
      <c r="V186">
        <v>2520</v>
      </c>
      <c r="AF186" t="s">
        <v>856</v>
      </c>
      <c r="AG186" t="s">
        <v>831</v>
      </c>
      <c r="AH186" t="s">
        <v>832</v>
      </c>
      <c r="AI186" t="s">
        <v>833</v>
      </c>
      <c r="AJ186" t="s">
        <v>104</v>
      </c>
      <c r="AK186" t="s">
        <v>104</v>
      </c>
      <c r="AL186" t="s">
        <v>104</v>
      </c>
      <c r="AM186" t="s">
        <v>104</v>
      </c>
      <c r="AN186" t="s">
        <v>104</v>
      </c>
      <c r="AO186" t="s">
        <v>104</v>
      </c>
      <c r="AP186" t="s">
        <v>104</v>
      </c>
      <c r="AQ186" t="s">
        <v>104</v>
      </c>
      <c r="AS186" s="3">
        <f t="shared" si="2"/>
        <v>46874</v>
      </c>
      <c r="AT186" s="2"/>
      <c r="AX186" s="5" t="str">
        <v/>
      </c>
    </row>
    <row r="187" spans="8:50" x14ac:dyDescent="0.25">
      <c r="H187" t="s">
        <v>868</v>
      </c>
      <c r="I187">
        <v>131.63999999999999</v>
      </c>
      <c r="J187">
        <v>0</v>
      </c>
      <c r="K187">
        <v>45523</v>
      </c>
      <c r="L187">
        <v>46203</v>
      </c>
      <c r="M187" t="s">
        <v>291</v>
      </c>
      <c r="N187" t="s">
        <v>413</v>
      </c>
      <c r="Q187" t="s">
        <v>343</v>
      </c>
      <c r="R187" t="s">
        <v>869</v>
      </c>
      <c r="S187">
        <v>1376</v>
      </c>
      <c r="T187">
        <v>1720</v>
      </c>
      <c r="U187">
        <v>2176</v>
      </c>
      <c r="V187">
        <v>2864</v>
      </c>
      <c r="AF187" t="s">
        <v>856</v>
      </c>
      <c r="AG187" t="s">
        <v>831</v>
      </c>
      <c r="AH187" t="s">
        <v>832</v>
      </c>
      <c r="AI187" t="s">
        <v>833</v>
      </c>
      <c r="AJ187" t="s">
        <v>104</v>
      </c>
      <c r="AK187" t="s">
        <v>104</v>
      </c>
      <c r="AL187" t="s">
        <v>104</v>
      </c>
      <c r="AM187" t="s">
        <v>104</v>
      </c>
      <c r="AN187" t="s">
        <v>104</v>
      </c>
      <c r="AO187" t="s">
        <v>104</v>
      </c>
      <c r="AP187" t="s">
        <v>104</v>
      </c>
      <c r="AQ187" t="s">
        <v>104</v>
      </c>
      <c r="AS187" s="3">
        <f t="shared" si="2"/>
        <v>46881</v>
      </c>
      <c r="AT187" s="2"/>
      <c r="AX187" s="5" t="str">
        <v/>
      </c>
    </row>
    <row r="188" spans="8:50" x14ac:dyDescent="0.25">
      <c r="H188" t="s">
        <v>870</v>
      </c>
      <c r="I188">
        <v>170.96</v>
      </c>
      <c r="J188">
        <v>0</v>
      </c>
      <c r="K188">
        <v>45994</v>
      </c>
      <c r="L188">
        <v>46080</v>
      </c>
      <c r="M188" t="s">
        <v>291</v>
      </c>
      <c r="Q188" t="s">
        <v>343</v>
      </c>
      <c r="R188" t="s">
        <v>871</v>
      </c>
      <c r="S188">
        <v>1376</v>
      </c>
      <c r="T188">
        <v>1720</v>
      </c>
      <c r="U188">
        <v>2064</v>
      </c>
      <c r="V188">
        <v>2632</v>
      </c>
      <c r="AF188" t="s">
        <v>856</v>
      </c>
      <c r="AG188" t="s">
        <v>831</v>
      </c>
      <c r="AH188" t="s">
        <v>832</v>
      </c>
      <c r="AI188" t="s">
        <v>833</v>
      </c>
      <c r="AJ188" t="s">
        <v>104</v>
      </c>
      <c r="AK188" t="s">
        <v>104</v>
      </c>
      <c r="AL188" t="s">
        <v>104</v>
      </c>
      <c r="AM188" t="s">
        <v>104</v>
      </c>
      <c r="AN188" t="s">
        <v>104</v>
      </c>
      <c r="AO188" t="s">
        <v>104</v>
      </c>
      <c r="AP188" t="s">
        <v>104</v>
      </c>
      <c r="AQ188" t="s">
        <v>104</v>
      </c>
      <c r="AS188" s="3">
        <f t="shared" si="2"/>
        <v>46888</v>
      </c>
      <c r="AT188" s="2"/>
      <c r="AX188" s="5" t="str">
        <v/>
      </c>
    </row>
    <row r="189" spans="8:50" x14ac:dyDescent="0.25">
      <c r="H189" t="s">
        <v>872</v>
      </c>
      <c r="I189">
        <v>203.02</v>
      </c>
      <c r="J189" t="s">
        <v>104</v>
      </c>
      <c r="M189" t="s">
        <v>291</v>
      </c>
      <c r="Q189" t="s">
        <v>343</v>
      </c>
      <c r="R189" t="s">
        <v>873</v>
      </c>
      <c r="S189">
        <v>1264</v>
      </c>
      <c r="T189">
        <v>1544</v>
      </c>
      <c r="U189">
        <v>1832</v>
      </c>
      <c r="V189">
        <v>2400</v>
      </c>
      <c r="AF189" t="s">
        <v>856</v>
      </c>
      <c r="AG189" t="s">
        <v>831</v>
      </c>
      <c r="AH189" t="s">
        <v>832</v>
      </c>
      <c r="AI189" t="s">
        <v>833</v>
      </c>
      <c r="AJ189" t="s">
        <v>104</v>
      </c>
      <c r="AK189" t="s">
        <v>104</v>
      </c>
      <c r="AL189" t="s">
        <v>104</v>
      </c>
      <c r="AM189" t="s">
        <v>104</v>
      </c>
      <c r="AN189" t="s">
        <v>104</v>
      </c>
      <c r="AO189" t="s">
        <v>104</v>
      </c>
      <c r="AP189" t="s">
        <v>104</v>
      </c>
      <c r="AQ189" t="s">
        <v>104</v>
      </c>
      <c r="AS189" s="3">
        <f t="shared" si="2"/>
        <v>46895</v>
      </c>
      <c r="AT189" s="2"/>
      <c r="AX189" s="5" t="str">
        <v/>
      </c>
    </row>
    <row r="190" spans="8:50" x14ac:dyDescent="0.25">
      <c r="H190" t="s">
        <v>316</v>
      </c>
      <c r="I190">
        <v>0</v>
      </c>
      <c r="J190" t="s">
        <v>355</v>
      </c>
      <c r="K190">
        <v>45733</v>
      </c>
      <c r="M190" t="s">
        <v>356</v>
      </c>
      <c r="Q190" t="s">
        <v>366</v>
      </c>
      <c r="R190" t="s">
        <v>874</v>
      </c>
      <c r="S190">
        <v>1600</v>
      </c>
      <c r="T190">
        <v>1900</v>
      </c>
      <c r="U190">
        <v>2100</v>
      </c>
      <c r="AF190" t="s">
        <v>875</v>
      </c>
      <c r="AG190" t="s">
        <v>876</v>
      </c>
      <c r="AH190" t="s">
        <v>877</v>
      </c>
      <c r="AS190" s="3">
        <f t="shared" si="2"/>
        <v>46902</v>
      </c>
      <c r="AT190" s="2">
        <v>0.2</v>
      </c>
      <c r="AX190" s="5" t="str">
        <v/>
      </c>
    </row>
    <row r="191" spans="8:50" x14ac:dyDescent="0.25">
      <c r="H191" t="s">
        <v>878</v>
      </c>
      <c r="I191">
        <v>160.27500000000001</v>
      </c>
      <c r="J191">
        <v>0</v>
      </c>
      <c r="K191">
        <v>46055</v>
      </c>
      <c r="L191">
        <v>46568</v>
      </c>
      <c r="M191" t="s">
        <v>291</v>
      </c>
      <c r="Q191" t="s">
        <v>366</v>
      </c>
      <c r="R191" t="s">
        <v>879</v>
      </c>
      <c r="S191">
        <v>1600</v>
      </c>
      <c r="T191">
        <v>1900</v>
      </c>
      <c r="U191">
        <v>2100</v>
      </c>
      <c r="AF191" t="s">
        <v>875</v>
      </c>
      <c r="AG191" t="s">
        <v>876</v>
      </c>
      <c r="AH191" t="s">
        <v>877</v>
      </c>
      <c r="AS191" s="3">
        <f t="shared" si="2"/>
        <v>46909</v>
      </c>
      <c r="AT191" s="2"/>
      <c r="AX191" s="5" t="str">
        <v/>
      </c>
    </row>
    <row r="192" spans="8:50" x14ac:dyDescent="0.25">
      <c r="H192" t="s">
        <v>880</v>
      </c>
      <c r="I192">
        <v>197.01</v>
      </c>
      <c r="J192">
        <v>0</v>
      </c>
      <c r="K192">
        <v>45474</v>
      </c>
      <c r="L192">
        <v>46203</v>
      </c>
      <c r="M192" t="s">
        <v>291</v>
      </c>
      <c r="N192" t="s">
        <v>711</v>
      </c>
      <c r="Q192" t="s">
        <v>366</v>
      </c>
      <c r="R192" t="s">
        <v>881</v>
      </c>
      <c r="S192">
        <v>1500</v>
      </c>
      <c r="T192">
        <v>1800</v>
      </c>
      <c r="U192">
        <v>2000</v>
      </c>
      <c r="AF192" t="s">
        <v>875</v>
      </c>
      <c r="AG192" t="s">
        <v>876</v>
      </c>
      <c r="AH192" t="s">
        <v>877</v>
      </c>
      <c r="AS192" s="3">
        <f t="shared" si="2"/>
        <v>46916</v>
      </c>
      <c r="AT192" s="2">
        <v>0.2</v>
      </c>
      <c r="AX192" s="5" t="str">
        <v/>
      </c>
    </row>
    <row r="193" spans="8:50" x14ac:dyDescent="0.25">
      <c r="H193" t="s">
        <v>882</v>
      </c>
      <c r="I193">
        <v>174</v>
      </c>
      <c r="J193">
        <v>0</v>
      </c>
      <c r="K193">
        <v>45628</v>
      </c>
      <c r="L193">
        <v>46326</v>
      </c>
      <c r="M193" t="s">
        <v>291</v>
      </c>
      <c r="Q193" t="s">
        <v>366</v>
      </c>
      <c r="R193" t="s">
        <v>883</v>
      </c>
      <c r="S193">
        <v>1500</v>
      </c>
      <c r="T193">
        <v>1800</v>
      </c>
      <c r="U193">
        <v>2000</v>
      </c>
      <c r="AF193" t="s">
        <v>875</v>
      </c>
      <c r="AG193" t="s">
        <v>876</v>
      </c>
      <c r="AH193" t="s">
        <v>877</v>
      </c>
      <c r="AS193" s="3">
        <f t="shared" si="2"/>
        <v>46923</v>
      </c>
      <c r="AT193" s="2"/>
      <c r="AX193" s="5" t="str">
        <v/>
      </c>
    </row>
    <row r="194" spans="8:50" x14ac:dyDescent="0.25">
      <c r="H194" t="s">
        <v>135</v>
      </c>
      <c r="I194">
        <v>108</v>
      </c>
      <c r="J194" t="s">
        <v>811</v>
      </c>
      <c r="M194" t="s">
        <v>291</v>
      </c>
      <c r="Q194" t="s">
        <v>366</v>
      </c>
      <c r="R194" t="s">
        <v>884</v>
      </c>
      <c r="S194">
        <v>0</v>
      </c>
      <c r="T194">
        <v>1800</v>
      </c>
      <c r="U194">
        <v>2000</v>
      </c>
      <c r="AF194" t="s">
        <v>875</v>
      </c>
      <c r="AG194" t="s">
        <v>876</v>
      </c>
      <c r="AH194" t="s">
        <v>877</v>
      </c>
      <c r="AS194" s="3">
        <f t="shared" si="2"/>
        <v>46930</v>
      </c>
      <c r="AT194" s="2"/>
      <c r="AX194" s="5" t="str">
        <v/>
      </c>
    </row>
    <row r="195" spans="8:50" x14ac:dyDescent="0.25">
      <c r="H195" t="s">
        <v>363</v>
      </c>
      <c r="I195">
        <v>231</v>
      </c>
      <c r="J195" t="s">
        <v>649</v>
      </c>
      <c r="M195" t="s">
        <v>291</v>
      </c>
      <c r="Q195" t="s">
        <v>366</v>
      </c>
      <c r="R195" t="s">
        <v>885</v>
      </c>
      <c r="S195">
        <v>0</v>
      </c>
      <c r="T195">
        <v>1900</v>
      </c>
      <c r="U195">
        <v>2100</v>
      </c>
      <c r="AF195" t="s">
        <v>875</v>
      </c>
      <c r="AG195" t="s">
        <v>876</v>
      </c>
      <c r="AH195" t="s">
        <v>877</v>
      </c>
      <c r="AS195" s="3">
        <f t="shared" si="2"/>
        <v>46937</v>
      </c>
      <c r="AT195" s="2"/>
      <c r="AX195" s="5" t="str">
        <v/>
      </c>
    </row>
    <row r="196" spans="8:50" x14ac:dyDescent="0.25">
      <c r="H196" t="s">
        <v>886</v>
      </c>
      <c r="I196">
        <v>173.64</v>
      </c>
      <c r="J196">
        <v>0</v>
      </c>
      <c r="M196" t="s">
        <v>291</v>
      </c>
      <c r="Q196" t="s">
        <v>366</v>
      </c>
      <c r="R196" t="s">
        <v>887</v>
      </c>
      <c r="S196">
        <v>1400</v>
      </c>
      <c r="T196">
        <v>1600</v>
      </c>
      <c r="U196">
        <v>1800</v>
      </c>
      <c r="AF196" t="s">
        <v>875</v>
      </c>
      <c r="AG196" t="s">
        <v>876</v>
      </c>
      <c r="AH196" t="s">
        <v>877</v>
      </c>
      <c r="AS196" s="3">
        <f t="shared" ref="AS196:AS246" si="3">AS195+7</f>
        <v>46944</v>
      </c>
      <c r="AT196" s="2"/>
      <c r="AX196" s="5" t="str">
        <v/>
      </c>
    </row>
    <row r="197" spans="8:50" x14ac:dyDescent="0.25">
      <c r="H197" t="s">
        <v>367</v>
      </c>
      <c r="I197">
        <v>146</v>
      </c>
      <c r="J197" t="s">
        <v>681</v>
      </c>
      <c r="M197" t="s">
        <v>291</v>
      </c>
      <c r="Q197" t="s">
        <v>366</v>
      </c>
      <c r="R197" t="s">
        <v>888</v>
      </c>
      <c r="S197">
        <v>1200</v>
      </c>
      <c r="T197">
        <v>1400</v>
      </c>
      <c r="U197">
        <v>1600</v>
      </c>
      <c r="AF197" t="s">
        <v>875</v>
      </c>
      <c r="AG197" t="s">
        <v>876</v>
      </c>
      <c r="AH197" t="s">
        <v>877</v>
      </c>
      <c r="AS197" s="3">
        <f t="shared" si="3"/>
        <v>46951</v>
      </c>
      <c r="AT197" s="2"/>
      <c r="AX197" s="5" t="str">
        <v/>
      </c>
    </row>
    <row r="198" spans="8:50" x14ac:dyDescent="0.25">
      <c r="H198" t="s">
        <v>889</v>
      </c>
      <c r="I198">
        <v>133.24862812500001</v>
      </c>
      <c r="J198">
        <v>0</v>
      </c>
      <c r="K198">
        <v>46069</v>
      </c>
      <c r="L198">
        <v>46374</v>
      </c>
      <c r="M198" t="s">
        <v>291</v>
      </c>
      <c r="Q198" t="s">
        <v>366</v>
      </c>
      <c r="R198" t="s">
        <v>890</v>
      </c>
      <c r="S198">
        <v>0</v>
      </c>
      <c r="T198">
        <v>1900</v>
      </c>
      <c r="U198">
        <v>0</v>
      </c>
      <c r="AF198" t="s">
        <v>875</v>
      </c>
      <c r="AG198" t="s">
        <v>876</v>
      </c>
      <c r="AH198" t="s">
        <v>877</v>
      </c>
      <c r="AS198" s="3">
        <f t="shared" si="3"/>
        <v>46958</v>
      </c>
      <c r="AT198" s="2"/>
      <c r="AX198" s="5" t="str">
        <v/>
      </c>
    </row>
    <row r="199" spans="8:50" x14ac:dyDescent="0.25">
      <c r="H199" t="s">
        <v>891</v>
      </c>
      <c r="I199">
        <v>150</v>
      </c>
      <c r="J199">
        <v>0</v>
      </c>
      <c r="K199">
        <v>45943</v>
      </c>
      <c r="L199">
        <v>46080</v>
      </c>
      <c r="M199" t="s">
        <v>291</v>
      </c>
      <c r="Q199" t="s">
        <v>366</v>
      </c>
      <c r="R199" t="s">
        <v>892</v>
      </c>
      <c r="S199">
        <v>0</v>
      </c>
      <c r="T199">
        <v>1600</v>
      </c>
      <c r="U199">
        <v>0</v>
      </c>
      <c r="AF199" t="s">
        <v>875</v>
      </c>
      <c r="AG199" t="s">
        <v>876</v>
      </c>
      <c r="AH199" t="s">
        <v>877</v>
      </c>
      <c r="AS199" s="3">
        <f t="shared" si="3"/>
        <v>46965</v>
      </c>
      <c r="AT199" s="2"/>
      <c r="AX199" s="5" t="str">
        <v/>
      </c>
    </row>
    <row r="200" spans="8:50" x14ac:dyDescent="0.25">
      <c r="H200" t="s">
        <v>893</v>
      </c>
      <c r="I200">
        <v>149.59</v>
      </c>
      <c r="J200">
        <v>0</v>
      </c>
      <c r="K200">
        <v>45888</v>
      </c>
      <c r="L200">
        <v>45924</v>
      </c>
      <c r="M200" t="s">
        <v>291</v>
      </c>
      <c r="Q200" t="s">
        <v>894</v>
      </c>
      <c r="R200" t="s">
        <v>895</v>
      </c>
      <c r="S200">
        <v>1320</v>
      </c>
      <c r="T200">
        <v>1520</v>
      </c>
      <c r="U200">
        <v>2200</v>
      </c>
      <c r="V200">
        <v>3200</v>
      </c>
      <c r="W200">
        <v>5360</v>
      </c>
      <c r="AF200" t="s">
        <v>896</v>
      </c>
      <c r="AG200" t="s">
        <v>294</v>
      </c>
      <c r="AH200" t="s">
        <v>136</v>
      </c>
      <c r="AI200" t="s">
        <v>897</v>
      </c>
      <c r="AJ200" t="s">
        <v>302</v>
      </c>
      <c r="AK200" t="s">
        <v>104</v>
      </c>
      <c r="AL200" t="s">
        <v>104</v>
      </c>
      <c r="AM200" t="s">
        <v>104</v>
      </c>
      <c r="AN200" t="s">
        <v>104</v>
      </c>
      <c r="AO200" t="s">
        <v>104</v>
      </c>
      <c r="AP200" t="s">
        <v>104</v>
      </c>
      <c r="AQ200" t="s">
        <v>104</v>
      </c>
      <c r="AS200" s="3">
        <f t="shared" si="3"/>
        <v>46972</v>
      </c>
      <c r="AT200" s="2"/>
      <c r="AX200" s="5" t="str">
        <v/>
      </c>
    </row>
    <row r="201" spans="8:50" x14ac:dyDescent="0.25">
      <c r="H201" t="s">
        <v>898</v>
      </c>
      <c r="I201">
        <v>120.21</v>
      </c>
      <c r="J201">
        <v>0</v>
      </c>
      <c r="K201">
        <v>45978</v>
      </c>
      <c r="L201">
        <v>46073</v>
      </c>
      <c r="M201" t="s">
        <v>291</v>
      </c>
      <c r="Q201" t="s">
        <v>894</v>
      </c>
      <c r="R201" t="s">
        <v>899</v>
      </c>
      <c r="S201">
        <v>1320</v>
      </c>
      <c r="T201">
        <v>1520</v>
      </c>
      <c r="U201">
        <v>2200</v>
      </c>
      <c r="V201">
        <v>3200</v>
      </c>
      <c r="W201">
        <v>5360</v>
      </c>
      <c r="AF201" t="s">
        <v>896</v>
      </c>
      <c r="AG201" t="s">
        <v>294</v>
      </c>
      <c r="AH201" t="s">
        <v>136</v>
      </c>
      <c r="AI201" t="s">
        <v>897</v>
      </c>
      <c r="AJ201" t="s">
        <v>302</v>
      </c>
      <c r="AK201" t="s">
        <v>104</v>
      </c>
      <c r="AL201" t="s">
        <v>104</v>
      </c>
      <c r="AM201" t="s">
        <v>104</v>
      </c>
      <c r="AN201" t="s">
        <v>104</v>
      </c>
      <c r="AO201" t="s">
        <v>104</v>
      </c>
      <c r="AP201" t="s">
        <v>104</v>
      </c>
      <c r="AQ201" t="s">
        <v>104</v>
      </c>
      <c r="AS201" s="3">
        <f t="shared" si="3"/>
        <v>46979</v>
      </c>
      <c r="AT201" s="2"/>
      <c r="AX201" s="5" t="str">
        <v/>
      </c>
    </row>
    <row r="202" spans="8:50" x14ac:dyDescent="0.25">
      <c r="H202" t="s">
        <v>900</v>
      </c>
      <c r="I202">
        <v>90</v>
      </c>
      <c r="J202" t="s">
        <v>298</v>
      </c>
      <c r="K202">
        <v>45895</v>
      </c>
      <c r="L202">
        <v>46078</v>
      </c>
      <c r="M202" t="s">
        <v>291</v>
      </c>
      <c r="Q202" t="s">
        <v>894</v>
      </c>
      <c r="R202" t="s">
        <v>901</v>
      </c>
      <c r="S202">
        <v>1320</v>
      </c>
      <c r="T202">
        <v>1520</v>
      </c>
      <c r="U202">
        <v>2200</v>
      </c>
      <c r="V202">
        <v>3200</v>
      </c>
      <c r="W202">
        <v>5360</v>
      </c>
      <c r="AF202" t="s">
        <v>896</v>
      </c>
      <c r="AG202" t="s">
        <v>294</v>
      </c>
      <c r="AH202" t="s">
        <v>136</v>
      </c>
      <c r="AI202" t="s">
        <v>897</v>
      </c>
      <c r="AJ202" t="s">
        <v>302</v>
      </c>
      <c r="AK202" t="s">
        <v>104</v>
      </c>
      <c r="AL202" t="s">
        <v>104</v>
      </c>
      <c r="AM202" t="s">
        <v>104</v>
      </c>
      <c r="AN202" t="s">
        <v>104</v>
      </c>
      <c r="AO202" t="s">
        <v>104</v>
      </c>
      <c r="AP202" t="s">
        <v>104</v>
      </c>
      <c r="AQ202" t="s">
        <v>104</v>
      </c>
      <c r="AS202" s="3">
        <f t="shared" si="3"/>
        <v>46986</v>
      </c>
      <c r="AT202" s="2"/>
      <c r="AX202" s="5" t="str">
        <v/>
      </c>
    </row>
    <row r="203" spans="8:50" x14ac:dyDescent="0.25">
      <c r="H203" t="s">
        <v>902</v>
      </c>
      <c r="I203">
        <v>0</v>
      </c>
      <c r="J203" t="s">
        <v>903</v>
      </c>
      <c r="M203" t="s">
        <v>356</v>
      </c>
      <c r="Q203" t="s">
        <v>894</v>
      </c>
      <c r="R203" t="s">
        <v>904</v>
      </c>
      <c r="S203">
        <v>1320</v>
      </c>
      <c r="T203">
        <v>1520</v>
      </c>
      <c r="U203">
        <v>2200</v>
      </c>
      <c r="V203">
        <v>3200</v>
      </c>
      <c r="W203">
        <v>5360</v>
      </c>
      <c r="AF203" t="s">
        <v>896</v>
      </c>
      <c r="AG203" t="s">
        <v>294</v>
      </c>
      <c r="AH203" t="s">
        <v>136</v>
      </c>
      <c r="AI203" t="s">
        <v>897</v>
      </c>
      <c r="AJ203" t="s">
        <v>302</v>
      </c>
      <c r="AK203" t="s">
        <v>104</v>
      </c>
      <c r="AL203" t="s">
        <v>104</v>
      </c>
      <c r="AM203" t="s">
        <v>104</v>
      </c>
      <c r="AN203" t="s">
        <v>104</v>
      </c>
      <c r="AO203" t="s">
        <v>104</v>
      </c>
      <c r="AP203" t="s">
        <v>104</v>
      </c>
      <c r="AQ203" t="s">
        <v>104</v>
      </c>
      <c r="AS203" s="3">
        <f t="shared" si="3"/>
        <v>46993</v>
      </c>
      <c r="AT203" s="2"/>
      <c r="AX203" s="5" t="str">
        <v/>
      </c>
    </row>
    <row r="204" spans="8:50" x14ac:dyDescent="0.25">
      <c r="H204" t="s">
        <v>905</v>
      </c>
      <c r="I204">
        <v>128.22</v>
      </c>
      <c r="J204">
        <v>0</v>
      </c>
      <c r="K204">
        <v>45967</v>
      </c>
      <c r="L204">
        <v>46111</v>
      </c>
      <c r="M204" t="s">
        <v>291</v>
      </c>
      <c r="Q204" t="s">
        <v>894</v>
      </c>
      <c r="R204" t="s">
        <v>906</v>
      </c>
      <c r="S204">
        <v>1320</v>
      </c>
      <c r="T204">
        <v>1520</v>
      </c>
      <c r="U204">
        <v>2200</v>
      </c>
      <c r="V204">
        <v>3200</v>
      </c>
      <c r="W204">
        <v>5360</v>
      </c>
      <c r="AF204" t="s">
        <v>896</v>
      </c>
      <c r="AG204" t="s">
        <v>294</v>
      </c>
      <c r="AH204" t="s">
        <v>136</v>
      </c>
      <c r="AI204" t="s">
        <v>897</v>
      </c>
      <c r="AJ204" t="s">
        <v>302</v>
      </c>
      <c r="AK204" t="s">
        <v>104</v>
      </c>
      <c r="AL204" t="s">
        <v>104</v>
      </c>
      <c r="AM204" t="s">
        <v>104</v>
      </c>
      <c r="AN204" t="s">
        <v>104</v>
      </c>
      <c r="AO204" t="s">
        <v>104</v>
      </c>
      <c r="AP204" t="s">
        <v>104</v>
      </c>
      <c r="AQ204" t="s">
        <v>104</v>
      </c>
      <c r="AS204" s="3">
        <f t="shared" si="3"/>
        <v>47000</v>
      </c>
      <c r="AT204" s="2"/>
      <c r="AX204" s="5" t="str">
        <v/>
      </c>
    </row>
    <row r="205" spans="8:50" x14ac:dyDescent="0.25">
      <c r="H205" t="s">
        <v>907</v>
      </c>
      <c r="I205">
        <v>186.99</v>
      </c>
      <c r="J205">
        <v>0</v>
      </c>
      <c r="K205">
        <v>45474</v>
      </c>
      <c r="L205">
        <v>46203</v>
      </c>
      <c r="M205" t="s">
        <v>291</v>
      </c>
      <c r="N205" t="s">
        <v>908</v>
      </c>
      <c r="Q205" t="s">
        <v>894</v>
      </c>
      <c r="R205" t="s">
        <v>909</v>
      </c>
      <c r="S205">
        <v>1320</v>
      </c>
      <c r="T205">
        <v>1520</v>
      </c>
      <c r="U205">
        <v>2200</v>
      </c>
      <c r="V205">
        <v>3200</v>
      </c>
      <c r="W205">
        <v>5360</v>
      </c>
      <c r="AF205" t="s">
        <v>896</v>
      </c>
      <c r="AG205" t="s">
        <v>294</v>
      </c>
      <c r="AH205" t="s">
        <v>136</v>
      </c>
      <c r="AI205" t="s">
        <v>897</v>
      </c>
      <c r="AJ205" t="s">
        <v>302</v>
      </c>
      <c r="AK205" t="s">
        <v>104</v>
      </c>
      <c r="AL205" t="s">
        <v>104</v>
      </c>
      <c r="AM205" t="s">
        <v>104</v>
      </c>
      <c r="AN205" t="s">
        <v>104</v>
      </c>
      <c r="AO205" t="s">
        <v>104</v>
      </c>
      <c r="AP205" t="s">
        <v>104</v>
      </c>
      <c r="AQ205" t="s">
        <v>104</v>
      </c>
      <c r="AS205" s="3">
        <f t="shared" si="3"/>
        <v>47007</v>
      </c>
      <c r="AT205" s="2"/>
      <c r="AX205" s="5" t="str">
        <v/>
      </c>
    </row>
    <row r="206" spans="8:50" x14ac:dyDescent="0.25">
      <c r="H206" t="s">
        <v>371</v>
      </c>
      <c r="I206">
        <v>146</v>
      </c>
      <c r="J206" t="s">
        <v>681</v>
      </c>
      <c r="K206">
        <v>45894</v>
      </c>
      <c r="M206" t="s">
        <v>291</v>
      </c>
      <c r="Q206" t="s">
        <v>894</v>
      </c>
      <c r="R206" t="s">
        <v>910</v>
      </c>
      <c r="S206">
        <v>1320</v>
      </c>
      <c r="T206">
        <v>1520</v>
      </c>
      <c r="U206">
        <v>2200</v>
      </c>
      <c r="V206">
        <v>3200</v>
      </c>
      <c r="W206">
        <v>5360</v>
      </c>
      <c r="AF206" t="s">
        <v>896</v>
      </c>
      <c r="AG206" t="s">
        <v>294</v>
      </c>
      <c r="AH206" t="s">
        <v>136</v>
      </c>
      <c r="AI206" t="s">
        <v>897</v>
      </c>
      <c r="AJ206" t="s">
        <v>302</v>
      </c>
      <c r="AK206" t="s">
        <v>104</v>
      </c>
      <c r="AL206" t="s">
        <v>104</v>
      </c>
      <c r="AM206" t="s">
        <v>104</v>
      </c>
      <c r="AN206" t="s">
        <v>104</v>
      </c>
      <c r="AO206" t="s">
        <v>104</v>
      </c>
      <c r="AP206" t="s">
        <v>104</v>
      </c>
      <c r="AQ206" t="s">
        <v>104</v>
      </c>
      <c r="AS206" s="3">
        <f t="shared" si="3"/>
        <v>47014</v>
      </c>
      <c r="AT206" s="2"/>
      <c r="AX206" s="5" t="str">
        <v/>
      </c>
    </row>
    <row r="207" spans="8:50" x14ac:dyDescent="0.25">
      <c r="H207" t="s">
        <v>911</v>
      </c>
      <c r="I207">
        <v>176.3</v>
      </c>
      <c r="J207">
        <v>0</v>
      </c>
      <c r="K207">
        <v>45831</v>
      </c>
      <c r="L207">
        <v>45887</v>
      </c>
      <c r="M207" t="s">
        <v>291</v>
      </c>
      <c r="Q207" t="s">
        <v>894</v>
      </c>
      <c r="R207" t="s">
        <v>912</v>
      </c>
      <c r="S207">
        <v>1320</v>
      </c>
      <c r="T207">
        <v>1520</v>
      </c>
      <c r="U207">
        <v>2200</v>
      </c>
      <c r="V207">
        <v>3200</v>
      </c>
      <c r="W207">
        <v>5360</v>
      </c>
      <c r="AF207" t="s">
        <v>896</v>
      </c>
      <c r="AG207" t="s">
        <v>294</v>
      </c>
      <c r="AH207" t="s">
        <v>136</v>
      </c>
      <c r="AI207" t="s">
        <v>897</v>
      </c>
      <c r="AJ207" t="s">
        <v>302</v>
      </c>
      <c r="AK207" t="s">
        <v>104</v>
      </c>
      <c r="AL207" t="s">
        <v>104</v>
      </c>
      <c r="AM207" t="s">
        <v>104</v>
      </c>
      <c r="AN207" t="s">
        <v>104</v>
      </c>
      <c r="AO207" t="s">
        <v>104</v>
      </c>
      <c r="AP207" t="s">
        <v>104</v>
      </c>
      <c r="AQ207" t="s">
        <v>104</v>
      </c>
      <c r="AS207" s="3">
        <f t="shared" si="3"/>
        <v>47021</v>
      </c>
      <c r="AT207" s="2"/>
      <c r="AX207" s="5" t="str">
        <v/>
      </c>
    </row>
    <row r="208" spans="8:50" x14ac:dyDescent="0.25">
      <c r="H208" t="s">
        <v>913</v>
      </c>
      <c r="I208">
        <v>144.04</v>
      </c>
      <c r="J208">
        <v>0</v>
      </c>
      <c r="K208">
        <v>45670</v>
      </c>
      <c r="L208">
        <v>46393</v>
      </c>
      <c r="M208" t="s">
        <v>291</v>
      </c>
      <c r="N208" t="s">
        <v>914</v>
      </c>
      <c r="Q208" t="s">
        <v>894</v>
      </c>
      <c r="R208" t="s">
        <v>915</v>
      </c>
      <c r="S208">
        <v>1320</v>
      </c>
      <c r="T208">
        <v>1520</v>
      </c>
      <c r="U208">
        <v>2200</v>
      </c>
      <c r="V208">
        <v>3200</v>
      </c>
      <c r="W208">
        <v>5360</v>
      </c>
      <c r="AF208" t="s">
        <v>896</v>
      </c>
      <c r="AG208" t="s">
        <v>294</v>
      </c>
      <c r="AH208" t="s">
        <v>136</v>
      </c>
      <c r="AI208" t="s">
        <v>897</v>
      </c>
      <c r="AJ208" t="s">
        <v>302</v>
      </c>
      <c r="AK208" t="s">
        <v>104</v>
      </c>
      <c r="AL208" t="s">
        <v>104</v>
      </c>
      <c r="AM208" t="s">
        <v>104</v>
      </c>
      <c r="AN208" t="s">
        <v>104</v>
      </c>
      <c r="AO208" t="s">
        <v>104</v>
      </c>
      <c r="AP208" t="s">
        <v>104</v>
      </c>
      <c r="AQ208" t="s">
        <v>104</v>
      </c>
      <c r="AS208" s="3">
        <f t="shared" si="3"/>
        <v>47028</v>
      </c>
      <c r="AT208" s="2">
        <v>0.2</v>
      </c>
      <c r="AX208" s="5" t="str">
        <v/>
      </c>
    </row>
    <row r="209" spans="8:50" x14ac:dyDescent="0.25">
      <c r="H209" t="s">
        <v>916</v>
      </c>
      <c r="I209">
        <v>183.49</v>
      </c>
      <c r="J209">
        <v>0</v>
      </c>
      <c r="K209">
        <v>45796</v>
      </c>
      <c r="L209">
        <v>46073</v>
      </c>
      <c r="M209" t="s">
        <v>291</v>
      </c>
      <c r="Q209" t="s">
        <v>894</v>
      </c>
      <c r="R209" t="s">
        <v>917</v>
      </c>
      <c r="S209">
        <v>1320</v>
      </c>
      <c r="T209">
        <v>1520</v>
      </c>
      <c r="U209">
        <v>2200</v>
      </c>
      <c r="V209">
        <v>3200</v>
      </c>
      <c r="W209">
        <v>5360</v>
      </c>
      <c r="AF209" t="s">
        <v>896</v>
      </c>
      <c r="AG209" t="s">
        <v>294</v>
      </c>
      <c r="AH209" t="s">
        <v>136</v>
      </c>
      <c r="AI209" t="s">
        <v>897</v>
      </c>
      <c r="AJ209" t="s">
        <v>302</v>
      </c>
      <c r="AK209" t="s">
        <v>104</v>
      </c>
      <c r="AL209" t="s">
        <v>104</v>
      </c>
      <c r="AM209" t="s">
        <v>104</v>
      </c>
      <c r="AN209" t="s">
        <v>104</v>
      </c>
      <c r="AO209" t="s">
        <v>104</v>
      </c>
      <c r="AP209" t="s">
        <v>104</v>
      </c>
      <c r="AQ209" t="s">
        <v>104</v>
      </c>
      <c r="AS209" s="3">
        <f t="shared" si="3"/>
        <v>47035</v>
      </c>
      <c r="AT209" s="2"/>
      <c r="AX209" s="5" t="str">
        <v/>
      </c>
    </row>
    <row r="210" spans="8:50" x14ac:dyDescent="0.25">
      <c r="H210" t="s">
        <v>377</v>
      </c>
      <c r="I210">
        <v>248</v>
      </c>
      <c r="J210" t="s">
        <v>918</v>
      </c>
      <c r="M210" t="s">
        <v>455</v>
      </c>
      <c r="Q210" t="s">
        <v>894</v>
      </c>
      <c r="R210" t="s">
        <v>919</v>
      </c>
      <c r="S210">
        <v>1320</v>
      </c>
      <c r="T210">
        <v>1520</v>
      </c>
      <c r="U210">
        <v>2200</v>
      </c>
      <c r="V210">
        <v>3200</v>
      </c>
      <c r="W210">
        <v>5360</v>
      </c>
      <c r="AF210" t="s">
        <v>896</v>
      </c>
      <c r="AG210" t="s">
        <v>294</v>
      </c>
      <c r="AH210" t="s">
        <v>136</v>
      </c>
      <c r="AI210" t="s">
        <v>897</v>
      </c>
      <c r="AJ210" t="s">
        <v>302</v>
      </c>
      <c r="AK210" t="s">
        <v>104</v>
      </c>
      <c r="AL210" t="s">
        <v>104</v>
      </c>
      <c r="AM210" t="s">
        <v>104</v>
      </c>
      <c r="AN210" t="s">
        <v>104</v>
      </c>
      <c r="AO210" t="s">
        <v>104</v>
      </c>
      <c r="AP210" t="s">
        <v>104</v>
      </c>
      <c r="AQ210" t="s">
        <v>104</v>
      </c>
      <c r="AS210" s="3">
        <f t="shared" si="3"/>
        <v>47042</v>
      </c>
      <c r="AT210" s="2"/>
      <c r="AX210" s="5" t="str">
        <v/>
      </c>
    </row>
    <row r="211" spans="8:50" x14ac:dyDescent="0.25">
      <c r="H211" t="s">
        <v>920</v>
      </c>
      <c r="I211">
        <v>145</v>
      </c>
      <c r="J211">
        <v>0</v>
      </c>
      <c r="M211" t="s">
        <v>291</v>
      </c>
      <c r="Q211" t="s">
        <v>894</v>
      </c>
      <c r="R211" t="s">
        <v>921</v>
      </c>
      <c r="S211">
        <v>1320</v>
      </c>
      <c r="T211">
        <v>1520</v>
      </c>
      <c r="U211">
        <v>2200</v>
      </c>
      <c r="V211">
        <v>3200</v>
      </c>
      <c r="W211">
        <v>5360</v>
      </c>
      <c r="AF211" t="s">
        <v>896</v>
      </c>
      <c r="AG211" t="s">
        <v>294</v>
      </c>
      <c r="AH211" t="s">
        <v>136</v>
      </c>
      <c r="AI211" t="s">
        <v>897</v>
      </c>
      <c r="AJ211" t="s">
        <v>302</v>
      </c>
      <c r="AK211" t="s">
        <v>104</v>
      </c>
      <c r="AL211" t="s">
        <v>104</v>
      </c>
      <c r="AM211" t="s">
        <v>104</v>
      </c>
      <c r="AN211" t="s">
        <v>104</v>
      </c>
      <c r="AO211" t="s">
        <v>104</v>
      </c>
      <c r="AP211" t="s">
        <v>104</v>
      </c>
      <c r="AQ211" t="s">
        <v>104</v>
      </c>
      <c r="AS211" s="3">
        <f t="shared" si="3"/>
        <v>47049</v>
      </c>
      <c r="AT211" s="2"/>
      <c r="AX211" s="5" t="str">
        <v/>
      </c>
    </row>
    <row r="212" spans="8:50" x14ac:dyDescent="0.25">
      <c r="H212" t="s">
        <v>922</v>
      </c>
      <c r="I212">
        <v>90</v>
      </c>
      <c r="J212" t="s">
        <v>298</v>
      </c>
      <c r="K212">
        <v>45978</v>
      </c>
      <c r="M212" t="s">
        <v>291</v>
      </c>
      <c r="Q212" t="s">
        <v>894</v>
      </c>
      <c r="R212" t="s">
        <v>923</v>
      </c>
      <c r="S212">
        <v>1320</v>
      </c>
      <c r="T212">
        <v>1520</v>
      </c>
      <c r="U212">
        <v>2200</v>
      </c>
      <c r="V212">
        <v>3200</v>
      </c>
      <c r="W212">
        <v>5360</v>
      </c>
      <c r="AF212" t="s">
        <v>896</v>
      </c>
      <c r="AG212" t="s">
        <v>294</v>
      </c>
      <c r="AH212" t="s">
        <v>136</v>
      </c>
      <c r="AI212" t="s">
        <v>897</v>
      </c>
      <c r="AJ212" t="s">
        <v>302</v>
      </c>
      <c r="AK212" t="s">
        <v>104</v>
      </c>
      <c r="AL212" t="s">
        <v>104</v>
      </c>
      <c r="AM212" t="s">
        <v>104</v>
      </c>
      <c r="AN212" t="s">
        <v>104</v>
      </c>
      <c r="AO212" t="s">
        <v>104</v>
      </c>
      <c r="AP212" t="s">
        <v>104</v>
      </c>
      <c r="AQ212" t="s">
        <v>104</v>
      </c>
      <c r="AS212" s="3">
        <f t="shared" si="3"/>
        <v>47056</v>
      </c>
      <c r="AT212" s="2"/>
      <c r="AX212" s="5" t="str">
        <v/>
      </c>
    </row>
    <row r="213" spans="8:50" x14ac:dyDescent="0.25">
      <c r="H213" t="s">
        <v>924</v>
      </c>
      <c r="I213">
        <v>137.62</v>
      </c>
      <c r="J213">
        <v>0</v>
      </c>
      <c r="K213">
        <v>45796</v>
      </c>
      <c r="L213">
        <v>45954</v>
      </c>
      <c r="M213" t="s">
        <v>291</v>
      </c>
      <c r="AS213" s="3">
        <f t="shared" si="3"/>
        <v>47063</v>
      </c>
      <c r="AT213" s="2"/>
    </row>
    <row r="214" spans="8:50" x14ac:dyDescent="0.25">
      <c r="H214" t="s">
        <v>382</v>
      </c>
      <c r="I214">
        <v>90</v>
      </c>
      <c r="J214" t="s">
        <v>747</v>
      </c>
      <c r="K214">
        <v>45859</v>
      </c>
      <c r="M214" t="s">
        <v>291</v>
      </c>
      <c r="AS214" s="3">
        <f t="shared" si="3"/>
        <v>47070</v>
      </c>
      <c r="AT214" s="2"/>
    </row>
    <row r="215" spans="8:50" x14ac:dyDescent="0.25">
      <c r="AS215" s="3">
        <f t="shared" si="3"/>
        <v>47077</v>
      </c>
      <c r="AT215" s="2"/>
    </row>
    <row r="216" spans="8:50" x14ac:dyDescent="0.25">
      <c r="AS216" s="3">
        <f t="shared" si="3"/>
        <v>47084</v>
      </c>
      <c r="AT216" s="2"/>
    </row>
    <row r="217" spans="8:50" x14ac:dyDescent="0.25">
      <c r="AS217" s="3">
        <f t="shared" si="3"/>
        <v>47091</v>
      </c>
      <c r="AT217" s="2"/>
    </row>
    <row r="218" spans="8:50" x14ac:dyDescent="0.25">
      <c r="AS218" s="3">
        <f t="shared" si="3"/>
        <v>47098</v>
      </c>
      <c r="AT218" s="2"/>
    </row>
    <row r="219" spans="8:50" x14ac:dyDescent="0.25">
      <c r="AS219" s="3">
        <f t="shared" si="3"/>
        <v>47105</v>
      </c>
      <c r="AT219" s="2"/>
    </row>
    <row r="220" spans="8:50" x14ac:dyDescent="0.25">
      <c r="AS220" s="3">
        <f t="shared" si="3"/>
        <v>47112</v>
      </c>
      <c r="AT220" s="2">
        <v>1</v>
      </c>
    </row>
    <row r="221" spans="8:50" x14ac:dyDescent="0.25">
      <c r="AS221" s="3">
        <f t="shared" si="3"/>
        <v>47119</v>
      </c>
      <c r="AT221" s="2">
        <v>1</v>
      </c>
    </row>
    <row r="222" spans="8:50" x14ac:dyDescent="0.25">
      <c r="AS222" s="3">
        <f t="shared" si="3"/>
        <v>47126</v>
      </c>
      <c r="AT222" s="2"/>
    </row>
    <row r="223" spans="8:50" x14ac:dyDescent="0.25">
      <c r="AS223" s="3">
        <f t="shared" si="3"/>
        <v>47133</v>
      </c>
      <c r="AT223" s="2"/>
    </row>
    <row r="224" spans="8:50" x14ac:dyDescent="0.25">
      <c r="AS224" s="3">
        <f t="shared" si="3"/>
        <v>47140</v>
      </c>
      <c r="AT224" s="2">
        <v>0.2</v>
      </c>
    </row>
    <row r="225" spans="45:46" x14ac:dyDescent="0.25">
      <c r="AS225" s="3">
        <f t="shared" si="3"/>
        <v>47147</v>
      </c>
      <c r="AT225" s="2"/>
    </row>
    <row r="226" spans="45:46" x14ac:dyDescent="0.25">
      <c r="AS226" s="3">
        <f t="shared" si="3"/>
        <v>47154</v>
      </c>
      <c r="AT226" s="2"/>
    </row>
    <row r="227" spans="45:46" x14ac:dyDescent="0.25">
      <c r="AS227" s="3">
        <f t="shared" si="3"/>
        <v>47161</v>
      </c>
      <c r="AT227" s="2"/>
    </row>
    <row r="228" spans="45:46" x14ac:dyDescent="0.25">
      <c r="AS228" s="3">
        <f t="shared" si="3"/>
        <v>47168</v>
      </c>
      <c r="AT228" s="2"/>
    </row>
    <row r="229" spans="45:46" x14ac:dyDescent="0.25">
      <c r="AS229" s="3">
        <f t="shared" si="3"/>
        <v>47175</v>
      </c>
      <c r="AT229" s="2"/>
    </row>
    <row r="230" spans="45:46" x14ac:dyDescent="0.25">
      <c r="AS230" s="3">
        <f t="shared" si="3"/>
        <v>47182</v>
      </c>
      <c r="AT230" s="2"/>
    </row>
    <row r="231" spans="45:46" x14ac:dyDescent="0.25">
      <c r="AS231" s="3">
        <f t="shared" si="3"/>
        <v>47189</v>
      </c>
      <c r="AT231" s="2">
        <v>0.2</v>
      </c>
    </row>
    <row r="232" spans="45:46" x14ac:dyDescent="0.25">
      <c r="AS232" s="3">
        <f t="shared" si="3"/>
        <v>47196</v>
      </c>
      <c r="AT232" s="2"/>
    </row>
    <row r="233" spans="45:46" x14ac:dyDescent="0.25">
      <c r="AS233" s="3">
        <f t="shared" si="3"/>
        <v>47203</v>
      </c>
      <c r="AT233" s="2">
        <v>0.2</v>
      </c>
    </row>
    <row r="234" spans="45:46" x14ac:dyDescent="0.25">
      <c r="AS234" s="3">
        <f t="shared" si="3"/>
        <v>47210</v>
      </c>
      <c r="AT234" s="2">
        <v>0.2</v>
      </c>
    </row>
    <row r="235" spans="45:46" x14ac:dyDescent="0.25">
      <c r="AS235" s="3">
        <f t="shared" si="3"/>
        <v>47217</v>
      </c>
      <c r="AT235" s="2"/>
    </row>
    <row r="236" spans="45:46" x14ac:dyDescent="0.25">
      <c r="AS236" s="3">
        <f t="shared" si="3"/>
        <v>47224</v>
      </c>
      <c r="AT236" s="2"/>
    </row>
    <row r="237" spans="45:46" x14ac:dyDescent="0.25">
      <c r="AS237" s="3">
        <f t="shared" si="3"/>
        <v>47231</v>
      </c>
      <c r="AT237" s="2">
        <v>0.2</v>
      </c>
    </row>
    <row r="238" spans="45:46" x14ac:dyDescent="0.25">
      <c r="AS238" s="3">
        <f t="shared" si="3"/>
        <v>47238</v>
      </c>
      <c r="AT238" s="2"/>
    </row>
    <row r="239" spans="45:46" x14ac:dyDescent="0.25">
      <c r="AS239" s="3">
        <f t="shared" si="3"/>
        <v>47245</v>
      </c>
      <c r="AT239" s="2"/>
    </row>
    <row r="240" spans="45:46" x14ac:dyDescent="0.25">
      <c r="AS240" s="3">
        <f t="shared" si="3"/>
        <v>47252</v>
      </c>
      <c r="AT240" s="2"/>
    </row>
    <row r="241" spans="45:46" x14ac:dyDescent="0.25">
      <c r="AS241" s="3">
        <f t="shared" si="3"/>
        <v>47259</v>
      </c>
      <c r="AT241" s="2"/>
    </row>
    <row r="242" spans="45:46" x14ac:dyDescent="0.25">
      <c r="AS242" s="3">
        <f t="shared" si="3"/>
        <v>47266</v>
      </c>
      <c r="AT242" s="2">
        <v>0.2</v>
      </c>
    </row>
    <row r="243" spans="45:46" x14ac:dyDescent="0.25">
      <c r="AS243" s="3">
        <f t="shared" si="3"/>
        <v>47273</v>
      </c>
      <c r="AT243" s="2"/>
    </row>
    <row r="244" spans="45:46" x14ac:dyDescent="0.25">
      <c r="AS244" s="3">
        <f t="shared" si="3"/>
        <v>47280</v>
      </c>
      <c r="AT244" s="2">
        <v>0.2</v>
      </c>
    </row>
    <row r="245" spans="45:46" x14ac:dyDescent="0.25">
      <c r="AS245" s="3">
        <f t="shared" si="3"/>
        <v>47287</v>
      </c>
      <c r="AT245" s="2"/>
    </row>
    <row r="246" spans="45:46" x14ac:dyDescent="0.25">
      <c r="AS246" s="3">
        <f t="shared" si="3"/>
        <v>47294</v>
      </c>
      <c r="AT246" s="2"/>
    </row>
  </sheetData>
  <phoneticPr fontId="5" type="noConversion"/>
  <pageMargins left="0.7" right="0.7" top="0.75" bottom="0.75" header="0.3" footer="0.3"/>
  <pageSetup orientation="portrait" horizontalDpi="300" verticalDpi="300" r:id="rId1"/>
  <tableParts count="7">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42A2-454B-4E9A-83A0-A518A17947E7}">
  <sheetPr>
    <tabColor rgb="FF205860"/>
  </sheetPr>
  <dimension ref="A1:WQ86"/>
  <sheetViews>
    <sheetView zoomScale="85" zoomScaleNormal="85" workbookViewId="0">
      <pane xSplit="6" ySplit="5" topLeftCell="AM60" activePane="bottomRight" state="frozen"/>
      <selection pane="topRight" activeCell="G1" sqref="G1"/>
      <selection pane="bottomLeft" activeCell="A6" sqref="A6"/>
      <selection pane="bottomRight" activeCell="W86" sqref="W86"/>
    </sheetView>
  </sheetViews>
  <sheetFormatPr defaultColWidth="9" defaultRowHeight="14.25" x14ac:dyDescent="0.25"/>
  <cols>
    <col min="1" max="1" width="2.140625" style="321" customWidth="1"/>
    <col min="2" max="2" width="27.85546875" style="321" customWidth="1"/>
    <col min="3" max="3" width="75.140625" style="321" customWidth="1"/>
    <col min="4" max="4" width="22.7109375" style="321" bestFit="1" customWidth="1"/>
    <col min="5" max="5" width="21.7109375" style="321" customWidth="1"/>
    <col min="6" max="6" width="42.140625" style="321" customWidth="1"/>
    <col min="7" max="7" width="12.5703125" style="321" customWidth="1"/>
    <col min="8" max="8" width="8.42578125" style="321" customWidth="1"/>
    <col min="9" max="9" width="13.7109375" style="321" customWidth="1"/>
    <col min="10" max="10" width="18.140625" style="399" customWidth="1"/>
    <col min="11" max="11" width="14.85546875" style="399" customWidth="1"/>
    <col min="12" max="12" width="12.140625" style="405" customWidth="1"/>
    <col min="13" max="13" width="14.140625" style="321" customWidth="1"/>
    <col min="14" max="14" width="17" style="321" customWidth="1"/>
    <col min="15" max="15" width="13.5703125" style="321" customWidth="1"/>
    <col min="16" max="16" width="20.7109375" style="321" customWidth="1"/>
    <col min="17" max="17" width="14.85546875" style="324" customWidth="1"/>
    <col min="18" max="18" width="12.140625" style="380" customWidth="1"/>
    <col min="19" max="20" width="12.5703125" style="380" customWidth="1"/>
    <col min="21" max="21" width="14.7109375" style="321" customWidth="1"/>
    <col min="22" max="22" width="15.140625" style="321" customWidth="1"/>
    <col min="23" max="23" width="14.140625" style="321" customWidth="1"/>
    <col min="24" max="24" width="19.140625" style="321" customWidth="1"/>
    <col min="25" max="36" width="10.42578125" style="321" customWidth="1"/>
    <col min="37" max="37" width="11.28515625" style="321" customWidth="1"/>
    <col min="38" max="39" width="10.42578125" style="321" customWidth="1"/>
    <col min="40" max="40" width="11" style="321" customWidth="1"/>
    <col min="41" max="53" width="10.42578125" style="321" customWidth="1"/>
    <col min="54" max="54" width="12.7109375" style="321" customWidth="1"/>
    <col min="55" max="314" width="10.42578125" style="321" customWidth="1"/>
    <col min="315" max="315" width="15.5703125" style="321" bestFit="1" customWidth="1"/>
    <col min="316" max="317" width="14.85546875" style="321" bestFit="1" customWidth="1"/>
    <col min="318" max="318" width="14.5703125" style="321" bestFit="1" customWidth="1"/>
    <col min="319" max="320" width="14.85546875" style="321" bestFit="1" customWidth="1"/>
    <col min="321" max="321" width="14.140625" style="321" bestFit="1" customWidth="1"/>
    <col min="322" max="323" width="14" style="321" bestFit="1" customWidth="1"/>
    <col min="324" max="324" width="14.140625" style="321" bestFit="1" customWidth="1"/>
    <col min="325" max="325" width="15.42578125" style="321" bestFit="1" customWidth="1"/>
    <col min="326" max="326" width="14.7109375" style="321" bestFit="1" customWidth="1"/>
    <col min="327" max="327" width="15" style="321" bestFit="1" customWidth="1"/>
    <col min="328" max="328" width="15.42578125" style="321" bestFit="1" customWidth="1"/>
    <col min="329" max="329" width="14.7109375" style="321" bestFit="1" customWidth="1"/>
    <col min="330" max="330" width="15" style="321" bestFit="1" customWidth="1"/>
    <col min="331" max="331" width="14.7109375" style="321" bestFit="1" customWidth="1"/>
    <col min="332" max="333" width="15" style="321" bestFit="1" customWidth="1"/>
    <col min="334" max="334" width="14.85546875" style="321" bestFit="1" customWidth="1"/>
    <col min="335" max="335" width="14.5703125" style="321" bestFit="1" customWidth="1"/>
    <col min="336" max="336" width="14.85546875" style="321" bestFit="1" customWidth="1"/>
    <col min="337" max="337" width="14.7109375" style="321" bestFit="1" customWidth="1"/>
    <col min="338" max="338" width="15.42578125" style="321" bestFit="1" customWidth="1"/>
    <col min="339" max="339" width="15" style="321" bestFit="1" customWidth="1"/>
    <col min="340" max="340" width="14.85546875" style="321" bestFit="1" customWidth="1"/>
    <col min="341" max="341" width="15.42578125" style="321" bestFit="1" customWidth="1"/>
    <col min="342" max="342" width="14.85546875" style="321" bestFit="1" customWidth="1"/>
    <col min="343" max="343" width="15.140625" style="321" bestFit="1" customWidth="1"/>
    <col min="344" max="344" width="14.85546875" style="321" bestFit="1" customWidth="1"/>
    <col min="345" max="346" width="15.140625" style="321" bestFit="1" customWidth="1"/>
    <col min="347" max="347" width="15" style="321" bestFit="1" customWidth="1"/>
    <col min="348" max="349" width="14.7109375" style="321" bestFit="1" customWidth="1"/>
    <col min="350" max="350" width="15" style="321" bestFit="1" customWidth="1"/>
    <col min="351" max="352" width="15.140625" style="321" bestFit="1" customWidth="1"/>
    <col min="353" max="353" width="14.85546875" style="321" bestFit="1" customWidth="1"/>
    <col min="354" max="355" width="15.140625" style="321" bestFit="1" customWidth="1"/>
    <col min="356" max="356" width="15.5703125" style="321" bestFit="1" customWidth="1"/>
    <col min="357" max="357" width="15.140625" style="321" bestFit="1" customWidth="1"/>
    <col min="358" max="359" width="15.5703125" style="321" bestFit="1" customWidth="1"/>
    <col min="360" max="360" width="15.140625" style="321" bestFit="1" customWidth="1"/>
    <col min="361" max="362" width="14.85546875" style="321" bestFit="1" customWidth="1"/>
    <col min="363" max="363" width="15.140625" style="321" bestFit="1" customWidth="1"/>
    <col min="364" max="364" width="15.85546875" style="321" bestFit="1" customWidth="1"/>
    <col min="365" max="365" width="15.5703125" style="321" bestFit="1" customWidth="1"/>
    <col min="366" max="366" width="15.42578125" style="321" bestFit="1" customWidth="1"/>
    <col min="367" max="367" width="15.85546875" style="321" bestFit="1" customWidth="1"/>
    <col min="368" max="368" width="15.5703125" style="321" bestFit="1" customWidth="1"/>
    <col min="369" max="369" width="15" style="321" bestFit="1" customWidth="1"/>
    <col min="370" max="371" width="14.85546875" style="321" bestFit="1" customWidth="1"/>
    <col min="372" max="372" width="15.140625" style="321" bestFit="1" customWidth="1"/>
    <col min="373" max="373" width="14.5703125" style="321" bestFit="1" customWidth="1"/>
    <col min="374" max="375" width="14.140625" style="321" bestFit="1" customWidth="1"/>
    <col min="376" max="376" width="14.5703125" style="321" bestFit="1" customWidth="1"/>
    <col min="377" max="378" width="15.7109375" style="321" bestFit="1" customWidth="1"/>
    <col min="379" max="379" width="15.42578125" style="321" bestFit="1" customWidth="1"/>
    <col min="380" max="381" width="15.7109375" style="321" bestFit="1" customWidth="1"/>
    <col min="382" max="382" width="15.42578125" style="321" bestFit="1" customWidth="1"/>
    <col min="383" max="383" width="15" style="321" bestFit="1" customWidth="1"/>
    <col min="384" max="384" width="15.42578125" style="321" bestFit="1" customWidth="1"/>
    <col min="385" max="386" width="15.140625" style="321" bestFit="1" customWidth="1"/>
    <col min="387" max="387" width="14.5703125" style="321" bestFit="1" customWidth="1"/>
    <col min="388" max="388" width="14.85546875" style="321" bestFit="1" customWidth="1"/>
    <col min="389" max="389" width="15.140625" style="321" bestFit="1" customWidth="1"/>
    <col min="390" max="390" width="15.42578125" style="321" bestFit="1" customWidth="1"/>
    <col min="391" max="391" width="15.7109375" style="321" bestFit="1" customWidth="1"/>
    <col min="392" max="392" width="15.42578125" style="321" bestFit="1" customWidth="1"/>
    <col min="393" max="394" width="15.7109375" style="321" bestFit="1" customWidth="1"/>
    <col min="395" max="395" width="15.5703125" style="321" bestFit="1" customWidth="1"/>
    <col min="396" max="396" width="15.140625" style="321" bestFit="1" customWidth="1"/>
    <col min="397" max="397" width="15.5703125" style="321" bestFit="1" customWidth="1"/>
    <col min="398" max="398" width="15.42578125" style="321" bestFit="1" customWidth="1"/>
    <col min="399" max="399" width="15" style="321" bestFit="1" customWidth="1"/>
    <col min="400" max="400" width="14.7109375" style="321" bestFit="1" customWidth="1"/>
    <col min="401" max="401" width="14.5703125" style="321" bestFit="1" customWidth="1"/>
    <col min="402" max="402" width="15" style="321" bestFit="1" customWidth="1"/>
    <col min="403" max="403" width="14.7109375" style="321" bestFit="1" customWidth="1"/>
    <col min="404" max="404" width="15" style="321" bestFit="1" customWidth="1"/>
    <col min="405" max="406" width="14.85546875" style="321" bestFit="1" customWidth="1"/>
    <col min="407" max="407" width="15.140625" style="321" bestFit="1" customWidth="1"/>
    <col min="408" max="408" width="15.42578125" style="321" bestFit="1" customWidth="1"/>
    <col min="409" max="410" width="15.140625" style="321" bestFit="1" customWidth="1"/>
    <col min="411" max="411" width="15.5703125" style="321" bestFit="1" customWidth="1"/>
    <col min="412" max="412" width="15.140625" style="321" bestFit="1" customWidth="1"/>
    <col min="413" max="413" width="14.5703125" style="321" bestFit="1" customWidth="1"/>
    <col min="414" max="414" width="14.85546875" style="321" bestFit="1" customWidth="1"/>
    <col min="415" max="415" width="15.140625" style="321" bestFit="1" customWidth="1"/>
    <col min="416" max="417" width="15.85546875" style="321" bestFit="1" customWidth="1"/>
    <col min="418" max="418" width="15.5703125" style="321" bestFit="1" customWidth="1"/>
    <col min="419" max="420" width="15.85546875" style="321" bestFit="1" customWidth="1"/>
    <col min="421" max="421" width="15.140625" style="321" bestFit="1" customWidth="1"/>
    <col min="422" max="422" width="14.85546875" style="321" bestFit="1" customWidth="1"/>
    <col min="423" max="423" width="15.140625" style="321" bestFit="1" customWidth="1"/>
    <col min="424" max="424" width="15" style="321" bestFit="1" customWidth="1"/>
    <col min="425" max="425" width="14.5703125" style="321" bestFit="1" customWidth="1"/>
    <col min="426" max="426" width="14" style="321" bestFit="1" customWidth="1"/>
    <col min="427" max="427" width="14.140625" style="321" bestFit="1" customWidth="1"/>
    <col min="428" max="428" width="14.5703125" style="321" bestFit="1" customWidth="1"/>
    <col min="429" max="429" width="15.42578125" style="321" bestFit="1" customWidth="1"/>
    <col min="430" max="430" width="15.7109375" style="321" bestFit="1" customWidth="1"/>
    <col min="431" max="431" width="15.42578125" style="321" bestFit="1" customWidth="1"/>
    <col min="432" max="433" width="15.7109375" style="321" bestFit="1" customWidth="1"/>
    <col min="434" max="434" width="15.42578125" style="321" bestFit="1" customWidth="1"/>
    <col min="435" max="436" width="15" style="321" bestFit="1" customWidth="1"/>
    <col min="437" max="437" width="15.42578125" style="321" bestFit="1" customWidth="1"/>
    <col min="438" max="438" width="15.140625" style="321" bestFit="1" customWidth="1"/>
    <col min="439" max="439" width="14.85546875" style="321" bestFit="1" customWidth="1"/>
    <col min="440" max="440" width="14.7109375" style="321" bestFit="1" customWidth="1"/>
    <col min="441" max="441" width="15.140625" style="321" bestFit="1" customWidth="1"/>
    <col min="442" max="442" width="14.85546875" style="321" bestFit="1" customWidth="1"/>
    <col min="443" max="443" width="15.5703125" style="321" bestFit="1" customWidth="1"/>
    <col min="444" max="445" width="15.42578125" style="321" bestFit="1" customWidth="1"/>
    <col min="446" max="446" width="15.7109375" style="321" bestFit="1" customWidth="1"/>
    <col min="447" max="447" width="15.5703125" style="321" bestFit="1" customWidth="1"/>
    <col min="448" max="449" width="15.140625" style="321" bestFit="1" customWidth="1"/>
    <col min="450" max="450" width="15.5703125" style="321" bestFit="1" customWidth="1"/>
    <col min="451" max="452" width="15" style="321" bestFit="1" customWidth="1"/>
    <col min="453" max="453" width="14.7109375" style="321" bestFit="1" customWidth="1"/>
    <col min="454" max="455" width="15" style="321" bestFit="1" customWidth="1"/>
    <col min="456" max="456" width="15.140625" style="321" bestFit="1" customWidth="1"/>
    <col min="457" max="457" width="14.85546875" style="321" bestFit="1" customWidth="1"/>
    <col min="458" max="458" width="15.140625" style="321" bestFit="1" customWidth="1"/>
    <col min="459" max="459" width="15" style="321" bestFit="1" customWidth="1"/>
    <col min="460" max="460" width="15.5703125" style="321" bestFit="1" customWidth="1"/>
    <col min="461" max="461" width="15.140625" style="321" bestFit="1" customWidth="1"/>
    <col min="462" max="462" width="15.5703125" style="321" bestFit="1" customWidth="1"/>
    <col min="463" max="463" width="15.42578125" style="321" bestFit="1" customWidth="1"/>
    <col min="464" max="464" width="15.140625" style="321" bestFit="1" customWidth="1"/>
    <col min="465" max="465" width="14.85546875" style="321" bestFit="1" customWidth="1"/>
    <col min="466" max="466" width="14.7109375" style="321" bestFit="1" customWidth="1"/>
    <col min="467" max="467" width="15.140625" style="321" bestFit="1" customWidth="1"/>
    <col min="468" max="468" width="15.5703125" style="321" bestFit="1" customWidth="1"/>
    <col min="469" max="469" width="15.85546875" style="321" bestFit="1" customWidth="1"/>
    <col min="470" max="470" width="15.5703125" style="321" bestFit="1" customWidth="1"/>
    <col min="471" max="472" width="15.85546875" style="321" bestFit="1" customWidth="1"/>
    <col min="473" max="473" width="15.140625" style="321" bestFit="1" customWidth="1"/>
    <col min="474" max="475" width="14.85546875" style="321" bestFit="1" customWidth="1"/>
    <col min="476" max="476" width="15.140625" style="321" bestFit="1" customWidth="1"/>
    <col min="477" max="477" width="14.5703125" style="321" bestFit="1" customWidth="1"/>
    <col min="478" max="479" width="14.140625" style="321" bestFit="1" customWidth="1"/>
    <col min="480" max="480" width="14.5703125" style="321" bestFit="1" customWidth="1"/>
    <col min="481" max="481" width="14.140625" style="321" bestFit="1" customWidth="1"/>
    <col min="482" max="482" width="15.5703125" style="321" bestFit="1" customWidth="1"/>
    <col min="483" max="484" width="15.42578125" style="321" bestFit="1" customWidth="1"/>
    <col min="485" max="485" width="15.7109375" style="321" bestFit="1" customWidth="1"/>
    <col min="486" max="486" width="15.42578125" style="321" bestFit="1" customWidth="1"/>
    <col min="487" max="487" width="14.7109375" style="321" bestFit="1" customWidth="1"/>
    <col min="488" max="488" width="15" style="321" bestFit="1" customWidth="1"/>
    <col min="489" max="489" width="15.42578125" style="321" bestFit="1" customWidth="1"/>
    <col min="490" max="491" width="15.140625" style="321" bestFit="1" customWidth="1"/>
    <col min="492" max="492" width="14.85546875" style="321" bestFit="1" customWidth="1"/>
    <col min="493" max="494" width="15.140625" style="321" bestFit="1" customWidth="1"/>
    <col min="495" max="495" width="15.7109375" style="321" bestFit="1" customWidth="1"/>
    <col min="496" max="496" width="15.42578125" style="321" bestFit="1" customWidth="1"/>
    <col min="497" max="497" width="15.7109375" style="321" bestFit="1" customWidth="1"/>
    <col min="498" max="499" width="15.5703125" style="321" bestFit="1" customWidth="1"/>
    <col min="500" max="500" width="14.85546875" style="321" bestFit="1" customWidth="1"/>
    <col min="501" max="501" width="15.140625" style="321" bestFit="1" customWidth="1"/>
    <col min="502" max="502" width="15.5703125" style="321" bestFit="1" customWidth="1"/>
    <col min="503" max="503" width="14.7109375" style="321" bestFit="1" customWidth="1"/>
    <col min="504" max="504" width="15" style="321" bestFit="1" customWidth="1"/>
    <col min="505" max="505" width="14.7109375" style="321" bestFit="1" customWidth="1"/>
    <col min="506" max="507" width="15" style="321" bestFit="1" customWidth="1"/>
    <col min="508" max="508" width="15.140625" style="321" bestFit="1" customWidth="1"/>
    <col min="509" max="510" width="14.85546875" style="321" bestFit="1" customWidth="1"/>
    <col min="511" max="511" width="15.140625" style="321" bestFit="1" customWidth="1"/>
    <col min="512" max="512" width="15.5703125" style="321" bestFit="1" customWidth="1"/>
    <col min="513" max="514" width="15.140625" style="321" bestFit="1" customWidth="1"/>
    <col min="515" max="515" width="15.5703125" style="321" bestFit="1" customWidth="1"/>
    <col min="516" max="517" width="15.140625" style="321" bestFit="1" customWidth="1"/>
    <col min="518" max="518" width="14.85546875" style="321" bestFit="1" customWidth="1"/>
    <col min="519" max="520" width="15.140625" style="321" bestFit="1" customWidth="1"/>
    <col min="521" max="521" width="15.7109375" style="321" bestFit="1" customWidth="1"/>
    <col min="522" max="523" width="15.5703125" style="321" bestFit="1" customWidth="1"/>
    <col min="524" max="524" width="15.85546875" style="321" bestFit="1" customWidth="1"/>
    <col min="525" max="525" width="15.140625" style="321" bestFit="1" customWidth="1"/>
    <col min="526" max="526" width="14.5703125" style="321" bestFit="1" customWidth="1"/>
    <col min="527" max="527" width="14.85546875" style="321" bestFit="1" customWidth="1"/>
    <col min="528" max="528" width="15.140625" style="321" bestFit="1" customWidth="1"/>
    <col min="529" max="530" width="14.5703125" style="321" bestFit="1" customWidth="1"/>
    <col min="531" max="531" width="14.140625" style="321" bestFit="1" customWidth="1"/>
    <col min="532" max="533" width="14.5703125" style="321" bestFit="1" customWidth="1"/>
    <col min="534" max="534" width="15.7109375" style="321" bestFit="1" customWidth="1"/>
    <col min="535" max="535" width="15.42578125" style="321" bestFit="1" customWidth="1"/>
    <col min="536" max="536" width="15.7109375" style="321" bestFit="1" customWidth="1"/>
    <col min="537" max="537" width="15.5703125" style="321" bestFit="1" customWidth="1"/>
    <col min="538" max="538" width="15.42578125" style="321" bestFit="1" customWidth="1"/>
    <col min="539" max="539" width="15" style="321" bestFit="1" customWidth="1"/>
    <col min="540" max="540" width="14.85546875" style="321" bestFit="1" customWidth="1"/>
    <col min="541" max="541" width="15.42578125" style="321" bestFit="1" customWidth="1"/>
    <col min="542" max="542" width="14.85546875" style="321" bestFit="1" customWidth="1"/>
    <col min="543" max="543" width="15.140625" style="321" bestFit="1" customWidth="1"/>
    <col min="544" max="544" width="14.85546875" style="321" bestFit="1" customWidth="1"/>
    <col min="545" max="546" width="15.140625" style="321" bestFit="1" customWidth="1"/>
    <col min="547" max="547" width="15.7109375" style="321" bestFit="1" customWidth="1"/>
    <col min="548" max="549" width="15.42578125" style="321" bestFit="1" customWidth="1"/>
    <col min="550" max="550" width="15.7109375" style="321" bestFit="1" customWidth="1"/>
    <col min="551" max="551" width="15.5703125" style="321" bestFit="1" customWidth="1"/>
    <col min="552" max="552" width="15.140625" style="321" bestFit="1" customWidth="1"/>
    <col min="553" max="553" width="15" style="321" bestFit="1" customWidth="1"/>
    <col min="554" max="554" width="15.5703125" style="321" bestFit="1" customWidth="1"/>
    <col min="555" max="555" width="15.140625" style="321" bestFit="1" customWidth="1"/>
    <col min="556" max="556" width="14.85546875" style="321" bestFit="1" customWidth="1"/>
    <col min="557" max="558" width="14.7109375" style="321" bestFit="1" customWidth="1"/>
    <col min="559" max="559" width="15" style="321" bestFit="1" customWidth="1"/>
    <col min="560" max="560" width="15.140625" style="321" bestFit="1" customWidth="1"/>
    <col min="561" max="561" width="14.5703125" style="321" bestFit="1" customWidth="1"/>
    <col min="562" max="562" width="14.85546875" style="321" bestFit="1" customWidth="1"/>
    <col min="563" max="563" width="15.140625" style="321" bestFit="1" customWidth="1"/>
    <col min="564" max="564" width="15.5703125" style="321" bestFit="1" customWidth="1"/>
    <col min="565" max="565" width="15.140625" style="321" bestFit="1" customWidth="1"/>
    <col min="566" max="566" width="15" style="321" bestFit="1" customWidth="1"/>
    <col min="567" max="567" width="15.5703125" style="321" bestFit="1" customWidth="1"/>
    <col min="568" max="568" width="15.140625" style="321" bestFit="1" customWidth="1"/>
    <col min="569" max="569" width="15" style="321" bestFit="1" customWidth="1"/>
    <col min="570" max="571" width="14.85546875" style="321" bestFit="1" customWidth="1"/>
    <col min="572" max="572" width="15.140625" style="321" bestFit="1" customWidth="1"/>
    <col min="573" max="573" width="15.85546875" style="321" bestFit="1" customWidth="1"/>
    <col min="574" max="575" width="15.5703125" style="321" bestFit="1" customWidth="1"/>
    <col min="576" max="576" width="15.85546875" style="321" bestFit="1" customWidth="1"/>
    <col min="577" max="578" width="15.140625" style="321" bestFit="1" customWidth="1"/>
    <col min="579" max="579" width="14.85546875" style="321" bestFit="1" customWidth="1"/>
    <col min="580" max="581" width="15.140625" style="321" bestFit="1" customWidth="1"/>
    <col min="582" max="582" width="14.42578125" style="321" bestFit="1" customWidth="1"/>
    <col min="583" max="584" width="14.140625" style="321" bestFit="1" customWidth="1"/>
    <col min="585" max="585" width="14.5703125" style="321" bestFit="1" customWidth="1"/>
    <col min="586" max="586" width="15.7109375" style="321" bestFit="1" customWidth="1"/>
    <col min="587" max="587" width="15" style="321" bestFit="1" customWidth="1"/>
    <col min="588" max="588" width="15.42578125" style="321" bestFit="1" customWidth="1"/>
    <col min="589" max="589" width="15.7109375" style="321" bestFit="1" customWidth="1"/>
    <col min="590" max="590" width="15" style="321" bestFit="1" customWidth="1"/>
    <col min="591" max="591" width="15.42578125" style="321" bestFit="1" customWidth="1"/>
    <col min="592" max="592" width="15" style="321" bestFit="1" customWidth="1"/>
    <col min="593" max="594" width="15.42578125" style="321" bestFit="1" customWidth="1"/>
    <col min="595" max="595" width="15.140625" style="321" bestFit="1" customWidth="1"/>
    <col min="596" max="596" width="14.85546875" style="321" bestFit="1" customWidth="1"/>
    <col min="597" max="597" width="15.140625" style="321" bestFit="1" customWidth="1"/>
    <col min="598" max="598" width="15" style="321" bestFit="1" customWidth="1"/>
    <col min="599" max="599" width="15.7109375" style="321" bestFit="1" customWidth="1"/>
    <col min="600" max="600" width="15.42578125" style="321" bestFit="1" customWidth="1"/>
    <col min="601" max="601" width="15.140625" style="321" bestFit="1" customWidth="1"/>
    <col min="602" max="602" width="15.7109375" style="321" bestFit="1" customWidth="1"/>
    <col min="603" max="603" width="15.140625" style="321" bestFit="1" customWidth="1"/>
    <col min="604" max="604" width="15.5703125" style="321" bestFit="1" customWidth="1"/>
    <col min="605" max="605" width="15.140625" style="321" bestFit="1" customWidth="1"/>
    <col min="606" max="607" width="15.5703125" style="321" bestFit="1" customWidth="1"/>
    <col min="608" max="608" width="14.85546875" style="321" bestFit="1" customWidth="1"/>
    <col min="609" max="610" width="14.5703125" style="321" bestFit="1" customWidth="1"/>
    <col min="611" max="611" width="14.85546875" style="321" bestFit="1" customWidth="1"/>
    <col min="612" max="613" width="15" style="321" bestFit="1" customWidth="1"/>
    <col min="614" max="614" width="14.7109375" style="321" bestFit="1" customWidth="1"/>
    <col min="615" max="615" width="15" style="321" bestFit="1" customWidth="1"/>
    <col min="616" max="16384" width="9" style="321"/>
  </cols>
  <sheetData>
    <row r="1" spans="1:615" s="270" customFormat="1" ht="20.25" customHeight="1" x14ac:dyDescent="0.25">
      <c r="B1" s="271" t="s">
        <v>76</v>
      </c>
      <c r="C1" s="272">
        <v>46083</v>
      </c>
      <c r="D1" s="432">
        <v>887523.63</v>
      </c>
      <c r="E1" s="275">
        <f ca="1">V5</f>
        <v>982529.6</v>
      </c>
      <c r="F1" s="275">
        <f ca="1">U5</f>
        <v>933218.04</v>
      </c>
      <c r="G1" s="273"/>
      <c r="H1" s="273"/>
      <c r="I1" s="273">
        <v>907273.5</v>
      </c>
      <c r="J1" s="397"/>
      <c r="K1" s="397"/>
      <c r="L1" s="401"/>
      <c r="M1" s="273"/>
      <c r="N1" s="273"/>
      <c r="O1" s="273"/>
      <c r="P1" s="273"/>
      <c r="Q1" s="402"/>
      <c r="R1" s="386">
        <f ca="1">R5</f>
        <v>-5.0254102747567586E-2</v>
      </c>
      <c r="S1" s="274"/>
      <c r="T1" s="274"/>
      <c r="U1" s="273"/>
      <c r="V1" s="275">
        <f ca="1">U5</f>
        <v>933218.04</v>
      </c>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25">
      <c r="B2" s="271" t="s">
        <v>78</v>
      </c>
      <c r="C2" s="272">
        <v>46062</v>
      </c>
      <c r="D2" s="433">
        <f ca="1">R5</f>
        <v>-5.0254102747567586E-2</v>
      </c>
      <c r="E2" s="434">
        <f ca="1">1-F1/D1</f>
        <v>-5.1485288340998858E-2</v>
      </c>
      <c r="F2" s="275">
        <f ca="1">F1-D1</f>
        <v>45694.410000000033</v>
      </c>
      <c r="G2" s="273"/>
      <c r="H2" s="273"/>
      <c r="I2" s="273"/>
      <c r="J2" s="397"/>
      <c r="K2" s="397"/>
      <c r="L2" s="429" t="s">
        <v>79</v>
      </c>
      <c r="M2" s="430"/>
      <c r="N2" s="430"/>
      <c r="O2" s="430"/>
      <c r="P2" s="430"/>
      <c r="Q2" s="431"/>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25">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
      <c r="A5" s="270"/>
      <c r="B5" s="311"/>
      <c r="C5" s="312" t="s">
        <v>105</v>
      </c>
      <c r="D5" s="313" t="s">
        <v>317</v>
      </c>
      <c r="E5" s="312" t="s">
        <v>46</v>
      </c>
      <c r="F5" s="314" t="s">
        <v>812</v>
      </c>
      <c r="G5" s="297"/>
      <c r="H5" s="298"/>
      <c r="I5" s="298"/>
      <c r="J5" s="300"/>
      <c r="K5" s="300"/>
      <c r="L5" s="297">
        <f>SUM(L6:L72)</f>
        <v>0</v>
      </c>
      <c r="M5" s="301">
        <f ca="1">SUM(M6:M72)</f>
        <v>0</v>
      </c>
      <c r="N5" s="302">
        <f>SUM(N6:N72)</f>
        <v>716.25</v>
      </c>
      <c r="O5" s="301">
        <f ca="1">SUM(O6:O72)</f>
        <v>112758.45</v>
      </c>
      <c r="P5" s="301">
        <f ca="1">SUM(P6:P72)</f>
        <v>-112758.45</v>
      </c>
      <c r="Q5" s="303">
        <f>SUM(Q6:Q72)</f>
        <v>116011.5</v>
      </c>
      <c r="R5" s="400">
        <f ca="1">IFERROR(((U5+O5)-(V5+Q5))/(U5+O5),"")</f>
        <v>-5.0254102747567586E-2</v>
      </c>
      <c r="S5" s="298">
        <f ca="1">SUM(S6:S72)</f>
        <v>5832</v>
      </c>
      <c r="T5" s="316">
        <f ca="1">SUM(T6:T72)</f>
        <v>729</v>
      </c>
      <c r="U5" s="317">
        <f ca="1">SUM(U6:U72)</f>
        <v>933218.04</v>
      </c>
      <c r="V5" s="306">
        <f ca="1">SUM(V6:V72)</f>
        <v>982529.6</v>
      </c>
      <c r="W5" s="307">
        <f ca="1">SUM(W6:W72)</f>
        <v>-1045976.49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25">
      <c r="B6" s="322" t="s">
        <v>926</v>
      </c>
      <c r="C6" s="323" t="s">
        <v>927</v>
      </c>
      <c r="D6" s="321" t="s">
        <v>306</v>
      </c>
      <c r="E6" s="321" t="s">
        <v>753</v>
      </c>
      <c r="F6" s="324" t="s">
        <v>928</v>
      </c>
      <c r="G6" s="325" cm="1">
        <f t="array" aca="1" ref="G6" ca="1">IFERROR(INDEX(Panel_Rates[[1]:[12]],MATCH(Panel_New&amp;Category_New,Panel_Rates[Panel]&amp;Panel_Rates[Category],0),MATCH('Time Plan (Multiple Release)'!E6,OFFSET(Variable!$AF$2,MATCH(Panel_New&amp;Category_New,Panel_Rates[Panel]&amp;Panel_Rates[Category],0)-1,0,1,12),0))/8,"")</f>
        <v>305</v>
      </c>
      <c r="H6" s="326">
        <v>0.32</v>
      </c>
      <c r="I6" s="328">
        <f t="shared" ref="I6:I24" ca="1" si="20">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24" ca="1" si="21">IFERROR(M6-O6,"")</f>
        <v>-24887.999999999996</v>
      </c>
      <c r="Q6" s="333">
        <f t="shared" ref="Q6:Q24" si="22">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25">
      <c r="B7" s="322" t="s">
        <v>926</v>
      </c>
      <c r="C7" s="323" t="s">
        <v>927</v>
      </c>
      <c r="D7" s="321" t="s">
        <v>327</v>
      </c>
      <c r="E7" s="321" t="s">
        <v>752</v>
      </c>
      <c r="F7" s="324" t="s">
        <v>155</v>
      </c>
      <c r="G7" s="325" cm="1">
        <f t="array" aca="1" ref="G7" ca="1">IFERROR(INDEX(Panel_Rates[[1]:[12]],MATCH(Panel_New&amp;Category_New,Panel_Rates[Panel]&amp;Panel_Rates[Category],0),MATCH('Time Plan (Multiple Release)'!E7,OFFSET(Variable!$AF$2,MATCH(Panel_New&amp;Category_New,Panel_Rates[Panel]&amp;Panel_Rates[Category],0)-1,0,1,12),0))/8,"")</f>
        <v>245</v>
      </c>
      <c r="H7" s="326">
        <v>0.38</v>
      </c>
      <c r="I7" s="328">
        <f t="shared" ca="1" si="20"/>
        <v>151.9</v>
      </c>
      <c r="J7" s="329">
        <f ca="1">IFERROR(I7*8,"")</f>
        <v>1215.2</v>
      </c>
      <c r="K7" s="329">
        <f>IFERROR(_xlfn.XLOOKUP(D7,CostTableLookup[Name],CostTableLookup[Gross Cost]),"")</f>
        <v>146</v>
      </c>
      <c r="L7" s="330"/>
      <c r="M7" s="331">
        <f ca="1">IFERROR(L7*I7,"")</f>
        <v>0</v>
      </c>
      <c r="N7" s="332">
        <v>144.5</v>
      </c>
      <c r="O7" s="331">
        <f ca="1">IFERROR(N7*I7,"")</f>
        <v>21949.55</v>
      </c>
      <c r="P7" s="331">
        <f t="shared" ca="1" si="21"/>
        <v>-21949.55</v>
      </c>
      <c r="Q7" s="333">
        <f t="shared" si="22"/>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63" ca="1" si="23">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25">
      <c r="B8" s="322" t="s">
        <v>926</v>
      </c>
      <c r="C8" s="323" t="s">
        <v>927</v>
      </c>
      <c r="D8" s="321" t="s">
        <v>746</v>
      </c>
      <c r="E8" s="321" t="s">
        <v>752</v>
      </c>
      <c r="F8" s="324" t="s">
        <v>155</v>
      </c>
      <c r="G8" s="325" cm="1">
        <f t="array" aca="1" ref="G8" ca="1">IFERROR(INDEX(Panel_Rates[[1]:[12]],MATCH(Panel_New&amp;Category_New,Panel_Rates[Panel]&amp;Panel_Rates[Category],0),MATCH('Time Plan (Multiple Release)'!E8,OFFSET(Variable!$AF$2,MATCH(Panel_New&amp;Category_New,Panel_Rates[Panel]&amp;Panel_Rates[Category],0)-1,0,1,12),0))/8,"")</f>
        <v>245</v>
      </c>
      <c r="H8" s="326">
        <v>0.38</v>
      </c>
      <c r="I8" s="328">
        <f t="shared" ca="1" si="20"/>
        <v>151.9</v>
      </c>
      <c r="J8" s="329">
        <f ca="1">IFERROR(I8*8,"")</f>
        <v>1215.2</v>
      </c>
      <c r="K8" s="329">
        <f>IFERROR(_xlfn.XLOOKUP(D8,CostTableLookup[Name],CostTableLookup[Gross Cost]),"")</f>
        <v>90</v>
      </c>
      <c r="L8" s="330"/>
      <c r="M8" s="331">
        <f ca="1">IFERROR(L8*I8,"")</f>
        <v>0</v>
      </c>
      <c r="N8" s="332">
        <v>120</v>
      </c>
      <c r="O8" s="331">
        <f ca="1">IFERROR(N8*I8,"")</f>
        <v>18228</v>
      </c>
      <c r="P8" s="331">
        <f t="shared" ca="1" si="21"/>
        <v>-18228</v>
      </c>
      <c r="Q8" s="333">
        <f t="shared" si="22"/>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3"/>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25">
      <c r="B9" s="322" t="s">
        <v>926</v>
      </c>
      <c r="C9" s="323" t="s">
        <v>927</v>
      </c>
      <c r="D9" s="321" t="s">
        <v>317</v>
      </c>
      <c r="E9" s="321" t="s">
        <v>754</v>
      </c>
      <c r="F9" s="324" t="s">
        <v>929</v>
      </c>
      <c r="G9" s="325" cm="1">
        <f t="array" aca="1" ref="G9" ca="1">IFERROR(INDEX(Panel_Rates[[1]:[12]],MATCH(Panel_New&amp;Category_New,Panel_Rates[Panel]&amp;Panel_Rates[Category],0),MATCH('Time Plan (Multiple Release)'!E9,OFFSET(Variable!$AF$2,MATCH(Panel_New&amp;Category_New,Panel_Rates[Panel]&amp;Panel_Rates[Category],0)-1,0,1,12),0))/8,"")</f>
        <v>395</v>
      </c>
      <c r="H9" s="326">
        <v>0.4</v>
      </c>
      <c r="I9" s="328">
        <f t="shared" ca="1" si="20"/>
        <v>237</v>
      </c>
      <c r="J9" s="329">
        <f t="shared" ref="J9:J13" ca="1" si="24">IFERROR(I9*8,"")</f>
        <v>1896</v>
      </c>
      <c r="K9" s="329">
        <f>IFERROR(_xlfn.XLOOKUP(D9,CostTableLookup[Name],CostTableLookup[Gross Cost]),"")</f>
        <v>198</v>
      </c>
      <c r="L9" s="330"/>
      <c r="M9" s="331">
        <f t="shared" ref="M9:M13" ca="1" si="25">IFERROR(L9*I9,"")</f>
        <v>0</v>
      </c>
      <c r="N9" s="332">
        <v>66</v>
      </c>
      <c r="O9" s="331">
        <f t="shared" ref="O9:O13" ca="1" si="26">IFERROR(N9*I9,"")</f>
        <v>15642</v>
      </c>
      <c r="P9" s="331">
        <f t="shared" ca="1" si="21"/>
        <v>-15642</v>
      </c>
      <c r="Q9" s="333">
        <f t="shared" si="22"/>
        <v>13068</v>
      </c>
      <c r="R9" s="343">
        <f t="shared" ref="R9:R11" ca="1" si="27">IFERROR(((U9+O9)-(V9+Q9))/(U9+O9),"")</f>
        <v>0.16455696202531644</v>
      </c>
      <c r="S9" s="335">
        <f t="shared" ref="S9:S11" ca="1" si="28">IFERROR(SUM(OFFSET(Y9,0,MATCH(Forecast_New,$Y$3:$WQ$3,0)-1,1,500))*40,"")</f>
        <v>30</v>
      </c>
      <c r="T9" s="336">
        <f t="shared" ref="T9:T24" ca="1" si="29">IFERROR(S9/8,"")</f>
        <v>3.75</v>
      </c>
      <c r="U9" s="337">
        <f t="shared" ref="U9:U13" ca="1" si="30">IFERROR($S9*I9,"")</f>
        <v>7110</v>
      </c>
      <c r="V9" s="338">
        <f t="shared" ref="V9:V13" ca="1" si="31">IFERROR($S9*K9,"")</f>
        <v>5940</v>
      </c>
      <c r="W9" s="339">
        <f t="shared" ca="1" si="23"/>
        <v>-22752</v>
      </c>
      <c r="X9" s="340" t="str">
        <f t="shared" ref="X9:X13" ca="1" si="32">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25">
      <c r="B10" s="322" t="s">
        <v>926</v>
      </c>
      <c r="C10" s="323" t="s">
        <v>927</v>
      </c>
      <c r="D10" s="321" t="s">
        <v>447</v>
      </c>
      <c r="E10" s="321" t="s">
        <v>753</v>
      </c>
      <c r="F10" s="324" t="s">
        <v>930</v>
      </c>
      <c r="G10" s="325" cm="1">
        <f t="array" aca="1" ref="G10" ca="1">IFERROR(INDEX(Panel_Rates[[1]:[12]],MATCH(Panel_New&amp;Category_New,Panel_Rates[Panel]&amp;Panel_Rates[Category],0),MATCH('Time Plan (Multiple Release)'!E10,OFFSET(Variable!$AF$2,MATCH(Panel_New&amp;Category_New,Panel_Rates[Panel]&amp;Panel_Rates[Category],0)-1,0,1,12),0))/8,"")</f>
        <v>305</v>
      </c>
      <c r="H10" s="326">
        <v>0.32</v>
      </c>
      <c r="I10" s="328">
        <f ca="1">IFERROR(G10*(1-H10),"")</f>
        <v>207.39999999999998</v>
      </c>
      <c r="J10" s="329">
        <f t="shared" ca="1" si="24"/>
        <v>1659.1999999999998</v>
      </c>
      <c r="K10" s="329">
        <f>IFERROR(_xlfn.XLOOKUP(D10,CostTableLookup[Name],CostTableLookup[Gross Cost]),"")</f>
        <v>151</v>
      </c>
      <c r="L10" s="330"/>
      <c r="M10" s="331">
        <f t="shared" ca="1" si="25"/>
        <v>0</v>
      </c>
      <c r="N10" s="332"/>
      <c r="O10" s="331">
        <f t="shared" ca="1" si="26"/>
        <v>0</v>
      </c>
      <c r="P10" s="331">
        <f t="shared" ca="1" si="21"/>
        <v>0</v>
      </c>
      <c r="Q10" s="333">
        <f t="shared" si="22"/>
        <v>0</v>
      </c>
      <c r="R10" s="343">
        <f t="shared" ca="1" si="27"/>
        <v>0.27193828351012539</v>
      </c>
      <c r="S10" s="335">
        <f t="shared" ref="S10:S12" ca="1" si="33">IFERROR(SUM(OFFSET(Y10,0,MATCH(Forecast_New,$Y$3:$WQ$3,0)-1,1,500))*40,"")</f>
        <v>20</v>
      </c>
      <c r="T10" s="336">
        <f t="shared" ca="1" si="29"/>
        <v>2.5</v>
      </c>
      <c r="U10" s="337">
        <f t="shared" ca="1" si="30"/>
        <v>4148</v>
      </c>
      <c r="V10" s="338">
        <f t="shared" ca="1" si="31"/>
        <v>3020</v>
      </c>
      <c r="W10" s="339">
        <f t="shared" ca="1" si="23"/>
        <v>-4148</v>
      </c>
      <c r="X10" s="340" t="str">
        <f t="shared" ca="1" si="32"/>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25">
      <c r="B11" s="322" t="s">
        <v>926</v>
      </c>
      <c r="C11" s="323" t="s">
        <v>927</v>
      </c>
      <c r="D11" s="321" t="s">
        <v>126</v>
      </c>
      <c r="E11" s="321" t="s">
        <v>752</v>
      </c>
      <c r="F11" s="324" t="s">
        <v>852</v>
      </c>
      <c r="G11" s="325" cm="1">
        <f t="array" aca="1" ref="G11" ca="1">IFERROR(INDEX(Panel_Rates[[1]:[12]],MATCH(Panel_New&amp;Category_New,Panel_Rates[Panel]&amp;Panel_Rates[Category],0),MATCH('Time Plan (Multiple Release)'!E11,OFFSET(Variable!$AF$2,MATCH(Panel_New&amp;Category_New,Panel_Rates[Panel]&amp;Panel_Rates[Category],0)-1,0,1,12),0))/8,"")</f>
        <v>245</v>
      </c>
      <c r="H11" s="326">
        <v>0.38</v>
      </c>
      <c r="I11" s="328">
        <f t="shared" ref="I11" ca="1" si="34">IFERROR(G11*(1-H11),"")</f>
        <v>151.9</v>
      </c>
      <c r="J11" s="329">
        <f t="shared" ca="1" si="24"/>
        <v>1215.2</v>
      </c>
      <c r="K11" s="329">
        <f>IFERROR(_xlfn.XLOOKUP(D11,CostTableLookup[Name],CostTableLookup[Gross Cost]),"")</f>
        <v>146</v>
      </c>
      <c r="L11" s="330"/>
      <c r="M11" s="331">
        <f t="shared" ca="1" si="25"/>
        <v>0</v>
      </c>
      <c r="N11" s="332">
        <v>66.5</v>
      </c>
      <c r="O11" s="331">
        <f t="shared" ca="1" si="26"/>
        <v>10101.35</v>
      </c>
      <c r="P11" s="331">
        <f t="shared" ca="1" si="21"/>
        <v>-10101.35</v>
      </c>
      <c r="Q11" s="333">
        <f t="shared" si="22"/>
        <v>9709</v>
      </c>
      <c r="R11" s="343">
        <f t="shared" ca="1" si="27"/>
        <v>3.8841342988808522E-2</v>
      </c>
      <c r="S11" s="335">
        <f t="shared" ref="S11:S13" ca="1" si="35">IFERROR(SUM(OFFSET(Y11,0,MATCH(Forecast_New,$Y$3:$WQ$3,0)-1,1,500))*40,"")</f>
        <v>8</v>
      </c>
      <c r="T11" s="336">
        <f t="shared" ca="1" si="29"/>
        <v>1</v>
      </c>
      <c r="U11" s="337">
        <f t="shared" ca="1" si="30"/>
        <v>1215.2</v>
      </c>
      <c r="V11" s="338">
        <f t="shared" ca="1" si="31"/>
        <v>1168</v>
      </c>
      <c r="W11" s="339">
        <f t="shared" ca="1" si="23"/>
        <v>-11316.550000000001</v>
      </c>
      <c r="X11" s="340" t="str">
        <f t="shared" ca="1" si="32"/>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25">
      <c r="B12" s="384" t="s">
        <v>926</v>
      </c>
      <c r="C12" s="384" t="s">
        <v>927</v>
      </c>
      <c r="D12" s="385" t="s">
        <v>122</v>
      </c>
      <c r="E12" s="321" t="s">
        <v>752</v>
      </c>
      <c r="F12" s="324" t="s">
        <v>931</v>
      </c>
      <c r="G12" s="325" cm="1">
        <f t="array" aca="1" ref="G12" ca="1">IFERROR(INDEX(Panel_Rates[[1]:[12]],MATCH(Panel_New&amp;Category_New,Panel_Rates[Panel]&amp;Panel_Rates[Category],0),MATCH('Time Plan (Multiple Release)'!E12,OFFSET(Variable!$AF$2,MATCH(Panel_New&amp;Category_New,Panel_Rates[Panel]&amp;Panel_Rates[Category],0)-1,0,1,12),0))/8,"")</f>
        <v>245</v>
      </c>
      <c r="H12" s="326">
        <v>1</v>
      </c>
      <c r="I12" s="328">
        <f ca="1">IFERROR(G12*(1-H12),"")</f>
        <v>0</v>
      </c>
      <c r="J12" s="329">
        <f t="shared" ca="1" si="24"/>
        <v>0</v>
      </c>
      <c r="K12" s="329">
        <f>IFERROR(_xlfn.XLOOKUP(D12,CostTableLookup[Name],CostTableLookup[Gross Cost]),"")</f>
        <v>198</v>
      </c>
      <c r="L12" s="330"/>
      <c r="M12" s="331">
        <f t="shared" ca="1" si="25"/>
        <v>0</v>
      </c>
      <c r="N12" s="332">
        <v>54.75</v>
      </c>
      <c r="O12" s="331">
        <f t="shared" ca="1" si="26"/>
        <v>0</v>
      </c>
      <c r="P12" s="331">
        <f t="shared" ca="1" si="21"/>
        <v>0</v>
      </c>
      <c r="Q12" s="333">
        <f t="shared" si="22"/>
        <v>10840.5</v>
      </c>
      <c r="R12" s="343">
        <v>1</v>
      </c>
      <c r="S12" s="335">
        <f t="shared" ref="S12:S20" ca="1" si="36">IFERROR(SUM(OFFSET(Y12,0,MATCH(Forecast_New,$Y$3:$WQ$3,0)-1,1,500))*40,"")</f>
        <v>20</v>
      </c>
      <c r="T12" s="336">
        <f t="shared" ca="1" si="29"/>
        <v>2.5</v>
      </c>
      <c r="U12" s="337">
        <f t="shared" ca="1" si="30"/>
        <v>0</v>
      </c>
      <c r="V12" s="338">
        <f t="shared" ca="1" si="31"/>
        <v>3960</v>
      </c>
      <c r="W12" s="339">
        <f t="shared" ca="1" si="23"/>
        <v>0</v>
      </c>
      <c r="X12" s="340" t="str">
        <f t="shared" ca="1" si="32"/>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25">
      <c r="B13" s="322" t="s">
        <v>926</v>
      </c>
      <c r="C13" s="323" t="s">
        <v>932</v>
      </c>
      <c r="D13" s="321" t="s">
        <v>306</v>
      </c>
      <c r="E13" s="321" t="s">
        <v>753</v>
      </c>
      <c r="F13" s="324" t="s">
        <v>928</v>
      </c>
      <c r="G13" s="325" cm="1">
        <f t="array" aca="1" ref="G13" ca="1">IFERROR(INDEX(Panel_Rates[[1]:[12]],MATCH(Panel_New&amp;Category_New,Panel_Rates[Panel]&amp;Panel_Rates[Category],0),MATCH('Time Plan (Multiple Release)'!E13,OFFSET(Variable!$AF$2,MATCH(Panel_New&amp;Category_New,Panel_Rates[Panel]&amp;Panel_Rates[Category],0)-1,0,1,12),0))/8,"")</f>
        <v>305</v>
      </c>
      <c r="H13" s="326">
        <v>0.32</v>
      </c>
      <c r="I13" s="328">
        <f t="shared" ref="I13:I31" ca="1" si="37">IFERROR(G13*(1-H13),"")</f>
        <v>207.39999999999998</v>
      </c>
      <c r="J13" s="329">
        <f t="shared" ca="1" si="24"/>
        <v>1659.1999999999998</v>
      </c>
      <c r="K13" s="329">
        <f>IFERROR(_xlfn.XLOOKUP(D13,CostTableLookup[Name],CostTableLookup[Gross Cost]),"")</f>
        <v>245</v>
      </c>
      <c r="L13" s="330"/>
      <c r="M13" s="331">
        <f t="shared" ca="1" si="25"/>
        <v>0</v>
      </c>
      <c r="N13" s="332"/>
      <c r="O13" s="331">
        <f t="shared" ca="1" si="26"/>
        <v>0</v>
      </c>
      <c r="P13" s="331">
        <f t="shared" ca="1" si="21"/>
        <v>0</v>
      </c>
      <c r="Q13" s="333">
        <f t="shared" si="22"/>
        <v>0</v>
      </c>
      <c r="R13" s="343" t="str">
        <f t="shared" ref="R13:R24" ca="1" si="38">IFERROR(((U13+O13)-(V13+Q13))/(U13+O13),"")</f>
        <v/>
      </c>
      <c r="S13" s="335">
        <f t="shared" ref="S13:S21" ca="1" si="39">IFERROR(SUM(OFFSET(Y13,0,MATCH(Forecast_New,$Y$3:$WQ$3,0)-1,1,500))*40,"")</f>
        <v>0</v>
      </c>
      <c r="T13" s="336">
        <f t="shared" ca="1" si="29"/>
        <v>0</v>
      </c>
      <c r="U13" s="337">
        <f t="shared" ca="1" si="30"/>
        <v>0</v>
      </c>
      <c r="V13" s="338">
        <f t="shared" ca="1" si="31"/>
        <v>0</v>
      </c>
      <c r="W13" s="339">
        <f t="shared" ca="1" si="23"/>
        <v>0</v>
      </c>
      <c r="X13" s="340" t="str">
        <f t="shared" ca="1" si="32"/>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25">
      <c r="B14" s="322" t="s">
        <v>926</v>
      </c>
      <c r="C14" s="323" t="s">
        <v>933</v>
      </c>
      <c r="D14" s="321" t="s">
        <v>306</v>
      </c>
      <c r="E14" s="321" t="s">
        <v>753</v>
      </c>
      <c r="F14" s="321" t="s">
        <v>928</v>
      </c>
      <c r="G14" s="328" cm="1">
        <f t="array" aca="1" ref="G14" ca="1">IFERROR(INDEX(Panel_Rates[[1]:[12]],MATCH(Panel_New&amp;Category_New,Panel_Rates[Panel]&amp;Panel_Rates[Category],0),MATCH('Time Plan (Multiple Release)'!E14,OFFSET(Variable!$AF$2,MATCH(Panel_New&amp;Category_New,Panel_Rates[Panel]&amp;Panel_Rates[Category],0)-1,0,1,12),0))/8,"")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3"/>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25">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3"/>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25">
      <c r="B16" s="360" t="s">
        <v>934</v>
      </c>
      <c r="C16" s="323" t="s">
        <v>935</v>
      </c>
      <c r="D16" s="321" t="s">
        <v>306</v>
      </c>
      <c r="E16" s="321" t="s">
        <v>753</v>
      </c>
      <c r="F16" s="324" t="s">
        <v>928</v>
      </c>
      <c r="G16" s="325" cm="1">
        <f t="array" aca="1" ref="G16" ca="1">IFERROR(INDEX(Panel_Rates[[1]:[12]],MATCH(Panel_New&amp;Category_New,Panel_Rates[Panel]&amp;Panel_Rates[Category],0),MATCH('Time Plan (Multiple Release)'!E16,OFFSET(Variable!$AF$2,MATCH(Panel_New&amp;Category_New,Panel_Rates[Panel]&amp;Panel_Rates[Category],0)-1,0,1,12),0))/8,"")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3"/>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25">
      <c r="B17" s="360" t="s">
        <v>934</v>
      </c>
      <c r="C17" s="323" t="s">
        <v>935</v>
      </c>
      <c r="D17" s="321" t="s">
        <v>746</v>
      </c>
      <c r="E17" s="321" t="s">
        <v>752</v>
      </c>
      <c r="F17" s="324" t="s">
        <v>155</v>
      </c>
      <c r="G17" s="325" cm="1">
        <f t="array" aca="1" ref="G17" ca="1">IFERROR(INDEX(Panel_Rates[[1]:[12]],MATCH(Panel_New&amp;Category_New,Panel_Rates[Panel]&amp;Panel_Rates[Category],0),MATCH('Time Plan (Multiple Release)'!E17,OFFSET(Variable!$AF$2,MATCH(Panel_New&amp;Category_New,Panel_Rates[Panel]&amp;Panel_Rates[Category],0)-1,0,1,12),0))/8,"")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3"/>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25">
      <c r="B18" s="360" t="s">
        <v>934</v>
      </c>
      <c r="C18" s="323" t="s">
        <v>935</v>
      </c>
      <c r="D18" s="321" t="s">
        <v>327</v>
      </c>
      <c r="E18" s="321" t="s">
        <v>752</v>
      </c>
      <c r="F18" s="324" t="s">
        <v>155</v>
      </c>
      <c r="G18" s="325" cm="1">
        <f t="array" aca="1" ref="G18" ca="1">IFERROR(INDEX(Panel_Rates[[1]:[12]],MATCH(Panel_New&amp;Category_New,Panel_Rates[Panel]&amp;Panel_Rates[Category],0),MATCH('Time Plan (Multiple Release)'!E18,OFFSET(Variable!$AF$2,MATCH(Panel_New&amp;Category_New,Panel_Rates[Panel]&amp;Panel_Rates[Category],0)-1,0,1,12),0))/8,"")</f>
        <v>245</v>
      </c>
      <c r="H18" s="326">
        <v>0.38</v>
      </c>
      <c r="I18" s="328">
        <f t="shared" ref="I18:I25" ca="1" si="40">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P25" ca="1" si="41">IFERROR(M18-O18,"")</f>
        <v>-21949.55</v>
      </c>
      <c r="Q18" s="333">
        <f t="shared" ref="Q18:Q25" si="42">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ca="1" si="23"/>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25">
      <c r="B19" s="360" t="s">
        <v>934</v>
      </c>
      <c r="C19" s="323" t="s">
        <v>936</v>
      </c>
      <c r="D19" s="321" t="s">
        <v>317</v>
      </c>
      <c r="E19" s="321" t="s">
        <v>754</v>
      </c>
      <c r="F19" s="324" t="s">
        <v>929</v>
      </c>
      <c r="G19" s="325" cm="1">
        <f t="array" aca="1" ref="G19" ca="1">IFERROR(INDEX(Panel_Rates[[1]:[12]],MATCH(Panel_New&amp;Category_New,Panel_Rates[Panel]&amp;Panel_Rates[Category],0),MATCH('Time Plan (Multiple Release)'!E19,OFFSET(Variable!$AF$2,MATCH(Panel_New&amp;Category_New,Panel_Rates[Panel]&amp;Panel_Rates[Category],0)-1,0,1,12),0))/8,"")</f>
        <v>395</v>
      </c>
      <c r="H19" s="326">
        <v>0.4</v>
      </c>
      <c r="I19" s="328">
        <f t="shared" ca="1" si="40"/>
        <v>237</v>
      </c>
      <c r="J19" s="329">
        <f ca="1">IFERROR(I19*8,"")</f>
        <v>1896</v>
      </c>
      <c r="K19" s="329">
        <f>IFERROR(_xlfn.XLOOKUP(D19,CostTableLookup[Name],CostTableLookup[Gross Cost]),"")</f>
        <v>198</v>
      </c>
      <c r="L19" s="330"/>
      <c r="M19" s="331">
        <f t="shared" ref="M19:M31" ca="1" si="43">IFERROR(L19*I19,"")</f>
        <v>0</v>
      </c>
      <c r="N19" s="332"/>
      <c r="O19" s="331">
        <f t="shared" ref="O19:O31" ca="1" si="44">IFERROR(N19*I19,"")</f>
        <v>0</v>
      </c>
      <c r="P19" s="331">
        <f t="shared" ca="1" si="41"/>
        <v>0</v>
      </c>
      <c r="Q19" s="333">
        <f t="shared" si="42"/>
        <v>0</v>
      </c>
      <c r="R19" s="343">
        <f t="shared" ref="R19:R30" ca="1" si="45">IFERROR(((U19+O19)-(V19+Q19))/(U19+O19),"")</f>
        <v>0.16455696202531644</v>
      </c>
      <c r="S19" s="335">
        <f t="shared" ref="S19:S27" ca="1" si="46">IFERROR(SUM(OFFSET(Y19,0,MATCH(Forecast_New,$Y$3:$WQ$3,0)-1,1,500))*40,"")</f>
        <v>40</v>
      </c>
      <c r="T19" s="336">
        <f t="shared" ref="T19:T34" ca="1" si="47">IFERROR(S19/8,"")</f>
        <v>5</v>
      </c>
      <c r="U19" s="337">
        <f t="shared" ref="U19:U31" ca="1" si="48">IFERROR($S19*I19,"")</f>
        <v>9480</v>
      </c>
      <c r="V19" s="338">
        <f t="shared" ref="V19:V31" ca="1" si="49">IFERROR($S19*K19,"")</f>
        <v>7920</v>
      </c>
      <c r="W19" s="339">
        <f t="shared" ca="1" si="23"/>
        <v>-9480</v>
      </c>
      <c r="X19" s="340" t="str">
        <f t="shared" ref="X19:X31" ca="1" si="50">IFERROR(W19/M19,"")</f>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25">
      <c r="B20" s="360" t="s">
        <v>934</v>
      </c>
      <c r="C20" s="323" t="s">
        <v>936</v>
      </c>
      <c r="D20" s="321" t="s">
        <v>126</v>
      </c>
      <c r="E20" s="321" t="s">
        <v>752</v>
      </c>
      <c r="F20" s="324" t="s">
        <v>852</v>
      </c>
      <c r="G20" s="325" cm="1">
        <f t="array" aca="1" ref="G20" ca="1">IFERROR(INDEX(Panel_Rates[[1]:[12]],MATCH(Panel_New&amp;Category_New,Panel_Rates[Panel]&amp;Panel_Rates[Category],0),MATCH('Time Plan (Multiple Release)'!E20,OFFSET(Variable!$AF$2,MATCH(Panel_New&amp;Category_New,Panel_Rates[Panel]&amp;Panel_Rates[Category],0)-1,0,1,12),0))/8,"")</f>
        <v>245</v>
      </c>
      <c r="H20" s="326">
        <v>0.38</v>
      </c>
      <c r="I20" s="328">
        <f t="shared" ca="1" si="40"/>
        <v>151.9</v>
      </c>
      <c r="J20" s="329">
        <f t="shared" ref="J20:J24" ca="1" si="51">IFERROR(I20*8,"")</f>
        <v>1215.2</v>
      </c>
      <c r="K20" s="329">
        <f>IFERROR(_xlfn.XLOOKUP(D20,CostTableLookup[Name],CostTableLookup[Gross Cost]),"")</f>
        <v>146</v>
      </c>
      <c r="L20" s="330"/>
      <c r="M20" s="331">
        <f t="shared" ca="1" si="43"/>
        <v>0</v>
      </c>
      <c r="N20" s="332"/>
      <c r="O20" s="331">
        <f t="shared" ca="1" si="44"/>
        <v>0</v>
      </c>
      <c r="P20" s="331">
        <f t="shared" ca="1" si="41"/>
        <v>0</v>
      </c>
      <c r="Q20" s="333">
        <f t="shared" si="42"/>
        <v>0</v>
      </c>
      <c r="R20" s="343" t="str">
        <f t="shared" ca="1" si="45"/>
        <v/>
      </c>
      <c r="S20" s="335">
        <f t="shared" ref="S20:S28" ca="1" si="52">IFERROR(SUM(OFFSET(Y20,0,MATCH(Forecast_New,$Y$3:$WQ$3,0)-1,1,500))*40,"")</f>
        <v>0</v>
      </c>
      <c r="T20" s="336">
        <f t="shared" ca="1" si="47"/>
        <v>0</v>
      </c>
      <c r="U20" s="337">
        <f t="shared" ca="1" si="48"/>
        <v>0</v>
      </c>
      <c r="V20" s="338">
        <f t="shared" ca="1" si="49"/>
        <v>0</v>
      </c>
      <c r="W20" s="339">
        <f t="shared" ca="1" si="23"/>
        <v>0</v>
      </c>
      <c r="X20" s="340" t="str">
        <f t="shared" ca="1" si="50"/>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25">
      <c r="B21" s="360" t="s">
        <v>934</v>
      </c>
      <c r="C21" s="323" t="s">
        <v>936</v>
      </c>
      <c r="D21" s="321" t="s">
        <v>756</v>
      </c>
      <c r="E21" s="321" t="s">
        <v>753</v>
      </c>
      <c r="F21" s="324" t="s">
        <v>930</v>
      </c>
      <c r="G21" s="325" cm="1">
        <f t="array" aca="1" ref="G21" ca="1">IFERROR(INDEX(Panel_Rates[[1]:[12]],MATCH(Panel_New&amp;Category_New,Panel_Rates[Panel]&amp;Panel_Rates[Category],0),MATCH('Time Plan (Multiple Release)'!E21,OFFSET(Variable!$AF$2,MATCH(Panel_New&amp;Category_New,Panel_Rates[Panel]&amp;Panel_Rates[Category],0)-1,0,1,12),0))/8,"")</f>
        <v>305</v>
      </c>
      <c r="H21" s="326">
        <v>0.32</v>
      </c>
      <c r="I21" s="328">
        <f t="shared" ca="1" si="40"/>
        <v>207.39999999999998</v>
      </c>
      <c r="J21" s="329">
        <f t="shared" ca="1" si="51"/>
        <v>1659.1999999999998</v>
      </c>
      <c r="K21" s="329">
        <f>IFERROR(_xlfn.XLOOKUP(D21,CostTableLookup[Name],CostTableLookup[Gross Cost]),"")</f>
        <v>170.96</v>
      </c>
      <c r="L21" s="330"/>
      <c r="M21" s="331">
        <f t="shared" ca="1" si="43"/>
        <v>0</v>
      </c>
      <c r="N21" s="332"/>
      <c r="O21" s="331">
        <f t="shared" ca="1" si="44"/>
        <v>0</v>
      </c>
      <c r="P21" s="331">
        <f t="shared" ca="1" si="41"/>
        <v>0</v>
      </c>
      <c r="Q21" s="333">
        <f t="shared" si="42"/>
        <v>0</v>
      </c>
      <c r="R21" s="343">
        <f t="shared" ca="1" si="45"/>
        <v>0.17569913211186097</v>
      </c>
      <c r="S21" s="335">
        <f t="shared" ref="S21:S24" ca="1" si="53">IFERROR(SUM(OFFSET(Y21,0,MATCH(Forecast_New,$Y$3:$WQ$3,0)-1,1,500))*40,"")</f>
        <v>140</v>
      </c>
      <c r="T21" s="336">
        <f t="shared" ca="1" si="47"/>
        <v>17.5</v>
      </c>
      <c r="U21" s="337">
        <f t="shared" ca="1" si="48"/>
        <v>29035.999999999996</v>
      </c>
      <c r="V21" s="338">
        <f t="shared" ca="1" si="49"/>
        <v>23934.400000000001</v>
      </c>
      <c r="W21" s="339">
        <f t="shared" ca="1" si="23"/>
        <v>-29035.999999999996</v>
      </c>
      <c r="X21" s="340" t="str">
        <f t="shared" ca="1" si="50"/>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25">
      <c r="B22" s="360" t="s">
        <v>934</v>
      </c>
      <c r="C22" s="323" t="s">
        <v>936</v>
      </c>
      <c r="D22" s="321" t="s">
        <v>447</v>
      </c>
      <c r="E22" s="321" t="s">
        <v>753</v>
      </c>
      <c r="F22" s="324" t="s">
        <v>931</v>
      </c>
      <c r="G22" s="325" cm="1">
        <f t="array" aca="1" ref="G22" ca="1">IFERROR(INDEX(Panel_Rates[[1]:[12]],MATCH(Panel_New&amp;Category_New,Panel_Rates[Panel]&amp;Panel_Rates[Category],0),MATCH('Time Plan (Multiple Release)'!E22,OFFSET(Variable!$AF$2,MATCH(Panel_New&amp;Category_New,Panel_Rates[Panel]&amp;Panel_Rates[Category],0)-1,0,1,12),0))/8,"")</f>
        <v>305</v>
      </c>
      <c r="H22" s="326">
        <v>0.38</v>
      </c>
      <c r="I22" s="328">
        <f t="shared" ca="1" si="40"/>
        <v>189.1</v>
      </c>
      <c r="J22" s="329">
        <f t="shared" ca="1" si="51"/>
        <v>1512.8</v>
      </c>
      <c r="K22" s="329">
        <f>IFERROR(_xlfn.XLOOKUP(D22,CostTableLookup[Name],CostTableLookup[Gross Cost]),"")</f>
        <v>151</v>
      </c>
      <c r="L22" s="330"/>
      <c r="M22" s="331">
        <f t="shared" ca="1" si="43"/>
        <v>0</v>
      </c>
      <c r="N22" s="332"/>
      <c r="O22" s="331">
        <f t="shared" ca="1" si="44"/>
        <v>0</v>
      </c>
      <c r="P22" s="331">
        <f t="shared" ca="1" si="41"/>
        <v>0</v>
      </c>
      <c r="Q22" s="333">
        <f t="shared" si="42"/>
        <v>0</v>
      </c>
      <c r="R22" s="343">
        <f t="shared" ca="1" si="45"/>
        <v>0.2014806980433633</v>
      </c>
      <c r="S22" s="335">
        <f t="shared" ref="S22:S25" ca="1" si="54">IFERROR(SUM(OFFSET(Y22,0,MATCH(Forecast_New,$Y$3:$WQ$3,0)-1,1,500))*40,"")</f>
        <v>160</v>
      </c>
      <c r="T22" s="336">
        <f t="shared" ca="1" si="47"/>
        <v>20</v>
      </c>
      <c r="U22" s="337">
        <f t="shared" ca="1" si="48"/>
        <v>30256</v>
      </c>
      <c r="V22" s="338">
        <f t="shared" ca="1" si="49"/>
        <v>24160</v>
      </c>
      <c r="W22" s="339">
        <f t="shared" ca="1" si="23"/>
        <v>-30256</v>
      </c>
      <c r="X22" s="340" t="str">
        <f t="shared" ca="1" si="50"/>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25">
      <c r="B23" s="360" t="s">
        <v>934</v>
      </c>
      <c r="C23" s="384" t="s">
        <v>936</v>
      </c>
      <c r="D23" s="385" t="s">
        <v>122</v>
      </c>
      <c r="E23" s="321" t="s">
        <v>752</v>
      </c>
      <c r="F23" s="324" t="s">
        <v>931</v>
      </c>
      <c r="G23" s="325" cm="1">
        <f t="array" aca="1" ref="G23" ca="1">IFERROR(INDEX(Panel_Rates[[1]:[12]],MATCH(Panel_New&amp;Category_New,Panel_Rates[Panel]&amp;Panel_Rates[Category],0),MATCH('Time Plan (Multiple Release)'!E23,OFFSET(Variable!$AF$2,MATCH(Panel_New&amp;Category_New,Panel_Rates[Panel]&amp;Panel_Rates[Category],0)-1,0,1,12),0))/8,"")</f>
        <v>245</v>
      </c>
      <c r="H23" s="326">
        <v>1</v>
      </c>
      <c r="I23" s="328">
        <f t="shared" ca="1" si="40"/>
        <v>0</v>
      </c>
      <c r="J23" s="329">
        <f t="shared" ca="1" si="51"/>
        <v>0</v>
      </c>
      <c r="K23" s="329">
        <f>IFERROR(_xlfn.XLOOKUP(D23,CostTableLookup[Name],CostTableLookup[Gross Cost]),"")</f>
        <v>198</v>
      </c>
      <c r="L23" s="330"/>
      <c r="M23" s="331">
        <f t="shared" ca="1" si="43"/>
        <v>0</v>
      </c>
      <c r="N23" s="332"/>
      <c r="O23" s="331">
        <f t="shared" ca="1" si="44"/>
        <v>0</v>
      </c>
      <c r="P23" s="331">
        <f t="shared" ca="1" si="41"/>
        <v>0</v>
      </c>
      <c r="Q23" s="333">
        <f t="shared" si="42"/>
        <v>0</v>
      </c>
      <c r="R23" s="343" t="str">
        <f t="shared" ca="1" si="45"/>
        <v/>
      </c>
      <c r="S23" s="335">
        <f t="shared" ref="S23" ca="1" si="55">IFERROR(SUM(OFFSET(Y23,0,MATCH(Forecast_New,$Y$3:$WQ$3,0)-1,1,500))*40,"")</f>
        <v>160</v>
      </c>
      <c r="T23" s="336">
        <f t="shared" ca="1" si="47"/>
        <v>20</v>
      </c>
      <c r="U23" s="337">
        <f t="shared" ca="1" si="48"/>
        <v>0</v>
      </c>
      <c r="V23" s="338">
        <f t="shared" ca="1" si="49"/>
        <v>31680</v>
      </c>
      <c r="W23" s="339">
        <f t="shared" ca="1" si="23"/>
        <v>0</v>
      </c>
      <c r="X23" s="340" t="str">
        <f t="shared" ca="1" si="50"/>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25">
      <c r="B24" s="360" t="s">
        <v>934</v>
      </c>
      <c r="C24" s="323" t="s">
        <v>936</v>
      </c>
      <c r="D24" s="321" t="s">
        <v>731</v>
      </c>
      <c r="E24" s="321" t="s">
        <v>752</v>
      </c>
      <c r="F24" s="324" t="s">
        <v>931</v>
      </c>
      <c r="G24" s="325" cm="1">
        <f t="array" aca="1" ref="G24" ca="1">IFERROR(INDEX(Panel_Rates[[1]:[12]],MATCH(Panel_New&amp;Category_New,Panel_Rates[Panel]&amp;Panel_Rates[Category],0),MATCH('Time Plan (Multiple Release)'!E24,OFFSET(Variable!$AF$2,MATCH(Panel_New&amp;Category_New,Panel_Rates[Panel]&amp;Panel_Rates[Category],0)-1,0,1,12),0))/8,"")</f>
        <v>245</v>
      </c>
      <c r="H24" s="326">
        <v>0.38</v>
      </c>
      <c r="I24" s="328">
        <f t="shared" ca="1" si="40"/>
        <v>151.9</v>
      </c>
      <c r="J24" s="329">
        <f t="shared" ca="1" si="51"/>
        <v>1215.2</v>
      </c>
      <c r="K24" s="329">
        <f>IFERROR(_xlfn.XLOOKUP(D24,CostTableLookup[Name],CostTableLookup[Gross Cost]),"")</f>
        <v>151</v>
      </c>
      <c r="L24" s="330"/>
      <c r="M24" s="331">
        <f t="shared" ca="1" si="43"/>
        <v>0</v>
      </c>
      <c r="N24" s="332"/>
      <c r="O24" s="331">
        <f t="shared" ca="1" si="44"/>
        <v>0</v>
      </c>
      <c r="P24" s="331">
        <f t="shared" ca="1" si="41"/>
        <v>0</v>
      </c>
      <c r="Q24" s="333">
        <f t="shared" si="42"/>
        <v>0</v>
      </c>
      <c r="R24" s="343">
        <f t="shared" ca="1" si="45"/>
        <v>5.9249506254114553E-3</v>
      </c>
      <c r="S24" s="335">
        <f t="shared" ref="S24:S27" ca="1" si="56">IFERROR(SUM(OFFSET(Y24,0,MATCH(Forecast_New,$Y$3:$WQ$3,0)-1,1,500))*40,"")</f>
        <v>160</v>
      </c>
      <c r="T24" s="336">
        <f t="shared" ca="1" si="47"/>
        <v>20</v>
      </c>
      <c r="U24" s="337">
        <f t="shared" ca="1" si="48"/>
        <v>24304</v>
      </c>
      <c r="V24" s="338">
        <f t="shared" ca="1" si="49"/>
        <v>24160</v>
      </c>
      <c r="W24" s="339">
        <f t="shared" ca="1" si="23"/>
        <v>-24304</v>
      </c>
      <c r="X24" s="340" t="str">
        <f t="shared" ca="1" si="50"/>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25">
      <c r="B25" s="360" t="s">
        <v>934</v>
      </c>
      <c r="C25" s="323" t="s">
        <v>936</v>
      </c>
      <c r="D25" s="321" t="s">
        <v>606</v>
      </c>
      <c r="E25" s="321" t="s">
        <v>752</v>
      </c>
      <c r="F25" s="321" t="s">
        <v>937</v>
      </c>
      <c r="G25" s="328" cm="1">
        <f t="array" aca="1" ref="G25" ca="1">IFERROR(INDEX(Panel_Rates[[1]:[12]],MATCH(Panel_New&amp;Category_New,Panel_Rates[Panel]&amp;Panel_Rates[Category],0),MATCH('Time Plan (Multiple Release)'!E25,OFFSET(Variable!$AF$2,MATCH(Panel_New&amp;Category_New,Panel_Rates[Panel]&amp;Panel_Rates[Category],0)-1,0,1,12),0))/8,"")</f>
        <v>245</v>
      </c>
      <c r="H25" s="326">
        <v>0.38</v>
      </c>
      <c r="I25" s="328">
        <f t="shared" ca="1" si="40"/>
        <v>151.9</v>
      </c>
      <c r="J25" s="329">
        <f ca="1">IFERROR(I25*8,"")</f>
        <v>1215.2</v>
      </c>
      <c r="K25" s="329">
        <f>IFERROR(_xlfn.XLOOKUP(D25,CostTableLookup[Name],CostTableLookup[Gross Cost]),"")</f>
        <v>161</v>
      </c>
      <c r="L25" s="330"/>
      <c r="M25" s="331">
        <f t="shared" ca="1" si="43"/>
        <v>0</v>
      </c>
      <c r="N25" s="406"/>
      <c r="O25" s="331">
        <f t="shared" ca="1" si="44"/>
        <v>0</v>
      </c>
      <c r="P25" s="331">
        <f t="shared" ca="1" si="41"/>
        <v>0</v>
      </c>
      <c r="Q25" s="333">
        <f t="shared" si="42"/>
        <v>0</v>
      </c>
      <c r="R25" s="343" t="str">
        <f t="shared" ca="1" si="45"/>
        <v/>
      </c>
      <c r="S25" s="335">
        <f ca="1">IFERROR(SUM(OFFSET(Y25,0,MATCH(Forecast_New,$Y$3:$WQ$3,0)-1,1,500))*40,"")</f>
        <v>0</v>
      </c>
      <c r="T25" s="336">
        <f t="shared" ca="1" si="47"/>
        <v>0</v>
      </c>
      <c r="U25" s="339">
        <f ca="1">IFERROR($S25*I25,"")</f>
        <v>0</v>
      </c>
      <c r="V25" s="338">
        <f ca="1">IFERROR($S25*K25,"")</f>
        <v>0</v>
      </c>
      <c r="W25" s="339">
        <f ca="1">IFERROR(M25-(O25+U25),"")</f>
        <v>0</v>
      </c>
      <c r="X25" s="343" t="str">
        <f t="shared" ca="1" si="50"/>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25">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ref="W26:W91" ca="1" si="57">IFERROR(M26-(O26+U26),"")</f>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25">
      <c r="B27" s="387" t="s">
        <v>980</v>
      </c>
      <c r="C27" s="323" t="s">
        <v>935</v>
      </c>
      <c r="D27" s="321" t="s">
        <v>306</v>
      </c>
      <c r="E27" s="321" t="s">
        <v>753</v>
      </c>
      <c r="F27" s="324" t="s">
        <v>928</v>
      </c>
      <c r="G27" s="325" cm="1">
        <f t="array" aca="1" ref="G27" ca="1">IFERROR(INDEX(Panel_Rates[[1]:[12]],MATCH(Panel_New&amp;Category_New,Panel_Rates[Panel]&amp;Panel_Rates[Category],0),MATCH('Time Plan (Multiple Release)'!E27,OFFSET(Variable!$AF$2,MATCH(Panel_New&amp;Category_New,Panel_Rates[Panel]&amp;Panel_Rates[Category],0)-1,0,1,12),0))/8,"")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57"/>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25">
      <c r="B28" s="360" t="s">
        <v>980</v>
      </c>
      <c r="C28" s="323" t="s">
        <v>935</v>
      </c>
      <c r="D28" s="321" t="s">
        <v>746</v>
      </c>
      <c r="E28" s="321" t="s">
        <v>752</v>
      </c>
      <c r="F28" s="324" t="s">
        <v>155</v>
      </c>
      <c r="G28" s="325" cm="1">
        <f t="array" aca="1" ref="G28" ca="1">IFERROR(INDEX(Panel_Rates[[1]:[12]],MATCH(Panel_New&amp;Category_New,Panel_Rates[Panel]&amp;Panel_Rates[Category],0),MATCH('Time Plan (Multiple Release)'!E28,OFFSET(Variable!$AF$2,MATCH(Panel_New&amp;Category_New,Panel_Rates[Panel]&amp;Panel_Rates[Category],0)-1,0,1,12),0))/8,"")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57"/>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25">
      <c r="B29" s="360" t="s">
        <v>980</v>
      </c>
      <c r="C29" s="323" t="s">
        <v>936</v>
      </c>
      <c r="D29" s="321" t="s">
        <v>317</v>
      </c>
      <c r="E29" s="321" t="s">
        <v>754</v>
      </c>
      <c r="F29" s="324" t="s">
        <v>929</v>
      </c>
      <c r="G29" s="325" cm="1">
        <f t="array" aca="1" ref="G29" ca="1">IFERROR(INDEX(Panel_Rates[[1]:[12]],MATCH(Panel_New&amp;Category_New,Panel_Rates[Panel]&amp;Panel_Rates[Category],0),MATCH('Time Plan (Multiple Release)'!E29,OFFSET(Variable!$AF$2,MATCH(Panel_New&amp;Category_New,Panel_Rates[Panel]&amp;Panel_Rates[Category],0)-1,0,1,12),0))/8,"")</f>
        <v>395</v>
      </c>
      <c r="H29" s="326">
        <v>0.4</v>
      </c>
      <c r="I29" s="328">
        <f t="shared" ref="I29:I34" ca="1" si="58">IFERROR(G29*(1-H29),"")</f>
        <v>237</v>
      </c>
      <c r="J29" s="329">
        <f ca="1">IFERROR(I29*8,"")</f>
        <v>1896</v>
      </c>
      <c r="K29" s="329">
        <f>IFERROR(_xlfn.XLOOKUP(D29,CostTableLookup[Name],CostTableLookup[Gross Cost]),"")</f>
        <v>198</v>
      </c>
      <c r="L29" s="330"/>
      <c r="M29" s="331">
        <f t="shared" ref="M29:M34" ca="1" si="59">IFERROR(L29*I29,"")</f>
        <v>0</v>
      </c>
      <c r="N29" s="332"/>
      <c r="O29" s="331">
        <f t="shared" ref="O29:O34" ca="1" si="60">IFERROR(N29*I29,"")</f>
        <v>0</v>
      </c>
      <c r="P29" s="331">
        <f t="shared" ref="P29:P34" ca="1" si="61">IFERROR(M29-O29,"")</f>
        <v>0</v>
      </c>
      <c r="Q29" s="333">
        <f t="shared" ref="Q29:Q34" si="62">IFERROR(N29*K29,"")</f>
        <v>0</v>
      </c>
      <c r="R29" s="343">
        <f t="shared" ref="R29:R34" ca="1" si="63">IFERROR(((U29+O29)-(V29+Q29))/(U29+O29),"")</f>
        <v>0.16455696202531644</v>
      </c>
      <c r="S29" s="335">
        <f t="shared" ref="S29:S30" ca="1" si="64">IFERROR(SUM(OFFSET(Y29,0,MATCH(Forecast_New,$Y$3:$WQ$3,0)-1,1,500))*40,"")</f>
        <v>80</v>
      </c>
      <c r="T29" s="336">
        <f t="shared" ref="T29:T34" ca="1" si="65">IFERROR(S29/8,"")</f>
        <v>10</v>
      </c>
      <c r="U29" s="337">
        <f t="shared" ref="U29:U34" ca="1" si="66">IFERROR($S29*I29,"")</f>
        <v>18960</v>
      </c>
      <c r="V29" s="338">
        <f t="shared" ref="V29:V34" ca="1" si="67">IFERROR($S29*K29,"")</f>
        <v>15840</v>
      </c>
      <c r="W29" s="339">
        <f t="shared" ca="1" si="57"/>
        <v>-18960</v>
      </c>
      <c r="X29" s="340" t="str">
        <f t="shared" ref="X29:X34" ca="1" si="68">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25">
      <c r="B30" s="360" t="s">
        <v>980</v>
      </c>
      <c r="C30" s="323" t="s">
        <v>936</v>
      </c>
      <c r="D30" s="321" t="s">
        <v>126</v>
      </c>
      <c r="E30" s="321" t="s">
        <v>752</v>
      </c>
      <c r="F30" s="324" t="s">
        <v>852</v>
      </c>
      <c r="G30" s="325" cm="1">
        <f t="array" aca="1" ref="G30" ca="1">IFERROR(INDEX(Panel_Rates[[1]:[12]],MATCH(Panel_New&amp;Category_New,Panel_Rates[Panel]&amp;Panel_Rates[Category],0),MATCH('Time Plan (Multiple Release)'!E30,OFFSET(Variable!$AF$2,MATCH(Panel_New&amp;Category_New,Panel_Rates[Panel]&amp;Panel_Rates[Category],0)-1,0,1,12),0))/8,"")</f>
        <v>245</v>
      </c>
      <c r="H30" s="326">
        <v>0.38</v>
      </c>
      <c r="I30" s="328">
        <f t="shared" ca="1" si="58"/>
        <v>151.9</v>
      </c>
      <c r="J30" s="329">
        <f t="shared" ref="J30:J34" ca="1" si="69">IFERROR(I30*8,"")</f>
        <v>1215.2</v>
      </c>
      <c r="K30" s="329">
        <f>IFERROR(_xlfn.XLOOKUP(D30,CostTableLookup[Name],CostTableLookup[Gross Cost]),"")</f>
        <v>146</v>
      </c>
      <c r="L30" s="330"/>
      <c r="M30" s="331">
        <f t="shared" ca="1" si="59"/>
        <v>0</v>
      </c>
      <c r="N30" s="332"/>
      <c r="O30" s="331">
        <f t="shared" ca="1" si="60"/>
        <v>0</v>
      </c>
      <c r="P30" s="331">
        <f t="shared" ca="1" si="61"/>
        <v>0</v>
      </c>
      <c r="Q30" s="333">
        <f t="shared" si="62"/>
        <v>0</v>
      </c>
      <c r="R30" s="343">
        <f t="shared" ca="1" si="63"/>
        <v>3.8841342988808425E-2</v>
      </c>
      <c r="S30" s="335">
        <f t="shared" ref="S30:S31" ca="1" si="70">IFERROR(SUM(OFFSET(Y30,0,MATCH(Forecast_New,$Y$3:$WQ$3,0)-1,1,500))*40,"")</f>
        <v>120</v>
      </c>
      <c r="T30" s="336">
        <f t="shared" ca="1" si="65"/>
        <v>15</v>
      </c>
      <c r="U30" s="337">
        <f t="shared" ca="1" si="66"/>
        <v>18228</v>
      </c>
      <c r="V30" s="338">
        <f t="shared" ca="1" si="67"/>
        <v>17520</v>
      </c>
      <c r="W30" s="339">
        <f t="shared" ca="1" si="57"/>
        <v>-18228</v>
      </c>
      <c r="X30" s="340" t="str">
        <f t="shared" ca="1" si="68"/>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25">
      <c r="B31" s="360" t="s">
        <v>980</v>
      </c>
      <c r="C31" s="323" t="s">
        <v>936</v>
      </c>
      <c r="D31" s="321" t="s">
        <v>756</v>
      </c>
      <c r="E31" s="321" t="s">
        <v>753</v>
      </c>
      <c r="F31" s="324" t="s">
        <v>930</v>
      </c>
      <c r="G31" s="325" cm="1">
        <f t="array" aca="1" ref="G31" ca="1">IFERROR(INDEX(Panel_Rates[[1]:[12]],MATCH(Panel_New&amp;Category_New,Panel_Rates[Panel]&amp;Panel_Rates[Category],0),MATCH('Time Plan (Multiple Release)'!E31,OFFSET(Variable!$AF$2,MATCH(Panel_New&amp;Category_New,Panel_Rates[Panel]&amp;Panel_Rates[Category],0)-1,0,1,12),0))/8,"")</f>
        <v>305</v>
      </c>
      <c r="H31" s="326">
        <v>0.32</v>
      </c>
      <c r="I31" s="328">
        <f t="shared" ca="1" si="58"/>
        <v>207.39999999999998</v>
      </c>
      <c r="J31" s="329">
        <f t="shared" ca="1" si="69"/>
        <v>1659.1999999999998</v>
      </c>
      <c r="K31" s="329">
        <f>IFERROR(_xlfn.XLOOKUP(D31,CostTableLookup[Name],CostTableLookup[Gross Cost]),"")</f>
        <v>170.96</v>
      </c>
      <c r="L31" s="330"/>
      <c r="M31" s="331">
        <f t="shared" ca="1" si="59"/>
        <v>0</v>
      </c>
      <c r="N31" s="332"/>
      <c r="O31" s="331">
        <f t="shared" ca="1" si="60"/>
        <v>0</v>
      </c>
      <c r="P31" s="331">
        <f t="shared" ca="1" si="61"/>
        <v>0</v>
      </c>
      <c r="Q31" s="333">
        <f t="shared" si="62"/>
        <v>0</v>
      </c>
      <c r="R31" s="343">
        <f t="shared" ca="1" si="63"/>
        <v>0.17569913211186108</v>
      </c>
      <c r="S31" s="335">
        <f t="shared" ref="S31:S32" ca="1" si="71">IFERROR(SUM(OFFSET(Y31,0,MATCH(Forecast_New,$Y$3:$WQ$3,0)-1,1,500))*40,"")</f>
        <v>160</v>
      </c>
      <c r="T31" s="336">
        <f t="shared" ca="1" si="65"/>
        <v>20</v>
      </c>
      <c r="U31" s="337">
        <f t="shared" ca="1" si="66"/>
        <v>33184</v>
      </c>
      <c r="V31" s="338">
        <f t="shared" ca="1" si="67"/>
        <v>27353.600000000002</v>
      </c>
      <c r="W31" s="339">
        <f t="shared" ca="1" si="57"/>
        <v>-33184</v>
      </c>
      <c r="X31" s="340" t="str">
        <f t="shared" ca="1" si="68"/>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25">
      <c r="B32" s="360" t="s">
        <v>980</v>
      </c>
      <c r="C32" s="323" t="s">
        <v>936</v>
      </c>
      <c r="D32" s="321" t="s">
        <v>447</v>
      </c>
      <c r="E32" s="321" t="s">
        <v>753</v>
      </c>
      <c r="F32" s="324" t="s">
        <v>931</v>
      </c>
      <c r="G32" s="325" cm="1">
        <f t="array" aca="1" ref="G32" ca="1">IFERROR(INDEX(Panel_Rates[[1]:[12]],MATCH(Panel_New&amp;Category_New,Panel_Rates[Panel]&amp;Panel_Rates[Category],0),MATCH('Time Plan (Multiple Release)'!E32,OFFSET(Variable!$AF$2,MATCH(Panel_New&amp;Category_New,Panel_Rates[Panel]&amp;Panel_Rates[Category],0)-1,0,1,12),0))/8,"")</f>
        <v>305</v>
      </c>
      <c r="H32" s="326">
        <v>0.38</v>
      </c>
      <c r="I32" s="328">
        <f t="shared" ca="1" si="58"/>
        <v>189.1</v>
      </c>
      <c r="J32" s="329">
        <f t="shared" ca="1" si="69"/>
        <v>1512.8</v>
      </c>
      <c r="K32" s="329">
        <f>IFERROR(_xlfn.XLOOKUP(D32,CostTableLookup[Name],CostTableLookup[Gross Cost]),"")</f>
        <v>151</v>
      </c>
      <c r="L32" s="330"/>
      <c r="M32" s="331">
        <f t="shared" ca="1" si="59"/>
        <v>0</v>
      </c>
      <c r="N32" s="332"/>
      <c r="O32" s="331">
        <f t="shared" ca="1" si="60"/>
        <v>0</v>
      </c>
      <c r="P32" s="331">
        <f t="shared" ca="1" si="61"/>
        <v>0</v>
      </c>
      <c r="Q32" s="333">
        <f t="shared" si="62"/>
        <v>0</v>
      </c>
      <c r="R32" s="343">
        <f t="shared" ca="1" si="63"/>
        <v>0.2014806980433633</v>
      </c>
      <c r="S32" s="335">
        <f t="shared" ref="S32:S33" ca="1" si="72">IFERROR(SUM(OFFSET(Y32,0,MATCH(Forecast_New,$Y$3:$WQ$3,0)-1,1,500))*40,"")</f>
        <v>160</v>
      </c>
      <c r="T32" s="336">
        <f t="shared" ca="1" si="65"/>
        <v>20</v>
      </c>
      <c r="U32" s="337">
        <f t="shared" ca="1" si="66"/>
        <v>30256</v>
      </c>
      <c r="V32" s="338">
        <f t="shared" ca="1" si="67"/>
        <v>24160</v>
      </c>
      <c r="W32" s="339">
        <f t="shared" ca="1" si="57"/>
        <v>-30256</v>
      </c>
      <c r="X32" s="340" t="str">
        <f t="shared" ca="1" si="68"/>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25">
      <c r="B33" s="360" t="s">
        <v>980</v>
      </c>
      <c r="C33" s="384" t="s">
        <v>936</v>
      </c>
      <c r="D33" s="385" t="s">
        <v>122</v>
      </c>
      <c r="E33" s="321" t="s">
        <v>752</v>
      </c>
      <c r="F33" s="324" t="s">
        <v>931</v>
      </c>
      <c r="G33" s="325" cm="1">
        <f t="array" aca="1" ref="G33" ca="1">IFERROR(INDEX(Panel_Rates[[1]:[12]],MATCH(Panel_New&amp;Category_New,Panel_Rates[Panel]&amp;Panel_Rates[Category],0),MATCH('Time Plan (Multiple Release)'!E33,OFFSET(Variable!$AF$2,MATCH(Panel_New&amp;Category_New,Panel_Rates[Panel]&amp;Panel_Rates[Category],0)-1,0,1,12),0))/8,"")</f>
        <v>245</v>
      </c>
      <c r="H33" s="326">
        <v>1</v>
      </c>
      <c r="I33" s="328">
        <f t="shared" ca="1" si="58"/>
        <v>0</v>
      </c>
      <c r="J33" s="329">
        <f t="shared" ca="1" si="69"/>
        <v>0</v>
      </c>
      <c r="K33" s="329">
        <f>IFERROR(_xlfn.XLOOKUP(D33,CostTableLookup[Name],CostTableLookup[Gross Cost]),"")</f>
        <v>198</v>
      </c>
      <c r="L33" s="330"/>
      <c r="M33" s="331">
        <f t="shared" ca="1" si="59"/>
        <v>0</v>
      </c>
      <c r="N33" s="332"/>
      <c r="O33" s="331">
        <f t="shared" ca="1" si="60"/>
        <v>0</v>
      </c>
      <c r="P33" s="331">
        <f t="shared" ca="1" si="61"/>
        <v>0</v>
      </c>
      <c r="Q33" s="333">
        <f t="shared" si="62"/>
        <v>0</v>
      </c>
      <c r="R33" s="343" t="str">
        <f t="shared" ca="1" si="63"/>
        <v/>
      </c>
      <c r="S33" s="335">
        <f t="shared" ref="S33" ca="1" si="73">IFERROR(SUM(OFFSET(Y33,0,MATCH(Forecast_New,$Y$3:$WQ$3,0)-1,1,500))*40,"")</f>
        <v>160</v>
      </c>
      <c r="T33" s="336">
        <f t="shared" ca="1" si="65"/>
        <v>20</v>
      </c>
      <c r="U33" s="337">
        <f t="shared" ca="1" si="66"/>
        <v>0</v>
      </c>
      <c r="V33" s="338">
        <f t="shared" ca="1" si="67"/>
        <v>31680</v>
      </c>
      <c r="W33" s="339">
        <f t="shared" ca="1" si="57"/>
        <v>0</v>
      </c>
      <c r="X33" s="340" t="str">
        <f t="shared" ca="1" si="68"/>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25">
      <c r="B34" s="360" t="s">
        <v>980</v>
      </c>
      <c r="C34" s="323" t="s">
        <v>936</v>
      </c>
      <c r="D34" s="321" t="s">
        <v>731</v>
      </c>
      <c r="E34" s="321" t="s">
        <v>752</v>
      </c>
      <c r="F34" s="324" t="s">
        <v>931</v>
      </c>
      <c r="G34" s="325" cm="1">
        <f t="array" aca="1" ref="G34" ca="1">IFERROR(INDEX(Panel_Rates[[1]:[12]],MATCH(Panel_New&amp;Category_New,Panel_Rates[Panel]&amp;Panel_Rates[Category],0),MATCH('Time Plan (Multiple Release)'!E34,OFFSET(Variable!$AF$2,MATCH(Panel_New&amp;Category_New,Panel_Rates[Panel]&amp;Panel_Rates[Category],0)-1,0,1,12),0))/8,"")</f>
        <v>245</v>
      </c>
      <c r="H34" s="326">
        <v>0.38</v>
      </c>
      <c r="I34" s="328">
        <f t="shared" ca="1" si="58"/>
        <v>151.9</v>
      </c>
      <c r="J34" s="329">
        <f t="shared" ca="1" si="69"/>
        <v>1215.2</v>
      </c>
      <c r="K34" s="329">
        <f>IFERROR(_xlfn.XLOOKUP(D34,CostTableLookup[Name],CostTableLookup[Gross Cost]),"")</f>
        <v>151</v>
      </c>
      <c r="L34" s="330"/>
      <c r="M34" s="331">
        <f t="shared" ca="1" si="59"/>
        <v>0</v>
      </c>
      <c r="N34" s="332"/>
      <c r="O34" s="331">
        <f t="shared" ca="1" si="60"/>
        <v>0</v>
      </c>
      <c r="P34" s="331">
        <f t="shared" ca="1" si="61"/>
        <v>0</v>
      </c>
      <c r="Q34" s="333">
        <f t="shared" si="62"/>
        <v>0</v>
      </c>
      <c r="R34" s="343">
        <f t="shared" ca="1" si="63"/>
        <v>5.9249506254114553E-3</v>
      </c>
      <c r="S34" s="335">
        <f t="shared" ref="S34" ca="1" si="74">IFERROR(SUM(OFFSET(Y34,0,MATCH(Forecast_New,$Y$3:$WQ$3,0)-1,1,500))*40,"")</f>
        <v>160</v>
      </c>
      <c r="T34" s="336">
        <f t="shared" ca="1" si="65"/>
        <v>20</v>
      </c>
      <c r="U34" s="337">
        <f t="shared" ca="1" si="66"/>
        <v>24304</v>
      </c>
      <c r="V34" s="338">
        <f t="shared" ca="1" si="67"/>
        <v>24160</v>
      </c>
      <c r="W34" s="339">
        <f t="shared" ca="1" si="57"/>
        <v>-24304</v>
      </c>
      <c r="X34" s="340" t="str">
        <f t="shared" ca="1" si="68"/>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25">
      <c r="B35" s="360" t="s">
        <v>980</v>
      </c>
      <c r="C35" s="323" t="s">
        <v>936</v>
      </c>
      <c r="D35" s="321" t="s">
        <v>606</v>
      </c>
      <c r="E35" s="321" t="s">
        <v>752</v>
      </c>
      <c r="F35" s="321" t="s">
        <v>937</v>
      </c>
      <c r="G35" s="328" cm="1">
        <f t="array" aca="1" ref="G35" ca="1">IFERROR(INDEX(Panel_Rates[[1]:[12]],MATCH(Panel_New&amp;Category_New,Panel_Rates[Panel]&amp;Panel_Rates[Category],0),MATCH('Time Plan (Multiple Release)'!E35,OFFSET(Variable!$AF$2,MATCH(Panel_New&amp;Category_New,Panel_Rates[Panel]&amp;Panel_Rates[Category],0)-1,0,1,12),0))/8,"")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25">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ref="W36:W101" ca="1" si="75">IFERROR(M36-(O36+U36),"")</f>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25">
      <c r="B37" s="387" t="s">
        <v>939</v>
      </c>
      <c r="C37" s="323" t="s">
        <v>935</v>
      </c>
      <c r="D37" s="321" t="s">
        <v>306</v>
      </c>
      <c r="E37" s="321" t="s">
        <v>753</v>
      </c>
      <c r="F37" s="324" t="s">
        <v>928</v>
      </c>
      <c r="G37" s="325" cm="1">
        <f t="array" aca="1" ref="G37" ca="1">IFERROR(INDEX(Panel_Rates[[1]:[12]],MATCH(Panel_New&amp;Category_New,Panel_Rates[Panel]&amp;Panel_Rates[Category],0),MATCH('Time Plan (Multiple Release)'!E37,OFFSET(Variable!$AF$2,MATCH(Panel_New&amp;Category_New,Panel_Rates[Panel]&amp;Panel_Rates[Category],0)-1,0,1,12),0))/8,"")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75"/>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25">
      <c r="B38" s="360" t="s">
        <v>939</v>
      </c>
      <c r="C38" s="323" t="s">
        <v>935</v>
      </c>
      <c r="D38" s="321" t="s">
        <v>746</v>
      </c>
      <c r="E38" s="321" t="s">
        <v>752</v>
      </c>
      <c r="F38" s="324" t="s">
        <v>155</v>
      </c>
      <c r="G38" s="325" cm="1">
        <f t="array" aca="1" ref="G38" ca="1">IFERROR(INDEX(Panel_Rates[[1]:[12]],MATCH(Panel_New&amp;Category_New,Panel_Rates[Panel]&amp;Panel_Rates[Category],0),MATCH('Time Plan (Multiple Release)'!E38,OFFSET(Variable!$AF$2,MATCH(Panel_New&amp;Category_New,Panel_Rates[Panel]&amp;Panel_Rates[Category],0)-1,0,1,12),0))/8,"")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75"/>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25">
      <c r="B39" s="360" t="s">
        <v>939</v>
      </c>
      <c r="C39" s="323" t="s">
        <v>936</v>
      </c>
      <c r="D39" s="321" t="s">
        <v>317</v>
      </c>
      <c r="E39" s="321" t="s">
        <v>754</v>
      </c>
      <c r="F39" s="324" t="s">
        <v>929</v>
      </c>
      <c r="G39" s="325" cm="1">
        <f t="array" aca="1" ref="G39" ca="1">IFERROR(INDEX(Panel_Rates[[1]:[12]],MATCH(Panel_New&amp;Category_New,Panel_Rates[Panel]&amp;Panel_Rates[Category],0),MATCH('Time Plan (Multiple Release)'!E39,OFFSET(Variable!$AF$2,MATCH(Panel_New&amp;Category_New,Panel_Rates[Panel]&amp;Panel_Rates[Category],0)-1,0,1,12),0))/8,"")</f>
        <v>395</v>
      </c>
      <c r="H39" s="326">
        <v>0.4</v>
      </c>
      <c r="I39" s="328">
        <f t="shared" ref="I39:I45" ca="1" si="76">IFERROR(G39*(1-H39),"")</f>
        <v>237</v>
      </c>
      <c r="J39" s="329">
        <f ca="1">IFERROR(I39*8,"")</f>
        <v>1896</v>
      </c>
      <c r="K39" s="329">
        <f>IFERROR(_xlfn.XLOOKUP(D39,CostTableLookup[Name],CostTableLookup[Gross Cost]),"")</f>
        <v>198</v>
      </c>
      <c r="L39" s="330"/>
      <c r="M39" s="331">
        <f t="shared" ref="M39:M45" ca="1" si="77">IFERROR(L39*I39,"")</f>
        <v>0</v>
      </c>
      <c r="N39" s="332"/>
      <c r="O39" s="331">
        <f t="shared" ref="O39:O45" ca="1" si="78">IFERROR(N39*I39,"")</f>
        <v>0</v>
      </c>
      <c r="P39" s="331">
        <f t="shared" ref="P39:P45" ca="1" si="79">IFERROR(M39-O39,"")</f>
        <v>0</v>
      </c>
      <c r="Q39" s="333">
        <f t="shared" ref="Q39:Q45" si="80">IFERROR(N39*K39,"")</f>
        <v>0</v>
      </c>
      <c r="R39" s="343">
        <f t="shared" ref="R39:R45" ca="1" si="81">IFERROR(((U39+O39)-(V39+Q39))/(U39+O39),"")</f>
        <v>0.16455696202531644</v>
      </c>
      <c r="S39" s="335">
        <f t="shared" ref="S39:S40" ca="1" si="82">IFERROR(SUM(OFFSET(Y39,0,MATCH(Forecast_New,$Y$3:$WQ$3,0)-1,1,500))*40,"")</f>
        <v>80</v>
      </c>
      <c r="T39" s="336">
        <f t="shared" ref="T39:T45" ca="1" si="83">IFERROR(S39/8,"")</f>
        <v>10</v>
      </c>
      <c r="U39" s="337">
        <f t="shared" ref="U39:U45" ca="1" si="84">IFERROR($S39*I39,"")</f>
        <v>18960</v>
      </c>
      <c r="V39" s="338">
        <f t="shared" ref="V39:V45" ca="1" si="85">IFERROR($S39*K39,"")</f>
        <v>15840</v>
      </c>
      <c r="W39" s="339">
        <f t="shared" ca="1" si="75"/>
        <v>-18960</v>
      </c>
      <c r="X39" s="340" t="str">
        <f t="shared" ref="X39:X45" ca="1" si="86">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25">
      <c r="B40" s="360" t="s">
        <v>939</v>
      </c>
      <c r="C40" s="323" t="s">
        <v>936</v>
      </c>
      <c r="D40" s="321" t="s">
        <v>126</v>
      </c>
      <c r="E40" s="321" t="s">
        <v>752</v>
      </c>
      <c r="F40" s="324" t="s">
        <v>852</v>
      </c>
      <c r="G40" s="325" cm="1">
        <f t="array" aca="1" ref="G40" ca="1">IFERROR(INDEX(Panel_Rates[[1]:[12]],MATCH(Panel_New&amp;Category_New,Panel_Rates[Panel]&amp;Panel_Rates[Category],0),MATCH('Time Plan (Multiple Release)'!E40,OFFSET(Variable!$AF$2,MATCH(Panel_New&amp;Category_New,Panel_Rates[Panel]&amp;Panel_Rates[Category],0)-1,0,1,12),0))/8,"")</f>
        <v>245</v>
      </c>
      <c r="H40" s="326">
        <v>0.38</v>
      </c>
      <c r="I40" s="328">
        <f t="shared" ca="1" si="76"/>
        <v>151.9</v>
      </c>
      <c r="J40" s="329">
        <f t="shared" ref="J40:J45" ca="1" si="87">IFERROR(I40*8,"")</f>
        <v>1215.2</v>
      </c>
      <c r="K40" s="329">
        <f>IFERROR(_xlfn.XLOOKUP(D40,CostTableLookup[Name],CostTableLookup[Gross Cost]),"")</f>
        <v>146</v>
      </c>
      <c r="L40" s="330"/>
      <c r="M40" s="331">
        <f t="shared" ca="1" si="77"/>
        <v>0</v>
      </c>
      <c r="N40" s="332"/>
      <c r="O40" s="331">
        <f t="shared" ca="1" si="78"/>
        <v>0</v>
      </c>
      <c r="P40" s="331">
        <f t="shared" ca="1" si="79"/>
        <v>0</v>
      </c>
      <c r="Q40" s="333">
        <f t="shared" si="80"/>
        <v>0</v>
      </c>
      <c r="R40" s="343">
        <f t="shared" ca="1" si="81"/>
        <v>3.8841342988808425E-2</v>
      </c>
      <c r="S40" s="335">
        <f t="shared" ref="S40:S41" ca="1" si="88">IFERROR(SUM(OFFSET(Y40,0,MATCH(Forecast_New,$Y$3:$WQ$3,0)-1,1,500))*40,"")</f>
        <v>160</v>
      </c>
      <c r="T40" s="336">
        <f t="shared" ca="1" si="83"/>
        <v>20</v>
      </c>
      <c r="U40" s="337">
        <f t="shared" ca="1" si="84"/>
        <v>24304</v>
      </c>
      <c r="V40" s="338">
        <f t="shared" ca="1" si="85"/>
        <v>23360</v>
      </c>
      <c r="W40" s="339">
        <f t="shared" ca="1" si="75"/>
        <v>-24304</v>
      </c>
      <c r="X40" s="340" t="str">
        <f t="shared" ca="1" si="86"/>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25">
      <c r="B41" s="360" t="s">
        <v>939</v>
      </c>
      <c r="C41" s="323" t="s">
        <v>936</v>
      </c>
      <c r="D41" s="321" t="s">
        <v>756</v>
      </c>
      <c r="E41" s="321" t="s">
        <v>753</v>
      </c>
      <c r="F41" s="324" t="s">
        <v>930</v>
      </c>
      <c r="G41" s="325" cm="1">
        <f t="array" aca="1" ref="G41" ca="1">IFERROR(INDEX(Panel_Rates[[1]:[12]],MATCH(Panel_New&amp;Category_New,Panel_Rates[Panel]&amp;Panel_Rates[Category],0),MATCH('Time Plan (Multiple Release)'!E41,OFFSET(Variable!$AF$2,MATCH(Panel_New&amp;Category_New,Panel_Rates[Panel]&amp;Panel_Rates[Category],0)-1,0,1,12),0))/8,"")</f>
        <v>305</v>
      </c>
      <c r="H41" s="326">
        <v>0.32</v>
      </c>
      <c r="I41" s="328">
        <f t="shared" ca="1" si="76"/>
        <v>207.39999999999998</v>
      </c>
      <c r="J41" s="329">
        <f t="shared" ca="1" si="87"/>
        <v>1659.1999999999998</v>
      </c>
      <c r="K41" s="329">
        <f>IFERROR(_xlfn.XLOOKUP(D41,CostTableLookup[Name],CostTableLookup[Gross Cost]),"")</f>
        <v>170.96</v>
      </c>
      <c r="L41" s="330"/>
      <c r="M41" s="331">
        <f t="shared" ca="1" si="77"/>
        <v>0</v>
      </c>
      <c r="N41" s="332"/>
      <c r="O41" s="331">
        <f t="shared" ca="1" si="78"/>
        <v>0</v>
      </c>
      <c r="P41" s="331">
        <f t="shared" ca="1" si="79"/>
        <v>0</v>
      </c>
      <c r="Q41" s="333">
        <f t="shared" si="80"/>
        <v>0</v>
      </c>
      <c r="R41" s="343">
        <f t="shared" ca="1" si="81"/>
        <v>0.17569913211186108</v>
      </c>
      <c r="S41" s="335">
        <f t="shared" ref="S41:S42" ca="1" si="89">IFERROR(SUM(OFFSET(Y41,0,MATCH(Forecast_New,$Y$3:$WQ$3,0)-1,1,500))*40,"")</f>
        <v>160</v>
      </c>
      <c r="T41" s="336">
        <f t="shared" ca="1" si="83"/>
        <v>20</v>
      </c>
      <c r="U41" s="337">
        <f t="shared" ca="1" si="84"/>
        <v>33184</v>
      </c>
      <c r="V41" s="338">
        <f t="shared" ca="1" si="85"/>
        <v>27353.600000000002</v>
      </c>
      <c r="W41" s="339">
        <f t="shared" ca="1" si="75"/>
        <v>-33184</v>
      </c>
      <c r="X41" s="340" t="str">
        <f t="shared" ca="1" si="86"/>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25">
      <c r="B42" s="360" t="s">
        <v>939</v>
      </c>
      <c r="C42" s="323" t="s">
        <v>936</v>
      </c>
      <c r="D42" s="321" t="s">
        <v>447</v>
      </c>
      <c r="E42" s="321" t="s">
        <v>753</v>
      </c>
      <c r="F42" s="324" t="s">
        <v>931</v>
      </c>
      <c r="G42" s="325" cm="1">
        <f t="array" aca="1" ref="G42" ca="1">IFERROR(INDEX(Panel_Rates[[1]:[12]],MATCH(Panel_New&amp;Category_New,Panel_Rates[Panel]&amp;Panel_Rates[Category],0),MATCH('Time Plan (Multiple Release)'!E42,OFFSET(Variable!$AF$2,MATCH(Panel_New&amp;Category_New,Panel_Rates[Panel]&amp;Panel_Rates[Category],0)-1,0,1,12),0))/8,"")</f>
        <v>305</v>
      </c>
      <c r="H42" s="326">
        <v>0.38</v>
      </c>
      <c r="I42" s="328">
        <f t="shared" ca="1" si="76"/>
        <v>189.1</v>
      </c>
      <c r="J42" s="329">
        <f t="shared" ca="1" si="87"/>
        <v>1512.8</v>
      </c>
      <c r="K42" s="329">
        <f>IFERROR(_xlfn.XLOOKUP(D42,CostTableLookup[Name],CostTableLookup[Gross Cost]),"")</f>
        <v>151</v>
      </c>
      <c r="L42" s="330"/>
      <c r="M42" s="331">
        <f t="shared" ca="1" si="77"/>
        <v>0</v>
      </c>
      <c r="N42" s="332"/>
      <c r="O42" s="331">
        <f t="shared" ca="1" si="78"/>
        <v>0</v>
      </c>
      <c r="P42" s="331">
        <f t="shared" ca="1" si="79"/>
        <v>0</v>
      </c>
      <c r="Q42" s="333">
        <f t="shared" si="80"/>
        <v>0</v>
      </c>
      <c r="R42" s="343">
        <f t="shared" ca="1" si="81"/>
        <v>0.2014806980433633</v>
      </c>
      <c r="S42" s="335">
        <f t="shared" ref="S42:S43" ca="1" si="90">IFERROR(SUM(OFFSET(Y42,0,MATCH(Forecast_New,$Y$3:$WQ$3,0)-1,1,500))*40,"")</f>
        <v>160</v>
      </c>
      <c r="T42" s="336">
        <f t="shared" ca="1" si="83"/>
        <v>20</v>
      </c>
      <c r="U42" s="337">
        <f t="shared" ca="1" si="84"/>
        <v>30256</v>
      </c>
      <c r="V42" s="338">
        <f t="shared" ca="1" si="85"/>
        <v>24160</v>
      </c>
      <c r="W42" s="339">
        <f t="shared" ca="1" si="75"/>
        <v>-30256</v>
      </c>
      <c r="X42" s="340" t="str">
        <f t="shared" ca="1" si="86"/>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25">
      <c r="B43" s="360" t="s">
        <v>939</v>
      </c>
      <c r="C43" s="384" t="s">
        <v>936</v>
      </c>
      <c r="D43" s="385" t="s">
        <v>122</v>
      </c>
      <c r="E43" s="321" t="s">
        <v>752</v>
      </c>
      <c r="F43" s="324" t="s">
        <v>931</v>
      </c>
      <c r="G43" s="325" cm="1">
        <f t="array" aca="1" ref="G43" ca="1">IFERROR(INDEX(Panel_Rates[[1]:[12]],MATCH(Panel_New&amp;Category_New,Panel_Rates[Panel]&amp;Panel_Rates[Category],0),MATCH('Time Plan (Multiple Release)'!E43,OFFSET(Variable!$AF$2,MATCH(Panel_New&amp;Category_New,Panel_Rates[Panel]&amp;Panel_Rates[Category],0)-1,0,1,12),0))/8,"")</f>
        <v>245</v>
      </c>
      <c r="H43" s="326">
        <v>1</v>
      </c>
      <c r="I43" s="328">
        <f t="shared" ca="1" si="76"/>
        <v>0</v>
      </c>
      <c r="J43" s="329">
        <f t="shared" ca="1" si="87"/>
        <v>0</v>
      </c>
      <c r="K43" s="329">
        <f>IFERROR(_xlfn.XLOOKUP(D43,CostTableLookup[Name],CostTableLookup[Gross Cost]),"")</f>
        <v>198</v>
      </c>
      <c r="L43" s="330"/>
      <c r="M43" s="331">
        <f t="shared" ca="1" si="77"/>
        <v>0</v>
      </c>
      <c r="N43" s="332"/>
      <c r="O43" s="331">
        <f t="shared" ca="1" si="78"/>
        <v>0</v>
      </c>
      <c r="P43" s="331">
        <f t="shared" ca="1" si="79"/>
        <v>0</v>
      </c>
      <c r="Q43" s="333">
        <f t="shared" si="80"/>
        <v>0</v>
      </c>
      <c r="R43" s="343" t="str">
        <f t="shared" ca="1" si="81"/>
        <v/>
      </c>
      <c r="S43" s="335">
        <f t="shared" ref="S43" ca="1" si="91">IFERROR(SUM(OFFSET(Y43,0,MATCH(Forecast_New,$Y$3:$WQ$3,0)-1,1,500))*40,"")</f>
        <v>160</v>
      </c>
      <c r="T43" s="336">
        <f t="shared" ca="1" si="83"/>
        <v>20</v>
      </c>
      <c r="U43" s="337">
        <f t="shared" ca="1" si="84"/>
        <v>0</v>
      </c>
      <c r="V43" s="338">
        <f t="shared" ca="1" si="85"/>
        <v>31680</v>
      </c>
      <c r="W43" s="339">
        <f t="shared" ca="1" si="75"/>
        <v>0</v>
      </c>
      <c r="X43" s="340" t="str">
        <f t="shared" ca="1" si="86"/>
        <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25">
      <c r="B44" s="360" t="s">
        <v>939</v>
      </c>
      <c r="C44" s="323" t="s">
        <v>936</v>
      </c>
      <c r="D44" s="321" t="s">
        <v>731</v>
      </c>
      <c r="E44" s="321" t="s">
        <v>752</v>
      </c>
      <c r="F44" s="324" t="s">
        <v>931</v>
      </c>
      <c r="G44" s="325" cm="1">
        <f t="array" aca="1" ref="G44" ca="1">IFERROR(INDEX(Panel_Rates[[1]:[12]],MATCH(Panel_New&amp;Category_New,Panel_Rates[Panel]&amp;Panel_Rates[Category],0),MATCH('Time Plan (Multiple Release)'!E44,OFFSET(Variable!$AF$2,MATCH(Panel_New&amp;Category_New,Panel_Rates[Panel]&amp;Panel_Rates[Category],0)-1,0,1,12),0))/8,"")</f>
        <v>245</v>
      </c>
      <c r="H44" s="326">
        <v>0.38</v>
      </c>
      <c r="I44" s="328">
        <f t="shared" ca="1" si="76"/>
        <v>151.9</v>
      </c>
      <c r="J44" s="329">
        <f t="shared" ca="1" si="87"/>
        <v>1215.2</v>
      </c>
      <c r="K44" s="329">
        <f>IFERROR(_xlfn.XLOOKUP(D44,CostTableLookup[Name],CostTableLookup[Gross Cost]),"")</f>
        <v>151</v>
      </c>
      <c r="L44" s="330"/>
      <c r="M44" s="331">
        <f t="shared" ca="1" si="77"/>
        <v>0</v>
      </c>
      <c r="N44" s="332"/>
      <c r="O44" s="331">
        <f t="shared" ca="1" si="78"/>
        <v>0</v>
      </c>
      <c r="P44" s="331">
        <f t="shared" ca="1" si="79"/>
        <v>0</v>
      </c>
      <c r="Q44" s="333">
        <f t="shared" si="80"/>
        <v>0</v>
      </c>
      <c r="R44" s="343">
        <f t="shared" ca="1" si="81"/>
        <v>5.9249506254114553E-3</v>
      </c>
      <c r="S44" s="335">
        <f t="shared" ref="S44" ca="1" si="92">IFERROR(SUM(OFFSET(Y44,0,MATCH(Forecast_New,$Y$3:$WQ$3,0)-1,1,500))*40,"")</f>
        <v>160</v>
      </c>
      <c r="T44" s="336">
        <f t="shared" ca="1" si="83"/>
        <v>20</v>
      </c>
      <c r="U44" s="337">
        <f t="shared" ca="1" si="84"/>
        <v>24304</v>
      </c>
      <c r="V44" s="338">
        <f t="shared" ca="1" si="85"/>
        <v>24160</v>
      </c>
      <c r="W44" s="339">
        <f t="shared" ca="1" si="75"/>
        <v>-24304</v>
      </c>
      <c r="X44" s="340" t="str">
        <f t="shared" ca="1" si="86"/>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19.5" customHeight="1" x14ac:dyDescent="0.25">
      <c r="B45" s="360" t="s">
        <v>939</v>
      </c>
      <c r="C45" s="362" t="s">
        <v>936</v>
      </c>
      <c r="D45" s="345" t="s">
        <v>606</v>
      </c>
      <c r="E45" s="345" t="s">
        <v>752</v>
      </c>
      <c r="F45" s="363" t="s">
        <v>937</v>
      </c>
      <c r="G45" s="364" cm="1">
        <f t="array" aca="1" ref="G45" ca="1">IFERROR(INDEX(Panel_Rates[[1]:[12]],MATCH(Panel_New&amp;Category_New,Panel_Rates[Panel]&amp;Panel_Rates[Category],0),MATCH('Time Plan (Multiple Release)'!E45,OFFSET(Variable!$AF$2,MATCH(Panel_New&amp;Category_New,Panel_Rates[Panel]&amp;Panel_Rates[Category],0)-1,0,1,12),0))/8,"")</f>
        <v>245</v>
      </c>
      <c r="H45" s="326">
        <v>0.38</v>
      </c>
      <c r="I45" s="391">
        <f t="shared" ca="1" si="76"/>
        <v>151.9</v>
      </c>
      <c r="J45" s="398">
        <f t="shared" ca="1" si="87"/>
        <v>1215.2</v>
      </c>
      <c r="K45" s="366">
        <f>IFERROR(_xlfn.XLOOKUP(D45,CostTableLookup[Name],CostTableLookup[Gross Cost]),"")</f>
        <v>161</v>
      </c>
      <c r="L45" s="367"/>
      <c r="M45" s="368">
        <f t="shared" ca="1" si="77"/>
        <v>0</v>
      </c>
      <c r="N45" s="369"/>
      <c r="O45" s="368">
        <f t="shared" ca="1" si="78"/>
        <v>0</v>
      </c>
      <c r="P45" s="368">
        <f t="shared" ca="1" si="79"/>
        <v>0</v>
      </c>
      <c r="Q45" s="370">
        <f t="shared" si="80"/>
        <v>0</v>
      </c>
      <c r="R45" s="396">
        <f t="shared" ca="1" si="81"/>
        <v>-5.9907834101382486E-2</v>
      </c>
      <c r="S45" s="335">
        <f ca="1">IFERROR(SUM(OFFSET(Y45,0,MATCH(Forecast_New,$Y$3:$WQ$3,0)-1,1,500))*40,"")</f>
        <v>160</v>
      </c>
      <c r="T45" s="372">
        <f t="shared" ca="1" si="83"/>
        <v>20</v>
      </c>
      <c r="U45" s="373">
        <f t="shared" ca="1" si="84"/>
        <v>24304</v>
      </c>
      <c r="V45" s="358">
        <f t="shared" ca="1" si="85"/>
        <v>25760</v>
      </c>
      <c r="W45" s="339">
        <f t="shared" ca="1" si="75"/>
        <v>-24304</v>
      </c>
      <c r="X45" s="375" t="str">
        <f t="shared" ca="1" si="86"/>
        <v/>
      </c>
      <c r="Y45" s="376"/>
      <c r="Z45" s="376"/>
      <c r="AA45" s="376"/>
      <c r="AB45" s="376"/>
      <c r="AC45" s="376"/>
      <c r="AD45" s="376"/>
      <c r="AE45" s="376"/>
      <c r="AF45" s="376"/>
      <c r="AG45" s="376"/>
      <c r="AH45" s="376"/>
      <c r="AI45" s="376"/>
      <c r="AJ45" s="376">
        <v>1</v>
      </c>
      <c r="AK45" s="376">
        <v>1</v>
      </c>
      <c r="AL45" s="376">
        <v>1</v>
      </c>
      <c r="AM45" s="376">
        <v>1</v>
      </c>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ht="19.5" customHeight="1" x14ac:dyDescent="0.25">
      <c r="B46" s="387" t="s">
        <v>940</v>
      </c>
      <c r="C46" s="323" t="s">
        <v>935</v>
      </c>
      <c r="D46" s="321" t="s">
        <v>306</v>
      </c>
      <c r="E46" s="321" t="s">
        <v>753</v>
      </c>
      <c r="F46" s="324" t="s">
        <v>928</v>
      </c>
      <c r="G46" s="325" cm="1">
        <f t="array" aca="1" ref="G46" ca="1">IFERROR(INDEX(Panel_Rates[[1]:[12]],MATCH(Panel_New&amp;Category_New,Panel_Rates[Panel]&amp;Panel_Rates[Category],0),MATCH('Time Plan (Multiple Release)'!E46,OFFSET(Variable!$AF$2,MATCH(Panel_New&amp;Category_New,Panel_Rates[Panel]&amp;Panel_Rates[Category],0)-1,0,1,12),0))/8,"")</f>
        <v>305</v>
      </c>
      <c r="H46" s="326">
        <v>0.32</v>
      </c>
      <c r="I46" s="328">
        <f ca="1">IFERROR(G46*(1-H46),"")</f>
        <v>207.39999999999998</v>
      </c>
      <c r="J46" s="329">
        <f ca="1">IFERROR(I46*8,"")</f>
        <v>1659.1999999999998</v>
      </c>
      <c r="K46" s="329">
        <f>IFERROR(_xlfn.XLOOKUP(D46,CostTableLookup[Name],CostTableLookup[Gross Cost]),"")</f>
        <v>245</v>
      </c>
      <c r="L46" s="330"/>
      <c r="M46" s="331">
        <f ca="1">IFERROR(L46*I46,"")</f>
        <v>0</v>
      </c>
      <c r="N46" s="332"/>
      <c r="O46" s="331">
        <f ca="1">IFERROR(N46*I46,"")</f>
        <v>0</v>
      </c>
      <c r="P46" s="331">
        <f ca="1">IFERROR(M46-O46,"")</f>
        <v>0</v>
      </c>
      <c r="Q46" s="333">
        <f>IFERROR(N46*K46,"")</f>
        <v>0</v>
      </c>
      <c r="R46" s="343">
        <f ca="1">IFERROR(((U46+O46)-(V46+Q46))/(U46+O46),"")</f>
        <v>-0.18129218900675023</v>
      </c>
      <c r="S46" s="335">
        <f ca="1">IFERROR(SUM(OFFSET(Y46,0,MATCH(Forecast_New,$Y$3:$WQ$3,0)-1,1,500))*40,"")</f>
        <v>160</v>
      </c>
      <c r="T46" s="336">
        <f ca="1">IFERROR(S46/8,"")</f>
        <v>20</v>
      </c>
      <c r="U46" s="337">
        <f ca="1">IFERROR($S46*I46,"")</f>
        <v>33184</v>
      </c>
      <c r="V46" s="338">
        <f ca="1">IFERROR($S46*K46,"")</f>
        <v>39200</v>
      </c>
      <c r="W46" s="339">
        <f t="shared" ca="1" si="75"/>
        <v>-33184</v>
      </c>
      <c r="X46" s="343"/>
      <c r="Y46" s="344"/>
      <c r="Z46" s="344"/>
      <c r="AA46" s="344"/>
      <c r="AB46" s="344"/>
      <c r="AC46" s="344"/>
      <c r="AD46" s="344"/>
      <c r="AE46" s="344"/>
      <c r="AF46" s="344"/>
      <c r="AG46" s="344"/>
      <c r="AH46" s="344"/>
      <c r="AI46" s="344"/>
      <c r="AJ46" s="344"/>
      <c r="AK46" s="344"/>
      <c r="AL46" s="344"/>
      <c r="AM46" s="344"/>
      <c r="AN46" s="344">
        <v>1</v>
      </c>
      <c r="AO46" s="344">
        <v>1</v>
      </c>
      <c r="AP46" s="344">
        <v>1</v>
      </c>
      <c r="AQ46" s="344">
        <v>1</v>
      </c>
      <c r="AR46" s="344"/>
      <c r="AS46" s="344"/>
      <c r="AT46" s="344"/>
      <c r="AU46" s="344"/>
      <c r="AV46" s="344"/>
      <c r="AW46" s="344"/>
      <c r="AX46" s="344"/>
      <c r="AY46" s="344"/>
      <c r="AZ46" s="344"/>
      <c r="BA46" s="344"/>
      <c r="BB46" s="344"/>
      <c r="BC46" s="344"/>
      <c r="BD46" s="344"/>
      <c r="BE46" s="344"/>
      <c r="BF46" s="344"/>
      <c r="BG46" s="344"/>
      <c r="BH46" s="344"/>
      <c r="BI46" s="344"/>
      <c r="BJ46" s="344"/>
      <c r="BK46" s="344"/>
      <c r="BL46" s="344"/>
      <c r="BM46" s="344"/>
      <c r="BN46" s="344"/>
      <c r="BO46" s="344"/>
      <c r="BP46" s="344"/>
      <c r="BQ46" s="344"/>
      <c r="BR46" s="344"/>
      <c r="BS46" s="344"/>
      <c r="BT46" s="344"/>
      <c r="BU46" s="344"/>
      <c r="BV46" s="344"/>
      <c r="BW46" s="344"/>
      <c r="BX46" s="344"/>
      <c r="BY46" s="344"/>
      <c r="BZ46" s="344"/>
      <c r="CA46" s="344"/>
      <c r="CB46" s="344"/>
      <c r="CC46" s="344"/>
      <c r="CD46" s="344"/>
      <c r="CE46" s="344"/>
      <c r="CF46" s="344"/>
      <c r="CG46" s="344"/>
      <c r="CH46" s="344"/>
      <c r="CI46" s="344"/>
      <c r="CJ46" s="344"/>
      <c r="CK46" s="344"/>
      <c r="CL46" s="344"/>
      <c r="CM46" s="344"/>
      <c r="CN46" s="344"/>
      <c r="CO46" s="344"/>
      <c r="CP46" s="344"/>
      <c r="CQ46" s="344"/>
      <c r="CR46" s="344"/>
      <c r="CS46" s="344"/>
      <c r="CT46" s="344"/>
      <c r="CU46" s="344"/>
      <c r="CV46" s="344"/>
      <c r="CW46" s="344"/>
      <c r="CX46" s="344"/>
      <c r="CY46" s="344"/>
      <c r="CZ46" s="344"/>
      <c r="DA46" s="344"/>
      <c r="DB46" s="344"/>
      <c r="DC46" s="344"/>
      <c r="DD46" s="344"/>
      <c r="DE46" s="344"/>
      <c r="DF46" s="344"/>
      <c r="DG46" s="344"/>
      <c r="DH46" s="344"/>
      <c r="DI46" s="344"/>
      <c r="DJ46" s="344"/>
      <c r="DK46" s="344"/>
      <c r="DL46" s="344"/>
      <c r="DM46" s="344"/>
      <c r="DN46" s="344"/>
      <c r="DO46" s="344"/>
      <c r="DP46" s="344"/>
      <c r="DQ46" s="344"/>
      <c r="DR46" s="344"/>
      <c r="DS46" s="344"/>
      <c r="DT46" s="344"/>
      <c r="DU46" s="344"/>
      <c r="DV46" s="344"/>
      <c r="DW46" s="344"/>
      <c r="DX46" s="344"/>
      <c r="DY46" s="344"/>
      <c r="DZ46" s="344"/>
      <c r="EA46" s="344"/>
      <c r="EB46" s="344"/>
      <c r="EC46" s="344"/>
      <c r="ED46" s="344"/>
      <c r="EE46" s="344"/>
      <c r="EF46" s="344"/>
      <c r="EG46" s="344"/>
      <c r="EH46" s="344"/>
      <c r="EI46" s="344"/>
      <c r="EJ46" s="344"/>
      <c r="EK46" s="344"/>
      <c r="EL46" s="344"/>
      <c r="EM46" s="344"/>
      <c r="EN46" s="344"/>
      <c r="EO46" s="344"/>
      <c r="EP46" s="344"/>
      <c r="EQ46" s="344"/>
      <c r="ER46" s="344"/>
      <c r="ES46" s="344"/>
      <c r="ET46" s="344"/>
      <c r="EU46" s="344"/>
      <c r="EV46" s="344"/>
      <c r="EW46" s="344"/>
      <c r="EX46" s="344"/>
      <c r="EY46" s="344"/>
      <c r="EZ46" s="344"/>
      <c r="FA46" s="344"/>
      <c r="FB46" s="344"/>
      <c r="FC46" s="344"/>
      <c r="FD46" s="344"/>
      <c r="FE46" s="344"/>
      <c r="FF46" s="344"/>
      <c r="FG46" s="344"/>
      <c r="FH46" s="344"/>
      <c r="FI46" s="344"/>
      <c r="FJ46" s="344"/>
      <c r="FK46" s="344"/>
      <c r="FL46" s="344"/>
      <c r="FM46" s="344"/>
      <c r="FN46" s="344"/>
      <c r="FO46" s="344"/>
      <c r="FP46" s="344"/>
      <c r="FQ46" s="344"/>
      <c r="FR46" s="344"/>
      <c r="FS46" s="344"/>
      <c r="FT46" s="344"/>
      <c r="FU46" s="344"/>
      <c r="FV46" s="344"/>
      <c r="FW46" s="344"/>
      <c r="FX46" s="344"/>
      <c r="FY46" s="344"/>
      <c r="FZ46" s="344"/>
      <c r="GA46" s="344"/>
      <c r="GB46" s="344"/>
      <c r="GC46" s="344"/>
      <c r="GD46" s="344"/>
      <c r="GE46" s="344"/>
      <c r="GF46" s="344"/>
      <c r="GG46" s="344"/>
      <c r="GH46" s="344"/>
      <c r="GI46" s="344"/>
      <c r="GJ46" s="344"/>
      <c r="GK46" s="344"/>
      <c r="GL46" s="344"/>
      <c r="GM46" s="344"/>
      <c r="GN46" s="344"/>
      <c r="GO46" s="344"/>
      <c r="GP46" s="344"/>
      <c r="GQ46" s="344"/>
      <c r="GR46" s="344"/>
      <c r="GS46" s="344"/>
      <c r="GT46" s="344"/>
      <c r="GU46" s="344"/>
      <c r="GV46" s="344"/>
      <c r="GW46" s="344"/>
      <c r="GX46" s="344"/>
      <c r="GY46" s="344"/>
      <c r="GZ46" s="344"/>
      <c r="HA46" s="344"/>
      <c r="HB46" s="344"/>
      <c r="HC46" s="344"/>
      <c r="HD46" s="344"/>
      <c r="HE46" s="344"/>
      <c r="HF46" s="344"/>
      <c r="HG46" s="344"/>
      <c r="HH46" s="344"/>
      <c r="HI46" s="344"/>
      <c r="HJ46" s="344"/>
      <c r="HK46" s="344"/>
      <c r="HL46" s="344"/>
      <c r="HM46" s="344"/>
      <c r="HN46" s="344"/>
      <c r="HO46" s="344"/>
      <c r="HP46" s="344"/>
      <c r="HQ46" s="344"/>
      <c r="HR46" s="344"/>
      <c r="HS46" s="344"/>
      <c r="HT46" s="344"/>
      <c r="HU46" s="344"/>
      <c r="HV46" s="344"/>
      <c r="HW46" s="344"/>
      <c r="HX46" s="344"/>
      <c r="HY46" s="344"/>
      <c r="HZ46" s="344"/>
      <c r="IA46" s="344"/>
      <c r="IB46" s="344"/>
      <c r="IC46" s="344"/>
      <c r="ID46" s="344"/>
      <c r="IE46" s="344"/>
      <c r="IF46" s="344"/>
      <c r="IG46" s="344"/>
      <c r="IH46" s="344"/>
      <c r="II46" s="344"/>
      <c r="IJ46" s="344"/>
      <c r="IK46" s="344"/>
      <c r="IL46" s="344"/>
      <c r="IM46" s="344"/>
      <c r="IN46" s="344"/>
      <c r="IO46" s="344"/>
      <c r="IP46" s="344"/>
      <c r="IQ46" s="344"/>
      <c r="IR46" s="344"/>
      <c r="IS46" s="344"/>
      <c r="IT46" s="344"/>
      <c r="IU46" s="344"/>
      <c r="IV46" s="344"/>
      <c r="IW46" s="344"/>
      <c r="IX46" s="344"/>
      <c r="IY46" s="344"/>
      <c r="IZ46" s="344"/>
      <c r="JA46" s="344"/>
      <c r="JB46" s="344"/>
      <c r="JC46" s="344"/>
      <c r="JD46" s="344"/>
      <c r="JE46" s="344"/>
      <c r="JF46" s="344"/>
      <c r="JG46" s="344"/>
      <c r="JH46" s="344"/>
      <c r="JI46" s="344"/>
      <c r="JJ46" s="344"/>
      <c r="JK46" s="344"/>
      <c r="JL46" s="344"/>
      <c r="JM46" s="344"/>
      <c r="JN46" s="344"/>
    </row>
    <row r="47" spans="2:274" ht="19.5" customHeight="1" x14ac:dyDescent="0.25">
      <c r="B47" s="360" t="s">
        <v>940</v>
      </c>
      <c r="C47" s="323" t="s">
        <v>935</v>
      </c>
      <c r="D47" s="321" t="s">
        <v>746</v>
      </c>
      <c r="E47" s="321" t="s">
        <v>752</v>
      </c>
      <c r="F47" s="324" t="s">
        <v>155</v>
      </c>
      <c r="G47" s="325" cm="1">
        <f t="array" aca="1" ref="G47" ca="1">IFERROR(INDEX(Panel_Rates[[1]:[12]],MATCH(Panel_New&amp;Category_New,Panel_Rates[Panel]&amp;Panel_Rates[Category],0),MATCH('Time Plan (Multiple Release)'!E47,OFFSET(Variable!$AF$2,MATCH(Panel_New&amp;Category_New,Panel_Rates[Panel]&amp;Panel_Rates[Category],0)-1,0,1,12),0))/8,"")</f>
        <v>245</v>
      </c>
      <c r="H47" s="326">
        <v>0.38</v>
      </c>
      <c r="I47" s="328">
        <f ca="1">IFERROR(G47*(1-H47),"")</f>
        <v>151.9</v>
      </c>
      <c r="J47" s="329">
        <f ca="1">IFERROR(I47*8,"")</f>
        <v>1215.2</v>
      </c>
      <c r="K47" s="329">
        <f>IFERROR(_xlfn.XLOOKUP(D47,CostTableLookup[Name],CostTableLookup[Gross Cost]),"")</f>
        <v>90</v>
      </c>
      <c r="L47" s="330"/>
      <c r="M47" s="331">
        <f ca="1">IFERROR(L47*I47,"")</f>
        <v>0</v>
      </c>
      <c r="N47" s="332"/>
      <c r="O47" s="331">
        <f ca="1">IFERROR(N47*I47,"")</f>
        <v>0</v>
      </c>
      <c r="P47" s="331">
        <f ca="1">IFERROR(M47-O47,"")</f>
        <v>0</v>
      </c>
      <c r="Q47" s="333">
        <f>IFERROR(N47*K47,"")</f>
        <v>0</v>
      </c>
      <c r="R47" s="343" t="str">
        <f ca="1">IFERROR(((U47+O47)-(V47+Q47))/(U47+O47),"")</f>
        <v/>
      </c>
      <c r="S47" s="335">
        <f ca="1">IFERROR(SUM(OFFSET(Y47,0,MATCH(Forecast_New,$Y$3:$WQ$3,0)-1,1,500))*40,"")</f>
        <v>0</v>
      </c>
      <c r="T47" s="336">
        <f ca="1">IFERROR(S47/8,"")</f>
        <v>0</v>
      </c>
      <c r="U47" s="337">
        <f ca="1">IFERROR($S47*I47,"")</f>
        <v>0</v>
      </c>
      <c r="V47" s="338">
        <f ca="1">IFERROR($S47*K47,"")</f>
        <v>0</v>
      </c>
      <c r="W47" s="339">
        <f t="shared" ca="1" si="75"/>
        <v>0</v>
      </c>
      <c r="X47" s="343"/>
      <c r="Y47" s="344"/>
      <c r="Z47" s="344"/>
      <c r="AA47" s="344"/>
      <c r="AB47" s="344"/>
      <c r="AC47" s="344"/>
      <c r="AD47" s="344"/>
      <c r="AE47" s="344"/>
      <c r="AF47" s="344"/>
      <c r="AG47" s="344"/>
      <c r="AH47" s="344"/>
      <c r="AI47" s="344"/>
      <c r="AJ47" s="344"/>
      <c r="AK47" s="344"/>
      <c r="AL47" s="344"/>
      <c r="AM47" s="344"/>
      <c r="AN47" s="344"/>
      <c r="AO47" s="344"/>
      <c r="AP47" s="344"/>
      <c r="AQ47" s="344"/>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25">
      <c r="B48" s="360" t="s">
        <v>940</v>
      </c>
      <c r="C48" s="323" t="s">
        <v>936</v>
      </c>
      <c r="D48" s="321" t="s">
        <v>317</v>
      </c>
      <c r="E48" s="321" t="s">
        <v>754</v>
      </c>
      <c r="F48" s="324" t="s">
        <v>929</v>
      </c>
      <c r="G48" s="325" cm="1">
        <f t="array" aca="1" ref="G48" ca="1">IFERROR(INDEX(Panel_Rates[[1]:[12]],MATCH(Panel_New&amp;Category_New,Panel_Rates[Panel]&amp;Panel_Rates[Category],0),MATCH('Time Plan (Multiple Release)'!E48,OFFSET(Variable!$AF$2,MATCH(Panel_New&amp;Category_New,Panel_Rates[Panel]&amp;Panel_Rates[Category],0)-1,0,1,12),0))/8,"")</f>
        <v>395</v>
      </c>
      <c r="H48" s="326">
        <v>0.4</v>
      </c>
      <c r="I48" s="328">
        <f t="shared" ref="I48:I54" ca="1" si="93">IFERROR(G48*(1-H48),"")</f>
        <v>237</v>
      </c>
      <c r="J48" s="329">
        <f ca="1">IFERROR(I48*8,"")</f>
        <v>1896</v>
      </c>
      <c r="K48" s="329">
        <f>IFERROR(_xlfn.XLOOKUP(D48,CostTableLookup[Name],CostTableLookup[Gross Cost]),"")</f>
        <v>198</v>
      </c>
      <c r="L48" s="330"/>
      <c r="M48" s="331">
        <f t="shared" ref="M48:M54" ca="1" si="94">IFERROR(L48*I48,"")</f>
        <v>0</v>
      </c>
      <c r="N48" s="332"/>
      <c r="O48" s="331">
        <f t="shared" ref="O48:O54" ca="1" si="95">IFERROR(N48*I48,"")</f>
        <v>0</v>
      </c>
      <c r="P48" s="331">
        <f t="shared" ref="P48:P54" ca="1" si="96">IFERROR(M48-O48,"")</f>
        <v>0</v>
      </c>
      <c r="Q48" s="333">
        <f t="shared" ref="Q48:Q54" si="97">IFERROR(N48*K48,"")</f>
        <v>0</v>
      </c>
      <c r="R48" s="343" t="str">
        <f t="shared" ref="R48:R54" ca="1" si="98">IFERROR(((U48+O48)-(V48+Q48))/(U48+O48),"")</f>
        <v/>
      </c>
      <c r="S48" s="335">
        <f t="shared" ref="S48:S49" ca="1" si="99">IFERROR(SUM(OFFSET(Y48,0,MATCH(Forecast_New,$Y$3:$WQ$3,0)-1,1,500))*40,"")</f>
        <v>0</v>
      </c>
      <c r="T48" s="336">
        <f t="shared" ref="T48:T54" ca="1" si="100">IFERROR(S48/8,"")</f>
        <v>0</v>
      </c>
      <c r="U48" s="337">
        <f t="shared" ref="U48:U54" ca="1" si="101">IFERROR($S48*I48,"")</f>
        <v>0</v>
      </c>
      <c r="V48" s="338">
        <f t="shared" ref="V48:V54" ca="1" si="102">IFERROR($S48*K48,"")</f>
        <v>0</v>
      </c>
      <c r="W48" s="339">
        <f t="shared" ca="1" si="75"/>
        <v>0</v>
      </c>
      <c r="X48" s="340" t="str">
        <f t="shared" ref="X48:X54" ca="1" si="103">IFERROR(W48/M48,"")</f>
        <v/>
      </c>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1"/>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41"/>
      <c r="CL48" s="341"/>
      <c r="CM48" s="341"/>
      <c r="CN48" s="341"/>
      <c r="CO48" s="341"/>
      <c r="CP48" s="341"/>
      <c r="CQ48" s="341"/>
      <c r="CR48" s="341"/>
      <c r="CS48" s="341"/>
      <c r="CT48" s="341"/>
      <c r="CU48" s="341"/>
      <c r="CV48" s="341"/>
      <c r="CW48" s="341"/>
      <c r="CX48" s="341"/>
      <c r="CY48" s="341"/>
      <c r="CZ48" s="341"/>
      <c r="DA48" s="341"/>
      <c r="DB48" s="341"/>
      <c r="DC48" s="341"/>
      <c r="DD48" s="341"/>
      <c r="DE48" s="341"/>
      <c r="DF48" s="341"/>
      <c r="DG48" s="341"/>
      <c r="DH48" s="341"/>
      <c r="DI48" s="341"/>
      <c r="DJ48" s="341"/>
      <c r="DK48" s="341"/>
      <c r="DL48" s="341"/>
      <c r="DM48" s="341"/>
      <c r="DN48" s="341"/>
      <c r="DO48" s="341"/>
      <c r="DP48" s="341"/>
      <c r="DQ48" s="341"/>
      <c r="DR48" s="341"/>
      <c r="DS48" s="341"/>
      <c r="DT48" s="341"/>
      <c r="DU48" s="341"/>
      <c r="DV48" s="341"/>
      <c r="DW48" s="341"/>
      <c r="DX48" s="341"/>
      <c r="DY48" s="341"/>
      <c r="DZ48" s="341"/>
      <c r="EA48" s="341"/>
      <c r="EB48" s="341"/>
      <c r="EC48" s="341"/>
      <c r="ED48" s="341"/>
      <c r="EE48" s="341"/>
      <c r="EF48" s="341"/>
      <c r="EG48" s="341"/>
      <c r="EH48" s="341"/>
      <c r="EI48" s="341"/>
      <c r="EJ48" s="341"/>
      <c r="EK48" s="341"/>
      <c r="EL48" s="341"/>
      <c r="EM48" s="341"/>
      <c r="EN48" s="341"/>
      <c r="EO48" s="341"/>
      <c r="EP48" s="341"/>
      <c r="EQ48" s="341"/>
      <c r="ER48" s="341"/>
      <c r="ES48" s="341"/>
      <c r="ET48" s="341"/>
      <c r="EU48" s="341"/>
      <c r="EV48" s="341"/>
      <c r="EW48" s="341"/>
      <c r="EX48" s="341"/>
      <c r="EY48" s="341"/>
      <c r="EZ48" s="341"/>
      <c r="FA48" s="341"/>
      <c r="FB48" s="341"/>
      <c r="FC48" s="341"/>
      <c r="FD48" s="341"/>
      <c r="FE48" s="341"/>
      <c r="FF48" s="341"/>
      <c r="FG48" s="341"/>
      <c r="FH48" s="341"/>
      <c r="FI48" s="341"/>
      <c r="FJ48" s="341"/>
      <c r="FK48" s="341"/>
      <c r="FL48" s="341"/>
      <c r="FM48" s="341"/>
      <c r="FN48" s="341"/>
      <c r="FO48" s="341"/>
      <c r="FP48" s="341"/>
      <c r="FQ48" s="341"/>
      <c r="FR48" s="341"/>
      <c r="FS48" s="341"/>
      <c r="FT48" s="341"/>
      <c r="FU48" s="341"/>
      <c r="FV48" s="341"/>
      <c r="FW48" s="341"/>
      <c r="FX48" s="341"/>
      <c r="FY48" s="341"/>
      <c r="FZ48" s="341"/>
      <c r="GA48" s="341"/>
      <c r="GB48" s="341"/>
      <c r="GC48" s="341"/>
      <c r="GD48" s="341"/>
      <c r="GE48" s="341"/>
      <c r="GF48" s="341"/>
      <c r="GG48" s="341"/>
      <c r="GH48" s="341"/>
      <c r="GI48" s="341"/>
      <c r="GJ48" s="341"/>
      <c r="GK48" s="341"/>
      <c r="GL48" s="341"/>
      <c r="GM48" s="341"/>
      <c r="GN48" s="341"/>
      <c r="GO48" s="341"/>
      <c r="GP48" s="341"/>
      <c r="GQ48" s="341"/>
      <c r="GR48" s="341"/>
      <c r="GS48" s="341"/>
      <c r="GT48" s="341"/>
      <c r="GU48" s="341"/>
      <c r="GV48" s="341"/>
      <c r="GW48" s="341"/>
      <c r="GX48" s="341"/>
      <c r="GY48" s="341"/>
      <c r="GZ48" s="341"/>
      <c r="HA48" s="341"/>
      <c r="HB48" s="341"/>
      <c r="HC48" s="341"/>
      <c r="HD48" s="341"/>
      <c r="HE48" s="341"/>
      <c r="HF48" s="341"/>
      <c r="HG48" s="341"/>
      <c r="HH48" s="341"/>
      <c r="HI48" s="341"/>
      <c r="HJ48" s="341"/>
      <c r="HK48" s="341"/>
      <c r="HL48" s="341"/>
      <c r="HM48" s="341"/>
      <c r="HN48" s="341"/>
      <c r="HO48" s="341"/>
      <c r="HP48" s="341"/>
      <c r="HQ48" s="341"/>
      <c r="HR48" s="341"/>
      <c r="HS48" s="341"/>
      <c r="HT48" s="341"/>
      <c r="HU48" s="341"/>
      <c r="HV48" s="341"/>
      <c r="HW48" s="341"/>
      <c r="HX48" s="341"/>
      <c r="HY48" s="341"/>
      <c r="HZ48" s="341"/>
      <c r="IA48" s="341"/>
      <c r="IB48" s="341"/>
      <c r="IC48" s="341"/>
      <c r="ID48" s="341"/>
      <c r="IE48" s="341"/>
      <c r="IF48" s="341"/>
      <c r="IG48" s="341"/>
      <c r="IH48" s="341"/>
      <c r="II48" s="341"/>
      <c r="IJ48" s="341"/>
      <c r="IK48" s="341"/>
      <c r="IL48" s="341"/>
      <c r="IM48" s="341"/>
      <c r="IN48" s="341"/>
      <c r="IO48" s="341"/>
      <c r="IP48" s="341"/>
      <c r="IQ48" s="341"/>
      <c r="IR48" s="341"/>
      <c r="IS48" s="341"/>
      <c r="IT48" s="341"/>
      <c r="IU48" s="341"/>
      <c r="IV48" s="341"/>
      <c r="IW48" s="341"/>
      <c r="IX48" s="341"/>
      <c r="IY48" s="341"/>
      <c r="IZ48" s="341"/>
      <c r="JA48" s="341"/>
      <c r="JB48" s="341"/>
      <c r="JC48" s="341"/>
      <c r="JD48" s="341"/>
      <c r="JE48" s="341"/>
      <c r="JF48" s="341"/>
      <c r="JG48" s="341"/>
      <c r="JH48" s="341"/>
      <c r="JI48" s="341"/>
      <c r="JJ48" s="341"/>
      <c r="JK48" s="341"/>
      <c r="JL48" s="341"/>
      <c r="JM48" s="341"/>
      <c r="JN48" s="341"/>
    </row>
    <row r="49" spans="2:274" ht="19.5" customHeight="1" x14ac:dyDescent="0.25">
      <c r="B49" s="360" t="s">
        <v>940</v>
      </c>
      <c r="C49" s="323" t="s">
        <v>936</v>
      </c>
      <c r="D49" s="321" t="s">
        <v>126</v>
      </c>
      <c r="E49" s="321" t="s">
        <v>752</v>
      </c>
      <c r="F49" s="324" t="s">
        <v>852</v>
      </c>
      <c r="G49" s="325" cm="1">
        <f t="array" aca="1" ref="G49" ca="1">IFERROR(INDEX(Panel_Rates[[1]:[12]],MATCH(Panel_New&amp;Category_New,Panel_Rates[Panel]&amp;Panel_Rates[Category],0),MATCH('Time Plan (Multiple Release)'!E49,OFFSET(Variable!$AF$2,MATCH(Panel_New&amp;Category_New,Panel_Rates[Panel]&amp;Panel_Rates[Category],0)-1,0,1,12),0))/8,"")</f>
        <v>245</v>
      </c>
      <c r="H49" s="326">
        <v>0.38</v>
      </c>
      <c r="I49" s="328">
        <f t="shared" ca="1" si="93"/>
        <v>151.9</v>
      </c>
      <c r="J49" s="329">
        <f t="shared" ref="J49:J54" ca="1" si="104">IFERROR(I49*8,"")</f>
        <v>1215.2</v>
      </c>
      <c r="K49" s="329">
        <f>IFERROR(_xlfn.XLOOKUP(D49,CostTableLookup[Name],CostTableLookup[Gross Cost]),"")</f>
        <v>146</v>
      </c>
      <c r="L49" s="330"/>
      <c r="M49" s="331">
        <f t="shared" ca="1" si="94"/>
        <v>0</v>
      </c>
      <c r="N49" s="332"/>
      <c r="O49" s="331">
        <f t="shared" ca="1" si="95"/>
        <v>0</v>
      </c>
      <c r="P49" s="331">
        <f t="shared" ca="1" si="96"/>
        <v>0</v>
      </c>
      <c r="Q49" s="333">
        <f t="shared" si="97"/>
        <v>0</v>
      </c>
      <c r="R49" s="343">
        <f t="shared" ca="1" si="98"/>
        <v>3.8841342988808425E-2</v>
      </c>
      <c r="S49" s="335">
        <f t="shared" ref="S49:S50" ca="1" si="105">IFERROR(SUM(OFFSET(Y49,0,MATCH(Forecast_New,$Y$3:$WQ$3,0)-1,1,500))*40,"")</f>
        <v>160</v>
      </c>
      <c r="T49" s="336">
        <f t="shared" ca="1" si="100"/>
        <v>20</v>
      </c>
      <c r="U49" s="337">
        <f t="shared" ca="1" si="101"/>
        <v>24304</v>
      </c>
      <c r="V49" s="338">
        <f t="shared" ca="1" si="102"/>
        <v>23360</v>
      </c>
      <c r="W49" s="339">
        <f t="shared" ca="1" si="75"/>
        <v>-24304</v>
      </c>
      <c r="X49" s="340" t="str">
        <f t="shared" ca="1" si="103"/>
        <v/>
      </c>
      <c r="Y49" s="341"/>
      <c r="Z49" s="341"/>
      <c r="AA49" s="341"/>
      <c r="AB49" s="341"/>
      <c r="AC49" s="341"/>
      <c r="AD49" s="341"/>
      <c r="AE49" s="341"/>
      <c r="AF49" s="341"/>
      <c r="AG49" s="341"/>
      <c r="AH49" s="341"/>
      <c r="AI49" s="341"/>
      <c r="AJ49" s="341"/>
      <c r="AK49" s="341"/>
      <c r="AL49" s="341"/>
      <c r="AM49" s="341"/>
      <c r="AN49" s="341">
        <v>1</v>
      </c>
      <c r="AO49" s="341">
        <v>1</v>
      </c>
      <c r="AP49" s="341">
        <v>1</v>
      </c>
      <c r="AQ49" s="341">
        <v>1</v>
      </c>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25">
      <c r="B50" s="360" t="s">
        <v>940</v>
      </c>
      <c r="C50" s="323" t="s">
        <v>936</v>
      </c>
      <c r="D50" s="321" t="s">
        <v>756</v>
      </c>
      <c r="E50" s="321" t="s">
        <v>753</v>
      </c>
      <c r="F50" s="324" t="s">
        <v>930</v>
      </c>
      <c r="G50" s="325" cm="1">
        <f t="array" aca="1" ref="G50" ca="1">IFERROR(INDEX(Panel_Rates[[1]:[12]],MATCH(Panel_New&amp;Category_New,Panel_Rates[Panel]&amp;Panel_Rates[Category],0),MATCH('Time Plan (Multiple Release)'!E50,OFFSET(Variable!$AF$2,MATCH(Panel_New&amp;Category_New,Panel_Rates[Panel]&amp;Panel_Rates[Category],0)-1,0,1,12),0))/8,"")</f>
        <v>305</v>
      </c>
      <c r="H50" s="326">
        <v>0.32</v>
      </c>
      <c r="I50" s="328">
        <f t="shared" ca="1" si="93"/>
        <v>207.39999999999998</v>
      </c>
      <c r="J50" s="329">
        <f t="shared" ca="1" si="104"/>
        <v>1659.1999999999998</v>
      </c>
      <c r="K50" s="329">
        <f>IFERROR(_xlfn.XLOOKUP(D50,CostTableLookup[Name],CostTableLookup[Gross Cost]),"")</f>
        <v>170.96</v>
      </c>
      <c r="L50" s="330"/>
      <c r="M50" s="331">
        <f t="shared" ca="1" si="94"/>
        <v>0</v>
      </c>
      <c r="N50" s="332"/>
      <c r="O50" s="331">
        <f t="shared" ca="1" si="95"/>
        <v>0</v>
      </c>
      <c r="P50" s="331">
        <f t="shared" ca="1" si="96"/>
        <v>0</v>
      </c>
      <c r="Q50" s="333">
        <f t="shared" si="97"/>
        <v>0</v>
      </c>
      <c r="R50" s="343" t="str">
        <f t="shared" ca="1" si="98"/>
        <v/>
      </c>
      <c r="S50" s="335">
        <f t="shared" ref="S50:S51" ca="1" si="106">IFERROR(SUM(OFFSET(Y50,0,MATCH(Forecast_New,$Y$3:$WQ$3,0)-1,1,500))*40,"")</f>
        <v>0</v>
      </c>
      <c r="T50" s="336">
        <f t="shared" ca="1" si="100"/>
        <v>0</v>
      </c>
      <c r="U50" s="337">
        <f t="shared" ca="1" si="101"/>
        <v>0</v>
      </c>
      <c r="V50" s="338">
        <f t="shared" ca="1" si="102"/>
        <v>0</v>
      </c>
      <c r="W50" s="339">
        <f t="shared" ca="1" si="75"/>
        <v>0</v>
      </c>
      <c r="X50" s="340" t="str">
        <f t="shared" ca="1" si="103"/>
        <v/>
      </c>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25">
      <c r="B51" s="360" t="s">
        <v>940</v>
      </c>
      <c r="C51" s="323" t="s">
        <v>936</v>
      </c>
      <c r="D51" s="321" t="s">
        <v>447</v>
      </c>
      <c r="E51" s="321" t="s">
        <v>753</v>
      </c>
      <c r="F51" s="324" t="s">
        <v>931</v>
      </c>
      <c r="G51" s="325" cm="1">
        <f t="array" aca="1" ref="G51" ca="1">IFERROR(INDEX(Panel_Rates[[1]:[12]],MATCH(Panel_New&amp;Category_New,Panel_Rates[Panel]&amp;Panel_Rates[Category],0),MATCH('Time Plan (Multiple Release)'!E51,OFFSET(Variable!$AF$2,MATCH(Panel_New&amp;Category_New,Panel_Rates[Panel]&amp;Panel_Rates[Category],0)-1,0,1,12),0))/8,"")</f>
        <v>305</v>
      </c>
      <c r="H51" s="326">
        <v>0.38</v>
      </c>
      <c r="I51" s="328">
        <f t="shared" ca="1" si="93"/>
        <v>189.1</v>
      </c>
      <c r="J51" s="329">
        <f t="shared" ca="1" si="104"/>
        <v>1512.8</v>
      </c>
      <c r="K51" s="329">
        <f>IFERROR(_xlfn.XLOOKUP(D51,CostTableLookup[Name],CostTableLookup[Gross Cost]),"")</f>
        <v>151</v>
      </c>
      <c r="L51" s="330"/>
      <c r="M51" s="331">
        <f t="shared" ca="1" si="94"/>
        <v>0</v>
      </c>
      <c r="N51" s="332"/>
      <c r="O51" s="331">
        <f t="shared" ca="1" si="95"/>
        <v>0</v>
      </c>
      <c r="P51" s="331">
        <f t="shared" ca="1" si="96"/>
        <v>0</v>
      </c>
      <c r="Q51" s="333">
        <f t="shared" si="97"/>
        <v>0</v>
      </c>
      <c r="R51" s="343">
        <f t="shared" ca="1" si="98"/>
        <v>0.2014806980433633</v>
      </c>
      <c r="S51" s="335">
        <f t="shared" ref="S51:S52" ca="1" si="107">IFERROR(SUM(OFFSET(Y51,0,MATCH(Forecast_New,$Y$3:$WQ$3,0)-1,1,500))*40,"")</f>
        <v>160</v>
      </c>
      <c r="T51" s="336">
        <f t="shared" ca="1" si="100"/>
        <v>20</v>
      </c>
      <c r="U51" s="337">
        <f t="shared" ca="1" si="101"/>
        <v>30256</v>
      </c>
      <c r="V51" s="338">
        <f t="shared" ca="1" si="102"/>
        <v>24160</v>
      </c>
      <c r="W51" s="339">
        <f t="shared" ca="1" si="75"/>
        <v>-30256</v>
      </c>
      <c r="X51" s="340" t="str">
        <f t="shared" ca="1" si="103"/>
        <v/>
      </c>
      <c r="Y51" s="341"/>
      <c r="Z51" s="341"/>
      <c r="AA51" s="341"/>
      <c r="AB51" s="341"/>
      <c r="AC51" s="341"/>
      <c r="AD51" s="341"/>
      <c r="AE51" s="341"/>
      <c r="AF51" s="341"/>
      <c r="AG51" s="341"/>
      <c r="AH51" s="341"/>
      <c r="AI51" s="341"/>
      <c r="AJ51" s="341"/>
      <c r="AK51" s="341"/>
      <c r="AL51" s="341"/>
      <c r="AM51" s="341"/>
      <c r="AN51" s="341">
        <v>1</v>
      </c>
      <c r="AO51" s="341">
        <v>1</v>
      </c>
      <c r="AP51" s="341">
        <v>1</v>
      </c>
      <c r="AQ51" s="341">
        <v>1</v>
      </c>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25">
      <c r="B52" s="360" t="s">
        <v>940</v>
      </c>
      <c r="C52" s="384" t="s">
        <v>936</v>
      </c>
      <c r="D52" s="385" t="s">
        <v>122</v>
      </c>
      <c r="E52" s="321" t="s">
        <v>752</v>
      </c>
      <c r="F52" s="324" t="s">
        <v>931</v>
      </c>
      <c r="G52" s="325" cm="1">
        <f t="array" aca="1" ref="G52" ca="1">IFERROR(INDEX(Panel_Rates[[1]:[12]],MATCH(Panel_New&amp;Category_New,Panel_Rates[Panel]&amp;Panel_Rates[Category],0),MATCH('Time Plan (Multiple Release)'!E52,OFFSET(Variable!$AF$2,MATCH(Panel_New&amp;Category_New,Panel_Rates[Panel]&amp;Panel_Rates[Category],0)-1,0,1,12),0))/8,"")</f>
        <v>245</v>
      </c>
      <c r="H52" s="326">
        <v>1</v>
      </c>
      <c r="I52" s="328">
        <f t="shared" ca="1" si="93"/>
        <v>0</v>
      </c>
      <c r="J52" s="329">
        <f t="shared" ca="1" si="104"/>
        <v>0</v>
      </c>
      <c r="K52" s="329">
        <f>IFERROR(_xlfn.XLOOKUP(D52,CostTableLookup[Name],CostTableLookup[Gross Cost]),"")</f>
        <v>198</v>
      </c>
      <c r="L52" s="330"/>
      <c r="M52" s="331">
        <f t="shared" ca="1" si="94"/>
        <v>0</v>
      </c>
      <c r="N52" s="332"/>
      <c r="O52" s="331">
        <f t="shared" ca="1" si="95"/>
        <v>0</v>
      </c>
      <c r="P52" s="331">
        <f t="shared" ca="1" si="96"/>
        <v>0</v>
      </c>
      <c r="Q52" s="333">
        <f t="shared" si="97"/>
        <v>0</v>
      </c>
      <c r="R52" s="343" t="str">
        <f t="shared" ca="1" si="98"/>
        <v/>
      </c>
      <c r="S52" s="335">
        <f t="shared" ref="S52" ca="1" si="108">IFERROR(SUM(OFFSET(Y52,0,MATCH(Forecast_New,$Y$3:$WQ$3,0)-1,1,500))*40,"")</f>
        <v>80</v>
      </c>
      <c r="T52" s="336">
        <f t="shared" ca="1" si="100"/>
        <v>10</v>
      </c>
      <c r="U52" s="337">
        <f t="shared" ca="1" si="101"/>
        <v>0</v>
      </c>
      <c r="V52" s="338">
        <f t="shared" ca="1" si="102"/>
        <v>15840</v>
      </c>
      <c r="W52" s="339">
        <f t="shared" ca="1" si="75"/>
        <v>0</v>
      </c>
      <c r="X52" s="340" t="str">
        <f t="shared" ca="1" si="103"/>
        <v/>
      </c>
      <c r="Y52" s="341"/>
      <c r="Z52" s="341"/>
      <c r="AA52" s="341"/>
      <c r="AB52" s="341"/>
      <c r="AC52" s="341"/>
      <c r="AD52" s="341"/>
      <c r="AE52" s="341"/>
      <c r="AF52" s="341"/>
      <c r="AG52" s="341"/>
      <c r="AH52" s="341"/>
      <c r="AI52" s="341"/>
      <c r="AJ52" s="341"/>
      <c r="AK52" s="341"/>
      <c r="AL52" s="341"/>
      <c r="AM52" s="341"/>
      <c r="AN52" s="341">
        <v>0.5</v>
      </c>
      <c r="AO52" s="341">
        <v>0.5</v>
      </c>
      <c r="AP52" s="341">
        <v>0.5</v>
      </c>
      <c r="AQ52" s="341">
        <v>0.5</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25">
      <c r="B53" s="360" t="s">
        <v>940</v>
      </c>
      <c r="C53" s="323" t="s">
        <v>936</v>
      </c>
      <c r="D53" s="321" t="s">
        <v>731</v>
      </c>
      <c r="E53" s="321" t="s">
        <v>752</v>
      </c>
      <c r="F53" s="324" t="s">
        <v>931</v>
      </c>
      <c r="G53" s="325" cm="1">
        <f t="array" aca="1" ref="G53" ca="1">IFERROR(INDEX(Panel_Rates[[1]:[12]],MATCH(Panel_New&amp;Category_New,Panel_Rates[Panel]&amp;Panel_Rates[Category],0),MATCH('Time Plan (Multiple Release)'!E53,OFFSET(Variable!$AF$2,MATCH(Panel_New&amp;Category_New,Panel_Rates[Panel]&amp;Panel_Rates[Category],0)-1,0,1,12),0))/8,"")</f>
        <v>245</v>
      </c>
      <c r="H53" s="326">
        <v>0.38</v>
      </c>
      <c r="I53" s="328">
        <f t="shared" ca="1" si="93"/>
        <v>151.9</v>
      </c>
      <c r="J53" s="329">
        <f t="shared" ca="1" si="104"/>
        <v>1215.2</v>
      </c>
      <c r="K53" s="329">
        <f>IFERROR(_xlfn.XLOOKUP(D53,CostTableLookup[Name],CostTableLookup[Gross Cost]),"")</f>
        <v>151</v>
      </c>
      <c r="L53" s="330"/>
      <c r="M53" s="331">
        <f t="shared" ca="1" si="94"/>
        <v>0</v>
      </c>
      <c r="N53" s="332"/>
      <c r="O53" s="331">
        <f t="shared" ca="1" si="95"/>
        <v>0</v>
      </c>
      <c r="P53" s="331">
        <f t="shared" ca="1" si="96"/>
        <v>0</v>
      </c>
      <c r="Q53" s="333">
        <f t="shared" si="97"/>
        <v>0</v>
      </c>
      <c r="R53" s="343">
        <f t="shared" ca="1" si="98"/>
        <v>5.9249506254114553E-3</v>
      </c>
      <c r="S53" s="335">
        <f t="shared" ref="S53" ca="1" si="109">IFERROR(SUM(OFFSET(Y53,0,MATCH(Forecast_New,$Y$3:$WQ$3,0)-1,1,500))*40,"")</f>
        <v>80</v>
      </c>
      <c r="T53" s="336">
        <f t="shared" ca="1" si="100"/>
        <v>10</v>
      </c>
      <c r="U53" s="337">
        <f t="shared" ca="1" si="101"/>
        <v>12152</v>
      </c>
      <c r="V53" s="338">
        <f t="shared" ca="1" si="102"/>
        <v>12080</v>
      </c>
      <c r="W53" s="339">
        <f t="shared" ca="1" si="75"/>
        <v>-12152</v>
      </c>
      <c r="X53" s="340" t="str">
        <f t="shared" ca="1" si="103"/>
        <v/>
      </c>
      <c r="Y53" s="341"/>
      <c r="Z53" s="341"/>
      <c r="AA53" s="341"/>
      <c r="AB53" s="341"/>
      <c r="AC53" s="341"/>
      <c r="AD53" s="341"/>
      <c r="AE53" s="341"/>
      <c r="AF53" s="341"/>
      <c r="AG53" s="341"/>
      <c r="AH53" s="341"/>
      <c r="AI53" s="341"/>
      <c r="AJ53" s="341"/>
      <c r="AK53" s="341"/>
      <c r="AL53" s="341"/>
      <c r="AM53" s="341"/>
      <c r="AN53" s="341">
        <v>0.5</v>
      </c>
      <c r="AO53" s="341">
        <v>0.5</v>
      </c>
      <c r="AP53" s="341">
        <v>0.5</v>
      </c>
      <c r="AQ53" s="341">
        <v>0.5</v>
      </c>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s="345" customFormat="1" ht="19.5" customHeight="1" x14ac:dyDescent="0.25">
      <c r="B54" s="360" t="s">
        <v>940</v>
      </c>
      <c r="C54" s="362" t="s">
        <v>936</v>
      </c>
      <c r="D54" s="345" t="s">
        <v>606</v>
      </c>
      <c r="E54" s="345" t="s">
        <v>752</v>
      </c>
      <c r="F54" s="363" t="s">
        <v>937</v>
      </c>
      <c r="G54" s="364" cm="1">
        <f t="array" aca="1" ref="G54" ca="1">IFERROR(INDEX(Panel_Rates[[1]:[12]],MATCH(Panel_New&amp;Category_New,Panel_Rates[Panel]&amp;Panel_Rates[Category],0),MATCH('Time Plan (Multiple Release)'!E54,OFFSET(Variable!$AF$2,MATCH(Panel_New&amp;Category_New,Panel_Rates[Panel]&amp;Panel_Rates[Category],0)-1,0,1,12),0))/8,"")</f>
        <v>245</v>
      </c>
      <c r="H54" s="326">
        <v>0.38</v>
      </c>
      <c r="I54" s="391">
        <f t="shared" ca="1" si="93"/>
        <v>151.9</v>
      </c>
      <c r="J54" s="398">
        <f t="shared" ca="1" si="104"/>
        <v>1215.2</v>
      </c>
      <c r="K54" s="366">
        <f>IFERROR(_xlfn.XLOOKUP(D54,CostTableLookup[Name],CostTableLookup[Gross Cost]),"")</f>
        <v>161</v>
      </c>
      <c r="L54" s="367"/>
      <c r="M54" s="368">
        <f t="shared" ca="1" si="94"/>
        <v>0</v>
      </c>
      <c r="N54" s="369"/>
      <c r="O54" s="368">
        <f t="shared" ca="1" si="95"/>
        <v>0</v>
      </c>
      <c r="P54" s="368">
        <f t="shared" ca="1" si="96"/>
        <v>0</v>
      </c>
      <c r="Q54" s="370">
        <f t="shared" si="97"/>
        <v>0</v>
      </c>
      <c r="R54" s="396">
        <f t="shared" ca="1" si="98"/>
        <v>-5.9907834101382486E-2</v>
      </c>
      <c r="S54" s="335">
        <f ca="1">IFERROR(SUM(OFFSET(Y54,0,MATCH(Forecast_New,$Y$3:$WQ$3,0)-1,1,500))*40,"")</f>
        <v>160</v>
      </c>
      <c r="T54" s="372">
        <f t="shared" ca="1" si="100"/>
        <v>20</v>
      </c>
      <c r="U54" s="373">
        <f t="shared" ca="1" si="101"/>
        <v>24304</v>
      </c>
      <c r="V54" s="358">
        <f t="shared" ca="1" si="102"/>
        <v>25760</v>
      </c>
      <c r="W54" s="339">
        <f t="shared" ca="1" si="75"/>
        <v>-24304</v>
      </c>
      <c r="X54" s="375" t="str">
        <f t="shared" ca="1" si="103"/>
        <v/>
      </c>
      <c r="Y54" s="376"/>
      <c r="Z54" s="376"/>
      <c r="AA54" s="376"/>
      <c r="AB54" s="376"/>
      <c r="AC54" s="376"/>
      <c r="AD54" s="376"/>
      <c r="AE54" s="376"/>
      <c r="AF54" s="376"/>
      <c r="AG54" s="376"/>
      <c r="AH54" s="376"/>
      <c r="AI54" s="376"/>
      <c r="AJ54" s="376"/>
      <c r="AK54" s="376"/>
      <c r="AL54" s="376"/>
      <c r="AM54" s="376"/>
      <c r="AN54" s="376">
        <v>1</v>
      </c>
      <c r="AO54" s="376">
        <v>1</v>
      </c>
      <c r="AP54" s="376">
        <v>1</v>
      </c>
      <c r="AQ54" s="376">
        <v>1</v>
      </c>
      <c r="AR54" s="376"/>
      <c r="AS54" s="376"/>
      <c r="AT54" s="376"/>
      <c r="AU54" s="376"/>
      <c r="AV54" s="376"/>
      <c r="AW54" s="376"/>
      <c r="AX54" s="376"/>
      <c r="AY54" s="376"/>
      <c r="AZ54" s="376"/>
      <c r="BA54" s="376"/>
      <c r="BB54" s="376"/>
      <c r="BC54" s="376"/>
      <c r="BD54" s="376"/>
      <c r="BE54" s="376"/>
      <c r="BF54" s="376"/>
      <c r="BG54" s="376"/>
      <c r="BH54" s="376"/>
      <c r="BI54" s="376"/>
      <c r="BJ54" s="376"/>
      <c r="BK54" s="376"/>
      <c r="BL54" s="376"/>
      <c r="BM54" s="376"/>
      <c r="BN54" s="376"/>
      <c r="BO54" s="376"/>
      <c r="BP54" s="376"/>
      <c r="BQ54" s="376"/>
      <c r="BR54" s="376"/>
      <c r="BS54" s="376"/>
      <c r="BT54" s="376"/>
      <c r="BU54" s="376"/>
      <c r="BV54" s="376"/>
      <c r="BW54" s="376"/>
      <c r="BX54" s="376"/>
      <c r="BY54" s="376"/>
      <c r="BZ54" s="376"/>
      <c r="CA54" s="376"/>
      <c r="CB54" s="376"/>
      <c r="CC54" s="376"/>
      <c r="CD54" s="376"/>
      <c r="CE54" s="376"/>
      <c r="CF54" s="376"/>
      <c r="CG54" s="376"/>
      <c r="CH54" s="376"/>
      <c r="CI54" s="376"/>
      <c r="CJ54" s="376"/>
      <c r="CK54" s="376"/>
      <c r="CL54" s="376"/>
      <c r="CM54" s="376"/>
      <c r="CN54" s="376"/>
      <c r="CO54" s="376"/>
      <c r="CP54" s="376"/>
      <c r="CQ54" s="376"/>
      <c r="CR54" s="376"/>
      <c r="CS54" s="376"/>
      <c r="CT54" s="376"/>
      <c r="CU54" s="376"/>
      <c r="CV54" s="376"/>
      <c r="CW54" s="376"/>
      <c r="CX54" s="376"/>
      <c r="CY54" s="376"/>
      <c r="CZ54" s="376"/>
      <c r="DA54" s="376"/>
      <c r="DB54" s="376"/>
      <c r="DC54" s="376"/>
      <c r="DD54" s="376"/>
      <c r="DE54" s="376"/>
      <c r="DF54" s="376"/>
      <c r="DG54" s="376"/>
      <c r="DH54" s="376"/>
      <c r="DI54" s="376"/>
      <c r="DJ54" s="376"/>
      <c r="DK54" s="376"/>
      <c r="DL54" s="376"/>
      <c r="DM54" s="376"/>
      <c r="DN54" s="376"/>
      <c r="DO54" s="376"/>
      <c r="DP54" s="376"/>
      <c r="DQ54" s="376"/>
      <c r="DR54" s="376"/>
      <c r="DS54" s="376"/>
      <c r="DT54" s="376"/>
      <c r="DU54" s="376"/>
      <c r="DV54" s="376"/>
      <c r="DW54" s="376"/>
      <c r="DX54" s="376"/>
      <c r="DY54" s="376"/>
      <c r="DZ54" s="376"/>
      <c r="EA54" s="376"/>
      <c r="EB54" s="376"/>
      <c r="EC54" s="376"/>
      <c r="ED54" s="376"/>
      <c r="EE54" s="376"/>
      <c r="EF54" s="376"/>
      <c r="EG54" s="376"/>
      <c r="EH54" s="376"/>
      <c r="EI54" s="376"/>
      <c r="EJ54" s="376"/>
      <c r="EK54" s="376"/>
      <c r="EL54" s="376"/>
      <c r="EM54" s="376"/>
      <c r="EN54" s="376"/>
      <c r="EO54" s="376"/>
      <c r="EP54" s="376"/>
      <c r="EQ54" s="376"/>
      <c r="ER54" s="376"/>
      <c r="ES54" s="376"/>
      <c r="ET54" s="376"/>
      <c r="EU54" s="376"/>
      <c r="EV54" s="376"/>
      <c r="EW54" s="376"/>
      <c r="EX54" s="376"/>
      <c r="EY54" s="376"/>
      <c r="EZ54" s="376"/>
      <c r="FA54" s="376"/>
      <c r="FB54" s="376"/>
      <c r="FC54" s="376"/>
      <c r="FD54" s="376"/>
      <c r="FE54" s="376"/>
      <c r="FF54" s="376"/>
      <c r="FG54" s="376"/>
      <c r="FH54" s="376"/>
      <c r="FI54" s="376"/>
      <c r="FJ54" s="376"/>
      <c r="FK54" s="376"/>
      <c r="FL54" s="376"/>
      <c r="FM54" s="376"/>
      <c r="FN54" s="376"/>
      <c r="FO54" s="376"/>
      <c r="FP54" s="376"/>
      <c r="FQ54" s="376"/>
      <c r="FR54" s="376"/>
      <c r="FS54" s="376"/>
      <c r="FT54" s="376"/>
      <c r="FU54" s="376"/>
      <c r="FV54" s="376"/>
      <c r="FW54" s="376"/>
      <c r="FX54" s="376"/>
      <c r="FY54" s="376"/>
      <c r="FZ54" s="376"/>
      <c r="GA54" s="376"/>
      <c r="GB54" s="376"/>
      <c r="GC54" s="376"/>
      <c r="GD54" s="376"/>
      <c r="GE54" s="376"/>
      <c r="GF54" s="376"/>
      <c r="GG54" s="376"/>
      <c r="GH54" s="376"/>
      <c r="GI54" s="376"/>
      <c r="GJ54" s="376"/>
      <c r="GK54" s="376"/>
      <c r="GL54" s="376"/>
      <c r="GM54" s="376"/>
      <c r="GN54" s="376"/>
      <c r="GO54" s="376"/>
      <c r="GP54" s="376"/>
      <c r="GQ54" s="376"/>
      <c r="GR54" s="376"/>
      <c r="GS54" s="376"/>
      <c r="GT54" s="376"/>
      <c r="GU54" s="376"/>
      <c r="GV54" s="376"/>
      <c r="GW54" s="376"/>
      <c r="GX54" s="376"/>
      <c r="GY54" s="376"/>
      <c r="GZ54" s="376"/>
      <c r="HA54" s="376"/>
      <c r="HB54" s="376"/>
      <c r="HC54" s="376"/>
      <c r="HD54" s="376"/>
      <c r="HE54" s="376"/>
      <c r="HF54" s="376"/>
      <c r="HG54" s="376"/>
      <c r="HH54" s="376"/>
      <c r="HI54" s="376"/>
      <c r="HJ54" s="376"/>
      <c r="HK54" s="376"/>
      <c r="HL54" s="376"/>
      <c r="HM54" s="376"/>
      <c r="HN54" s="376"/>
      <c r="HO54" s="376"/>
      <c r="HP54" s="376"/>
      <c r="HQ54" s="376"/>
      <c r="HR54" s="376"/>
      <c r="HS54" s="376"/>
      <c r="HT54" s="376"/>
      <c r="HU54" s="376"/>
      <c r="HV54" s="376"/>
      <c r="HW54" s="376"/>
      <c r="HX54" s="376"/>
      <c r="HY54" s="376"/>
      <c r="HZ54" s="376"/>
      <c r="IA54" s="376"/>
      <c r="IB54" s="376"/>
      <c r="IC54" s="376"/>
      <c r="ID54" s="376"/>
      <c r="IE54" s="376"/>
      <c r="IF54" s="376"/>
      <c r="IG54" s="376"/>
      <c r="IH54" s="376"/>
      <c r="II54" s="376"/>
      <c r="IJ54" s="376"/>
      <c r="IK54" s="376"/>
      <c r="IL54" s="376"/>
      <c r="IM54" s="376"/>
      <c r="IN54" s="376"/>
      <c r="IO54" s="376"/>
      <c r="IP54" s="376"/>
      <c r="IQ54" s="376"/>
      <c r="IR54" s="376"/>
      <c r="IS54" s="376"/>
      <c r="IT54" s="376"/>
      <c r="IU54" s="376"/>
      <c r="IV54" s="376"/>
      <c r="IW54" s="376"/>
      <c r="IX54" s="376"/>
      <c r="IY54" s="376"/>
      <c r="IZ54" s="376"/>
      <c r="JA54" s="376"/>
      <c r="JB54" s="376"/>
      <c r="JC54" s="376"/>
      <c r="JD54" s="376"/>
      <c r="JE54" s="376"/>
      <c r="JF54" s="376"/>
      <c r="JG54" s="376"/>
      <c r="JH54" s="376"/>
      <c r="JI54" s="376"/>
      <c r="JJ54" s="376"/>
      <c r="JK54" s="376"/>
      <c r="JL54" s="376"/>
      <c r="JM54" s="376"/>
      <c r="JN54" s="376"/>
    </row>
    <row r="55" spans="2:274" ht="19.5" customHeight="1" x14ac:dyDescent="0.25">
      <c r="B55" s="387" t="s">
        <v>941</v>
      </c>
      <c r="C55" s="323" t="s">
        <v>935</v>
      </c>
      <c r="D55" s="321" t="s">
        <v>306</v>
      </c>
      <c r="E55" s="321" t="s">
        <v>753</v>
      </c>
      <c r="F55" s="324" t="s">
        <v>928</v>
      </c>
      <c r="G55" s="325" cm="1">
        <f t="array" aca="1" ref="G55" ca="1">IFERROR(INDEX(Panel_Rates[[1]:[12]],MATCH(Panel_New&amp;Category_New,Panel_Rates[Panel]&amp;Panel_Rates[Category],0),MATCH('Time Plan (Multiple Release)'!E55,OFFSET(Variable!$AF$2,MATCH(Panel_New&amp;Category_New,Panel_Rates[Panel]&amp;Panel_Rates[Category],0)-1,0,1,12),0))/8,"")</f>
        <v>305</v>
      </c>
      <c r="H55" s="326">
        <v>0.32</v>
      </c>
      <c r="I55" s="328">
        <f ca="1">IFERROR(G55*(1-H55),"")</f>
        <v>207.39999999999998</v>
      </c>
      <c r="J55" s="329">
        <f ca="1">IFERROR(I55*8,"")</f>
        <v>1659.1999999999998</v>
      </c>
      <c r="K55" s="329">
        <f>IFERROR(_xlfn.XLOOKUP(D55,CostTableLookup[Name],CostTableLookup[Gross Cost]),"")</f>
        <v>245</v>
      </c>
      <c r="L55" s="330"/>
      <c r="M55" s="331">
        <f ca="1">IFERROR(L55*I55,"")</f>
        <v>0</v>
      </c>
      <c r="N55" s="332"/>
      <c r="O55" s="331">
        <f ca="1">IFERROR(N55*I55,"")</f>
        <v>0</v>
      </c>
      <c r="P55" s="331">
        <f ca="1">IFERROR(M55-O55,"")</f>
        <v>0</v>
      </c>
      <c r="Q55" s="333">
        <f>IFERROR(N55*K55,"")</f>
        <v>0</v>
      </c>
      <c r="R55" s="343">
        <f ca="1">IFERROR(((U55+O55)-(V55+Q55))/(U55+O55),"")</f>
        <v>-0.18129218900675023</v>
      </c>
      <c r="S55" s="335">
        <f ca="1">IFERROR(SUM(OFFSET(Y55,0,MATCH(Forecast_New,$Y$3:$WQ$3,0)-1,1,500))*40,"")</f>
        <v>80</v>
      </c>
      <c r="T55" s="336">
        <f ca="1">IFERROR(S55/8,"")</f>
        <v>10</v>
      </c>
      <c r="U55" s="337">
        <f ca="1">IFERROR($S55*I55,"")</f>
        <v>16592</v>
      </c>
      <c r="V55" s="338">
        <f ca="1">IFERROR($S55*K55,"")</f>
        <v>19600</v>
      </c>
      <c r="W55" s="339">
        <f t="shared" ca="1" si="75"/>
        <v>-16592</v>
      </c>
      <c r="X55" s="343"/>
      <c r="Y55" s="344"/>
      <c r="Z55" s="344"/>
      <c r="AA55" s="344"/>
      <c r="AB55" s="344"/>
      <c r="AC55" s="344"/>
      <c r="AD55" s="344"/>
      <c r="AE55" s="344"/>
      <c r="AF55" s="344"/>
      <c r="AG55" s="344"/>
      <c r="AH55" s="344"/>
      <c r="AI55" s="344"/>
      <c r="AJ55" s="344"/>
      <c r="AK55" s="344"/>
      <c r="AL55" s="344"/>
      <c r="AM55" s="344"/>
      <c r="AN55" s="344"/>
      <c r="AO55" s="344"/>
      <c r="AP55" s="344"/>
      <c r="AQ55" s="344"/>
      <c r="AR55" s="344">
        <v>0.5</v>
      </c>
      <c r="AS55" s="344">
        <v>0.5</v>
      </c>
      <c r="AT55" s="344">
        <v>0.5</v>
      </c>
      <c r="AU55" s="344">
        <v>0.5</v>
      </c>
      <c r="AV55" s="344"/>
      <c r="AW55" s="344"/>
      <c r="AX55" s="344"/>
      <c r="AY55" s="344"/>
      <c r="AZ55" s="344"/>
      <c r="BA55" s="344"/>
      <c r="BB55" s="344"/>
      <c r="BC55" s="344"/>
      <c r="BD55" s="344"/>
      <c r="BE55" s="344"/>
      <c r="BF55" s="344"/>
      <c r="BG55" s="344"/>
      <c r="BH55" s="344"/>
      <c r="BI55" s="344"/>
      <c r="BJ55" s="344"/>
      <c r="BK55" s="344"/>
      <c r="BL55" s="344"/>
      <c r="BM55" s="344"/>
      <c r="BN55" s="344"/>
      <c r="BO55" s="344"/>
      <c r="BP55" s="344"/>
      <c r="BQ55" s="344"/>
      <c r="BR55" s="344"/>
      <c r="BS55" s="344"/>
      <c r="BT55" s="344"/>
      <c r="BU55" s="344"/>
      <c r="BV55" s="344"/>
      <c r="BW55" s="344"/>
      <c r="BX55" s="344"/>
      <c r="BY55" s="344"/>
      <c r="BZ55" s="344"/>
      <c r="CA55" s="344"/>
      <c r="CB55" s="344"/>
      <c r="CC55" s="344"/>
      <c r="CD55" s="344"/>
      <c r="CE55" s="344"/>
      <c r="CF55" s="344"/>
      <c r="CG55" s="344"/>
      <c r="CH55" s="344"/>
      <c r="CI55" s="344"/>
      <c r="CJ55" s="344"/>
      <c r="CK55" s="344"/>
      <c r="CL55" s="344"/>
      <c r="CM55" s="344"/>
      <c r="CN55" s="344"/>
      <c r="CO55" s="344"/>
      <c r="CP55" s="344"/>
      <c r="CQ55" s="344"/>
      <c r="CR55" s="344"/>
      <c r="CS55" s="344"/>
      <c r="CT55" s="344"/>
      <c r="CU55" s="344"/>
      <c r="CV55" s="344"/>
      <c r="CW55" s="344"/>
      <c r="CX55" s="344"/>
      <c r="CY55" s="344"/>
      <c r="CZ55" s="344"/>
      <c r="DA55" s="344"/>
      <c r="DB55" s="344"/>
      <c r="DC55" s="344"/>
      <c r="DD55" s="344"/>
      <c r="DE55" s="344"/>
      <c r="DF55" s="344"/>
      <c r="DG55" s="344"/>
      <c r="DH55" s="344"/>
      <c r="DI55" s="344"/>
      <c r="DJ55" s="344"/>
      <c r="DK55" s="344"/>
      <c r="DL55" s="344"/>
      <c r="DM55" s="344"/>
      <c r="DN55" s="344"/>
      <c r="DO55" s="344"/>
      <c r="DP55" s="344"/>
      <c r="DQ55" s="344"/>
      <c r="DR55" s="344"/>
      <c r="DS55" s="344"/>
      <c r="DT55" s="344"/>
      <c r="DU55" s="344"/>
      <c r="DV55" s="344"/>
      <c r="DW55" s="344"/>
      <c r="DX55" s="344"/>
      <c r="DY55" s="344"/>
      <c r="DZ55" s="344"/>
      <c r="EA55" s="344"/>
      <c r="EB55" s="344"/>
      <c r="EC55" s="344"/>
      <c r="ED55" s="344"/>
      <c r="EE55" s="344"/>
      <c r="EF55" s="344"/>
      <c r="EG55" s="344"/>
      <c r="EH55" s="344"/>
      <c r="EI55" s="344"/>
      <c r="EJ55" s="344"/>
      <c r="EK55" s="344"/>
      <c r="EL55" s="344"/>
      <c r="EM55" s="344"/>
      <c r="EN55" s="344"/>
      <c r="EO55" s="344"/>
      <c r="EP55" s="344"/>
      <c r="EQ55" s="344"/>
      <c r="ER55" s="344"/>
      <c r="ES55" s="344"/>
      <c r="ET55" s="344"/>
      <c r="EU55" s="344"/>
      <c r="EV55" s="344"/>
      <c r="EW55" s="344"/>
      <c r="EX55" s="344"/>
      <c r="EY55" s="344"/>
      <c r="EZ55" s="344"/>
      <c r="FA55" s="344"/>
      <c r="FB55" s="344"/>
      <c r="FC55" s="344"/>
      <c r="FD55" s="344"/>
      <c r="FE55" s="344"/>
      <c r="FF55" s="344"/>
      <c r="FG55" s="344"/>
      <c r="FH55" s="344"/>
      <c r="FI55" s="344"/>
      <c r="FJ55" s="344"/>
      <c r="FK55" s="344"/>
      <c r="FL55" s="344"/>
      <c r="FM55" s="344"/>
      <c r="FN55" s="344"/>
      <c r="FO55" s="344"/>
      <c r="FP55" s="344"/>
      <c r="FQ55" s="344"/>
      <c r="FR55" s="344"/>
      <c r="FS55" s="344"/>
      <c r="FT55" s="344"/>
      <c r="FU55" s="344"/>
      <c r="FV55" s="344"/>
      <c r="FW55" s="344"/>
      <c r="FX55" s="344"/>
      <c r="FY55" s="344"/>
      <c r="FZ55" s="344"/>
      <c r="GA55" s="344"/>
      <c r="GB55" s="344"/>
      <c r="GC55" s="344"/>
      <c r="GD55" s="344"/>
      <c r="GE55" s="344"/>
      <c r="GF55" s="344"/>
      <c r="GG55" s="344"/>
      <c r="GH55" s="344"/>
      <c r="GI55" s="344"/>
      <c r="GJ55" s="344"/>
      <c r="GK55" s="344"/>
      <c r="GL55" s="344"/>
      <c r="GM55" s="344"/>
      <c r="GN55" s="344"/>
      <c r="GO55" s="344"/>
      <c r="GP55" s="344"/>
      <c r="GQ55" s="344"/>
      <c r="GR55" s="344"/>
      <c r="GS55" s="344"/>
      <c r="GT55" s="344"/>
      <c r="GU55" s="344"/>
      <c r="GV55" s="344"/>
      <c r="GW55" s="344"/>
      <c r="GX55" s="344"/>
      <c r="GY55" s="344"/>
      <c r="GZ55" s="344"/>
      <c r="HA55" s="344"/>
      <c r="HB55" s="344"/>
      <c r="HC55" s="344"/>
      <c r="HD55" s="344"/>
      <c r="HE55" s="344"/>
      <c r="HF55" s="344"/>
      <c r="HG55" s="344"/>
      <c r="HH55" s="344"/>
      <c r="HI55" s="344"/>
      <c r="HJ55" s="344"/>
      <c r="HK55" s="344"/>
      <c r="HL55" s="344"/>
      <c r="HM55" s="344"/>
      <c r="HN55" s="344"/>
      <c r="HO55" s="344"/>
      <c r="HP55" s="344"/>
      <c r="HQ55" s="344"/>
      <c r="HR55" s="344"/>
      <c r="HS55" s="344"/>
      <c r="HT55" s="344"/>
      <c r="HU55" s="344"/>
      <c r="HV55" s="344"/>
      <c r="HW55" s="344"/>
      <c r="HX55" s="344"/>
      <c r="HY55" s="344"/>
      <c r="HZ55" s="344"/>
      <c r="IA55" s="344"/>
      <c r="IB55" s="344"/>
      <c r="IC55" s="344"/>
      <c r="ID55" s="344"/>
      <c r="IE55" s="344"/>
      <c r="IF55" s="344"/>
      <c r="IG55" s="344"/>
      <c r="IH55" s="344"/>
      <c r="II55" s="344"/>
      <c r="IJ55" s="344"/>
      <c r="IK55" s="344"/>
      <c r="IL55" s="344"/>
      <c r="IM55" s="344"/>
      <c r="IN55" s="344"/>
      <c r="IO55" s="344"/>
      <c r="IP55" s="344"/>
      <c r="IQ55" s="344"/>
      <c r="IR55" s="344"/>
      <c r="IS55" s="344"/>
      <c r="IT55" s="344"/>
      <c r="IU55" s="344"/>
      <c r="IV55" s="344"/>
      <c r="IW55" s="344"/>
      <c r="IX55" s="344"/>
      <c r="IY55" s="344"/>
      <c r="IZ55" s="344"/>
      <c r="JA55" s="344"/>
      <c r="JB55" s="344"/>
      <c r="JC55" s="344"/>
      <c r="JD55" s="344"/>
      <c r="JE55" s="344"/>
      <c r="JF55" s="344"/>
      <c r="JG55" s="344"/>
      <c r="JH55" s="344"/>
      <c r="JI55" s="344"/>
      <c r="JJ55" s="344"/>
      <c r="JK55" s="344"/>
      <c r="JL55" s="344"/>
      <c r="JM55" s="344"/>
      <c r="JN55" s="344"/>
    </row>
    <row r="56" spans="2:274" ht="19.5" customHeight="1" x14ac:dyDescent="0.25">
      <c r="B56" s="360" t="s">
        <v>941</v>
      </c>
      <c r="C56" s="323" t="s">
        <v>935</v>
      </c>
      <c r="D56" s="321" t="s">
        <v>746</v>
      </c>
      <c r="E56" s="321" t="s">
        <v>752</v>
      </c>
      <c r="F56" s="324" t="s">
        <v>155</v>
      </c>
      <c r="G56" s="325" cm="1">
        <f t="array" aca="1" ref="G56" ca="1">IFERROR(INDEX(Panel_Rates[[1]:[12]],MATCH(Panel_New&amp;Category_New,Panel_Rates[Panel]&amp;Panel_Rates[Category],0),MATCH('Time Plan (Multiple Release)'!E56,OFFSET(Variable!$AF$2,MATCH(Panel_New&amp;Category_New,Panel_Rates[Panel]&amp;Panel_Rates[Category],0)-1,0,1,12),0))/8,"")</f>
        <v>245</v>
      </c>
      <c r="H56" s="326">
        <v>0.38</v>
      </c>
      <c r="I56" s="328">
        <f ca="1">IFERROR(G56*(1-H56),"")</f>
        <v>151.9</v>
      </c>
      <c r="J56" s="329">
        <f ca="1">IFERROR(I56*8,"")</f>
        <v>1215.2</v>
      </c>
      <c r="K56" s="329">
        <f>IFERROR(_xlfn.XLOOKUP(D56,CostTableLookup[Name],CostTableLookup[Gross Cost]),"")</f>
        <v>90</v>
      </c>
      <c r="L56" s="330"/>
      <c r="M56" s="331">
        <f ca="1">IFERROR(L56*I56,"")</f>
        <v>0</v>
      </c>
      <c r="N56" s="332"/>
      <c r="O56" s="331">
        <f ca="1">IFERROR(N56*I56,"")</f>
        <v>0</v>
      </c>
      <c r="P56" s="331">
        <f ca="1">IFERROR(M56-O56,"")</f>
        <v>0</v>
      </c>
      <c r="Q56" s="333">
        <f>IFERROR(N56*K56,"")</f>
        <v>0</v>
      </c>
      <c r="R56" s="343" t="str">
        <f ca="1">IFERROR(((U56+O56)-(V56+Q56))/(U56+O56),"")</f>
        <v/>
      </c>
      <c r="S56" s="335">
        <f ca="1">IFERROR(SUM(OFFSET(Y56,0,MATCH(Forecast_New,$Y$3:$WQ$3,0)-1,1,500))*40,"")</f>
        <v>0</v>
      </c>
      <c r="T56" s="336">
        <f ca="1">IFERROR(S56/8,"")</f>
        <v>0</v>
      </c>
      <c r="U56" s="337">
        <f ca="1">IFERROR($S56*I56,"")</f>
        <v>0</v>
      </c>
      <c r="V56" s="338">
        <f ca="1">IFERROR($S56*K56,"")</f>
        <v>0</v>
      </c>
      <c r="W56" s="339">
        <f t="shared" ca="1" si="75"/>
        <v>0</v>
      </c>
      <c r="X56" s="343"/>
      <c r="Y56" s="344"/>
      <c r="Z56" s="344"/>
      <c r="AA56" s="344"/>
      <c r="AB56" s="344"/>
      <c r="AC56" s="344"/>
      <c r="AD56" s="344"/>
      <c r="AE56" s="344"/>
      <c r="AF56" s="344"/>
      <c r="AG56" s="344"/>
      <c r="AH56" s="344"/>
      <c r="AI56" s="344"/>
      <c r="AJ56" s="344"/>
      <c r="AK56" s="344"/>
      <c r="AL56" s="344"/>
      <c r="AM56" s="344"/>
      <c r="AN56" s="344"/>
      <c r="AO56" s="344"/>
      <c r="AP56" s="344"/>
      <c r="AQ56" s="344"/>
      <c r="AR56" s="344"/>
      <c r="AS56" s="344"/>
      <c r="AT56" s="344"/>
      <c r="AU56" s="344"/>
      <c r="AV56" s="344"/>
      <c r="AW56" s="344"/>
      <c r="AX56" s="344"/>
      <c r="AY56" s="344"/>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25">
      <c r="B57" s="360" t="s">
        <v>941</v>
      </c>
      <c r="C57" s="323" t="s">
        <v>936</v>
      </c>
      <c r="D57" s="321" t="s">
        <v>317</v>
      </c>
      <c r="E57" s="321" t="s">
        <v>754</v>
      </c>
      <c r="F57" s="324" t="s">
        <v>929</v>
      </c>
      <c r="G57" s="325" cm="1">
        <f t="array" aca="1" ref="G57" ca="1">IFERROR(INDEX(Panel_Rates[[1]:[12]],MATCH(Panel_New&amp;Category_New,Panel_Rates[Panel]&amp;Panel_Rates[Category],0),MATCH('Time Plan (Multiple Release)'!E57,OFFSET(Variable!$AF$2,MATCH(Panel_New&amp;Category_New,Panel_Rates[Panel]&amp;Panel_Rates[Category],0)-1,0,1,12),0))/8,"")</f>
        <v>395</v>
      </c>
      <c r="H57" s="326">
        <v>0.4</v>
      </c>
      <c r="I57" s="328">
        <f t="shared" ref="I57:I63" ca="1" si="110">IFERROR(G57*(1-H57),"")</f>
        <v>237</v>
      </c>
      <c r="J57" s="329">
        <f ca="1">IFERROR(I57*8,"")</f>
        <v>1896</v>
      </c>
      <c r="K57" s="329">
        <f>IFERROR(_xlfn.XLOOKUP(D57,CostTableLookup[Name],CostTableLookup[Gross Cost]),"")</f>
        <v>198</v>
      </c>
      <c r="L57" s="330"/>
      <c r="M57" s="331">
        <f t="shared" ref="M57:M63" ca="1" si="111">IFERROR(L57*I57,"")</f>
        <v>0</v>
      </c>
      <c r="N57" s="332"/>
      <c r="O57" s="331">
        <f t="shared" ref="O57:O63" ca="1" si="112">IFERROR(N57*I57,"")</f>
        <v>0</v>
      </c>
      <c r="P57" s="331">
        <f t="shared" ref="P57:P63" ca="1" si="113">IFERROR(M57-O57,"")</f>
        <v>0</v>
      </c>
      <c r="Q57" s="333">
        <f t="shared" ref="Q57:Q63" si="114">IFERROR(N57*K57,"")</f>
        <v>0</v>
      </c>
      <c r="R57" s="343" t="str">
        <f t="shared" ref="R57:R63" ca="1" si="115">IFERROR(((U57+O57)-(V57+Q57))/(U57+O57),"")</f>
        <v/>
      </c>
      <c r="S57" s="335">
        <f t="shared" ref="S57:S58" ca="1" si="116">IFERROR(SUM(OFFSET(Y57,0,MATCH(Forecast_New,$Y$3:$WQ$3,0)-1,1,500))*40,"")</f>
        <v>0</v>
      </c>
      <c r="T57" s="336">
        <f t="shared" ref="T57:T63" ca="1" si="117">IFERROR(S57/8,"")</f>
        <v>0</v>
      </c>
      <c r="U57" s="337">
        <f t="shared" ref="U57:U63" ca="1" si="118">IFERROR($S57*I57,"")</f>
        <v>0</v>
      </c>
      <c r="V57" s="338">
        <f t="shared" ref="V57:V63" ca="1" si="119">IFERROR($S57*K57,"")</f>
        <v>0</v>
      </c>
      <c r="W57" s="339">
        <f t="shared" ca="1" si="75"/>
        <v>0</v>
      </c>
      <c r="X57" s="340" t="str">
        <f t="shared" ref="X57:X63" ca="1" si="120">IFERROR(W57/M57,"")</f>
        <v/>
      </c>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1"/>
      <c r="CO57" s="341"/>
      <c r="CP57" s="341"/>
      <c r="CQ57" s="341"/>
      <c r="CR57" s="341"/>
      <c r="CS57" s="341"/>
      <c r="CT57" s="341"/>
      <c r="CU57" s="341"/>
      <c r="CV57" s="341"/>
      <c r="CW57" s="341"/>
      <c r="CX57" s="341"/>
      <c r="CY57" s="341"/>
      <c r="CZ57" s="341"/>
      <c r="DA57" s="341"/>
      <c r="DB57" s="341"/>
      <c r="DC57" s="341"/>
      <c r="DD57" s="341"/>
      <c r="DE57" s="341"/>
      <c r="DF57" s="341"/>
      <c r="DG57" s="341"/>
      <c r="DH57" s="341"/>
      <c r="DI57" s="341"/>
      <c r="DJ57" s="341"/>
      <c r="DK57" s="341"/>
      <c r="DL57" s="341"/>
      <c r="DM57" s="341"/>
      <c r="DN57" s="341"/>
      <c r="DO57" s="341"/>
      <c r="DP57" s="341"/>
      <c r="DQ57" s="341"/>
      <c r="DR57" s="341"/>
      <c r="DS57" s="341"/>
      <c r="DT57" s="341"/>
      <c r="DU57" s="341"/>
      <c r="DV57" s="341"/>
      <c r="DW57" s="341"/>
      <c r="DX57" s="341"/>
      <c r="DY57" s="341"/>
      <c r="DZ57" s="341"/>
      <c r="EA57" s="341"/>
      <c r="EB57" s="341"/>
      <c r="EC57" s="341"/>
      <c r="ED57" s="341"/>
      <c r="EE57" s="341"/>
      <c r="EF57" s="341"/>
      <c r="EG57" s="341"/>
      <c r="EH57" s="341"/>
      <c r="EI57" s="341"/>
      <c r="EJ57" s="341"/>
      <c r="EK57" s="341"/>
      <c r="EL57" s="341"/>
      <c r="EM57" s="341"/>
      <c r="EN57" s="341"/>
      <c r="EO57" s="341"/>
      <c r="EP57" s="341"/>
      <c r="EQ57" s="341"/>
      <c r="ER57" s="341"/>
      <c r="ES57" s="341"/>
      <c r="ET57" s="341"/>
      <c r="EU57" s="341"/>
      <c r="EV57" s="341"/>
      <c r="EW57" s="341"/>
      <c r="EX57" s="341"/>
      <c r="EY57" s="341"/>
      <c r="EZ57" s="341"/>
      <c r="FA57" s="341"/>
      <c r="FB57" s="341"/>
      <c r="FC57" s="341"/>
      <c r="FD57" s="341"/>
      <c r="FE57" s="341"/>
      <c r="FF57" s="341"/>
      <c r="FG57" s="341"/>
      <c r="FH57" s="341"/>
      <c r="FI57" s="341"/>
      <c r="FJ57" s="341"/>
      <c r="FK57" s="341"/>
      <c r="FL57" s="341"/>
      <c r="FM57" s="341"/>
      <c r="FN57" s="341"/>
      <c r="FO57" s="341"/>
      <c r="FP57" s="341"/>
      <c r="FQ57" s="341"/>
      <c r="FR57" s="341"/>
      <c r="FS57" s="341"/>
      <c r="FT57" s="341"/>
      <c r="FU57" s="341"/>
      <c r="FV57" s="341"/>
      <c r="FW57" s="341"/>
      <c r="FX57" s="341"/>
      <c r="FY57" s="341"/>
      <c r="FZ57" s="341"/>
      <c r="GA57" s="341"/>
      <c r="GB57" s="341"/>
      <c r="GC57" s="341"/>
      <c r="GD57" s="341"/>
      <c r="GE57" s="341"/>
      <c r="GF57" s="341"/>
      <c r="GG57" s="341"/>
      <c r="GH57" s="341"/>
      <c r="GI57" s="341"/>
      <c r="GJ57" s="341"/>
      <c r="GK57" s="341"/>
      <c r="GL57" s="341"/>
      <c r="GM57" s="341"/>
      <c r="GN57" s="341"/>
      <c r="GO57" s="341"/>
      <c r="GP57" s="341"/>
      <c r="GQ57" s="341"/>
      <c r="GR57" s="341"/>
      <c r="GS57" s="341"/>
      <c r="GT57" s="341"/>
      <c r="GU57" s="341"/>
      <c r="GV57" s="341"/>
      <c r="GW57" s="341"/>
      <c r="GX57" s="341"/>
      <c r="GY57" s="341"/>
      <c r="GZ57" s="341"/>
      <c r="HA57" s="341"/>
      <c r="HB57" s="341"/>
      <c r="HC57" s="341"/>
      <c r="HD57" s="341"/>
      <c r="HE57" s="341"/>
      <c r="HF57" s="341"/>
      <c r="HG57" s="341"/>
      <c r="HH57" s="341"/>
      <c r="HI57" s="341"/>
      <c r="HJ57" s="341"/>
      <c r="HK57" s="341"/>
      <c r="HL57" s="341"/>
      <c r="HM57" s="341"/>
      <c r="HN57" s="341"/>
      <c r="HO57" s="341"/>
      <c r="HP57" s="341"/>
      <c r="HQ57" s="341"/>
      <c r="HR57" s="341"/>
      <c r="HS57" s="341"/>
      <c r="HT57" s="341"/>
      <c r="HU57" s="341"/>
      <c r="HV57" s="341"/>
      <c r="HW57" s="341"/>
      <c r="HX57" s="341"/>
      <c r="HY57" s="341"/>
      <c r="HZ57" s="341"/>
      <c r="IA57" s="341"/>
      <c r="IB57" s="341"/>
      <c r="IC57" s="341"/>
      <c r="ID57" s="341"/>
      <c r="IE57" s="341"/>
      <c r="IF57" s="341"/>
      <c r="IG57" s="341"/>
      <c r="IH57" s="341"/>
      <c r="II57" s="341"/>
      <c r="IJ57" s="341"/>
      <c r="IK57" s="341"/>
      <c r="IL57" s="341"/>
      <c r="IM57" s="341"/>
      <c r="IN57" s="341"/>
      <c r="IO57" s="341"/>
      <c r="IP57" s="341"/>
      <c r="IQ57" s="341"/>
      <c r="IR57" s="341"/>
      <c r="IS57" s="341"/>
      <c r="IT57" s="341"/>
      <c r="IU57" s="341"/>
      <c r="IV57" s="341"/>
      <c r="IW57" s="341"/>
      <c r="IX57" s="341"/>
      <c r="IY57" s="341"/>
      <c r="IZ57" s="341"/>
      <c r="JA57" s="341"/>
      <c r="JB57" s="341"/>
      <c r="JC57" s="341"/>
      <c r="JD57" s="341"/>
      <c r="JE57" s="341"/>
      <c r="JF57" s="341"/>
      <c r="JG57" s="341"/>
      <c r="JH57" s="341"/>
      <c r="JI57" s="341"/>
      <c r="JJ57" s="341"/>
      <c r="JK57" s="341"/>
      <c r="JL57" s="341"/>
      <c r="JM57" s="341"/>
      <c r="JN57" s="341"/>
    </row>
    <row r="58" spans="2:274" ht="19.5" customHeight="1" x14ac:dyDescent="0.25">
      <c r="B58" s="360" t="s">
        <v>941</v>
      </c>
      <c r="C58" s="323" t="s">
        <v>936</v>
      </c>
      <c r="D58" s="321" t="s">
        <v>126</v>
      </c>
      <c r="E58" s="321" t="s">
        <v>752</v>
      </c>
      <c r="F58" s="324" t="s">
        <v>852</v>
      </c>
      <c r="G58" s="325" cm="1">
        <f t="array" aca="1" ref="G58" ca="1">IFERROR(INDEX(Panel_Rates[[1]:[12]],MATCH(Panel_New&amp;Category_New,Panel_Rates[Panel]&amp;Panel_Rates[Category],0),MATCH('Time Plan (Multiple Release)'!E58,OFFSET(Variable!$AF$2,MATCH(Panel_New&amp;Category_New,Panel_Rates[Panel]&amp;Panel_Rates[Category],0)-1,0,1,12),0))/8,"")</f>
        <v>245</v>
      </c>
      <c r="H58" s="326">
        <v>0.38</v>
      </c>
      <c r="I58" s="328">
        <f t="shared" ca="1" si="110"/>
        <v>151.9</v>
      </c>
      <c r="J58" s="329">
        <f t="shared" ref="J58:J63" ca="1" si="121">IFERROR(I58*8,"")</f>
        <v>1215.2</v>
      </c>
      <c r="K58" s="329">
        <f>IFERROR(_xlfn.XLOOKUP(D58,CostTableLookup[Name],CostTableLookup[Gross Cost]),"")</f>
        <v>146</v>
      </c>
      <c r="L58" s="330"/>
      <c r="M58" s="331">
        <f t="shared" ca="1" si="111"/>
        <v>0</v>
      </c>
      <c r="N58" s="332"/>
      <c r="O58" s="331">
        <f t="shared" ca="1" si="112"/>
        <v>0</v>
      </c>
      <c r="P58" s="331">
        <f t="shared" ca="1" si="113"/>
        <v>0</v>
      </c>
      <c r="Q58" s="333">
        <f t="shared" si="114"/>
        <v>0</v>
      </c>
      <c r="R58" s="343" t="str">
        <f t="shared" ca="1" si="115"/>
        <v/>
      </c>
      <c r="S58" s="335">
        <f t="shared" ref="S58:S59" ca="1" si="122">IFERROR(SUM(OFFSET(Y58,0,MATCH(Forecast_New,$Y$3:$WQ$3,0)-1,1,500))*40,"")</f>
        <v>0</v>
      </c>
      <c r="T58" s="336">
        <f t="shared" ca="1" si="117"/>
        <v>0</v>
      </c>
      <c r="U58" s="337">
        <f t="shared" ca="1" si="118"/>
        <v>0</v>
      </c>
      <c r="V58" s="338">
        <f t="shared" ca="1" si="119"/>
        <v>0</v>
      </c>
      <c r="W58" s="339">
        <f t="shared" ca="1" si="75"/>
        <v>0</v>
      </c>
      <c r="X58" s="340" t="str">
        <f t="shared" ca="1" si="120"/>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25">
      <c r="B59" s="360" t="s">
        <v>941</v>
      </c>
      <c r="C59" s="323" t="s">
        <v>936</v>
      </c>
      <c r="D59" s="321" t="s">
        <v>756</v>
      </c>
      <c r="E59" s="321" t="s">
        <v>753</v>
      </c>
      <c r="F59" s="324" t="s">
        <v>930</v>
      </c>
      <c r="G59" s="325" cm="1">
        <f t="array" aca="1" ref="G59" ca="1">IFERROR(INDEX(Panel_Rates[[1]:[12]],MATCH(Panel_New&amp;Category_New,Panel_Rates[Panel]&amp;Panel_Rates[Category],0),MATCH('Time Plan (Multiple Release)'!E59,OFFSET(Variable!$AF$2,MATCH(Panel_New&amp;Category_New,Panel_Rates[Panel]&amp;Panel_Rates[Category],0)-1,0,1,12),0))/8,"")</f>
        <v>305</v>
      </c>
      <c r="H59" s="326">
        <v>0.32</v>
      </c>
      <c r="I59" s="328">
        <f t="shared" ca="1" si="110"/>
        <v>207.39999999999998</v>
      </c>
      <c r="J59" s="329">
        <f t="shared" ca="1" si="121"/>
        <v>1659.1999999999998</v>
      </c>
      <c r="K59" s="329">
        <f>IFERROR(_xlfn.XLOOKUP(D59,CostTableLookup[Name],CostTableLookup[Gross Cost]),"")</f>
        <v>170.96</v>
      </c>
      <c r="L59" s="330"/>
      <c r="M59" s="331">
        <f t="shared" ca="1" si="111"/>
        <v>0</v>
      </c>
      <c r="N59" s="332"/>
      <c r="O59" s="331">
        <f t="shared" ca="1" si="112"/>
        <v>0</v>
      </c>
      <c r="P59" s="331">
        <f t="shared" ca="1" si="113"/>
        <v>0</v>
      </c>
      <c r="Q59" s="333">
        <f t="shared" si="114"/>
        <v>0</v>
      </c>
      <c r="R59" s="343" t="str">
        <f t="shared" ca="1" si="115"/>
        <v/>
      </c>
      <c r="S59" s="335">
        <f t="shared" ref="S59:S60" ca="1" si="123">IFERROR(SUM(OFFSET(Y59,0,MATCH(Forecast_New,$Y$3:$WQ$3,0)-1,1,500))*40,"")</f>
        <v>0</v>
      </c>
      <c r="T59" s="336">
        <f t="shared" ca="1" si="117"/>
        <v>0</v>
      </c>
      <c r="U59" s="337">
        <f t="shared" ca="1" si="118"/>
        <v>0</v>
      </c>
      <c r="V59" s="338">
        <f t="shared" ca="1" si="119"/>
        <v>0</v>
      </c>
      <c r="W59" s="339">
        <f t="shared" ca="1" si="75"/>
        <v>0</v>
      </c>
      <c r="X59" s="340" t="str">
        <f t="shared" ca="1" si="120"/>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25">
      <c r="B60" s="360" t="s">
        <v>941</v>
      </c>
      <c r="C60" s="323" t="s">
        <v>936</v>
      </c>
      <c r="D60" s="321" t="s">
        <v>447</v>
      </c>
      <c r="E60" s="321" t="s">
        <v>753</v>
      </c>
      <c r="F60" s="324" t="s">
        <v>931</v>
      </c>
      <c r="G60" s="325" cm="1">
        <f t="array" aca="1" ref="G60" ca="1">IFERROR(INDEX(Panel_Rates[[1]:[12]],MATCH(Panel_New&amp;Category_New,Panel_Rates[Panel]&amp;Panel_Rates[Category],0),MATCH('Time Plan (Multiple Release)'!E60,OFFSET(Variable!$AF$2,MATCH(Panel_New&amp;Category_New,Panel_Rates[Panel]&amp;Panel_Rates[Category],0)-1,0,1,12),0))/8,"")</f>
        <v>305</v>
      </c>
      <c r="H60" s="326">
        <v>0.38</v>
      </c>
      <c r="I60" s="328">
        <f t="shared" ca="1" si="110"/>
        <v>189.1</v>
      </c>
      <c r="J60" s="329">
        <f t="shared" ca="1" si="121"/>
        <v>1512.8</v>
      </c>
      <c r="K60" s="329">
        <f>IFERROR(_xlfn.XLOOKUP(D60,CostTableLookup[Name],CostTableLookup[Gross Cost]),"")</f>
        <v>151</v>
      </c>
      <c r="L60" s="330"/>
      <c r="M60" s="331">
        <f t="shared" ca="1" si="111"/>
        <v>0</v>
      </c>
      <c r="N60" s="332"/>
      <c r="O60" s="331">
        <f t="shared" ca="1" si="112"/>
        <v>0</v>
      </c>
      <c r="P60" s="331">
        <f t="shared" ca="1" si="113"/>
        <v>0</v>
      </c>
      <c r="Q60" s="333">
        <f t="shared" si="114"/>
        <v>0</v>
      </c>
      <c r="R60" s="343">
        <f t="shared" ca="1" si="115"/>
        <v>0.2014806980433633</v>
      </c>
      <c r="S60" s="335">
        <f t="shared" ref="S60:S61" ca="1" si="124">IFERROR(SUM(OFFSET(Y60,0,MATCH(Forecast_New,$Y$3:$WQ$3,0)-1,1,500))*40,"")</f>
        <v>160</v>
      </c>
      <c r="T60" s="336">
        <f t="shared" ca="1" si="117"/>
        <v>20</v>
      </c>
      <c r="U60" s="337">
        <f t="shared" ca="1" si="118"/>
        <v>30256</v>
      </c>
      <c r="V60" s="338">
        <f t="shared" ca="1" si="119"/>
        <v>24160</v>
      </c>
      <c r="W60" s="339">
        <f t="shared" ca="1" si="75"/>
        <v>-30256</v>
      </c>
      <c r="X60" s="340" t="str">
        <f t="shared" ca="1" si="120"/>
        <v/>
      </c>
      <c r="Y60" s="341"/>
      <c r="Z60" s="341"/>
      <c r="AA60" s="341"/>
      <c r="AB60" s="341"/>
      <c r="AC60" s="341"/>
      <c r="AD60" s="341"/>
      <c r="AE60" s="341"/>
      <c r="AF60" s="341"/>
      <c r="AG60" s="341"/>
      <c r="AH60" s="341"/>
      <c r="AI60" s="341"/>
      <c r="AJ60" s="341"/>
      <c r="AK60" s="341"/>
      <c r="AL60" s="341"/>
      <c r="AM60" s="341"/>
      <c r="AN60" s="341"/>
      <c r="AO60" s="341"/>
      <c r="AP60" s="341"/>
      <c r="AQ60" s="341"/>
      <c r="AR60" s="341">
        <v>1</v>
      </c>
      <c r="AS60" s="341">
        <v>1</v>
      </c>
      <c r="AT60" s="341">
        <v>1</v>
      </c>
      <c r="AU60" s="341">
        <v>1</v>
      </c>
      <c r="AV60" s="341"/>
      <c r="AW60" s="341"/>
      <c r="AX60" s="341"/>
      <c r="AY60" s="3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25">
      <c r="B61" s="360" t="s">
        <v>941</v>
      </c>
      <c r="C61" s="384" t="s">
        <v>936</v>
      </c>
      <c r="D61" s="385" t="s">
        <v>122</v>
      </c>
      <c r="E61" s="321" t="s">
        <v>752</v>
      </c>
      <c r="F61" s="324" t="s">
        <v>931</v>
      </c>
      <c r="G61" s="325" cm="1">
        <f t="array" aca="1" ref="G61" ca="1">IFERROR(INDEX(Panel_Rates[[1]:[12]],MATCH(Panel_New&amp;Category_New,Panel_Rates[Panel]&amp;Panel_Rates[Category],0),MATCH('Time Plan (Multiple Release)'!E61,OFFSET(Variable!$AF$2,MATCH(Panel_New&amp;Category_New,Panel_Rates[Panel]&amp;Panel_Rates[Category],0)-1,0,1,12),0))/8,"")</f>
        <v>245</v>
      </c>
      <c r="H61" s="326">
        <v>1</v>
      </c>
      <c r="I61" s="328">
        <f t="shared" ca="1" si="110"/>
        <v>0</v>
      </c>
      <c r="J61" s="329">
        <f t="shared" ca="1" si="121"/>
        <v>0</v>
      </c>
      <c r="K61" s="329">
        <f>IFERROR(_xlfn.XLOOKUP(D61,CostTableLookup[Name],CostTableLookup[Gross Cost]),"")</f>
        <v>198</v>
      </c>
      <c r="L61" s="330"/>
      <c r="M61" s="331">
        <f t="shared" ca="1" si="111"/>
        <v>0</v>
      </c>
      <c r="N61" s="332"/>
      <c r="O61" s="331">
        <f t="shared" ca="1" si="112"/>
        <v>0</v>
      </c>
      <c r="P61" s="331">
        <f t="shared" ca="1" si="113"/>
        <v>0</v>
      </c>
      <c r="Q61" s="333">
        <f t="shared" si="114"/>
        <v>0</v>
      </c>
      <c r="R61" s="343" t="str">
        <f t="shared" ca="1" si="115"/>
        <v/>
      </c>
      <c r="S61" s="335">
        <f t="shared" ref="S61" ca="1" si="125">IFERROR(SUM(OFFSET(Y61,0,MATCH(Forecast_New,$Y$3:$WQ$3,0)-1,1,500))*40,"")</f>
        <v>40</v>
      </c>
      <c r="T61" s="336">
        <f t="shared" ca="1" si="117"/>
        <v>5</v>
      </c>
      <c r="U61" s="337">
        <f t="shared" ca="1" si="118"/>
        <v>0</v>
      </c>
      <c r="V61" s="338">
        <f t="shared" ca="1" si="119"/>
        <v>7920</v>
      </c>
      <c r="W61" s="339">
        <f t="shared" ca="1" si="75"/>
        <v>0</v>
      </c>
      <c r="X61" s="340" t="str">
        <f t="shared" ca="1" si="120"/>
        <v/>
      </c>
      <c r="Y61" s="341"/>
      <c r="Z61" s="341"/>
      <c r="AA61" s="341"/>
      <c r="AB61" s="341"/>
      <c r="AC61" s="341"/>
      <c r="AD61" s="341"/>
      <c r="AE61" s="341"/>
      <c r="AF61" s="341"/>
      <c r="AG61" s="341"/>
      <c r="AH61" s="341"/>
      <c r="AI61" s="341"/>
      <c r="AJ61" s="341"/>
      <c r="AK61" s="341"/>
      <c r="AL61" s="341"/>
      <c r="AM61" s="341"/>
      <c r="AN61" s="341"/>
      <c r="AO61" s="341"/>
      <c r="AP61" s="341"/>
      <c r="AQ61" s="341"/>
      <c r="AR61" s="341">
        <v>0.5</v>
      </c>
      <c r="AS61" s="341">
        <v>0.5</v>
      </c>
      <c r="AT61" s="341"/>
      <c r="AU61" s="341"/>
      <c r="AV61" s="341"/>
      <c r="AW61" s="341"/>
      <c r="AX61" s="341"/>
      <c r="AY61" s="341"/>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25">
      <c r="B62" s="360" t="s">
        <v>941</v>
      </c>
      <c r="C62" s="323" t="s">
        <v>936</v>
      </c>
      <c r="D62" s="321" t="s">
        <v>731</v>
      </c>
      <c r="E62" s="321" t="s">
        <v>752</v>
      </c>
      <c r="F62" s="324" t="s">
        <v>931</v>
      </c>
      <c r="G62" s="325" cm="1">
        <f t="array" aca="1" ref="G62" ca="1">IFERROR(INDEX(Panel_Rates[[1]:[12]],MATCH(Panel_New&amp;Category_New,Panel_Rates[Panel]&amp;Panel_Rates[Category],0),MATCH('Time Plan (Multiple Release)'!E62,OFFSET(Variable!$AF$2,MATCH(Panel_New&amp;Category_New,Panel_Rates[Panel]&amp;Panel_Rates[Category],0)-1,0,1,12),0))/8,"")</f>
        <v>245</v>
      </c>
      <c r="H62" s="326">
        <v>0.38</v>
      </c>
      <c r="I62" s="328">
        <f t="shared" ca="1" si="110"/>
        <v>151.9</v>
      </c>
      <c r="J62" s="329">
        <f t="shared" ca="1" si="121"/>
        <v>1215.2</v>
      </c>
      <c r="K62" s="329">
        <f>IFERROR(_xlfn.XLOOKUP(D62,CostTableLookup[Name],CostTableLookup[Gross Cost]),"")</f>
        <v>151</v>
      </c>
      <c r="L62" s="330"/>
      <c r="M62" s="331">
        <f t="shared" ca="1" si="111"/>
        <v>0</v>
      </c>
      <c r="N62" s="332"/>
      <c r="O62" s="331">
        <f t="shared" ca="1" si="112"/>
        <v>0</v>
      </c>
      <c r="P62" s="331">
        <f t="shared" ca="1" si="113"/>
        <v>0</v>
      </c>
      <c r="Q62" s="333">
        <f t="shared" si="114"/>
        <v>0</v>
      </c>
      <c r="R62" s="343">
        <f t="shared" ca="1" si="115"/>
        <v>5.9249506254114553E-3</v>
      </c>
      <c r="S62" s="335">
        <f t="shared" ref="S62" ca="1" si="126">IFERROR(SUM(OFFSET(Y62,0,MATCH(Forecast_New,$Y$3:$WQ$3,0)-1,1,500))*40,"")</f>
        <v>160</v>
      </c>
      <c r="T62" s="336">
        <f t="shared" ca="1" si="117"/>
        <v>20</v>
      </c>
      <c r="U62" s="337">
        <f t="shared" ca="1" si="118"/>
        <v>24304</v>
      </c>
      <c r="V62" s="338">
        <f t="shared" ca="1" si="119"/>
        <v>24160</v>
      </c>
      <c r="W62" s="339">
        <f t="shared" ca="1" si="75"/>
        <v>-24304</v>
      </c>
      <c r="X62" s="340" t="str">
        <f t="shared" ca="1" si="120"/>
        <v/>
      </c>
      <c r="Y62" s="341"/>
      <c r="Z62" s="341"/>
      <c r="AA62" s="341"/>
      <c r="AB62" s="341"/>
      <c r="AC62" s="341"/>
      <c r="AD62" s="341"/>
      <c r="AE62" s="341"/>
      <c r="AF62" s="341"/>
      <c r="AG62" s="341"/>
      <c r="AH62" s="341"/>
      <c r="AI62" s="341"/>
      <c r="AJ62" s="341"/>
      <c r="AK62" s="341"/>
      <c r="AL62" s="341"/>
      <c r="AM62" s="341"/>
      <c r="AN62" s="341"/>
      <c r="AO62" s="341"/>
      <c r="AP62" s="341"/>
      <c r="AQ62" s="341"/>
      <c r="AR62" s="341">
        <v>1</v>
      </c>
      <c r="AS62" s="341">
        <v>1</v>
      </c>
      <c r="AT62" s="341">
        <v>1</v>
      </c>
      <c r="AU62" s="341">
        <v>1</v>
      </c>
      <c r="AV62" s="341"/>
      <c r="AW62" s="341"/>
      <c r="AX62" s="341"/>
      <c r="AY62" s="341"/>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s="345" customFormat="1" ht="19.5" customHeight="1" x14ac:dyDescent="0.25">
      <c r="B63" s="361" t="s">
        <v>941</v>
      </c>
      <c r="C63" s="362" t="s">
        <v>936</v>
      </c>
      <c r="D63" s="345" t="s">
        <v>606</v>
      </c>
      <c r="E63" s="345" t="s">
        <v>752</v>
      </c>
      <c r="F63" s="363" t="s">
        <v>937</v>
      </c>
      <c r="G63" s="364" cm="1">
        <f t="array" aca="1" ref="G63" ca="1">IFERROR(INDEX(Panel_Rates[[1]:[12]],MATCH(Panel_New&amp;Category_New,Panel_Rates[Panel]&amp;Panel_Rates[Category],0),MATCH('Time Plan (Multiple Release)'!E63,OFFSET(Variable!$AF$2,MATCH(Panel_New&amp;Category_New,Panel_Rates[Panel]&amp;Panel_Rates[Category],0)-1,0,1,12),0))/8,"")</f>
        <v>245</v>
      </c>
      <c r="H63" s="326">
        <v>0.38</v>
      </c>
      <c r="I63" s="391">
        <f t="shared" ca="1" si="110"/>
        <v>151.9</v>
      </c>
      <c r="J63" s="398">
        <f t="shared" ca="1" si="121"/>
        <v>1215.2</v>
      </c>
      <c r="K63" s="366">
        <f>IFERROR(_xlfn.XLOOKUP(D63,CostTableLookup[Name],CostTableLookup[Gross Cost]),"")</f>
        <v>161</v>
      </c>
      <c r="L63" s="367"/>
      <c r="M63" s="368">
        <f t="shared" ca="1" si="111"/>
        <v>0</v>
      </c>
      <c r="N63" s="369"/>
      <c r="O63" s="368">
        <f t="shared" ca="1" si="112"/>
        <v>0</v>
      </c>
      <c r="P63" s="368">
        <f t="shared" ca="1" si="113"/>
        <v>0</v>
      </c>
      <c r="Q63" s="370">
        <f t="shared" si="114"/>
        <v>0</v>
      </c>
      <c r="R63" s="396" t="str">
        <f t="shared" ca="1" si="115"/>
        <v/>
      </c>
      <c r="S63" s="335">
        <f ca="1">IFERROR(SUM(OFFSET(Y63,0,MATCH(Forecast_New,$Y$3:$WQ$3,0)-1,1,500))*40,"")</f>
        <v>0</v>
      </c>
      <c r="T63" s="372">
        <f t="shared" ca="1" si="117"/>
        <v>0</v>
      </c>
      <c r="U63" s="373">
        <f t="shared" ca="1" si="118"/>
        <v>0</v>
      </c>
      <c r="V63" s="358">
        <f t="shared" ca="1" si="119"/>
        <v>0</v>
      </c>
      <c r="W63" s="339">
        <f t="shared" ca="1" si="75"/>
        <v>0</v>
      </c>
      <c r="X63" s="375" t="str">
        <f t="shared" ca="1" si="120"/>
        <v/>
      </c>
      <c r="Y63" s="376"/>
      <c r="Z63" s="376"/>
      <c r="AA63" s="376"/>
      <c r="AB63" s="376"/>
      <c r="AC63" s="376"/>
      <c r="AD63" s="376"/>
      <c r="AE63" s="376"/>
      <c r="AF63" s="376"/>
      <c r="AG63" s="376"/>
      <c r="AH63" s="376"/>
      <c r="AI63" s="376"/>
      <c r="AJ63" s="376"/>
      <c r="AK63" s="376"/>
      <c r="AL63" s="376"/>
      <c r="AM63" s="376"/>
      <c r="AN63" s="376"/>
      <c r="AO63" s="376"/>
      <c r="AP63" s="376"/>
      <c r="AQ63" s="376"/>
      <c r="AR63" s="376"/>
      <c r="AS63" s="376"/>
      <c r="AT63" s="376"/>
      <c r="AU63" s="376"/>
      <c r="AV63" s="376"/>
      <c r="AW63" s="376"/>
      <c r="AX63" s="376"/>
      <c r="AY63" s="376"/>
      <c r="AZ63" s="376"/>
      <c r="BA63" s="376"/>
      <c r="BB63" s="376"/>
      <c r="BC63" s="376"/>
      <c r="BD63" s="376"/>
      <c r="BE63" s="376"/>
      <c r="BF63" s="376"/>
      <c r="BG63" s="376"/>
      <c r="BH63" s="376"/>
      <c r="BI63" s="376"/>
      <c r="BJ63" s="376"/>
      <c r="BK63" s="376"/>
      <c r="BL63" s="376"/>
      <c r="BM63" s="376"/>
      <c r="BN63" s="376"/>
      <c r="BO63" s="376"/>
      <c r="BP63" s="376"/>
      <c r="BQ63" s="376"/>
      <c r="BR63" s="376"/>
      <c r="BS63" s="376"/>
      <c r="BT63" s="376"/>
      <c r="BU63" s="376"/>
      <c r="BV63" s="376"/>
      <c r="BW63" s="376"/>
      <c r="BX63" s="376"/>
      <c r="BY63" s="376"/>
      <c r="BZ63" s="376"/>
      <c r="CA63" s="376"/>
      <c r="CB63" s="376"/>
      <c r="CC63" s="376"/>
      <c r="CD63" s="376"/>
      <c r="CE63" s="376"/>
      <c r="CF63" s="376"/>
      <c r="CG63" s="376"/>
      <c r="CH63" s="376"/>
      <c r="CI63" s="376"/>
      <c r="CJ63" s="376"/>
      <c r="CK63" s="376"/>
      <c r="CL63" s="376"/>
      <c r="CM63" s="376"/>
      <c r="CN63" s="376"/>
      <c r="CO63" s="376"/>
      <c r="CP63" s="376"/>
      <c r="CQ63" s="376"/>
      <c r="CR63" s="376"/>
      <c r="CS63" s="376"/>
      <c r="CT63" s="376"/>
      <c r="CU63" s="376"/>
      <c r="CV63" s="376"/>
      <c r="CW63" s="376"/>
      <c r="CX63" s="376"/>
      <c r="CY63" s="376"/>
      <c r="CZ63" s="376"/>
      <c r="DA63" s="376"/>
      <c r="DB63" s="376"/>
      <c r="DC63" s="376"/>
      <c r="DD63" s="376"/>
      <c r="DE63" s="376"/>
      <c r="DF63" s="376"/>
      <c r="DG63" s="376"/>
      <c r="DH63" s="376"/>
      <c r="DI63" s="376"/>
      <c r="DJ63" s="376"/>
      <c r="DK63" s="376"/>
      <c r="DL63" s="376"/>
      <c r="DM63" s="376"/>
      <c r="DN63" s="376"/>
      <c r="DO63" s="376"/>
      <c r="DP63" s="376"/>
      <c r="DQ63" s="376"/>
      <c r="DR63" s="376"/>
      <c r="DS63" s="376"/>
      <c r="DT63" s="376"/>
      <c r="DU63" s="376"/>
      <c r="DV63" s="376"/>
      <c r="DW63" s="376"/>
      <c r="DX63" s="376"/>
      <c r="DY63" s="376"/>
      <c r="DZ63" s="376"/>
      <c r="EA63" s="376"/>
      <c r="EB63" s="376"/>
      <c r="EC63" s="376"/>
      <c r="ED63" s="376"/>
      <c r="EE63" s="376"/>
      <c r="EF63" s="376"/>
      <c r="EG63" s="376"/>
      <c r="EH63" s="376"/>
      <c r="EI63" s="376"/>
      <c r="EJ63" s="376"/>
      <c r="EK63" s="376"/>
      <c r="EL63" s="376"/>
      <c r="EM63" s="376"/>
      <c r="EN63" s="376"/>
      <c r="EO63" s="376"/>
      <c r="EP63" s="376"/>
      <c r="EQ63" s="376"/>
      <c r="ER63" s="376"/>
      <c r="ES63" s="376"/>
      <c r="ET63" s="376"/>
      <c r="EU63" s="376"/>
      <c r="EV63" s="376"/>
      <c r="EW63" s="376"/>
      <c r="EX63" s="376"/>
      <c r="EY63" s="376"/>
      <c r="EZ63" s="376"/>
      <c r="FA63" s="376"/>
      <c r="FB63" s="376"/>
      <c r="FC63" s="376"/>
      <c r="FD63" s="376"/>
      <c r="FE63" s="376"/>
      <c r="FF63" s="376"/>
      <c r="FG63" s="376"/>
      <c r="FH63" s="376"/>
      <c r="FI63" s="376"/>
      <c r="FJ63" s="376"/>
      <c r="FK63" s="376"/>
      <c r="FL63" s="376"/>
      <c r="FM63" s="376"/>
      <c r="FN63" s="376"/>
      <c r="FO63" s="376"/>
      <c r="FP63" s="376"/>
      <c r="FQ63" s="376"/>
      <c r="FR63" s="376"/>
      <c r="FS63" s="376"/>
      <c r="FT63" s="376"/>
      <c r="FU63" s="376"/>
      <c r="FV63" s="376"/>
      <c r="FW63" s="376"/>
      <c r="FX63" s="376"/>
      <c r="FY63" s="376"/>
      <c r="FZ63" s="376"/>
      <c r="GA63" s="376"/>
      <c r="GB63" s="376"/>
      <c r="GC63" s="376"/>
      <c r="GD63" s="376"/>
      <c r="GE63" s="376"/>
      <c r="GF63" s="376"/>
      <c r="GG63" s="376"/>
      <c r="GH63" s="376"/>
      <c r="GI63" s="376"/>
      <c r="GJ63" s="376"/>
      <c r="GK63" s="376"/>
      <c r="GL63" s="376"/>
      <c r="GM63" s="376"/>
      <c r="GN63" s="376"/>
      <c r="GO63" s="376"/>
      <c r="GP63" s="376"/>
      <c r="GQ63" s="376"/>
      <c r="GR63" s="376"/>
      <c r="GS63" s="376"/>
      <c r="GT63" s="376"/>
      <c r="GU63" s="376"/>
      <c r="GV63" s="376"/>
      <c r="GW63" s="376"/>
      <c r="GX63" s="376"/>
      <c r="GY63" s="376"/>
      <c r="GZ63" s="376"/>
      <c r="HA63" s="376"/>
      <c r="HB63" s="376"/>
      <c r="HC63" s="376"/>
      <c r="HD63" s="376"/>
      <c r="HE63" s="376"/>
      <c r="HF63" s="376"/>
      <c r="HG63" s="376"/>
      <c r="HH63" s="376"/>
      <c r="HI63" s="376"/>
      <c r="HJ63" s="376"/>
      <c r="HK63" s="376"/>
      <c r="HL63" s="376"/>
      <c r="HM63" s="376"/>
      <c r="HN63" s="376"/>
      <c r="HO63" s="376"/>
      <c r="HP63" s="376"/>
      <c r="HQ63" s="376"/>
      <c r="HR63" s="376"/>
      <c r="HS63" s="376"/>
      <c r="HT63" s="376"/>
      <c r="HU63" s="376"/>
      <c r="HV63" s="376"/>
      <c r="HW63" s="376"/>
      <c r="HX63" s="376"/>
      <c r="HY63" s="376"/>
      <c r="HZ63" s="376"/>
      <c r="IA63" s="376"/>
      <c r="IB63" s="376"/>
      <c r="IC63" s="376"/>
      <c r="ID63" s="376"/>
      <c r="IE63" s="376"/>
      <c r="IF63" s="376"/>
      <c r="IG63" s="376"/>
      <c r="IH63" s="376"/>
      <c r="II63" s="376"/>
      <c r="IJ63" s="376"/>
      <c r="IK63" s="376"/>
      <c r="IL63" s="376"/>
      <c r="IM63" s="376"/>
      <c r="IN63" s="376"/>
      <c r="IO63" s="376"/>
      <c r="IP63" s="376"/>
      <c r="IQ63" s="376"/>
      <c r="IR63" s="376"/>
      <c r="IS63" s="376"/>
      <c r="IT63" s="376"/>
      <c r="IU63" s="376"/>
      <c r="IV63" s="376"/>
      <c r="IW63" s="376"/>
      <c r="IX63" s="376"/>
      <c r="IY63" s="376"/>
      <c r="IZ63" s="376"/>
      <c r="JA63" s="376"/>
      <c r="JB63" s="376"/>
      <c r="JC63" s="376"/>
      <c r="JD63" s="376"/>
      <c r="JE63" s="376"/>
      <c r="JF63" s="376"/>
      <c r="JG63" s="376"/>
      <c r="JH63" s="376"/>
      <c r="JI63" s="376"/>
      <c r="JJ63" s="376"/>
      <c r="JK63" s="376"/>
      <c r="JL63" s="376"/>
      <c r="JM63" s="376"/>
      <c r="JN63" s="376"/>
    </row>
    <row r="64" spans="2:274" ht="19.5" customHeight="1" x14ac:dyDescent="0.25">
      <c r="B64" s="387" t="s">
        <v>981</v>
      </c>
      <c r="C64" s="323" t="s">
        <v>935</v>
      </c>
      <c r="D64" s="321" t="s">
        <v>306</v>
      </c>
      <c r="E64" s="321" t="s">
        <v>753</v>
      </c>
      <c r="F64" s="324" t="s">
        <v>928</v>
      </c>
      <c r="G64" s="325" cm="1">
        <f t="array" aca="1" ref="G64" ca="1">IFERROR(INDEX(Panel_Rates[[1]:[12]],MATCH(Panel_New&amp;Category_New,Panel_Rates[Panel]&amp;Panel_Rates[Category],0),MATCH('Time Plan (Multiple Release)'!E64,OFFSET(Variable!$AF$2,MATCH(Panel_New&amp;Category_New,Panel_Rates[Panel]&amp;Panel_Rates[Category],0)-1,0,1,12),0))/8,"")</f>
        <v>305</v>
      </c>
      <c r="H64" s="326">
        <v>0.32</v>
      </c>
      <c r="I64" s="328">
        <f ca="1">IFERROR(G64*(1-H64),"")</f>
        <v>207.39999999999998</v>
      </c>
      <c r="J64" s="329">
        <f ca="1">IFERROR(I64*8,"")</f>
        <v>1659.1999999999998</v>
      </c>
      <c r="K64" s="329">
        <f>IFERROR(_xlfn.XLOOKUP(D64,CostTableLookup[Name],CostTableLookup[Gross Cost]),"")</f>
        <v>245</v>
      </c>
      <c r="L64" s="330"/>
      <c r="M64" s="331">
        <f ca="1">IFERROR(L64*I64,"")</f>
        <v>0</v>
      </c>
      <c r="N64" s="332"/>
      <c r="O64" s="331">
        <f ca="1">IFERROR(N64*I64,"")</f>
        <v>0</v>
      </c>
      <c r="P64" s="331">
        <f ca="1">IFERROR(M64-O64,"")</f>
        <v>0</v>
      </c>
      <c r="Q64" s="333">
        <f>IFERROR(N64*K64,"")</f>
        <v>0</v>
      </c>
      <c r="R64" s="343">
        <f ca="1">IFERROR(((U64+O64)-(V64+Q64))/(U64+O64),"")</f>
        <v>-0.18129218900675023</v>
      </c>
      <c r="S64" s="335">
        <f ca="1">IFERROR(SUM(OFFSET(Y64,0,MATCH(Forecast_New,$Y$3:$WQ$3,0)-1,1,500))*40,"")</f>
        <v>160</v>
      </c>
      <c r="T64" s="336">
        <f ca="1">IFERROR(S64/8,"")</f>
        <v>20</v>
      </c>
      <c r="U64" s="337">
        <f ca="1">IFERROR($S64*I64,"")</f>
        <v>33184</v>
      </c>
      <c r="V64" s="338">
        <f ca="1">IFERROR($S64*K64,"")</f>
        <v>39200</v>
      </c>
      <c r="W64" s="339">
        <f t="shared" ref="W64:W72" ca="1" si="127">IFERROR(M64-(O64+U64),"")</f>
        <v>-33184</v>
      </c>
      <c r="X64" s="343"/>
      <c r="Y64" s="344"/>
      <c r="Z64" s="344"/>
      <c r="AA64" s="344"/>
      <c r="AB64" s="344"/>
      <c r="AC64" s="344"/>
      <c r="AD64" s="344"/>
      <c r="AE64" s="344"/>
      <c r="AF64" s="344"/>
      <c r="AG64" s="344"/>
      <c r="AH64" s="344"/>
      <c r="AI64" s="344"/>
      <c r="AJ64" s="344"/>
      <c r="AK64" s="344"/>
      <c r="AL64" s="344"/>
      <c r="AM64" s="344"/>
      <c r="AN64" s="435"/>
      <c r="AO64" s="435"/>
      <c r="AP64" s="435"/>
      <c r="AQ64" s="435"/>
      <c r="AR64" s="435">
        <v>0.5</v>
      </c>
      <c r="AS64" s="435">
        <v>0.5</v>
      </c>
      <c r="AT64" s="435">
        <v>0.5</v>
      </c>
      <c r="AU64" s="435">
        <v>0.5</v>
      </c>
      <c r="AV64" s="435">
        <v>0.5</v>
      </c>
      <c r="AW64" s="435">
        <v>0.5</v>
      </c>
      <c r="AX64" s="435">
        <v>0.5</v>
      </c>
      <c r="AY64" s="435">
        <v>0.5</v>
      </c>
      <c r="AZ64" s="344"/>
      <c r="BA64" s="344"/>
      <c r="BB64" s="344"/>
      <c r="BC64" s="344"/>
      <c r="BD64" s="344"/>
      <c r="BE64" s="344"/>
      <c r="BF64" s="344"/>
      <c r="BG64" s="344"/>
      <c r="BH64" s="344"/>
      <c r="BI64" s="344"/>
      <c r="BJ64" s="344"/>
      <c r="BK64" s="344"/>
      <c r="BL64" s="344"/>
      <c r="BM64" s="344"/>
      <c r="BN64" s="344"/>
      <c r="BO64" s="344"/>
      <c r="BP64" s="344"/>
      <c r="BQ64" s="344"/>
      <c r="BR64" s="344"/>
      <c r="BS64" s="344"/>
      <c r="BT64" s="344"/>
      <c r="BU64" s="344"/>
      <c r="BV64" s="344"/>
      <c r="BW64" s="344"/>
      <c r="BX64" s="344"/>
      <c r="BY64" s="344"/>
      <c r="BZ64" s="344"/>
      <c r="CA64" s="344"/>
      <c r="CB64" s="344"/>
      <c r="CC64" s="344"/>
      <c r="CD64" s="344"/>
      <c r="CE64" s="344"/>
      <c r="CF64" s="344"/>
      <c r="CG64" s="344"/>
      <c r="CH64" s="344"/>
      <c r="CI64" s="344"/>
      <c r="CJ64" s="344"/>
      <c r="CK64" s="344"/>
      <c r="CL64" s="344"/>
      <c r="CM64" s="344"/>
      <c r="CN64" s="344"/>
      <c r="CO64" s="344"/>
      <c r="CP64" s="344"/>
      <c r="CQ64" s="344"/>
      <c r="CR64" s="344"/>
      <c r="CS64" s="344"/>
      <c r="CT64" s="344"/>
      <c r="CU64" s="344"/>
      <c r="CV64" s="344"/>
      <c r="CW64" s="344"/>
      <c r="CX64" s="344"/>
      <c r="CY64" s="344"/>
      <c r="CZ64" s="344"/>
      <c r="DA64" s="344"/>
      <c r="DB64" s="344"/>
      <c r="DC64" s="344"/>
      <c r="DD64" s="344"/>
      <c r="DE64" s="344"/>
      <c r="DF64" s="344"/>
      <c r="DG64" s="344"/>
      <c r="DH64" s="344"/>
      <c r="DI64" s="344"/>
      <c r="DJ64" s="344"/>
      <c r="DK64" s="344"/>
      <c r="DL64" s="344"/>
      <c r="DM64" s="344"/>
      <c r="DN64" s="344"/>
      <c r="DO64" s="344"/>
      <c r="DP64" s="344"/>
      <c r="DQ64" s="344"/>
      <c r="DR64" s="344"/>
      <c r="DS64" s="344"/>
      <c r="DT64" s="344"/>
      <c r="DU64" s="344"/>
      <c r="DV64" s="344"/>
      <c r="DW64" s="344"/>
      <c r="DX64" s="344"/>
      <c r="DY64" s="344"/>
      <c r="DZ64" s="344"/>
      <c r="EA64" s="344"/>
      <c r="EB64" s="344"/>
      <c r="EC64" s="344"/>
      <c r="ED64" s="344"/>
      <c r="EE64" s="344"/>
      <c r="EF64" s="344"/>
      <c r="EG64" s="344"/>
      <c r="EH64" s="344"/>
      <c r="EI64" s="344"/>
      <c r="EJ64" s="344"/>
      <c r="EK64" s="344"/>
      <c r="EL64" s="344"/>
      <c r="EM64" s="344"/>
      <c r="EN64" s="344"/>
      <c r="EO64" s="344"/>
      <c r="EP64" s="344"/>
      <c r="EQ64" s="344"/>
      <c r="ER64" s="344"/>
      <c r="ES64" s="344"/>
      <c r="ET64" s="344"/>
      <c r="EU64" s="344"/>
      <c r="EV64" s="344"/>
      <c r="EW64" s="344"/>
      <c r="EX64" s="344"/>
      <c r="EY64" s="344"/>
      <c r="EZ64" s="344"/>
      <c r="FA64" s="344"/>
      <c r="FB64" s="344"/>
      <c r="FC64" s="344"/>
      <c r="FD64" s="344"/>
      <c r="FE64" s="344"/>
      <c r="FF64" s="344"/>
      <c r="FG64" s="344"/>
      <c r="FH64" s="344"/>
      <c r="FI64" s="344"/>
      <c r="FJ64" s="344"/>
      <c r="FK64" s="344"/>
      <c r="FL64" s="344"/>
      <c r="FM64" s="344"/>
      <c r="FN64" s="344"/>
      <c r="FO64" s="344"/>
      <c r="FP64" s="344"/>
      <c r="FQ64" s="344"/>
      <c r="FR64" s="344"/>
      <c r="FS64" s="344"/>
      <c r="FT64" s="344"/>
      <c r="FU64" s="344"/>
      <c r="FV64" s="344"/>
      <c r="FW64" s="344"/>
      <c r="FX64" s="344"/>
      <c r="FY64" s="344"/>
      <c r="FZ64" s="344"/>
      <c r="GA64" s="344"/>
      <c r="GB64" s="344"/>
      <c r="GC64" s="344"/>
      <c r="GD64" s="344"/>
      <c r="GE64" s="344"/>
      <c r="GF64" s="344"/>
      <c r="GG64" s="344"/>
      <c r="GH64" s="344"/>
      <c r="GI64" s="344"/>
      <c r="GJ64" s="344"/>
      <c r="GK64" s="344"/>
      <c r="GL64" s="344"/>
      <c r="GM64" s="344"/>
      <c r="GN64" s="344"/>
      <c r="GO64" s="344"/>
      <c r="GP64" s="344"/>
      <c r="GQ64" s="344"/>
      <c r="GR64" s="344"/>
      <c r="GS64" s="344"/>
      <c r="GT64" s="344"/>
      <c r="GU64" s="344"/>
      <c r="GV64" s="344"/>
      <c r="GW64" s="344"/>
      <c r="GX64" s="344"/>
      <c r="GY64" s="344"/>
      <c r="GZ64" s="344"/>
      <c r="HA64" s="344"/>
      <c r="HB64" s="344"/>
      <c r="HC64" s="344"/>
      <c r="HD64" s="344"/>
      <c r="HE64" s="344"/>
      <c r="HF64" s="344"/>
      <c r="HG64" s="344"/>
      <c r="HH64" s="344"/>
      <c r="HI64" s="344"/>
      <c r="HJ64" s="344"/>
      <c r="HK64" s="344"/>
      <c r="HL64" s="344"/>
      <c r="HM64" s="344"/>
      <c r="HN64" s="344"/>
      <c r="HO64" s="344"/>
      <c r="HP64" s="344"/>
      <c r="HQ64" s="344"/>
      <c r="HR64" s="344"/>
      <c r="HS64" s="344"/>
      <c r="HT64" s="344"/>
      <c r="HU64" s="344"/>
      <c r="HV64" s="344"/>
      <c r="HW64" s="344"/>
      <c r="HX64" s="344"/>
      <c r="HY64" s="344"/>
      <c r="HZ64" s="344"/>
      <c r="IA64" s="344"/>
      <c r="IB64" s="344"/>
      <c r="IC64" s="344"/>
      <c r="ID64" s="344"/>
      <c r="IE64" s="344"/>
      <c r="IF64" s="344"/>
      <c r="IG64" s="344"/>
      <c r="IH64" s="344"/>
      <c r="II64" s="344"/>
      <c r="IJ64" s="344"/>
      <c r="IK64" s="344"/>
      <c r="IL64" s="344"/>
      <c r="IM64" s="344"/>
      <c r="IN64" s="344"/>
      <c r="IO64" s="344"/>
      <c r="IP64" s="344"/>
      <c r="IQ64" s="344"/>
      <c r="IR64" s="344"/>
      <c r="IS64" s="344"/>
      <c r="IT64" s="344"/>
      <c r="IU64" s="344"/>
      <c r="IV64" s="344"/>
      <c r="IW64" s="344"/>
      <c r="IX64" s="344"/>
      <c r="IY64" s="344"/>
      <c r="IZ64" s="344"/>
      <c r="JA64" s="344"/>
      <c r="JB64" s="344"/>
      <c r="JC64" s="344"/>
      <c r="JD64" s="344"/>
      <c r="JE64" s="344"/>
      <c r="JF64" s="344"/>
      <c r="JG64" s="344"/>
      <c r="JH64" s="344"/>
      <c r="JI64" s="344"/>
      <c r="JJ64" s="344"/>
      <c r="JK64" s="344"/>
      <c r="JL64" s="344"/>
      <c r="JM64" s="344"/>
      <c r="JN64" s="344"/>
    </row>
    <row r="65" spans="2:274" ht="19.5" customHeight="1" x14ac:dyDescent="0.25">
      <c r="B65" s="360" t="s">
        <v>981</v>
      </c>
      <c r="C65" s="323" t="s">
        <v>935</v>
      </c>
      <c r="D65" s="321" t="s">
        <v>746</v>
      </c>
      <c r="E65" s="321" t="s">
        <v>752</v>
      </c>
      <c r="F65" s="324" t="s">
        <v>155</v>
      </c>
      <c r="G65" s="325" cm="1">
        <f t="array" aca="1" ref="G65" ca="1">IFERROR(INDEX(Panel_Rates[[1]:[12]],MATCH(Panel_New&amp;Category_New,Panel_Rates[Panel]&amp;Panel_Rates[Category],0),MATCH('Time Plan (Multiple Release)'!E65,OFFSET(Variable!$AF$2,MATCH(Panel_New&amp;Category_New,Panel_Rates[Panel]&amp;Panel_Rates[Category],0)-1,0,1,12),0))/8,"")</f>
        <v>245</v>
      </c>
      <c r="H65" s="326">
        <v>0.38</v>
      </c>
      <c r="I65" s="328">
        <f ca="1">IFERROR(G65*(1-H65),"")</f>
        <v>151.9</v>
      </c>
      <c r="J65" s="329">
        <f ca="1">IFERROR(I65*8,"")</f>
        <v>1215.2</v>
      </c>
      <c r="K65" s="329">
        <f>IFERROR(_xlfn.XLOOKUP(D65,CostTableLookup[Name],CostTableLookup[Gross Cost]),"")</f>
        <v>90</v>
      </c>
      <c r="L65" s="330"/>
      <c r="M65" s="331">
        <f ca="1">IFERROR(L65*I65,"")</f>
        <v>0</v>
      </c>
      <c r="N65" s="332"/>
      <c r="O65" s="331">
        <f ca="1">IFERROR(N65*I65,"")</f>
        <v>0</v>
      </c>
      <c r="P65" s="331">
        <f ca="1">IFERROR(M65-O65,"")</f>
        <v>0</v>
      </c>
      <c r="Q65" s="333">
        <f>IFERROR(N65*K65,"")</f>
        <v>0</v>
      </c>
      <c r="R65" s="343">
        <f ca="1">IFERROR(((U65+O65)-(V65+Q65))/(U65+O65),"")</f>
        <v>0.40750493745885452</v>
      </c>
      <c r="S65" s="335">
        <f ca="1">IFERROR(SUM(OFFSET(Y65,0,MATCH(Forecast_New,$Y$3:$WQ$3,0)-1,1,500))*40,"")</f>
        <v>60</v>
      </c>
      <c r="T65" s="336">
        <f ca="1">IFERROR(S65/8,"")</f>
        <v>7.5</v>
      </c>
      <c r="U65" s="337">
        <f ca="1">IFERROR($S65*I65,"")</f>
        <v>9114</v>
      </c>
      <c r="V65" s="338">
        <f ca="1">IFERROR($S65*K65,"")</f>
        <v>5400</v>
      </c>
      <c r="W65" s="339">
        <f t="shared" ca="1" si="127"/>
        <v>-9114</v>
      </c>
      <c r="X65" s="343"/>
      <c r="Y65" s="344"/>
      <c r="Z65" s="344"/>
      <c r="AA65" s="344"/>
      <c r="AB65" s="344"/>
      <c r="AC65" s="344"/>
      <c r="AD65" s="344"/>
      <c r="AE65" s="344"/>
      <c r="AF65" s="344"/>
      <c r="AG65" s="344"/>
      <c r="AH65" s="344"/>
      <c r="AI65" s="344"/>
      <c r="AJ65" s="344"/>
      <c r="AK65" s="344"/>
      <c r="AL65" s="344"/>
      <c r="AM65" s="344"/>
      <c r="AN65" s="435">
        <v>0.5</v>
      </c>
      <c r="AO65" s="435">
        <v>0.5</v>
      </c>
      <c r="AP65" s="435">
        <v>0.5</v>
      </c>
      <c r="AQ65" s="435"/>
      <c r="AR65" s="435"/>
      <c r="AS65" s="435"/>
      <c r="AT65" s="435"/>
      <c r="AU65" s="435"/>
      <c r="AV65" s="435"/>
      <c r="AW65" s="435"/>
      <c r="AX65" s="435"/>
      <c r="AY65" s="435"/>
      <c r="AZ65" s="344"/>
      <c r="BA65" s="344"/>
      <c r="BB65" s="344"/>
      <c r="BC65" s="344"/>
      <c r="BD65" s="344"/>
      <c r="BE65" s="344"/>
      <c r="BF65" s="344"/>
      <c r="BG65" s="344"/>
      <c r="BH65" s="344"/>
      <c r="BI65" s="344"/>
      <c r="BJ65" s="344"/>
      <c r="BK65" s="344"/>
      <c r="BL65" s="344"/>
      <c r="BM65" s="344"/>
      <c r="BN65" s="344"/>
      <c r="BO65" s="344"/>
      <c r="BP65" s="344"/>
      <c r="BQ65" s="344"/>
      <c r="BR65" s="344"/>
      <c r="BS65" s="344"/>
      <c r="BT65" s="344"/>
      <c r="BU65" s="344"/>
      <c r="BV65" s="344"/>
      <c r="BW65" s="344"/>
      <c r="BX65" s="344"/>
      <c r="BY65" s="344"/>
      <c r="BZ65" s="344"/>
      <c r="CA65" s="344"/>
      <c r="CB65" s="344"/>
      <c r="CC65" s="344"/>
      <c r="CD65" s="344"/>
      <c r="CE65" s="344"/>
      <c r="CF65" s="344"/>
      <c r="CG65" s="344"/>
      <c r="CH65" s="344"/>
      <c r="CI65" s="344"/>
      <c r="CJ65" s="344"/>
      <c r="CK65" s="344"/>
      <c r="CL65" s="344"/>
      <c r="CM65" s="344"/>
      <c r="CN65" s="344"/>
      <c r="CO65" s="344"/>
      <c r="CP65" s="344"/>
      <c r="CQ65" s="344"/>
      <c r="CR65" s="344"/>
      <c r="CS65" s="344"/>
      <c r="CT65" s="344"/>
      <c r="CU65" s="344"/>
      <c r="CV65" s="344"/>
      <c r="CW65" s="344"/>
      <c r="CX65" s="344"/>
      <c r="CY65" s="344"/>
      <c r="CZ65" s="344"/>
      <c r="DA65" s="344"/>
      <c r="DB65" s="344"/>
      <c r="DC65" s="344"/>
      <c r="DD65" s="344"/>
      <c r="DE65" s="344"/>
      <c r="DF65" s="344"/>
      <c r="DG65" s="344"/>
      <c r="DH65" s="344"/>
      <c r="DI65" s="344"/>
      <c r="DJ65" s="344"/>
      <c r="DK65" s="344"/>
      <c r="DL65" s="344"/>
      <c r="DM65" s="344"/>
      <c r="DN65" s="344"/>
      <c r="DO65" s="344"/>
      <c r="DP65" s="344"/>
      <c r="DQ65" s="344"/>
      <c r="DR65" s="344"/>
      <c r="DS65" s="344"/>
      <c r="DT65" s="344"/>
      <c r="DU65" s="344"/>
      <c r="DV65" s="344"/>
      <c r="DW65" s="344"/>
      <c r="DX65" s="344"/>
      <c r="DY65" s="344"/>
      <c r="DZ65" s="344"/>
      <c r="EA65" s="344"/>
      <c r="EB65" s="344"/>
      <c r="EC65" s="344"/>
      <c r="ED65" s="344"/>
      <c r="EE65" s="344"/>
      <c r="EF65" s="344"/>
      <c r="EG65" s="344"/>
      <c r="EH65" s="344"/>
      <c r="EI65" s="344"/>
      <c r="EJ65" s="344"/>
      <c r="EK65" s="344"/>
      <c r="EL65" s="344"/>
      <c r="EM65" s="344"/>
      <c r="EN65" s="344"/>
      <c r="EO65" s="344"/>
      <c r="EP65" s="344"/>
      <c r="EQ65" s="344"/>
      <c r="ER65" s="344"/>
      <c r="ES65" s="344"/>
      <c r="ET65" s="344"/>
      <c r="EU65" s="344"/>
      <c r="EV65" s="344"/>
      <c r="EW65" s="344"/>
      <c r="EX65" s="344"/>
      <c r="EY65" s="344"/>
      <c r="EZ65" s="344"/>
      <c r="FA65" s="344"/>
      <c r="FB65" s="344"/>
      <c r="FC65" s="344"/>
      <c r="FD65" s="344"/>
      <c r="FE65" s="344"/>
      <c r="FF65" s="344"/>
      <c r="FG65" s="344"/>
      <c r="FH65" s="344"/>
      <c r="FI65" s="344"/>
      <c r="FJ65" s="344"/>
      <c r="FK65" s="344"/>
      <c r="FL65" s="344"/>
      <c r="FM65" s="344"/>
      <c r="FN65" s="344"/>
      <c r="FO65" s="344"/>
      <c r="FP65" s="344"/>
      <c r="FQ65" s="344"/>
      <c r="FR65" s="344"/>
      <c r="FS65" s="344"/>
      <c r="FT65" s="344"/>
      <c r="FU65" s="344"/>
      <c r="FV65" s="344"/>
      <c r="FW65" s="344"/>
      <c r="FX65" s="344"/>
      <c r="FY65" s="344"/>
      <c r="FZ65" s="344"/>
      <c r="GA65" s="344"/>
      <c r="GB65" s="344"/>
      <c r="GC65" s="344"/>
      <c r="GD65" s="344"/>
      <c r="GE65" s="344"/>
      <c r="GF65" s="344"/>
      <c r="GG65" s="344"/>
      <c r="GH65" s="344"/>
      <c r="GI65" s="344"/>
      <c r="GJ65" s="344"/>
      <c r="GK65" s="344"/>
      <c r="GL65" s="344"/>
      <c r="GM65" s="344"/>
      <c r="GN65" s="344"/>
      <c r="GO65" s="344"/>
      <c r="GP65" s="344"/>
      <c r="GQ65" s="344"/>
      <c r="GR65" s="344"/>
      <c r="GS65" s="344"/>
      <c r="GT65" s="344"/>
      <c r="GU65" s="344"/>
      <c r="GV65" s="344"/>
      <c r="GW65" s="344"/>
      <c r="GX65" s="344"/>
      <c r="GY65" s="344"/>
      <c r="GZ65" s="344"/>
      <c r="HA65" s="344"/>
      <c r="HB65" s="344"/>
      <c r="HC65" s="344"/>
      <c r="HD65" s="344"/>
      <c r="HE65" s="344"/>
      <c r="HF65" s="344"/>
      <c r="HG65" s="344"/>
      <c r="HH65" s="344"/>
      <c r="HI65" s="344"/>
      <c r="HJ65" s="344"/>
      <c r="HK65" s="344"/>
      <c r="HL65" s="344"/>
      <c r="HM65" s="344"/>
      <c r="HN65" s="344"/>
      <c r="HO65" s="344"/>
      <c r="HP65" s="344"/>
      <c r="HQ65" s="344"/>
      <c r="HR65" s="344"/>
      <c r="HS65" s="344"/>
      <c r="HT65" s="344"/>
      <c r="HU65" s="344"/>
      <c r="HV65" s="344"/>
      <c r="HW65" s="344"/>
      <c r="HX65" s="344"/>
      <c r="HY65" s="344"/>
      <c r="HZ65" s="344"/>
      <c r="IA65" s="344"/>
      <c r="IB65" s="344"/>
      <c r="IC65" s="344"/>
      <c r="ID65" s="344"/>
      <c r="IE65" s="344"/>
      <c r="IF65" s="344"/>
      <c r="IG65" s="344"/>
      <c r="IH65" s="344"/>
      <c r="II65" s="344"/>
      <c r="IJ65" s="344"/>
      <c r="IK65" s="344"/>
      <c r="IL65" s="344"/>
      <c r="IM65" s="344"/>
      <c r="IN65" s="344"/>
      <c r="IO65" s="344"/>
      <c r="IP65" s="344"/>
      <c r="IQ65" s="344"/>
      <c r="IR65" s="344"/>
      <c r="IS65" s="344"/>
      <c r="IT65" s="344"/>
      <c r="IU65" s="344"/>
      <c r="IV65" s="344"/>
      <c r="IW65" s="344"/>
      <c r="IX65" s="344"/>
      <c r="IY65" s="344"/>
      <c r="IZ65" s="344"/>
      <c r="JA65" s="344"/>
      <c r="JB65" s="344"/>
      <c r="JC65" s="344"/>
      <c r="JD65" s="344"/>
      <c r="JE65" s="344"/>
      <c r="JF65" s="344"/>
      <c r="JG65" s="344"/>
      <c r="JH65" s="344"/>
      <c r="JI65" s="344"/>
      <c r="JJ65" s="344"/>
      <c r="JK65" s="344"/>
      <c r="JL65" s="344"/>
      <c r="JM65" s="344"/>
      <c r="JN65" s="344"/>
    </row>
    <row r="66" spans="2:274" ht="19.5" customHeight="1" x14ac:dyDescent="0.25">
      <c r="B66" s="360" t="s">
        <v>981</v>
      </c>
      <c r="C66" s="323" t="s">
        <v>936</v>
      </c>
      <c r="D66" s="321" t="s">
        <v>317</v>
      </c>
      <c r="E66" s="321" t="s">
        <v>754</v>
      </c>
      <c r="F66" s="324" t="s">
        <v>929</v>
      </c>
      <c r="G66" s="325" cm="1">
        <f t="array" aca="1" ref="G66" ca="1">IFERROR(INDEX(Panel_Rates[[1]:[12]],MATCH(Panel_New&amp;Category_New,Panel_Rates[Panel]&amp;Panel_Rates[Category],0),MATCH('Time Plan (Multiple Release)'!E66,OFFSET(Variable!$AF$2,MATCH(Panel_New&amp;Category_New,Panel_Rates[Panel]&amp;Panel_Rates[Category],0)-1,0,1,12),0))/8,"")</f>
        <v>395</v>
      </c>
      <c r="H66" s="326">
        <v>0.4</v>
      </c>
      <c r="I66" s="328">
        <f t="shared" ref="I66:I72" ca="1" si="128">IFERROR(G66*(1-H66),"")</f>
        <v>237</v>
      </c>
      <c r="J66" s="329">
        <f ca="1">IFERROR(I66*8,"")</f>
        <v>1896</v>
      </c>
      <c r="K66" s="329">
        <f>IFERROR(_xlfn.XLOOKUP(D66,CostTableLookup[Name],CostTableLookup[Gross Cost]),"")</f>
        <v>198</v>
      </c>
      <c r="L66" s="330"/>
      <c r="M66" s="331">
        <f t="shared" ref="M66:M72" ca="1" si="129">IFERROR(L66*I66,"")</f>
        <v>0</v>
      </c>
      <c r="N66" s="332"/>
      <c r="O66" s="331">
        <f t="shared" ref="O66:O72" ca="1" si="130">IFERROR(N66*I66,"")</f>
        <v>0</v>
      </c>
      <c r="P66" s="331">
        <f t="shared" ref="P66:P72" ca="1" si="131">IFERROR(M66-O66,"")</f>
        <v>0</v>
      </c>
      <c r="Q66" s="333">
        <f t="shared" ref="Q66:Q72" si="132">IFERROR(N66*K66,"")</f>
        <v>0</v>
      </c>
      <c r="R66" s="343" t="str">
        <f t="shared" ref="R66:R72" ca="1" si="133">IFERROR(((U66+O66)-(V66+Q66))/(U66+O66),"")</f>
        <v/>
      </c>
      <c r="S66" s="335">
        <f t="shared" ref="S66:S67" ca="1" si="134">IFERROR(SUM(OFFSET(Y66,0,MATCH(Forecast_New,$Y$3:$WQ$3,0)-1,1,500))*40,"")</f>
        <v>0</v>
      </c>
      <c r="T66" s="336">
        <f t="shared" ref="T66:T72" ca="1" si="135">IFERROR(S66/8,"")</f>
        <v>0</v>
      </c>
      <c r="U66" s="337">
        <f t="shared" ref="U66:U72" ca="1" si="136">IFERROR($S66*I66,"")</f>
        <v>0</v>
      </c>
      <c r="V66" s="338">
        <f t="shared" ref="V66:V72" ca="1" si="137">IFERROR($S66*K66,"")</f>
        <v>0</v>
      </c>
      <c r="W66" s="339">
        <f t="shared" ca="1" si="127"/>
        <v>0</v>
      </c>
      <c r="X66" s="340" t="str">
        <f t="shared" ref="X66:X72" ca="1" si="138">IFERROR(W66/M66,"")</f>
        <v/>
      </c>
      <c r="Y66" s="341"/>
      <c r="Z66" s="341"/>
      <c r="AA66" s="341"/>
      <c r="AB66" s="341"/>
      <c r="AC66" s="341"/>
      <c r="AD66" s="341"/>
      <c r="AE66" s="341"/>
      <c r="AF66" s="341"/>
      <c r="AG66" s="341"/>
      <c r="AH66" s="341"/>
      <c r="AI66" s="341"/>
      <c r="AJ66" s="341"/>
      <c r="AK66" s="341"/>
      <c r="AL66" s="341"/>
      <c r="AM66" s="341"/>
      <c r="AN66" s="436"/>
      <c r="AO66" s="436"/>
      <c r="AP66" s="436"/>
      <c r="AQ66" s="436"/>
      <c r="AR66" s="436"/>
      <c r="AS66" s="436"/>
      <c r="AT66" s="436"/>
      <c r="AU66" s="436"/>
      <c r="AV66" s="436"/>
      <c r="AW66" s="436"/>
      <c r="AX66" s="436"/>
      <c r="AY66" s="436"/>
      <c r="AZ66" s="341"/>
      <c r="BA66" s="341"/>
      <c r="BB66" s="341"/>
      <c r="BC66" s="341"/>
      <c r="BD66" s="341"/>
      <c r="BE66" s="341"/>
      <c r="BF66" s="341"/>
      <c r="BG66" s="341"/>
      <c r="BH66" s="341"/>
      <c r="BI66" s="341"/>
      <c r="BJ66" s="341"/>
      <c r="BK66" s="341"/>
      <c r="BL66" s="341"/>
      <c r="BM66" s="341"/>
      <c r="BN66" s="341"/>
      <c r="BO66" s="341"/>
      <c r="BP66" s="341"/>
      <c r="BQ66" s="341"/>
      <c r="BR66" s="341"/>
      <c r="BS66" s="341"/>
      <c r="BT66" s="341"/>
      <c r="BU66" s="341"/>
      <c r="BV66" s="341"/>
      <c r="BW66" s="341"/>
      <c r="BX66" s="341"/>
      <c r="BY66" s="341"/>
      <c r="BZ66" s="341"/>
      <c r="CA66" s="341"/>
      <c r="CB66" s="341"/>
      <c r="CC66" s="341"/>
      <c r="CD66" s="341"/>
      <c r="CE66" s="341"/>
      <c r="CF66" s="341"/>
      <c r="CG66" s="341"/>
      <c r="CH66" s="341"/>
      <c r="CI66" s="341"/>
      <c r="CJ66" s="341"/>
      <c r="CK66" s="341"/>
      <c r="CL66" s="341"/>
      <c r="CM66" s="341"/>
      <c r="CN66" s="341"/>
      <c r="CO66" s="341"/>
      <c r="CP66" s="341"/>
      <c r="CQ66" s="341"/>
      <c r="CR66" s="341"/>
      <c r="CS66" s="341"/>
      <c r="CT66" s="341"/>
      <c r="CU66" s="341"/>
      <c r="CV66" s="341"/>
      <c r="CW66" s="341"/>
      <c r="CX66" s="341"/>
      <c r="CY66" s="341"/>
      <c r="CZ66" s="341"/>
      <c r="DA66" s="341"/>
      <c r="DB66" s="341"/>
      <c r="DC66" s="341"/>
      <c r="DD66" s="341"/>
      <c r="DE66" s="341"/>
      <c r="DF66" s="341"/>
      <c r="DG66" s="341"/>
      <c r="DH66" s="341"/>
      <c r="DI66" s="341"/>
      <c r="DJ66" s="341"/>
      <c r="DK66" s="341"/>
      <c r="DL66" s="341"/>
      <c r="DM66" s="341"/>
      <c r="DN66" s="341"/>
      <c r="DO66" s="341"/>
      <c r="DP66" s="341"/>
      <c r="DQ66" s="341"/>
      <c r="DR66" s="341"/>
      <c r="DS66" s="341"/>
      <c r="DT66" s="341"/>
      <c r="DU66" s="341"/>
      <c r="DV66" s="341"/>
      <c r="DW66" s="341"/>
      <c r="DX66" s="341"/>
      <c r="DY66" s="341"/>
      <c r="DZ66" s="341"/>
      <c r="EA66" s="341"/>
      <c r="EB66" s="341"/>
      <c r="EC66" s="341"/>
      <c r="ED66" s="341"/>
      <c r="EE66" s="341"/>
      <c r="EF66" s="341"/>
      <c r="EG66" s="341"/>
      <c r="EH66" s="341"/>
      <c r="EI66" s="341"/>
      <c r="EJ66" s="341"/>
      <c r="EK66" s="341"/>
      <c r="EL66" s="341"/>
      <c r="EM66" s="341"/>
      <c r="EN66" s="341"/>
      <c r="EO66" s="341"/>
      <c r="EP66" s="341"/>
      <c r="EQ66" s="341"/>
      <c r="ER66" s="341"/>
      <c r="ES66" s="341"/>
      <c r="ET66" s="341"/>
      <c r="EU66" s="341"/>
      <c r="EV66" s="341"/>
      <c r="EW66" s="341"/>
      <c r="EX66" s="341"/>
      <c r="EY66" s="341"/>
      <c r="EZ66" s="341"/>
      <c r="FA66" s="341"/>
      <c r="FB66" s="341"/>
      <c r="FC66" s="341"/>
      <c r="FD66" s="341"/>
      <c r="FE66" s="341"/>
      <c r="FF66" s="341"/>
      <c r="FG66" s="341"/>
      <c r="FH66" s="341"/>
      <c r="FI66" s="341"/>
      <c r="FJ66" s="341"/>
      <c r="FK66" s="341"/>
      <c r="FL66" s="341"/>
      <c r="FM66" s="341"/>
      <c r="FN66" s="341"/>
      <c r="FO66" s="341"/>
      <c r="FP66" s="341"/>
      <c r="FQ66" s="341"/>
      <c r="FR66" s="341"/>
      <c r="FS66" s="341"/>
      <c r="FT66" s="341"/>
      <c r="FU66" s="341"/>
      <c r="FV66" s="341"/>
      <c r="FW66" s="341"/>
      <c r="FX66" s="341"/>
      <c r="FY66" s="341"/>
      <c r="FZ66" s="341"/>
      <c r="GA66" s="341"/>
      <c r="GB66" s="341"/>
      <c r="GC66" s="341"/>
      <c r="GD66" s="341"/>
      <c r="GE66" s="341"/>
      <c r="GF66" s="341"/>
      <c r="GG66" s="341"/>
      <c r="GH66" s="341"/>
      <c r="GI66" s="341"/>
      <c r="GJ66" s="341"/>
      <c r="GK66" s="341"/>
      <c r="GL66" s="341"/>
      <c r="GM66" s="341"/>
      <c r="GN66" s="341"/>
      <c r="GO66" s="341"/>
      <c r="GP66" s="341"/>
      <c r="GQ66" s="341"/>
      <c r="GR66" s="341"/>
      <c r="GS66" s="341"/>
      <c r="GT66" s="341"/>
      <c r="GU66" s="341"/>
      <c r="GV66" s="341"/>
      <c r="GW66" s="341"/>
      <c r="GX66" s="341"/>
      <c r="GY66" s="341"/>
      <c r="GZ66" s="341"/>
      <c r="HA66" s="341"/>
      <c r="HB66" s="341"/>
      <c r="HC66" s="341"/>
      <c r="HD66" s="341"/>
      <c r="HE66" s="341"/>
      <c r="HF66" s="341"/>
      <c r="HG66" s="341"/>
      <c r="HH66" s="341"/>
      <c r="HI66" s="341"/>
      <c r="HJ66" s="341"/>
      <c r="HK66" s="341"/>
      <c r="HL66" s="341"/>
      <c r="HM66" s="341"/>
      <c r="HN66" s="341"/>
      <c r="HO66" s="341"/>
      <c r="HP66" s="341"/>
      <c r="HQ66" s="341"/>
      <c r="HR66" s="341"/>
      <c r="HS66" s="341"/>
      <c r="HT66" s="341"/>
      <c r="HU66" s="341"/>
      <c r="HV66" s="341"/>
      <c r="HW66" s="341"/>
      <c r="HX66" s="341"/>
      <c r="HY66" s="341"/>
      <c r="HZ66" s="341"/>
      <c r="IA66" s="341"/>
      <c r="IB66" s="341"/>
      <c r="IC66" s="341"/>
      <c r="ID66" s="341"/>
      <c r="IE66" s="341"/>
      <c r="IF66" s="341"/>
      <c r="IG66" s="341"/>
      <c r="IH66" s="341"/>
      <c r="II66" s="341"/>
      <c r="IJ66" s="341"/>
      <c r="IK66" s="341"/>
      <c r="IL66" s="341"/>
      <c r="IM66" s="341"/>
      <c r="IN66" s="341"/>
      <c r="IO66" s="341"/>
      <c r="IP66" s="341"/>
      <c r="IQ66" s="341"/>
      <c r="IR66" s="341"/>
      <c r="IS66" s="341"/>
      <c r="IT66" s="341"/>
      <c r="IU66" s="341"/>
      <c r="IV66" s="341"/>
      <c r="IW66" s="341"/>
      <c r="IX66" s="341"/>
      <c r="IY66" s="341"/>
      <c r="IZ66" s="341"/>
      <c r="JA66" s="341"/>
      <c r="JB66" s="341"/>
      <c r="JC66" s="341"/>
      <c r="JD66" s="341"/>
      <c r="JE66" s="341"/>
      <c r="JF66" s="341"/>
      <c r="JG66" s="341"/>
      <c r="JH66" s="341"/>
      <c r="JI66" s="341"/>
      <c r="JJ66" s="341"/>
      <c r="JK66" s="341"/>
      <c r="JL66" s="341"/>
      <c r="JM66" s="341"/>
      <c r="JN66" s="341"/>
    </row>
    <row r="67" spans="2:274" ht="19.5" customHeight="1" x14ac:dyDescent="0.25">
      <c r="B67" s="360" t="s">
        <v>981</v>
      </c>
      <c r="C67" s="323" t="s">
        <v>936</v>
      </c>
      <c r="D67" s="321" t="s">
        <v>126</v>
      </c>
      <c r="E67" s="321" t="s">
        <v>752</v>
      </c>
      <c r="F67" s="324" t="s">
        <v>852</v>
      </c>
      <c r="G67" s="325" cm="1">
        <f t="array" aca="1" ref="G67" ca="1">IFERROR(INDEX(Panel_Rates[[1]:[12]],MATCH(Panel_New&amp;Category_New,Panel_Rates[Panel]&amp;Panel_Rates[Category],0),MATCH('Time Plan (Multiple Release)'!E67,OFFSET(Variable!$AF$2,MATCH(Panel_New&amp;Category_New,Panel_Rates[Panel]&amp;Panel_Rates[Category],0)-1,0,1,12),0))/8,"")</f>
        <v>245</v>
      </c>
      <c r="H67" s="326">
        <v>0.38</v>
      </c>
      <c r="I67" s="328">
        <f t="shared" ca="1" si="128"/>
        <v>151.9</v>
      </c>
      <c r="J67" s="329">
        <f t="shared" ref="J67:J72" ca="1" si="139">IFERROR(I67*8,"")</f>
        <v>1215.2</v>
      </c>
      <c r="K67" s="329">
        <f>IFERROR(_xlfn.XLOOKUP(D67,CostTableLookup[Name],CostTableLookup[Gross Cost]),"")</f>
        <v>146</v>
      </c>
      <c r="L67" s="330"/>
      <c r="M67" s="331">
        <f t="shared" ca="1" si="129"/>
        <v>0</v>
      </c>
      <c r="N67" s="332"/>
      <c r="O67" s="331">
        <f t="shared" ca="1" si="130"/>
        <v>0</v>
      </c>
      <c r="P67" s="331">
        <f t="shared" ca="1" si="131"/>
        <v>0</v>
      </c>
      <c r="Q67" s="333">
        <f t="shared" si="132"/>
        <v>0</v>
      </c>
      <c r="R67" s="343" t="str">
        <f t="shared" ca="1" si="133"/>
        <v/>
      </c>
      <c r="S67" s="335">
        <f t="shared" ca="1" si="134"/>
        <v>0</v>
      </c>
      <c r="T67" s="336">
        <f t="shared" ca="1" si="135"/>
        <v>0</v>
      </c>
      <c r="U67" s="337">
        <f t="shared" ca="1" si="136"/>
        <v>0</v>
      </c>
      <c r="V67" s="338">
        <f t="shared" ca="1" si="137"/>
        <v>0</v>
      </c>
      <c r="W67" s="339">
        <f t="shared" ca="1" si="127"/>
        <v>0</v>
      </c>
      <c r="X67" s="340" t="str">
        <f t="shared" ca="1" si="138"/>
        <v/>
      </c>
      <c r="Y67" s="341"/>
      <c r="Z67" s="341"/>
      <c r="AA67" s="341"/>
      <c r="AB67" s="341"/>
      <c r="AC67" s="341"/>
      <c r="AD67" s="341"/>
      <c r="AE67" s="341"/>
      <c r="AF67" s="341"/>
      <c r="AG67" s="341"/>
      <c r="AH67" s="341"/>
      <c r="AI67" s="341"/>
      <c r="AJ67" s="341"/>
      <c r="AK67" s="341"/>
      <c r="AL67" s="341"/>
      <c r="AM67" s="341"/>
      <c r="AN67" s="436"/>
      <c r="AO67" s="436"/>
      <c r="AP67" s="436"/>
      <c r="AQ67" s="436"/>
      <c r="AR67" s="436"/>
      <c r="AS67" s="436"/>
      <c r="AT67" s="436"/>
      <c r="AU67" s="436"/>
      <c r="AV67" s="436"/>
      <c r="AW67" s="436"/>
      <c r="AX67" s="436"/>
      <c r="AY67" s="436"/>
      <c r="AZ67" s="341"/>
      <c r="BA67" s="341"/>
      <c r="BB67" s="341"/>
      <c r="BC67" s="341"/>
      <c r="BD67" s="341"/>
      <c r="BE67" s="341"/>
      <c r="BF67" s="341"/>
      <c r="BG67" s="341"/>
      <c r="BH67" s="341"/>
      <c r="BI67" s="341"/>
      <c r="BJ67" s="341"/>
      <c r="BK67" s="341"/>
      <c r="BL67" s="341"/>
      <c r="BM67" s="341"/>
      <c r="BN67" s="341"/>
      <c r="BO67" s="341"/>
      <c r="BP67" s="341"/>
      <c r="BQ67" s="341"/>
      <c r="BR67" s="341"/>
      <c r="BS67" s="341"/>
      <c r="BT67" s="341"/>
      <c r="BU67" s="341"/>
      <c r="BV67" s="341"/>
      <c r="BW67" s="341"/>
      <c r="BX67" s="341"/>
      <c r="BY67" s="341"/>
      <c r="BZ67" s="341"/>
      <c r="CA67" s="341"/>
      <c r="CB67" s="341"/>
      <c r="CC67" s="341"/>
      <c r="CD67" s="341"/>
      <c r="CE67" s="341"/>
      <c r="CF67" s="341"/>
      <c r="CG67" s="341"/>
      <c r="CH67" s="341"/>
      <c r="CI67" s="341"/>
      <c r="CJ67" s="341"/>
      <c r="CK67" s="341"/>
      <c r="CL67" s="341"/>
      <c r="CM67" s="341"/>
      <c r="CN67" s="341"/>
      <c r="CO67" s="341"/>
      <c r="CP67" s="341"/>
      <c r="CQ67" s="341"/>
      <c r="CR67" s="341"/>
      <c r="CS67" s="341"/>
      <c r="CT67" s="341"/>
      <c r="CU67" s="341"/>
      <c r="CV67" s="341"/>
      <c r="CW67" s="341"/>
      <c r="CX67" s="341"/>
      <c r="CY67" s="341"/>
      <c r="CZ67" s="341"/>
      <c r="DA67" s="341"/>
      <c r="DB67" s="341"/>
      <c r="DC67" s="341"/>
      <c r="DD67" s="341"/>
      <c r="DE67" s="341"/>
      <c r="DF67" s="341"/>
      <c r="DG67" s="341"/>
      <c r="DH67" s="341"/>
      <c r="DI67" s="341"/>
      <c r="DJ67" s="341"/>
      <c r="DK67" s="341"/>
      <c r="DL67" s="341"/>
      <c r="DM67" s="341"/>
      <c r="DN67" s="341"/>
      <c r="DO67" s="341"/>
      <c r="DP67" s="341"/>
      <c r="DQ67" s="341"/>
      <c r="DR67" s="341"/>
      <c r="DS67" s="341"/>
      <c r="DT67" s="341"/>
      <c r="DU67" s="341"/>
      <c r="DV67" s="341"/>
      <c r="DW67" s="341"/>
      <c r="DX67" s="341"/>
      <c r="DY67" s="341"/>
      <c r="DZ67" s="341"/>
      <c r="EA67" s="341"/>
      <c r="EB67" s="341"/>
      <c r="EC67" s="341"/>
      <c r="ED67" s="341"/>
      <c r="EE67" s="341"/>
      <c r="EF67" s="341"/>
      <c r="EG67" s="341"/>
      <c r="EH67" s="341"/>
      <c r="EI67" s="341"/>
      <c r="EJ67" s="341"/>
      <c r="EK67" s="341"/>
      <c r="EL67" s="341"/>
      <c r="EM67" s="341"/>
      <c r="EN67" s="341"/>
      <c r="EO67" s="341"/>
      <c r="EP67" s="341"/>
      <c r="EQ67" s="341"/>
      <c r="ER67" s="341"/>
      <c r="ES67" s="341"/>
      <c r="ET67" s="341"/>
      <c r="EU67" s="341"/>
      <c r="EV67" s="341"/>
      <c r="EW67" s="341"/>
      <c r="EX67" s="341"/>
      <c r="EY67" s="341"/>
      <c r="EZ67" s="341"/>
      <c r="FA67" s="341"/>
      <c r="FB67" s="341"/>
      <c r="FC67" s="341"/>
      <c r="FD67" s="341"/>
      <c r="FE67" s="341"/>
      <c r="FF67" s="341"/>
      <c r="FG67" s="341"/>
      <c r="FH67" s="341"/>
      <c r="FI67" s="341"/>
      <c r="FJ67" s="341"/>
      <c r="FK67" s="341"/>
      <c r="FL67" s="341"/>
      <c r="FM67" s="341"/>
      <c r="FN67" s="341"/>
      <c r="FO67" s="341"/>
      <c r="FP67" s="341"/>
      <c r="FQ67" s="341"/>
      <c r="FR67" s="341"/>
      <c r="FS67" s="341"/>
      <c r="FT67" s="341"/>
      <c r="FU67" s="341"/>
      <c r="FV67" s="341"/>
      <c r="FW67" s="341"/>
      <c r="FX67" s="341"/>
      <c r="FY67" s="341"/>
      <c r="FZ67" s="341"/>
      <c r="GA67" s="341"/>
      <c r="GB67" s="341"/>
      <c r="GC67" s="341"/>
      <c r="GD67" s="341"/>
      <c r="GE67" s="341"/>
      <c r="GF67" s="341"/>
      <c r="GG67" s="341"/>
      <c r="GH67" s="341"/>
      <c r="GI67" s="341"/>
      <c r="GJ67" s="341"/>
      <c r="GK67" s="341"/>
      <c r="GL67" s="341"/>
      <c r="GM67" s="341"/>
      <c r="GN67" s="341"/>
      <c r="GO67" s="341"/>
      <c r="GP67" s="341"/>
      <c r="GQ67" s="341"/>
      <c r="GR67" s="341"/>
      <c r="GS67" s="341"/>
      <c r="GT67" s="341"/>
      <c r="GU67" s="341"/>
      <c r="GV67" s="341"/>
      <c r="GW67" s="341"/>
      <c r="GX67" s="341"/>
      <c r="GY67" s="341"/>
      <c r="GZ67" s="341"/>
      <c r="HA67" s="341"/>
      <c r="HB67" s="341"/>
      <c r="HC67" s="341"/>
      <c r="HD67" s="341"/>
      <c r="HE67" s="341"/>
      <c r="HF67" s="341"/>
      <c r="HG67" s="341"/>
      <c r="HH67" s="341"/>
      <c r="HI67" s="341"/>
      <c r="HJ67" s="341"/>
      <c r="HK67" s="341"/>
      <c r="HL67" s="341"/>
      <c r="HM67" s="341"/>
      <c r="HN67" s="341"/>
      <c r="HO67" s="341"/>
      <c r="HP67" s="341"/>
      <c r="HQ67" s="341"/>
      <c r="HR67" s="341"/>
      <c r="HS67" s="341"/>
      <c r="HT67" s="341"/>
      <c r="HU67" s="341"/>
      <c r="HV67" s="341"/>
      <c r="HW67" s="341"/>
      <c r="HX67" s="341"/>
      <c r="HY67" s="341"/>
      <c r="HZ67" s="341"/>
      <c r="IA67" s="341"/>
      <c r="IB67" s="341"/>
      <c r="IC67" s="341"/>
      <c r="ID67" s="341"/>
      <c r="IE67" s="341"/>
      <c r="IF67" s="341"/>
      <c r="IG67" s="341"/>
      <c r="IH67" s="341"/>
      <c r="II67" s="341"/>
      <c r="IJ67" s="341"/>
      <c r="IK67" s="341"/>
      <c r="IL67" s="341"/>
      <c r="IM67" s="341"/>
      <c r="IN67" s="341"/>
      <c r="IO67" s="341"/>
      <c r="IP67" s="341"/>
      <c r="IQ67" s="341"/>
      <c r="IR67" s="341"/>
      <c r="IS67" s="341"/>
      <c r="IT67" s="341"/>
      <c r="IU67" s="341"/>
      <c r="IV67" s="341"/>
      <c r="IW67" s="341"/>
      <c r="IX67" s="341"/>
      <c r="IY67" s="341"/>
      <c r="IZ67" s="341"/>
      <c r="JA67" s="341"/>
      <c r="JB67" s="341"/>
      <c r="JC67" s="341"/>
      <c r="JD67" s="341"/>
      <c r="JE67" s="341"/>
      <c r="JF67" s="341"/>
      <c r="JG67" s="341"/>
      <c r="JH67" s="341"/>
      <c r="JI67" s="341"/>
      <c r="JJ67" s="341"/>
      <c r="JK67" s="341"/>
      <c r="JL67" s="341"/>
      <c r="JM67" s="341"/>
      <c r="JN67" s="341"/>
    </row>
    <row r="68" spans="2:274" ht="19.5" customHeight="1" x14ac:dyDescent="0.25">
      <c r="B68" s="360" t="s">
        <v>981</v>
      </c>
      <c r="C68" s="323" t="s">
        <v>936</v>
      </c>
      <c r="D68" s="321" t="s">
        <v>756</v>
      </c>
      <c r="E68" s="321" t="s">
        <v>753</v>
      </c>
      <c r="F68" s="324" t="s">
        <v>930</v>
      </c>
      <c r="G68" s="325" cm="1">
        <f t="array" aca="1" ref="G68" ca="1">IFERROR(INDEX(Panel_Rates[[1]:[12]],MATCH(Panel_New&amp;Category_New,Panel_Rates[Panel]&amp;Panel_Rates[Category],0),MATCH('Time Plan (Multiple Release)'!E68,OFFSET(Variable!$AF$2,MATCH(Panel_New&amp;Category_New,Panel_Rates[Panel]&amp;Panel_Rates[Category],0)-1,0,1,12),0))/8,"")</f>
        <v>305</v>
      </c>
      <c r="H68" s="326">
        <v>0.32</v>
      </c>
      <c r="I68" s="328">
        <f t="shared" ca="1" si="128"/>
        <v>207.39999999999998</v>
      </c>
      <c r="J68" s="329">
        <f t="shared" ca="1" si="139"/>
        <v>1659.1999999999998</v>
      </c>
      <c r="K68" s="329">
        <f>IFERROR(_xlfn.XLOOKUP(D68,CostTableLookup[Name],CostTableLookup[Gross Cost]),"")</f>
        <v>170.96</v>
      </c>
      <c r="L68" s="330"/>
      <c r="M68" s="331">
        <f t="shared" ca="1" si="129"/>
        <v>0</v>
      </c>
      <c r="N68" s="332"/>
      <c r="O68" s="331">
        <f t="shared" ca="1" si="130"/>
        <v>0</v>
      </c>
      <c r="P68" s="331">
        <f t="shared" ca="1" si="131"/>
        <v>0</v>
      </c>
      <c r="Q68" s="333">
        <f t="shared" si="132"/>
        <v>0</v>
      </c>
      <c r="R68" s="343" t="str">
        <f t="shared" ca="1" si="133"/>
        <v/>
      </c>
      <c r="S68" s="335">
        <f t="shared" ref="S68:S71" ca="1" si="140">IFERROR(SUM(OFFSET(Y68,0,MATCH(Forecast_New,$Y$3:$WQ$3,0)-1,1,500))*40,"")</f>
        <v>0</v>
      </c>
      <c r="T68" s="336">
        <f t="shared" ca="1" si="135"/>
        <v>0</v>
      </c>
      <c r="U68" s="337">
        <f t="shared" ca="1" si="136"/>
        <v>0</v>
      </c>
      <c r="V68" s="338">
        <f t="shared" ca="1" si="137"/>
        <v>0</v>
      </c>
      <c r="W68" s="339">
        <f t="shared" ca="1" si="127"/>
        <v>0</v>
      </c>
      <c r="X68" s="340" t="str">
        <f t="shared" ca="1" si="138"/>
        <v/>
      </c>
      <c r="Y68" s="341"/>
      <c r="Z68" s="341"/>
      <c r="AA68" s="341"/>
      <c r="AB68" s="341"/>
      <c r="AC68" s="341"/>
      <c r="AD68" s="341"/>
      <c r="AE68" s="341"/>
      <c r="AF68" s="341"/>
      <c r="AG68" s="341"/>
      <c r="AH68" s="341"/>
      <c r="AI68" s="341"/>
      <c r="AJ68" s="341"/>
      <c r="AK68" s="341"/>
      <c r="AL68" s="341"/>
      <c r="AM68" s="341"/>
      <c r="AN68" s="436"/>
      <c r="AO68" s="436"/>
      <c r="AP68" s="436"/>
      <c r="AQ68" s="436"/>
      <c r="AR68" s="436"/>
      <c r="AS68" s="436"/>
      <c r="AT68" s="436"/>
      <c r="AU68" s="436"/>
      <c r="AV68" s="436"/>
      <c r="AW68" s="436"/>
      <c r="AX68" s="436"/>
      <c r="AY68" s="436"/>
      <c r="AZ68" s="341"/>
      <c r="BA68" s="341"/>
      <c r="BB68" s="341"/>
      <c r="BC68" s="341"/>
      <c r="BD68" s="341"/>
      <c r="BE68" s="341"/>
      <c r="BF68" s="341"/>
      <c r="BG68" s="341"/>
      <c r="BH68" s="341"/>
      <c r="BI68" s="341"/>
      <c r="BJ68" s="341"/>
      <c r="BK68" s="341"/>
      <c r="BL68" s="341"/>
      <c r="BM68" s="341"/>
      <c r="BN68" s="341"/>
      <c r="BO68" s="341"/>
      <c r="BP68" s="341"/>
      <c r="BQ68" s="341"/>
      <c r="BR68" s="341"/>
      <c r="BS68" s="341"/>
      <c r="BT68" s="341"/>
      <c r="BU68" s="341"/>
      <c r="BV68" s="341"/>
      <c r="BW68" s="341"/>
      <c r="BX68" s="341"/>
      <c r="BY68" s="341"/>
      <c r="BZ68" s="341"/>
      <c r="CA68" s="341"/>
      <c r="CB68" s="341"/>
      <c r="CC68" s="341"/>
      <c r="CD68" s="341"/>
      <c r="CE68" s="341"/>
      <c r="CF68" s="341"/>
      <c r="CG68" s="341"/>
      <c r="CH68" s="341"/>
      <c r="CI68" s="341"/>
      <c r="CJ68" s="341"/>
      <c r="CK68" s="341"/>
      <c r="CL68" s="341"/>
      <c r="CM68" s="341"/>
      <c r="CN68" s="341"/>
      <c r="CO68" s="341"/>
      <c r="CP68" s="341"/>
      <c r="CQ68" s="341"/>
      <c r="CR68" s="341"/>
      <c r="CS68" s="341"/>
      <c r="CT68" s="341"/>
      <c r="CU68" s="341"/>
      <c r="CV68" s="341"/>
      <c r="CW68" s="341"/>
      <c r="CX68" s="341"/>
      <c r="CY68" s="341"/>
      <c r="CZ68" s="341"/>
      <c r="DA68" s="341"/>
      <c r="DB68" s="341"/>
      <c r="DC68" s="341"/>
      <c r="DD68" s="341"/>
      <c r="DE68" s="341"/>
      <c r="DF68" s="341"/>
      <c r="DG68" s="341"/>
      <c r="DH68" s="341"/>
      <c r="DI68" s="341"/>
      <c r="DJ68" s="341"/>
      <c r="DK68" s="341"/>
      <c r="DL68" s="341"/>
      <c r="DM68" s="341"/>
      <c r="DN68" s="341"/>
      <c r="DO68" s="341"/>
      <c r="DP68" s="341"/>
      <c r="DQ68" s="341"/>
      <c r="DR68" s="341"/>
      <c r="DS68" s="341"/>
      <c r="DT68" s="341"/>
      <c r="DU68" s="341"/>
      <c r="DV68" s="341"/>
      <c r="DW68" s="341"/>
      <c r="DX68" s="341"/>
      <c r="DY68" s="341"/>
      <c r="DZ68" s="341"/>
      <c r="EA68" s="341"/>
      <c r="EB68" s="341"/>
      <c r="EC68" s="341"/>
      <c r="ED68" s="341"/>
      <c r="EE68" s="341"/>
      <c r="EF68" s="341"/>
      <c r="EG68" s="341"/>
      <c r="EH68" s="341"/>
      <c r="EI68" s="341"/>
      <c r="EJ68" s="341"/>
      <c r="EK68" s="341"/>
      <c r="EL68" s="341"/>
      <c r="EM68" s="341"/>
      <c r="EN68" s="341"/>
      <c r="EO68" s="341"/>
      <c r="EP68" s="341"/>
      <c r="EQ68" s="341"/>
      <c r="ER68" s="341"/>
      <c r="ES68" s="341"/>
      <c r="ET68" s="341"/>
      <c r="EU68" s="341"/>
      <c r="EV68" s="341"/>
      <c r="EW68" s="341"/>
      <c r="EX68" s="341"/>
      <c r="EY68" s="341"/>
      <c r="EZ68" s="341"/>
      <c r="FA68" s="341"/>
      <c r="FB68" s="341"/>
      <c r="FC68" s="341"/>
      <c r="FD68" s="341"/>
      <c r="FE68" s="341"/>
      <c r="FF68" s="341"/>
      <c r="FG68" s="341"/>
      <c r="FH68" s="341"/>
      <c r="FI68" s="341"/>
      <c r="FJ68" s="341"/>
      <c r="FK68" s="341"/>
      <c r="FL68" s="341"/>
      <c r="FM68" s="341"/>
      <c r="FN68" s="341"/>
      <c r="FO68" s="341"/>
      <c r="FP68" s="341"/>
      <c r="FQ68" s="341"/>
      <c r="FR68" s="341"/>
      <c r="FS68" s="341"/>
      <c r="FT68" s="341"/>
      <c r="FU68" s="341"/>
      <c r="FV68" s="341"/>
      <c r="FW68" s="341"/>
      <c r="FX68" s="341"/>
      <c r="FY68" s="341"/>
      <c r="FZ68" s="341"/>
      <c r="GA68" s="341"/>
      <c r="GB68" s="341"/>
      <c r="GC68" s="341"/>
      <c r="GD68" s="341"/>
      <c r="GE68" s="341"/>
      <c r="GF68" s="341"/>
      <c r="GG68" s="341"/>
      <c r="GH68" s="341"/>
      <c r="GI68" s="341"/>
      <c r="GJ68" s="341"/>
      <c r="GK68" s="341"/>
      <c r="GL68" s="341"/>
      <c r="GM68" s="341"/>
      <c r="GN68" s="341"/>
      <c r="GO68" s="341"/>
      <c r="GP68" s="341"/>
      <c r="GQ68" s="341"/>
      <c r="GR68" s="341"/>
      <c r="GS68" s="341"/>
      <c r="GT68" s="341"/>
      <c r="GU68" s="341"/>
      <c r="GV68" s="341"/>
      <c r="GW68" s="341"/>
      <c r="GX68" s="341"/>
      <c r="GY68" s="341"/>
      <c r="GZ68" s="341"/>
      <c r="HA68" s="341"/>
      <c r="HB68" s="341"/>
      <c r="HC68" s="341"/>
      <c r="HD68" s="341"/>
      <c r="HE68" s="341"/>
      <c r="HF68" s="341"/>
      <c r="HG68" s="341"/>
      <c r="HH68" s="341"/>
      <c r="HI68" s="341"/>
      <c r="HJ68" s="341"/>
      <c r="HK68" s="341"/>
      <c r="HL68" s="341"/>
      <c r="HM68" s="341"/>
      <c r="HN68" s="341"/>
      <c r="HO68" s="341"/>
      <c r="HP68" s="341"/>
      <c r="HQ68" s="341"/>
      <c r="HR68" s="341"/>
      <c r="HS68" s="341"/>
      <c r="HT68" s="341"/>
      <c r="HU68" s="341"/>
      <c r="HV68" s="341"/>
      <c r="HW68" s="341"/>
      <c r="HX68" s="341"/>
      <c r="HY68" s="341"/>
      <c r="HZ68" s="341"/>
      <c r="IA68" s="341"/>
      <c r="IB68" s="341"/>
      <c r="IC68" s="341"/>
      <c r="ID68" s="341"/>
      <c r="IE68" s="341"/>
      <c r="IF68" s="341"/>
      <c r="IG68" s="341"/>
      <c r="IH68" s="341"/>
      <c r="II68" s="341"/>
      <c r="IJ68" s="341"/>
      <c r="IK68" s="341"/>
      <c r="IL68" s="341"/>
      <c r="IM68" s="341"/>
      <c r="IN68" s="341"/>
      <c r="IO68" s="341"/>
      <c r="IP68" s="341"/>
      <c r="IQ68" s="341"/>
      <c r="IR68" s="341"/>
      <c r="IS68" s="341"/>
      <c r="IT68" s="341"/>
      <c r="IU68" s="341"/>
      <c r="IV68" s="341"/>
      <c r="IW68" s="341"/>
      <c r="IX68" s="341"/>
      <c r="IY68" s="341"/>
      <c r="IZ68" s="341"/>
      <c r="JA68" s="341"/>
      <c r="JB68" s="341"/>
      <c r="JC68" s="341"/>
      <c r="JD68" s="341"/>
      <c r="JE68" s="341"/>
      <c r="JF68" s="341"/>
      <c r="JG68" s="341"/>
      <c r="JH68" s="341"/>
      <c r="JI68" s="341"/>
      <c r="JJ68" s="341"/>
      <c r="JK68" s="341"/>
      <c r="JL68" s="341"/>
      <c r="JM68" s="341"/>
      <c r="JN68" s="341"/>
    </row>
    <row r="69" spans="2:274" ht="19.5" customHeight="1" x14ac:dyDescent="0.25">
      <c r="B69" s="360" t="s">
        <v>981</v>
      </c>
      <c r="C69" s="323" t="s">
        <v>936</v>
      </c>
      <c r="D69" s="321" t="s">
        <v>447</v>
      </c>
      <c r="E69" s="321" t="s">
        <v>753</v>
      </c>
      <c r="F69" s="324" t="s">
        <v>931</v>
      </c>
      <c r="G69" s="325" cm="1">
        <f t="array" aca="1" ref="G69" ca="1">IFERROR(INDEX(Panel_Rates[[1]:[12]],MATCH(Panel_New&amp;Category_New,Panel_Rates[Panel]&amp;Panel_Rates[Category],0),MATCH('Time Plan (Multiple Release)'!E69,OFFSET(Variable!$AF$2,MATCH(Panel_New&amp;Category_New,Panel_Rates[Panel]&amp;Panel_Rates[Category],0)-1,0,1,12),0))/8,"")</f>
        <v>305</v>
      </c>
      <c r="H69" s="326">
        <v>0.38</v>
      </c>
      <c r="I69" s="328">
        <f t="shared" ca="1" si="128"/>
        <v>189.1</v>
      </c>
      <c r="J69" s="329">
        <f t="shared" ca="1" si="139"/>
        <v>1512.8</v>
      </c>
      <c r="K69" s="329">
        <f>IFERROR(_xlfn.XLOOKUP(D69,CostTableLookup[Name],CostTableLookup[Gross Cost]),"")</f>
        <v>151</v>
      </c>
      <c r="L69" s="330"/>
      <c r="M69" s="331">
        <f t="shared" ca="1" si="129"/>
        <v>0</v>
      </c>
      <c r="N69" s="332"/>
      <c r="O69" s="331">
        <f t="shared" ca="1" si="130"/>
        <v>0</v>
      </c>
      <c r="P69" s="331">
        <f t="shared" ca="1" si="131"/>
        <v>0</v>
      </c>
      <c r="Q69" s="333">
        <f t="shared" si="132"/>
        <v>0</v>
      </c>
      <c r="R69" s="343">
        <f t="shared" ca="1" si="133"/>
        <v>0.2014806980433633</v>
      </c>
      <c r="S69" s="335">
        <f t="shared" ca="1" si="140"/>
        <v>160</v>
      </c>
      <c r="T69" s="336">
        <f t="shared" ca="1" si="135"/>
        <v>20</v>
      </c>
      <c r="U69" s="337">
        <f t="shared" ca="1" si="136"/>
        <v>30256</v>
      </c>
      <c r="V69" s="338">
        <f t="shared" ca="1" si="137"/>
        <v>24160</v>
      </c>
      <c r="W69" s="339">
        <f t="shared" ca="1" si="127"/>
        <v>-30256</v>
      </c>
      <c r="X69" s="340" t="str">
        <f t="shared" ca="1" si="138"/>
        <v/>
      </c>
      <c r="Y69" s="341"/>
      <c r="Z69" s="341"/>
      <c r="AA69" s="341"/>
      <c r="AB69" s="341"/>
      <c r="AC69" s="341"/>
      <c r="AD69" s="341"/>
      <c r="AE69" s="341"/>
      <c r="AF69" s="341"/>
      <c r="AG69" s="341"/>
      <c r="AH69" s="341"/>
      <c r="AI69" s="341"/>
      <c r="AJ69" s="341"/>
      <c r="AK69" s="341"/>
      <c r="AL69" s="341"/>
      <c r="AM69" s="341"/>
      <c r="AN69" s="436"/>
      <c r="AO69" s="436"/>
      <c r="AP69" s="436"/>
      <c r="AQ69" s="436"/>
      <c r="AR69" s="436"/>
      <c r="AS69" s="436"/>
      <c r="AT69" s="436"/>
      <c r="AU69" s="436"/>
      <c r="AV69" s="436">
        <v>1</v>
      </c>
      <c r="AW69" s="436">
        <v>1</v>
      </c>
      <c r="AX69" s="436">
        <v>1</v>
      </c>
      <c r="AY69" s="436">
        <v>1</v>
      </c>
      <c r="AZ69" s="341"/>
      <c r="BA69" s="341"/>
      <c r="BB69" s="341"/>
      <c r="BC69" s="341"/>
      <c r="BD69" s="341"/>
      <c r="BE69" s="341"/>
      <c r="BF69" s="341"/>
      <c r="BG69" s="341"/>
      <c r="BH69" s="341"/>
      <c r="BI69" s="341"/>
      <c r="BJ69" s="341"/>
      <c r="BK69" s="341"/>
      <c r="BL69" s="341"/>
      <c r="BM69" s="341"/>
      <c r="BN69" s="341"/>
      <c r="BO69" s="341"/>
      <c r="BP69" s="341"/>
      <c r="BQ69" s="341"/>
      <c r="BR69" s="341"/>
      <c r="BS69" s="341"/>
      <c r="BT69" s="341"/>
      <c r="BU69" s="341"/>
      <c r="BV69" s="341"/>
      <c r="BW69" s="341"/>
      <c r="BX69" s="341"/>
      <c r="BY69" s="341"/>
      <c r="BZ69" s="341"/>
      <c r="CA69" s="341"/>
      <c r="CB69" s="341"/>
      <c r="CC69" s="341"/>
      <c r="CD69" s="341"/>
      <c r="CE69" s="341"/>
      <c r="CF69" s="341"/>
      <c r="CG69" s="341"/>
      <c r="CH69" s="341"/>
      <c r="CI69" s="341"/>
      <c r="CJ69" s="341"/>
      <c r="CK69" s="341"/>
      <c r="CL69" s="341"/>
      <c r="CM69" s="341"/>
      <c r="CN69" s="341"/>
      <c r="CO69" s="341"/>
      <c r="CP69" s="341"/>
      <c r="CQ69" s="341"/>
      <c r="CR69" s="341"/>
      <c r="CS69" s="341"/>
      <c r="CT69" s="341"/>
      <c r="CU69" s="341"/>
      <c r="CV69" s="341"/>
      <c r="CW69" s="341"/>
      <c r="CX69" s="341"/>
      <c r="CY69" s="341"/>
      <c r="CZ69" s="341"/>
      <c r="DA69" s="341"/>
      <c r="DB69" s="341"/>
      <c r="DC69" s="341"/>
      <c r="DD69" s="341"/>
      <c r="DE69" s="341"/>
      <c r="DF69" s="341"/>
      <c r="DG69" s="341"/>
      <c r="DH69" s="341"/>
      <c r="DI69" s="341"/>
      <c r="DJ69" s="341"/>
      <c r="DK69" s="341"/>
      <c r="DL69" s="341"/>
      <c r="DM69" s="341"/>
      <c r="DN69" s="341"/>
      <c r="DO69" s="341"/>
      <c r="DP69" s="341"/>
      <c r="DQ69" s="341"/>
      <c r="DR69" s="341"/>
      <c r="DS69" s="341"/>
      <c r="DT69" s="341"/>
      <c r="DU69" s="341"/>
      <c r="DV69" s="341"/>
      <c r="DW69" s="341"/>
      <c r="DX69" s="341"/>
      <c r="DY69" s="341"/>
      <c r="DZ69" s="341"/>
      <c r="EA69" s="341"/>
      <c r="EB69" s="341"/>
      <c r="EC69" s="341"/>
      <c r="ED69" s="341"/>
      <c r="EE69" s="341"/>
      <c r="EF69" s="341"/>
      <c r="EG69" s="341"/>
      <c r="EH69" s="341"/>
      <c r="EI69" s="341"/>
      <c r="EJ69" s="341"/>
      <c r="EK69" s="341"/>
      <c r="EL69" s="341"/>
      <c r="EM69" s="341"/>
      <c r="EN69" s="341"/>
      <c r="EO69" s="341"/>
      <c r="EP69" s="341"/>
      <c r="EQ69" s="341"/>
      <c r="ER69" s="341"/>
      <c r="ES69" s="341"/>
      <c r="ET69" s="341"/>
      <c r="EU69" s="341"/>
      <c r="EV69" s="341"/>
      <c r="EW69" s="341"/>
      <c r="EX69" s="341"/>
      <c r="EY69" s="341"/>
      <c r="EZ69" s="341"/>
      <c r="FA69" s="341"/>
      <c r="FB69" s="341"/>
      <c r="FC69" s="341"/>
      <c r="FD69" s="341"/>
      <c r="FE69" s="341"/>
      <c r="FF69" s="341"/>
      <c r="FG69" s="341"/>
      <c r="FH69" s="341"/>
      <c r="FI69" s="341"/>
      <c r="FJ69" s="341"/>
      <c r="FK69" s="341"/>
      <c r="FL69" s="341"/>
      <c r="FM69" s="341"/>
      <c r="FN69" s="341"/>
      <c r="FO69" s="341"/>
      <c r="FP69" s="341"/>
      <c r="FQ69" s="341"/>
      <c r="FR69" s="341"/>
      <c r="FS69" s="341"/>
      <c r="FT69" s="341"/>
      <c r="FU69" s="341"/>
      <c r="FV69" s="341"/>
      <c r="FW69" s="341"/>
      <c r="FX69" s="341"/>
      <c r="FY69" s="341"/>
      <c r="FZ69" s="341"/>
      <c r="GA69" s="341"/>
      <c r="GB69" s="341"/>
      <c r="GC69" s="341"/>
      <c r="GD69" s="341"/>
      <c r="GE69" s="341"/>
      <c r="GF69" s="341"/>
      <c r="GG69" s="341"/>
      <c r="GH69" s="341"/>
      <c r="GI69" s="341"/>
      <c r="GJ69" s="341"/>
      <c r="GK69" s="341"/>
      <c r="GL69" s="341"/>
      <c r="GM69" s="341"/>
      <c r="GN69" s="341"/>
      <c r="GO69" s="341"/>
      <c r="GP69" s="341"/>
      <c r="GQ69" s="341"/>
      <c r="GR69" s="341"/>
      <c r="GS69" s="341"/>
      <c r="GT69" s="341"/>
      <c r="GU69" s="341"/>
      <c r="GV69" s="341"/>
      <c r="GW69" s="341"/>
      <c r="GX69" s="341"/>
      <c r="GY69" s="341"/>
      <c r="GZ69" s="341"/>
      <c r="HA69" s="341"/>
      <c r="HB69" s="341"/>
      <c r="HC69" s="341"/>
      <c r="HD69" s="341"/>
      <c r="HE69" s="341"/>
      <c r="HF69" s="341"/>
      <c r="HG69" s="341"/>
      <c r="HH69" s="341"/>
      <c r="HI69" s="341"/>
      <c r="HJ69" s="341"/>
      <c r="HK69" s="341"/>
      <c r="HL69" s="341"/>
      <c r="HM69" s="341"/>
      <c r="HN69" s="341"/>
      <c r="HO69" s="341"/>
      <c r="HP69" s="341"/>
      <c r="HQ69" s="341"/>
      <c r="HR69" s="341"/>
      <c r="HS69" s="341"/>
      <c r="HT69" s="341"/>
      <c r="HU69" s="341"/>
      <c r="HV69" s="341"/>
      <c r="HW69" s="341"/>
      <c r="HX69" s="341"/>
      <c r="HY69" s="341"/>
      <c r="HZ69" s="341"/>
      <c r="IA69" s="341"/>
      <c r="IB69" s="341"/>
      <c r="IC69" s="341"/>
      <c r="ID69" s="341"/>
      <c r="IE69" s="341"/>
      <c r="IF69" s="341"/>
      <c r="IG69" s="341"/>
      <c r="IH69" s="341"/>
      <c r="II69" s="341"/>
      <c r="IJ69" s="341"/>
      <c r="IK69" s="341"/>
      <c r="IL69" s="341"/>
      <c r="IM69" s="341"/>
      <c r="IN69" s="341"/>
      <c r="IO69" s="341"/>
      <c r="IP69" s="341"/>
      <c r="IQ69" s="341"/>
      <c r="IR69" s="341"/>
      <c r="IS69" s="341"/>
      <c r="IT69" s="341"/>
      <c r="IU69" s="341"/>
      <c r="IV69" s="341"/>
      <c r="IW69" s="341"/>
      <c r="IX69" s="341"/>
      <c r="IY69" s="341"/>
      <c r="IZ69" s="341"/>
      <c r="JA69" s="341"/>
      <c r="JB69" s="341"/>
      <c r="JC69" s="341"/>
      <c r="JD69" s="341"/>
      <c r="JE69" s="341"/>
      <c r="JF69" s="341"/>
      <c r="JG69" s="341"/>
      <c r="JH69" s="341"/>
      <c r="JI69" s="341"/>
      <c r="JJ69" s="341"/>
      <c r="JK69" s="341"/>
      <c r="JL69" s="341"/>
      <c r="JM69" s="341"/>
      <c r="JN69" s="341"/>
    </row>
    <row r="70" spans="2:274" ht="19.5" customHeight="1" x14ac:dyDescent="0.25">
      <c r="B70" s="360" t="s">
        <v>981</v>
      </c>
      <c r="C70" s="384" t="s">
        <v>936</v>
      </c>
      <c r="D70" s="385" t="s">
        <v>122</v>
      </c>
      <c r="E70" s="321" t="s">
        <v>752</v>
      </c>
      <c r="F70" s="324" t="s">
        <v>931</v>
      </c>
      <c r="G70" s="325" cm="1">
        <f t="array" aca="1" ref="G70" ca="1">IFERROR(INDEX(Panel_Rates[[1]:[12]],MATCH(Panel_New&amp;Category_New,Panel_Rates[Panel]&amp;Panel_Rates[Category],0),MATCH('Time Plan (Multiple Release)'!E70,OFFSET(Variable!$AF$2,MATCH(Panel_New&amp;Category_New,Panel_Rates[Panel]&amp;Panel_Rates[Category],0)-1,0,1,12),0))/8,"")</f>
        <v>245</v>
      </c>
      <c r="H70" s="326">
        <v>1</v>
      </c>
      <c r="I70" s="328">
        <f t="shared" ca="1" si="128"/>
        <v>0</v>
      </c>
      <c r="J70" s="329">
        <f t="shared" ca="1" si="139"/>
        <v>0</v>
      </c>
      <c r="K70" s="329">
        <f>IFERROR(_xlfn.XLOOKUP(D70,CostTableLookup[Name],CostTableLookup[Gross Cost]),"")</f>
        <v>198</v>
      </c>
      <c r="L70" s="330"/>
      <c r="M70" s="331">
        <f t="shared" ca="1" si="129"/>
        <v>0</v>
      </c>
      <c r="N70" s="332"/>
      <c r="O70" s="331">
        <f t="shared" ca="1" si="130"/>
        <v>0</v>
      </c>
      <c r="P70" s="331">
        <f t="shared" ca="1" si="131"/>
        <v>0</v>
      </c>
      <c r="Q70" s="333">
        <f t="shared" si="132"/>
        <v>0</v>
      </c>
      <c r="R70" s="343" t="str">
        <f t="shared" ca="1" si="133"/>
        <v/>
      </c>
      <c r="S70" s="335">
        <f t="shared" ca="1" si="140"/>
        <v>40</v>
      </c>
      <c r="T70" s="336">
        <f t="shared" ca="1" si="135"/>
        <v>5</v>
      </c>
      <c r="U70" s="337">
        <f t="shared" ca="1" si="136"/>
        <v>0</v>
      </c>
      <c r="V70" s="338">
        <f t="shared" ca="1" si="137"/>
        <v>7920</v>
      </c>
      <c r="W70" s="339">
        <f t="shared" ca="1" si="127"/>
        <v>0</v>
      </c>
      <c r="X70" s="340" t="str">
        <f t="shared" ca="1" si="138"/>
        <v/>
      </c>
      <c r="Y70" s="341"/>
      <c r="Z70" s="341"/>
      <c r="AA70" s="341"/>
      <c r="AB70" s="341"/>
      <c r="AC70" s="341"/>
      <c r="AD70" s="341"/>
      <c r="AE70" s="341"/>
      <c r="AF70" s="341"/>
      <c r="AG70" s="341"/>
      <c r="AH70" s="341"/>
      <c r="AI70" s="341"/>
      <c r="AJ70" s="341"/>
      <c r="AK70" s="341"/>
      <c r="AL70" s="341"/>
      <c r="AM70" s="341"/>
      <c r="AN70" s="436"/>
      <c r="AO70" s="436"/>
      <c r="AP70" s="436"/>
      <c r="AQ70" s="436"/>
      <c r="AR70" s="436">
        <v>0.5</v>
      </c>
      <c r="AS70" s="436">
        <v>0.5</v>
      </c>
      <c r="AT70" s="436"/>
      <c r="AU70" s="436"/>
      <c r="AV70" s="436"/>
      <c r="AW70" s="436"/>
      <c r="AX70" s="436"/>
      <c r="AY70" s="436"/>
      <c r="AZ70" s="341"/>
      <c r="BA70" s="341"/>
      <c r="BB70" s="341"/>
      <c r="BC70" s="341"/>
      <c r="BD70" s="341"/>
      <c r="BE70" s="341"/>
      <c r="BF70" s="341"/>
      <c r="BG70" s="341"/>
      <c r="BH70" s="341"/>
      <c r="BI70" s="341"/>
      <c r="BJ70" s="341"/>
      <c r="BK70" s="341"/>
      <c r="BL70" s="341"/>
      <c r="BM70" s="341"/>
      <c r="BN70" s="341"/>
      <c r="BO70" s="341"/>
      <c r="BP70" s="341"/>
      <c r="BQ70" s="341"/>
      <c r="BR70" s="341"/>
      <c r="BS70" s="341"/>
      <c r="BT70" s="341"/>
      <c r="BU70" s="341"/>
      <c r="BV70" s="341"/>
      <c r="BW70" s="341"/>
      <c r="BX70" s="341"/>
      <c r="BY70" s="341"/>
      <c r="BZ70" s="341"/>
      <c r="CA70" s="341"/>
      <c r="CB70" s="341"/>
      <c r="CC70" s="341"/>
      <c r="CD70" s="341"/>
      <c r="CE70" s="341"/>
      <c r="CF70" s="341"/>
      <c r="CG70" s="341"/>
      <c r="CH70" s="341"/>
      <c r="CI70" s="341"/>
      <c r="CJ70" s="341"/>
      <c r="CK70" s="341"/>
      <c r="CL70" s="341"/>
      <c r="CM70" s="341"/>
      <c r="CN70" s="341"/>
      <c r="CO70" s="341"/>
      <c r="CP70" s="341"/>
      <c r="CQ70" s="341"/>
      <c r="CR70" s="341"/>
      <c r="CS70" s="341"/>
      <c r="CT70" s="341"/>
      <c r="CU70" s="341"/>
      <c r="CV70" s="341"/>
      <c r="CW70" s="341"/>
      <c r="CX70" s="341"/>
      <c r="CY70" s="341"/>
      <c r="CZ70" s="341"/>
      <c r="DA70" s="341"/>
      <c r="DB70" s="341"/>
      <c r="DC70" s="341"/>
      <c r="DD70" s="341"/>
      <c r="DE70" s="341"/>
      <c r="DF70" s="341"/>
      <c r="DG70" s="341"/>
      <c r="DH70" s="341"/>
      <c r="DI70" s="341"/>
      <c r="DJ70" s="341"/>
      <c r="DK70" s="341"/>
      <c r="DL70" s="341"/>
      <c r="DM70" s="341"/>
      <c r="DN70" s="341"/>
      <c r="DO70" s="341"/>
      <c r="DP70" s="341"/>
      <c r="DQ70" s="341"/>
      <c r="DR70" s="341"/>
      <c r="DS70" s="341"/>
      <c r="DT70" s="341"/>
      <c r="DU70" s="341"/>
      <c r="DV70" s="341"/>
      <c r="DW70" s="341"/>
      <c r="DX70" s="341"/>
      <c r="DY70" s="341"/>
      <c r="DZ70" s="341"/>
      <c r="EA70" s="341"/>
      <c r="EB70" s="341"/>
      <c r="EC70" s="341"/>
      <c r="ED70" s="341"/>
      <c r="EE70" s="341"/>
      <c r="EF70" s="341"/>
      <c r="EG70" s="341"/>
      <c r="EH70" s="341"/>
      <c r="EI70" s="341"/>
      <c r="EJ70" s="341"/>
      <c r="EK70" s="341"/>
      <c r="EL70" s="341"/>
      <c r="EM70" s="341"/>
      <c r="EN70" s="341"/>
      <c r="EO70" s="341"/>
      <c r="EP70" s="341"/>
      <c r="EQ70" s="341"/>
      <c r="ER70" s="341"/>
      <c r="ES70" s="341"/>
      <c r="ET70" s="341"/>
      <c r="EU70" s="341"/>
      <c r="EV70" s="341"/>
      <c r="EW70" s="341"/>
      <c r="EX70" s="341"/>
      <c r="EY70" s="341"/>
      <c r="EZ70" s="341"/>
      <c r="FA70" s="341"/>
      <c r="FB70" s="341"/>
      <c r="FC70" s="341"/>
      <c r="FD70" s="341"/>
      <c r="FE70" s="341"/>
      <c r="FF70" s="341"/>
      <c r="FG70" s="341"/>
      <c r="FH70" s="341"/>
      <c r="FI70" s="341"/>
      <c r="FJ70" s="341"/>
      <c r="FK70" s="341"/>
      <c r="FL70" s="341"/>
      <c r="FM70" s="341"/>
      <c r="FN70" s="341"/>
      <c r="FO70" s="341"/>
      <c r="FP70" s="341"/>
      <c r="FQ70" s="341"/>
      <c r="FR70" s="341"/>
      <c r="FS70" s="341"/>
      <c r="FT70" s="341"/>
      <c r="FU70" s="341"/>
      <c r="FV70" s="341"/>
      <c r="FW70" s="341"/>
      <c r="FX70" s="341"/>
      <c r="FY70" s="341"/>
      <c r="FZ70" s="341"/>
      <c r="GA70" s="341"/>
      <c r="GB70" s="341"/>
      <c r="GC70" s="341"/>
      <c r="GD70" s="341"/>
      <c r="GE70" s="341"/>
      <c r="GF70" s="341"/>
      <c r="GG70" s="341"/>
      <c r="GH70" s="341"/>
      <c r="GI70" s="341"/>
      <c r="GJ70" s="341"/>
      <c r="GK70" s="341"/>
      <c r="GL70" s="341"/>
      <c r="GM70" s="341"/>
      <c r="GN70" s="341"/>
      <c r="GO70" s="341"/>
      <c r="GP70" s="341"/>
      <c r="GQ70" s="341"/>
      <c r="GR70" s="341"/>
      <c r="GS70" s="341"/>
      <c r="GT70" s="341"/>
      <c r="GU70" s="341"/>
      <c r="GV70" s="341"/>
      <c r="GW70" s="341"/>
      <c r="GX70" s="341"/>
      <c r="GY70" s="341"/>
      <c r="GZ70" s="341"/>
      <c r="HA70" s="341"/>
      <c r="HB70" s="341"/>
      <c r="HC70" s="341"/>
      <c r="HD70" s="341"/>
      <c r="HE70" s="341"/>
      <c r="HF70" s="341"/>
      <c r="HG70" s="341"/>
      <c r="HH70" s="341"/>
      <c r="HI70" s="341"/>
      <c r="HJ70" s="341"/>
      <c r="HK70" s="341"/>
      <c r="HL70" s="341"/>
      <c r="HM70" s="341"/>
      <c r="HN70" s="341"/>
      <c r="HO70" s="341"/>
      <c r="HP70" s="341"/>
      <c r="HQ70" s="341"/>
      <c r="HR70" s="341"/>
      <c r="HS70" s="341"/>
      <c r="HT70" s="341"/>
      <c r="HU70" s="341"/>
      <c r="HV70" s="341"/>
      <c r="HW70" s="341"/>
      <c r="HX70" s="341"/>
      <c r="HY70" s="341"/>
      <c r="HZ70" s="341"/>
      <c r="IA70" s="341"/>
      <c r="IB70" s="341"/>
      <c r="IC70" s="341"/>
      <c r="ID70" s="341"/>
      <c r="IE70" s="341"/>
      <c r="IF70" s="341"/>
      <c r="IG70" s="341"/>
      <c r="IH70" s="341"/>
      <c r="II70" s="341"/>
      <c r="IJ70" s="341"/>
      <c r="IK70" s="341"/>
      <c r="IL70" s="341"/>
      <c r="IM70" s="341"/>
      <c r="IN70" s="341"/>
      <c r="IO70" s="341"/>
      <c r="IP70" s="341"/>
      <c r="IQ70" s="341"/>
      <c r="IR70" s="341"/>
      <c r="IS70" s="341"/>
      <c r="IT70" s="341"/>
      <c r="IU70" s="341"/>
      <c r="IV70" s="341"/>
      <c r="IW70" s="341"/>
      <c r="IX70" s="341"/>
      <c r="IY70" s="341"/>
      <c r="IZ70" s="341"/>
      <c r="JA70" s="341"/>
      <c r="JB70" s="341"/>
      <c r="JC70" s="341"/>
      <c r="JD70" s="341"/>
      <c r="JE70" s="341"/>
      <c r="JF70" s="341"/>
      <c r="JG70" s="341"/>
      <c r="JH70" s="341"/>
      <c r="JI70" s="341"/>
      <c r="JJ70" s="341"/>
      <c r="JK70" s="341"/>
      <c r="JL70" s="341"/>
      <c r="JM70" s="341"/>
      <c r="JN70" s="341"/>
    </row>
    <row r="71" spans="2:274" ht="19.5" customHeight="1" x14ac:dyDescent="0.25">
      <c r="B71" s="360" t="s">
        <v>981</v>
      </c>
      <c r="C71" s="323" t="s">
        <v>936</v>
      </c>
      <c r="D71" s="321" t="s">
        <v>731</v>
      </c>
      <c r="E71" s="321" t="s">
        <v>752</v>
      </c>
      <c r="F71" s="324" t="s">
        <v>931</v>
      </c>
      <c r="G71" s="325" cm="1">
        <f t="array" aca="1" ref="G71" ca="1">IFERROR(INDEX(Panel_Rates[[1]:[12]],MATCH(Panel_New&amp;Category_New,Panel_Rates[Panel]&amp;Panel_Rates[Category],0),MATCH('Time Plan (Multiple Release)'!E71,OFFSET(Variable!$AF$2,MATCH(Panel_New&amp;Category_New,Panel_Rates[Panel]&amp;Panel_Rates[Category],0)-1,0,1,12),0))/8,"")</f>
        <v>245</v>
      </c>
      <c r="H71" s="326">
        <v>0.38</v>
      </c>
      <c r="I71" s="328">
        <f t="shared" ca="1" si="128"/>
        <v>151.9</v>
      </c>
      <c r="J71" s="329">
        <f t="shared" ca="1" si="139"/>
        <v>1215.2</v>
      </c>
      <c r="K71" s="329">
        <f>IFERROR(_xlfn.XLOOKUP(D71,CostTableLookup[Name],CostTableLookup[Gross Cost]),"")</f>
        <v>151</v>
      </c>
      <c r="L71" s="330"/>
      <c r="M71" s="331">
        <f t="shared" ca="1" si="129"/>
        <v>0</v>
      </c>
      <c r="N71" s="332"/>
      <c r="O71" s="331">
        <f t="shared" ca="1" si="130"/>
        <v>0</v>
      </c>
      <c r="P71" s="331">
        <f t="shared" ca="1" si="131"/>
        <v>0</v>
      </c>
      <c r="Q71" s="333">
        <f t="shared" si="132"/>
        <v>0</v>
      </c>
      <c r="R71" s="343">
        <f t="shared" ca="1" si="133"/>
        <v>5.9249506254114553E-3</v>
      </c>
      <c r="S71" s="335">
        <f t="shared" ca="1" si="140"/>
        <v>240</v>
      </c>
      <c r="T71" s="336">
        <f t="shared" ca="1" si="135"/>
        <v>30</v>
      </c>
      <c r="U71" s="337">
        <f t="shared" ca="1" si="136"/>
        <v>36456</v>
      </c>
      <c r="V71" s="338">
        <f t="shared" ca="1" si="137"/>
        <v>36240</v>
      </c>
      <c r="W71" s="339">
        <f t="shared" ca="1" si="127"/>
        <v>-36456</v>
      </c>
      <c r="X71" s="340" t="str">
        <f t="shared" ca="1" si="138"/>
        <v/>
      </c>
      <c r="Y71" s="341"/>
      <c r="Z71" s="341"/>
      <c r="AA71" s="341"/>
      <c r="AB71" s="341"/>
      <c r="AC71" s="341"/>
      <c r="AD71" s="341"/>
      <c r="AE71" s="341"/>
      <c r="AF71" s="341"/>
      <c r="AG71" s="341"/>
      <c r="AH71" s="341"/>
      <c r="AI71" s="341"/>
      <c r="AJ71" s="341"/>
      <c r="AK71" s="341"/>
      <c r="AL71" s="341"/>
      <c r="AM71" s="341"/>
      <c r="AN71" s="436">
        <v>0.5</v>
      </c>
      <c r="AO71" s="436">
        <v>0.5</v>
      </c>
      <c r="AP71" s="436">
        <v>0.5</v>
      </c>
      <c r="AQ71" s="436">
        <v>0.5</v>
      </c>
      <c r="AR71" s="436"/>
      <c r="AS71" s="436"/>
      <c r="AT71" s="436"/>
      <c r="AU71" s="436"/>
      <c r="AV71" s="436">
        <v>1</v>
      </c>
      <c r="AW71" s="436">
        <v>1</v>
      </c>
      <c r="AX71" s="436">
        <v>1</v>
      </c>
      <c r="AY71" s="436">
        <v>1</v>
      </c>
      <c r="AZ71" s="341"/>
      <c r="BA71" s="341"/>
      <c r="BB71" s="341"/>
      <c r="BC71" s="341"/>
      <c r="BD71" s="341"/>
      <c r="BE71" s="341"/>
      <c r="BF71" s="341"/>
      <c r="BG71" s="341"/>
      <c r="BH71" s="341"/>
      <c r="BI71" s="341"/>
      <c r="BJ71" s="341"/>
      <c r="BK71" s="341"/>
      <c r="BL71" s="341"/>
      <c r="BM71" s="341"/>
      <c r="BN71" s="341"/>
      <c r="BO71" s="341"/>
      <c r="BP71" s="341"/>
      <c r="BQ71" s="341"/>
      <c r="BR71" s="341"/>
      <c r="BS71" s="341"/>
      <c r="BT71" s="341"/>
      <c r="BU71" s="341"/>
      <c r="BV71" s="341"/>
      <c r="BW71" s="341"/>
      <c r="BX71" s="341"/>
      <c r="BY71" s="341"/>
      <c r="BZ71" s="341"/>
      <c r="CA71" s="341"/>
      <c r="CB71" s="341"/>
      <c r="CC71" s="341"/>
      <c r="CD71" s="341"/>
      <c r="CE71" s="341"/>
      <c r="CF71" s="341"/>
      <c r="CG71" s="341"/>
      <c r="CH71" s="341"/>
      <c r="CI71" s="341"/>
      <c r="CJ71" s="341"/>
      <c r="CK71" s="341"/>
      <c r="CL71" s="341"/>
      <c r="CM71" s="341"/>
      <c r="CN71" s="341"/>
      <c r="CO71" s="341"/>
      <c r="CP71" s="341"/>
      <c r="CQ71" s="341"/>
      <c r="CR71" s="341"/>
      <c r="CS71" s="341"/>
      <c r="CT71" s="341"/>
      <c r="CU71" s="341"/>
      <c r="CV71" s="341"/>
      <c r="CW71" s="341"/>
      <c r="CX71" s="341"/>
      <c r="CY71" s="341"/>
      <c r="CZ71" s="341"/>
      <c r="DA71" s="341"/>
      <c r="DB71" s="341"/>
      <c r="DC71" s="341"/>
      <c r="DD71" s="341"/>
      <c r="DE71" s="341"/>
      <c r="DF71" s="341"/>
      <c r="DG71" s="341"/>
      <c r="DH71" s="341"/>
      <c r="DI71" s="341"/>
      <c r="DJ71" s="341"/>
      <c r="DK71" s="341"/>
      <c r="DL71" s="341"/>
      <c r="DM71" s="341"/>
      <c r="DN71" s="341"/>
      <c r="DO71" s="341"/>
      <c r="DP71" s="341"/>
      <c r="DQ71" s="341"/>
      <c r="DR71" s="341"/>
      <c r="DS71" s="341"/>
      <c r="DT71" s="341"/>
      <c r="DU71" s="341"/>
      <c r="DV71" s="341"/>
      <c r="DW71" s="341"/>
      <c r="DX71" s="341"/>
      <c r="DY71" s="341"/>
      <c r="DZ71" s="341"/>
      <c r="EA71" s="341"/>
      <c r="EB71" s="341"/>
      <c r="EC71" s="341"/>
      <c r="ED71" s="341"/>
      <c r="EE71" s="341"/>
      <c r="EF71" s="341"/>
      <c r="EG71" s="341"/>
      <c r="EH71" s="341"/>
      <c r="EI71" s="341"/>
      <c r="EJ71" s="341"/>
      <c r="EK71" s="341"/>
      <c r="EL71" s="341"/>
      <c r="EM71" s="341"/>
      <c r="EN71" s="341"/>
      <c r="EO71" s="341"/>
      <c r="EP71" s="341"/>
      <c r="EQ71" s="341"/>
      <c r="ER71" s="341"/>
      <c r="ES71" s="341"/>
      <c r="ET71" s="341"/>
      <c r="EU71" s="341"/>
      <c r="EV71" s="341"/>
      <c r="EW71" s="341"/>
      <c r="EX71" s="341"/>
      <c r="EY71" s="341"/>
      <c r="EZ71" s="341"/>
      <c r="FA71" s="341"/>
      <c r="FB71" s="341"/>
      <c r="FC71" s="341"/>
      <c r="FD71" s="341"/>
      <c r="FE71" s="341"/>
      <c r="FF71" s="341"/>
      <c r="FG71" s="341"/>
      <c r="FH71" s="341"/>
      <c r="FI71" s="341"/>
      <c r="FJ71" s="341"/>
      <c r="FK71" s="341"/>
      <c r="FL71" s="341"/>
      <c r="FM71" s="341"/>
      <c r="FN71" s="341"/>
      <c r="FO71" s="341"/>
      <c r="FP71" s="341"/>
      <c r="FQ71" s="341"/>
      <c r="FR71" s="341"/>
      <c r="FS71" s="341"/>
      <c r="FT71" s="341"/>
      <c r="FU71" s="341"/>
      <c r="FV71" s="341"/>
      <c r="FW71" s="341"/>
      <c r="FX71" s="341"/>
      <c r="FY71" s="341"/>
      <c r="FZ71" s="341"/>
      <c r="GA71" s="341"/>
      <c r="GB71" s="341"/>
      <c r="GC71" s="341"/>
      <c r="GD71" s="341"/>
      <c r="GE71" s="341"/>
      <c r="GF71" s="341"/>
      <c r="GG71" s="341"/>
      <c r="GH71" s="341"/>
      <c r="GI71" s="341"/>
      <c r="GJ71" s="341"/>
      <c r="GK71" s="341"/>
      <c r="GL71" s="341"/>
      <c r="GM71" s="341"/>
      <c r="GN71" s="341"/>
      <c r="GO71" s="341"/>
      <c r="GP71" s="341"/>
      <c r="GQ71" s="341"/>
      <c r="GR71" s="341"/>
      <c r="GS71" s="341"/>
      <c r="GT71" s="341"/>
      <c r="GU71" s="341"/>
      <c r="GV71" s="341"/>
      <c r="GW71" s="341"/>
      <c r="GX71" s="341"/>
      <c r="GY71" s="341"/>
      <c r="GZ71" s="341"/>
      <c r="HA71" s="341"/>
      <c r="HB71" s="341"/>
      <c r="HC71" s="341"/>
      <c r="HD71" s="341"/>
      <c r="HE71" s="341"/>
      <c r="HF71" s="341"/>
      <c r="HG71" s="341"/>
      <c r="HH71" s="341"/>
      <c r="HI71" s="341"/>
      <c r="HJ71" s="341"/>
      <c r="HK71" s="341"/>
      <c r="HL71" s="341"/>
      <c r="HM71" s="341"/>
      <c r="HN71" s="341"/>
      <c r="HO71" s="341"/>
      <c r="HP71" s="341"/>
      <c r="HQ71" s="341"/>
      <c r="HR71" s="341"/>
      <c r="HS71" s="341"/>
      <c r="HT71" s="341"/>
      <c r="HU71" s="341"/>
      <c r="HV71" s="341"/>
      <c r="HW71" s="341"/>
      <c r="HX71" s="341"/>
      <c r="HY71" s="341"/>
      <c r="HZ71" s="341"/>
      <c r="IA71" s="341"/>
      <c r="IB71" s="341"/>
      <c r="IC71" s="341"/>
      <c r="ID71" s="341"/>
      <c r="IE71" s="341"/>
      <c r="IF71" s="341"/>
      <c r="IG71" s="341"/>
      <c r="IH71" s="341"/>
      <c r="II71" s="341"/>
      <c r="IJ71" s="341"/>
      <c r="IK71" s="341"/>
      <c r="IL71" s="341"/>
      <c r="IM71" s="341"/>
      <c r="IN71" s="341"/>
      <c r="IO71" s="341"/>
      <c r="IP71" s="341"/>
      <c r="IQ71" s="341"/>
      <c r="IR71" s="341"/>
      <c r="IS71" s="341"/>
      <c r="IT71" s="341"/>
      <c r="IU71" s="341"/>
      <c r="IV71" s="341"/>
      <c r="IW71" s="341"/>
      <c r="IX71" s="341"/>
      <c r="IY71" s="341"/>
      <c r="IZ71" s="341"/>
      <c r="JA71" s="341"/>
      <c r="JB71" s="341"/>
      <c r="JC71" s="341"/>
      <c r="JD71" s="341"/>
      <c r="JE71" s="341"/>
      <c r="JF71" s="341"/>
      <c r="JG71" s="341"/>
      <c r="JH71" s="341"/>
      <c r="JI71" s="341"/>
      <c r="JJ71" s="341"/>
      <c r="JK71" s="341"/>
      <c r="JL71" s="341"/>
      <c r="JM71" s="341"/>
      <c r="JN71" s="341"/>
    </row>
    <row r="72" spans="2:274" s="345" customFormat="1" ht="19.5" customHeight="1" x14ac:dyDescent="0.25">
      <c r="B72" s="361" t="s">
        <v>981</v>
      </c>
      <c r="C72" s="362" t="s">
        <v>936</v>
      </c>
      <c r="D72" s="345" t="s">
        <v>606</v>
      </c>
      <c r="E72" s="345" t="s">
        <v>752</v>
      </c>
      <c r="F72" s="363" t="s">
        <v>937</v>
      </c>
      <c r="G72" s="364" cm="1">
        <f t="array" aca="1" ref="G72" ca="1">IFERROR(INDEX(Panel_Rates[[1]:[12]],MATCH(Panel_New&amp;Category_New,Panel_Rates[Panel]&amp;Panel_Rates[Category],0),MATCH('Time Plan (Multiple Release)'!E72,OFFSET(Variable!$AF$2,MATCH(Panel_New&amp;Category_New,Panel_Rates[Panel]&amp;Panel_Rates[Category],0)-1,0,1,12),0))/8,"")</f>
        <v>245</v>
      </c>
      <c r="H72" s="326">
        <v>0.38</v>
      </c>
      <c r="I72" s="391">
        <f t="shared" ca="1" si="128"/>
        <v>151.9</v>
      </c>
      <c r="J72" s="398">
        <f t="shared" ca="1" si="139"/>
        <v>1215.2</v>
      </c>
      <c r="K72" s="366">
        <f>IFERROR(_xlfn.XLOOKUP(D72,CostTableLookup[Name],CostTableLookup[Gross Cost]),"")</f>
        <v>161</v>
      </c>
      <c r="L72" s="367"/>
      <c r="M72" s="368">
        <f t="shared" ca="1" si="129"/>
        <v>0</v>
      </c>
      <c r="N72" s="369"/>
      <c r="O72" s="368">
        <f t="shared" ca="1" si="130"/>
        <v>0</v>
      </c>
      <c r="P72" s="368">
        <f t="shared" ca="1" si="131"/>
        <v>0</v>
      </c>
      <c r="Q72" s="370">
        <f t="shared" si="132"/>
        <v>0</v>
      </c>
      <c r="R72" s="396">
        <f t="shared" ca="1" si="133"/>
        <v>-5.9907834101382486E-2</v>
      </c>
      <c r="S72" s="335">
        <f ca="1">IFERROR(SUM(OFFSET(Y72,0,MATCH(Forecast_New,$Y$3:$WQ$3,0)-1,1,500))*40,"")</f>
        <v>120</v>
      </c>
      <c r="T72" s="372">
        <f t="shared" ca="1" si="135"/>
        <v>15</v>
      </c>
      <c r="U72" s="373">
        <f t="shared" ca="1" si="136"/>
        <v>18228</v>
      </c>
      <c r="V72" s="358">
        <f t="shared" ca="1" si="137"/>
        <v>19320</v>
      </c>
      <c r="W72" s="339">
        <f t="shared" ca="1" si="127"/>
        <v>-18228</v>
      </c>
      <c r="X72" s="375" t="str">
        <f t="shared" ca="1" si="138"/>
        <v/>
      </c>
      <c r="Y72" s="376"/>
      <c r="Z72" s="376"/>
      <c r="AA72" s="376"/>
      <c r="AB72" s="376"/>
      <c r="AC72" s="376"/>
      <c r="AD72" s="376"/>
      <c r="AE72" s="376"/>
      <c r="AF72" s="376"/>
      <c r="AG72" s="376"/>
      <c r="AH72" s="376"/>
      <c r="AI72" s="376"/>
      <c r="AJ72" s="376"/>
      <c r="AK72" s="376"/>
      <c r="AL72" s="376"/>
      <c r="AM72" s="376"/>
      <c r="AN72" s="437"/>
      <c r="AO72" s="437"/>
      <c r="AP72" s="437"/>
      <c r="AQ72" s="437"/>
      <c r="AR72" s="437">
        <v>1</v>
      </c>
      <c r="AS72" s="437">
        <v>1</v>
      </c>
      <c r="AT72" s="437">
        <v>1</v>
      </c>
      <c r="AU72" s="437"/>
      <c r="AV72" s="437"/>
      <c r="AW72" s="437"/>
      <c r="AX72" s="437"/>
      <c r="AY72" s="437"/>
      <c r="AZ72" s="376"/>
      <c r="BA72" s="376"/>
      <c r="BB72" s="376"/>
      <c r="BC72" s="376"/>
      <c r="BD72" s="376"/>
      <c r="BE72" s="376"/>
      <c r="BF72" s="376"/>
      <c r="BG72" s="376"/>
      <c r="BH72" s="376"/>
      <c r="BI72" s="376"/>
      <c r="BJ72" s="376"/>
      <c r="BK72" s="376"/>
      <c r="BL72" s="376"/>
      <c r="BM72" s="376"/>
      <c r="BN72" s="376"/>
      <c r="BO72" s="376"/>
      <c r="BP72" s="376"/>
      <c r="BQ72" s="376"/>
      <c r="BR72" s="376"/>
      <c r="BS72" s="376"/>
      <c r="BT72" s="376"/>
      <c r="BU72" s="376"/>
      <c r="BV72" s="376"/>
      <c r="BW72" s="376"/>
      <c r="BX72" s="376"/>
      <c r="BY72" s="376"/>
      <c r="BZ72" s="376"/>
      <c r="CA72" s="376"/>
      <c r="CB72" s="376"/>
      <c r="CC72" s="376"/>
      <c r="CD72" s="376"/>
      <c r="CE72" s="376"/>
      <c r="CF72" s="376"/>
      <c r="CG72" s="376"/>
      <c r="CH72" s="376"/>
      <c r="CI72" s="376"/>
      <c r="CJ72" s="376"/>
      <c r="CK72" s="376"/>
      <c r="CL72" s="376"/>
      <c r="CM72" s="376"/>
      <c r="CN72" s="376"/>
      <c r="CO72" s="376"/>
      <c r="CP72" s="376"/>
      <c r="CQ72" s="376"/>
      <c r="CR72" s="376"/>
      <c r="CS72" s="376"/>
      <c r="CT72" s="376"/>
      <c r="CU72" s="376"/>
      <c r="CV72" s="376"/>
      <c r="CW72" s="376"/>
      <c r="CX72" s="376"/>
      <c r="CY72" s="376"/>
      <c r="CZ72" s="376"/>
      <c r="DA72" s="376"/>
      <c r="DB72" s="376"/>
      <c r="DC72" s="376"/>
      <c r="DD72" s="376"/>
      <c r="DE72" s="376"/>
      <c r="DF72" s="376"/>
      <c r="DG72" s="376"/>
      <c r="DH72" s="376"/>
      <c r="DI72" s="376"/>
      <c r="DJ72" s="376"/>
      <c r="DK72" s="376"/>
      <c r="DL72" s="376"/>
      <c r="DM72" s="376"/>
      <c r="DN72" s="376"/>
      <c r="DO72" s="376"/>
      <c r="DP72" s="376"/>
      <c r="DQ72" s="376"/>
      <c r="DR72" s="376"/>
      <c r="DS72" s="376"/>
      <c r="DT72" s="376"/>
      <c r="DU72" s="376"/>
      <c r="DV72" s="376"/>
      <c r="DW72" s="376"/>
      <c r="DX72" s="376"/>
      <c r="DY72" s="376"/>
      <c r="DZ72" s="376"/>
      <c r="EA72" s="376"/>
      <c r="EB72" s="376"/>
      <c r="EC72" s="376"/>
      <c r="ED72" s="376"/>
      <c r="EE72" s="376"/>
      <c r="EF72" s="376"/>
      <c r="EG72" s="376"/>
      <c r="EH72" s="376"/>
      <c r="EI72" s="376"/>
      <c r="EJ72" s="376"/>
      <c r="EK72" s="376"/>
      <c r="EL72" s="376"/>
      <c r="EM72" s="376"/>
      <c r="EN72" s="376"/>
      <c r="EO72" s="376"/>
      <c r="EP72" s="376"/>
      <c r="EQ72" s="376"/>
      <c r="ER72" s="376"/>
      <c r="ES72" s="376"/>
      <c r="ET72" s="376"/>
      <c r="EU72" s="376"/>
      <c r="EV72" s="376"/>
      <c r="EW72" s="376"/>
      <c r="EX72" s="376"/>
      <c r="EY72" s="376"/>
      <c r="EZ72" s="376"/>
      <c r="FA72" s="376"/>
      <c r="FB72" s="376"/>
      <c r="FC72" s="376"/>
      <c r="FD72" s="376"/>
      <c r="FE72" s="376"/>
      <c r="FF72" s="376"/>
      <c r="FG72" s="376"/>
      <c r="FH72" s="376"/>
      <c r="FI72" s="376"/>
      <c r="FJ72" s="376"/>
      <c r="FK72" s="376"/>
      <c r="FL72" s="376"/>
      <c r="FM72" s="376"/>
      <c r="FN72" s="376"/>
      <c r="FO72" s="376"/>
      <c r="FP72" s="376"/>
      <c r="FQ72" s="376"/>
      <c r="FR72" s="376"/>
      <c r="FS72" s="376"/>
      <c r="FT72" s="376"/>
      <c r="FU72" s="376"/>
      <c r="FV72" s="376"/>
      <c r="FW72" s="376"/>
      <c r="FX72" s="376"/>
      <c r="FY72" s="376"/>
      <c r="FZ72" s="376"/>
      <c r="GA72" s="376"/>
      <c r="GB72" s="376"/>
      <c r="GC72" s="376"/>
      <c r="GD72" s="376"/>
      <c r="GE72" s="376"/>
      <c r="GF72" s="376"/>
      <c r="GG72" s="376"/>
      <c r="GH72" s="376"/>
      <c r="GI72" s="376"/>
      <c r="GJ72" s="376"/>
      <c r="GK72" s="376"/>
      <c r="GL72" s="376"/>
      <c r="GM72" s="376"/>
      <c r="GN72" s="376"/>
      <c r="GO72" s="376"/>
      <c r="GP72" s="376"/>
      <c r="GQ72" s="376"/>
      <c r="GR72" s="376"/>
      <c r="GS72" s="376"/>
      <c r="GT72" s="376"/>
      <c r="GU72" s="376"/>
      <c r="GV72" s="376"/>
      <c r="GW72" s="376"/>
      <c r="GX72" s="376"/>
      <c r="GY72" s="376"/>
      <c r="GZ72" s="376"/>
      <c r="HA72" s="376"/>
      <c r="HB72" s="376"/>
      <c r="HC72" s="376"/>
      <c r="HD72" s="376"/>
      <c r="HE72" s="376"/>
      <c r="HF72" s="376"/>
      <c r="HG72" s="376"/>
      <c r="HH72" s="376"/>
      <c r="HI72" s="376"/>
      <c r="HJ72" s="376"/>
      <c r="HK72" s="376"/>
      <c r="HL72" s="376"/>
      <c r="HM72" s="376"/>
      <c r="HN72" s="376"/>
      <c r="HO72" s="376"/>
      <c r="HP72" s="376"/>
      <c r="HQ72" s="376"/>
      <c r="HR72" s="376"/>
      <c r="HS72" s="376"/>
      <c r="HT72" s="376"/>
      <c r="HU72" s="376"/>
      <c r="HV72" s="376"/>
      <c r="HW72" s="376"/>
      <c r="HX72" s="376"/>
      <c r="HY72" s="376"/>
      <c r="HZ72" s="376"/>
      <c r="IA72" s="376"/>
      <c r="IB72" s="376"/>
      <c r="IC72" s="376"/>
      <c r="ID72" s="376"/>
      <c r="IE72" s="376"/>
      <c r="IF72" s="376"/>
      <c r="IG72" s="376"/>
      <c r="IH72" s="376"/>
      <c r="II72" s="376"/>
      <c r="IJ72" s="376"/>
      <c r="IK72" s="376"/>
      <c r="IL72" s="376"/>
      <c r="IM72" s="376"/>
      <c r="IN72" s="376"/>
      <c r="IO72" s="376"/>
      <c r="IP72" s="376"/>
      <c r="IQ72" s="376"/>
      <c r="IR72" s="376"/>
      <c r="IS72" s="376"/>
      <c r="IT72" s="376"/>
      <c r="IU72" s="376"/>
      <c r="IV72" s="376"/>
      <c r="IW72" s="376"/>
      <c r="IX72" s="376"/>
      <c r="IY72" s="376"/>
      <c r="IZ72" s="376"/>
      <c r="JA72" s="376"/>
      <c r="JB72" s="376"/>
      <c r="JC72" s="376"/>
      <c r="JD72" s="376"/>
      <c r="JE72" s="376"/>
      <c r="JF72" s="376"/>
      <c r="JG72" s="376"/>
      <c r="JH72" s="376"/>
      <c r="JI72" s="376"/>
      <c r="JJ72" s="376"/>
      <c r="JK72" s="376"/>
      <c r="JL72" s="376"/>
      <c r="JM72" s="376"/>
      <c r="JN72" s="376"/>
    </row>
    <row r="74" spans="2:274" x14ac:dyDescent="0.25">
      <c r="C74" s="377" t="s">
        <v>942</v>
      </c>
      <c r="D74" s="378" t="str" cm="1">
        <f t="array" ref="D74:D84">_xlfn._xlws.FILTER(_xlfn.UNIQUE(D6:D63),_xlfn.UNIQUE(D6:D63)&lt;&gt;"")</f>
        <v>Anil Kinagi</v>
      </c>
      <c r="F74" s="321" t="str">
        <f>_xlfn.XLOOKUP(D74,D6:D63,F6:F63)</f>
        <v>Project Manager</v>
      </c>
      <c r="I74" s="379">
        <f t="shared" ref="I74:I84" ca="1" si="141">_xlfn.XLOOKUP($D74,$D$6:$D$63,$I$6:$I$63)</f>
        <v>207.39999999999998</v>
      </c>
      <c r="Y74" s="381" cm="1">
        <f t="array" ref="Y74">SUM(Y$6:Y$72*($D$6:$D$72=$D74))</f>
        <v>1</v>
      </c>
      <c r="Z74" s="381" cm="1">
        <f t="array" ref="Z74">SUM(Z$6:Z$72*($D$6:$D$72=$D74))</f>
        <v>1</v>
      </c>
      <c r="AA74" s="381" cm="1">
        <f t="array" ref="AA74">SUM(AA$6:AA$72*($D$6:$D$72=$D74))</f>
        <v>1</v>
      </c>
      <c r="AB74" s="381" cm="1">
        <f t="array" ref="AB74">SUM(AB$6:AB$72*($D$6:$D$72=$D74))</f>
        <v>1</v>
      </c>
      <c r="AC74" s="381" cm="1">
        <f t="array" ref="AC74">SUM(AC$6:AC$72*($D$6:$D$72=$D74))</f>
        <v>1</v>
      </c>
      <c r="AD74" s="381" cm="1">
        <f t="array" ref="AD74">SUM(AD$6:AD$72*($D$6:$D$72=$D74))</f>
        <v>1</v>
      </c>
      <c r="AE74" s="381" cm="1">
        <f t="array" ref="AE74">SUM(AE$6:AE$72*($D$6:$D$72=$D74))</f>
        <v>1</v>
      </c>
      <c r="AF74" s="381" cm="1">
        <f t="array" ref="AF74">SUM(AF$6:AF$72*($D$6:$D$72=$D74))</f>
        <v>0.8</v>
      </c>
      <c r="AG74" s="381" cm="1">
        <f t="array" ref="AG74">SUM(AG$6:AG$72*($D$6:$D$72=$D74))</f>
        <v>1</v>
      </c>
      <c r="AH74" s="381" cm="1">
        <f t="array" ref="AH74">SUM(AH$6:AH$72*($D$6:$D$72=$D74))</f>
        <v>1</v>
      </c>
      <c r="AI74" s="381" cm="1">
        <f t="array" ref="AI74">SUM(AI$6:AI$72*($D$6:$D$72=$D74))</f>
        <v>1</v>
      </c>
      <c r="AJ74" s="381" cm="1">
        <f t="array" ref="AJ74">SUM(AJ$6:AJ$72*($D$6:$D$72=$D74))</f>
        <v>1</v>
      </c>
      <c r="AK74" s="381" cm="1">
        <f t="array" ref="AK74">SUM(AK$6:AK$72*($D$6:$D$72=$D74))</f>
        <v>1</v>
      </c>
      <c r="AL74" s="381" cm="1">
        <f t="array" ref="AL74">SUM(AL$6:AL$72*($D$6:$D$72=$D74))</f>
        <v>1</v>
      </c>
      <c r="AM74" s="381" cm="1">
        <f t="array" ref="AM74">SUM(AM$6:AM$72*($D$6:$D$72=$D74))</f>
        <v>1</v>
      </c>
      <c r="AN74" s="381" cm="1">
        <f t="array" ref="AN74">SUM(AN$6:AN$72*($D$6:$D$72=$D74))</f>
        <v>1</v>
      </c>
      <c r="AO74" s="381" cm="1">
        <f t="array" ref="AO74">SUM(AO$6:AO$72*($D$6:$D$72=$D74))</f>
        <v>1</v>
      </c>
      <c r="AP74" s="381" cm="1">
        <f t="array" ref="AP74">SUM(AP$6:AP$72*($D$6:$D$72=$D74))</f>
        <v>1</v>
      </c>
      <c r="AQ74" s="381" cm="1">
        <f t="array" ref="AQ74">SUM(AQ$6:AQ$72*($D$6:$D$72=$D74))</f>
        <v>1</v>
      </c>
      <c r="AR74" s="381" cm="1">
        <f t="array" ref="AR74">SUM(AR$6:AR$72*($D$6:$D$72=$D74))</f>
        <v>1</v>
      </c>
      <c r="AS74" s="381" cm="1">
        <f t="array" ref="AS74">SUM(AS$6:AS$72*($D$6:$D$72=$D74))</f>
        <v>1</v>
      </c>
      <c r="AT74" s="381" cm="1">
        <f t="array" ref="AT74">SUM(AT$6:AT$72*($D$6:$D$72=$D74))</f>
        <v>1</v>
      </c>
      <c r="AU74" s="381" cm="1">
        <f t="array" ref="AU74">SUM(AU$6:AU$72*($D$6:$D$72=$D74))</f>
        <v>1</v>
      </c>
      <c r="AV74" s="381" cm="1">
        <f t="array" ref="AV74">SUM(AV$6:AV$72*($D$6:$D$72=$D74))</f>
        <v>0.5</v>
      </c>
      <c r="AW74" s="381" cm="1">
        <f t="array" ref="AW74">SUM(AW$6:AW$72*($D$6:$D$72=$D74))</f>
        <v>0.5</v>
      </c>
      <c r="AX74" s="381" cm="1">
        <f t="array" ref="AX74">SUM(AX$6:AX$72*($D$6:$D$72=$D74))</f>
        <v>0.5</v>
      </c>
      <c r="AY74" s="381" cm="1">
        <f t="array" ref="AY74">SUM(AY$6:AY$72*($D$6:$D$72=$D74))</f>
        <v>0.5</v>
      </c>
      <c r="AZ74" s="381" cm="1">
        <f t="array" ref="AZ74">SUM(AZ$6:AZ$72*($D$6:$D$72=$D74))</f>
        <v>0</v>
      </c>
      <c r="BA74" s="381" cm="1">
        <f t="array" ref="BA74">SUM(BA$6:BA$72*($D$6:$D$72=$D74))</f>
        <v>0</v>
      </c>
      <c r="BB74" s="381" cm="1">
        <f t="array" ref="BB74">SUM(BB$6:BB$72*($D$6:$D$72=$D74))</f>
        <v>0</v>
      </c>
      <c r="BC74" s="381" cm="1">
        <f t="array" ref="BC74">SUM(BC$6:BC$72*($D$6:$D$72=$D74))</f>
        <v>0</v>
      </c>
      <c r="BD74" s="381" cm="1">
        <f t="array" ref="BD74">SUM(BD$6:BD$72*($D$6:$D$72=$D74))</f>
        <v>0</v>
      </c>
      <c r="BE74" s="381" cm="1">
        <f t="array" ref="BE74">SUM(BE$6:BE$72*($D$6:$D$72=$D74))</f>
        <v>0</v>
      </c>
      <c r="BF74" s="381" cm="1">
        <f t="array" ref="BF74">SUM(BF$6:BF$72*($D$6:$D$72=$D74))</f>
        <v>0</v>
      </c>
      <c r="BG74" s="381" cm="1">
        <f t="array" ref="BG74">SUM(BG$6:BG$72*($D$6:$D$72=$D74))</f>
        <v>0</v>
      </c>
      <c r="BH74" s="381" cm="1">
        <f t="array" ref="BH74">SUM(BH$6:BH$72*($D$6:$D$72=$D74))</f>
        <v>0</v>
      </c>
      <c r="BI74" s="381" cm="1">
        <f t="array" ref="BI74">SUM(BI$6:BI$72*($D$6:$D$72=$D74))</f>
        <v>0</v>
      </c>
      <c r="BJ74" s="381" cm="1">
        <f t="array" ref="BJ74">SUM(BJ$6:BJ$72*($D$6:$D$72=$D74))</f>
        <v>0</v>
      </c>
      <c r="BK74" s="381" cm="1">
        <f t="array" ref="BK74">SUM(BK$6:BK$72*($D$6:$D$72=$D74))</f>
        <v>0</v>
      </c>
      <c r="BL74" s="381" cm="1">
        <f t="array" ref="BL74">SUM(BL$6:BL$72*($D$6:$D$72=$D74))</f>
        <v>0</v>
      </c>
      <c r="BM74" s="381" cm="1">
        <f t="array" ref="BM74">SUM(BM$6:BM$72*($D$6:$D$72=$D74))</f>
        <v>0</v>
      </c>
      <c r="BN74" s="381" cm="1">
        <f t="array" ref="BN74">SUM(BN$6:BN$72*($D$6:$D$72=$D74))</f>
        <v>0</v>
      </c>
      <c r="BO74" s="381" cm="1">
        <f t="array" ref="BO74">SUM(BO$6:BO$72*($D$6:$D$72=$D74))</f>
        <v>0</v>
      </c>
      <c r="BP74" s="381" cm="1">
        <f t="array" ref="BP74">SUM(BP$6:BP$72*($D$6:$D$72=$D74))</f>
        <v>0</v>
      </c>
      <c r="BQ74" s="381" cm="1">
        <f t="array" ref="BQ74">SUM(BQ$6:BQ$72*($D$6:$D$72=$D74))</f>
        <v>0</v>
      </c>
      <c r="BR74" s="381" cm="1">
        <f t="array" ref="BR74">SUM(BR$6:BR$72*($D$6:$D$72=$D74))</f>
        <v>0</v>
      </c>
      <c r="BS74" s="381" cm="1">
        <f t="array" ref="BS74">SUM(BS$6:BS$72*($D$6:$D$72=$D74))</f>
        <v>0</v>
      </c>
    </row>
    <row r="75" spans="2:274" x14ac:dyDescent="0.25">
      <c r="C75" s="378"/>
      <c r="D75" s="378" t="str">
        <v>Lacy Pejcinovic</v>
      </c>
      <c r="F75" s="321" t="str">
        <f>_xlfn.XLOOKUP(D75,D7:D73,F7:F73)</f>
        <v>Business Analyst</v>
      </c>
      <c r="I75" s="379">
        <f t="shared" ca="1" si="141"/>
        <v>151.9</v>
      </c>
      <c r="Y75" s="381" cm="1">
        <f t="array" ref="Y75">SUM(Y$6:Y$72*($D$6:$D$72=$D75))</f>
        <v>1.7</v>
      </c>
      <c r="Z75" s="381" cm="1">
        <f t="array" ref="Z75">SUM(Z$6:Z$72*($D$6:$D$72=$D75))</f>
        <v>1.1000000000000001</v>
      </c>
      <c r="AA75" s="381" cm="1">
        <f t="array" ref="AA75">SUM(AA$6:AA$72*($D$6:$D$72=$D75))</f>
        <v>0.7</v>
      </c>
      <c r="AB75" s="381" cm="1">
        <f t="array" ref="AB75">SUM(AB$6:AB$72*($D$6:$D$72=$D75))</f>
        <v>1</v>
      </c>
      <c r="AC75" s="381" cm="1">
        <f t="array" ref="AC75">SUM(AC$6:AC$72*($D$6:$D$72=$D75))</f>
        <v>1</v>
      </c>
      <c r="AD75" s="381" cm="1">
        <f t="array" ref="AD75">SUM(AD$6:AD$72*($D$6:$D$72=$D75))</f>
        <v>1</v>
      </c>
      <c r="AE75" s="381" cm="1">
        <f t="array" ref="AE75">SUM(AE$6:AE$72*($D$6:$D$72=$D75))</f>
        <v>1</v>
      </c>
      <c r="AF75" s="381" cm="1">
        <f t="array" ref="AF75">SUM(AF$6:AF$72*($D$6:$D$72=$D75))</f>
        <v>0</v>
      </c>
      <c r="AG75" s="381" cm="1">
        <f t="array" ref="AG75">SUM(AG$6:AG$72*($D$6:$D$72=$D75))</f>
        <v>0</v>
      </c>
      <c r="AH75" s="381" cm="1">
        <f t="array" ref="AH75">SUM(AH$6:AH$72*($D$6:$D$72=$D75))</f>
        <v>0</v>
      </c>
      <c r="AI75" s="381" cm="1">
        <f t="array" ref="AI75">SUM(AI$6:AI$72*($D$6:$D$72=$D75))</f>
        <v>0</v>
      </c>
      <c r="AJ75" s="381" cm="1">
        <f t="array" ref="AJ75">SUM(AJ$6:AJ$72*($D$6:$D$72=$D75))</f>
        <v>0</v>
      </c>
      <c r="AK75" s="381" cm="1">
        <f t="array" ref="AK75">SUM(AK$6:AK$72*($D$6:$D$72=$D75))</f>
        <v>0</v>
      </c>
      <c r="AL75" s="381" cm="1">
        <f t="array" ref="AL75">SUM(AL$6:AL$72*($D$6:$D$72=$D75))</f>
        <v>0</v>
      </c>
      <c r="AM75" s="381" cm="1">
        <f t="array" ref="AM75">SUM(AM$6:AM$72*($D$6:$D$72=$D75))</f>
        <v>0</v>
      </c>
      <c r="AN75" s="381" cm="1">
        <f t="array" ref="AN75">SUM(AN$6:AN$72*($D$6:$D$72=$D75))</f>
        <v>0</v>
      </c>
      <c r="AO75" s="381" cm="1">
        <f t="array" ref="AO75">SUM(AO$6:AO$72*($D$6:$D$72=$D75))</f>
        <v>0</v>
      </c>
      <c r="AP75" s="381" cm="1">
        <f t="array" ref="AP75">SUM(AP$6:AP$72*($D$6:$D$72=$D75))</f>
        <v>0</v>
      </c>
      <c r="AQ75" s="381" cm="1">
        <f t="array" ref="AQ75">SUM(AQ$6:AQ$72*($D$6:$D$72=$D75))</f>
        <v>0</v>
      </c>
      <c r="AR75" s="381" cm="1">
        <f t="array" ref="AR75">SUM(AR$6:AR$72*($D$6:$D$72=$D75))</f>
        <v>0</v>
      </c>
      <c r="AS75" s="381" cm="1">
        <f t="array" ref="AS75">SUM(AS$6:AS$72*($D$6:$D$72=$D75))</f>
        <v>0</v>
      </c>
      <c r="AT75" s="381" cm="1">
        <f t="array" ref="AT75">SUM(AT$6:AT$72*($D$6:$D$72=$D75))</f>
        <v>0</v>
      </c>
      <c r="AU75" s="381" cm="1">
        <f t="array" ref="AU75">SUM(AU$6:AU$72*($D$6:$D$72=$D75))</f>
        <v>0</v>
      </c>
      <c r="AV75" s="381" cm="1">
        <f t="array" ref="AV75">SUM(AV$6:AV$72*($D$6:$D$72=$D75))</f>
        <v>0</v>
      </c>
      <c r="AW75" s="381" cm="1">
        <f t="array" ref="AW75">SUM(AW$6:AW$72*($D$6:$D$72=$D75))</f>
        <v>0</v>
      </c>
      <c r="AX75" s="381" cm="1">
        <f t="array" ref="AX75">SUM(AX$6:AX$72*($D$6:$D$72=$D75))</f>
        <v>0</v>
      </c>
      <c r="AY75" s="381" cm="1">
        <f t="array" ref="AY75">SUM(AY$6:AY$72*($D$6:$D$72=$D75))</f>
        <v>0</v>
      </c>
      <c r="AZ75" s="381" cm="1">
        <f t="array" ref="AZ75">SUM(AZ$6:AZ$72*($D$6:$D$72=$D75))</f>
        <v>0</v>
      </c>
      <c r="BA75" s="381" cm="1">
        <f t="array" ref="BA75">SUM(BA$6:BA$72*($D$6:$D$72=$D75))</f>
        <v>0</v>
      </c>
      <c r="BB75" s="381" cm="1">
        <f t="array" ref="BB75">SUM(BB$6:BB$72*($D$6:$D$72=$D75))</f>
        <v>0</v>
      </c>
      <c r="BC75" s="381" cm="1">
        <f t="array" ref="BC75">SUM(BC$6:BC$72*($D$6:$D$72=$D75))</f>
        <v>0</v>
      </c>
      <c r="BD75" s="381" cm="1">
        <f t="array" ref="BD75">SUM(BD$6:BD$72*($D$6:$D$72=$D75))</f>
        <v>0</v>
      </c>
      <c r="BE75" s="381" cm="1">
        <f t="array" ref="BE75">SUM(BE$6:BE$72*($D$6:$D$72=$D75))</f>
        <v>0</v>
      </c>
      <c r="BF75" s="381" cm="1">
        <f t="array" ref="BF75">SUM(BF$6:BF$72*($D$6:$D$72=$D75))</f>
        <v>0</v>
      </c>
      <c r="BG75" s="381" cm="1">
        <f t="array" ref="BG75">SUM(BG$6:BG$72*($D$6:$D$72=$D75))</f>
        <v>0</v>
      </c>
      <c r="BH75" s="381" cm="1">
        <f t="array" ref="BH75">SUM(BH$6:BH$72*($D$6:$D$72=$D75))</f>
        <v>0</v>
      </c>
      <c r="BI75" s="381" cm="1">
        <f t="array" ref="BI75">SUM(BI$6:BI$72*($D$6:$D$72=$D75))</f>
        <v>0</v>
      </c>
      <c r="BJ75" s="381" cm="1">
        <f t="array" ref="BJ75">SUM(BJ$6:BJ$72*($D$6:$D$72=$D75))</f>
        <v>0</v>
      </c>
      <c r="BK75" s="381" cm="1">
        <f t="array" ref="BK75">SUM(BK$6:BK$72*($D$6:$D$72=$D75))</f>
        <v>0</v>
      </c>
      <c r="BL75" s="381" cm="1">
        <f t="array" ref="BL75">SUM(BL$6:BL$72*($D$6:$D$72=$D75))</f>
        <v>0</v>
      </c>
      <c r="BM75" s="381" cm="1">
        <f t="array" ref="BM75">SUM(BM$6:BM$72*($D$6:$D$72=$D75))</f>
        <v>0</v>
      </c>
      <c r="BN75" s="381" cm="1">
        <f t="array" ref="BN75">SUM(BN$6:BN$72*($D$6:$D$72=$D75))</f>
        <v>0</v>
      </c>
      <c r="BO75" s="381" cm="1">
        <f t="array" ref="BO75">SUM(BO$6:BO$72*($D$6:$D$72=$D75))</f>
        <v>0</v>
      </c>
      <c r="BP75" s="381" cm="1">
        <f t="array" ref="BP75">SUM(BP$6:BP$72*($D$6:$D$72=$D75))</f>
        <v>0</v>
      </c>
      <c r="BQ75" s="381" cm="1">
        <f t="array" ref="BQ75">SUM(BQ$6:BQ$72*($D$6:$D$72=$D75))</f>
        <v>0</v>
      </c>
      <c r="BR75" s="381" cm="1">
        <f t="array" ref="BR75">SUM(BR$6:BR$72*($D$6:$D$72=$D75))</f>
        <v>0</v>
      </c>
      <c r="BS75" s="381" cm="1">
        <f t="array" ref="BS75">SUM(BS$6:BS$72*($D$6:$D$72=$D75))</f>
        <v>0</v>
      </c>
    </row>
    <row r="76" spans="2:274" x14ac:dyDescent="0.25">
      <c r="C76" s="378"/>
      <c r="D76" s="378" t="str">
        <v>Lynne Sutherland</v>
      </c>
      <c r="F76" s="321" t="str">
        <f>_xlfn.XLOOKUP(D76,D8:D74,F8:F74)</f>
        <v>Business Analyst</v>
      </c>
      <c r="I76" s="379">
        <f t="shared" ca="1" si="141"/>
        <v>151.9</v>
      </c>
      <c r="Y76" s="381" cm="1">
        <f t="array" ref="Y76">SUM(Y$6:Y$72*($D$6:$D$72=$D76))</f>
        <v>1</v>
      </c>
      <c r="Z76" s="381" cm="1">
        <f t="array" ref="Z76">SUM(Z$6:Z$72*($D$6:$D$72=$D76))</f>
        <v>1</v>
      </c>
      <c r="AA76" s="381" cm="1">
        <f t="array" ref="AA76">SUM(AA$6:AA$72*($D$6:$D$72=$D76))</f>
        <v>1</v>
      </c>
      <c r="AB76" s="381" cm="1">
        <f t="array" ref="AB76">SUM(AB$6:AB$72*($D$6:$D$72=$D76))</f>
        <v>1</v>
      </c>
      <c r="AC76" s="381" cm="1">
        <f t="array" ref="AC76">SUM(AC$6:AC$72*($D$6:$D$72=$D76))</f>
        <v>1</v>
      </c>
      <c r="AD76" s="381" cm="1">
        <f t="array" ref="AD76">SUM(AD$6:AD$72*($D$6:$D$72=$D76))</f>
        <v>1</v>
      </c>
      <c r="AE76" s="381" cm="1">
        <f t="array" ref="AE76">SUM(AE$6:AE$72*($D$6:$D$72=$D76))</f>
        <v>1</v>
      </c>
      <c r="AF76" s="381" cm="1">
        <f t="array" ref="AF76">SUM(AF$6:AF$72*($D$6:$D$72=$D76))</f>
        <v>1</v>
      </c>
      <c r="AG76" s="381" cm="1">
        <f t="array" ref="AG76">SUM(AG$6:AG$72*($D$6:$D$72=$D76))</f>
        <v>1</v>
      </c>
      <c r="AH76" s="381" cm="1">
        <f t="array" ref="AH76">SUM(AH$6:AH$72*($D$6:$D$72=$D76))</f>
        <v>1</v>
      </c>
      <c r="AI76" s="381" cm="1">
        <f t="array" ref="AI76">SUM(AI$6:AI$72*($D$6:$D$72=$D76))</f>
        <v>1</v>
      </c>
      <c r="AJ76" s="381" cm="1">
        <f t="array" ref="AJ76">SUM(AJ$6:AJ$72*($D$6:$D$72=$D76))</f>
        <v>1</v>
      </c>
      <c r="AK76" s="381" cm="1">
        <f t="array" ref="AK76">SUM(AK$6:AK$72*($D$6:$D$72=$D76))</f>
        <v>1</v>
      </c>
      <c r="AL76" s="381" cm="1">
        <f t="array" ref="AL76">SUM(AL$6:AL$72*($D$6:$D$72=$D76))</f>
        <v>1</v>
      </c>
      <c r="AM76" s="381" cm="1">
        <f t="array" ref="AM76">SUM(AM$6:AM$72*($D$6:$D$72=$D76))</f>
        <v>1</v>
      </c>
      <c r="AN76" s="381" cm="1">
        <f t="array" ref="AN76">SUM(AN$6:AN$72*($D$6:$D$72=$D76))</f>
        <v>0.5</v>
      </c>
      <c r="AO76" s="381" cm="1">
        <f t="array" ref="AO76">SUM(AO$6:AO$72*($D$6:$D$72=$D76))</f>
        <v>0.5</v>
      </c>
      <c r="AP76" s="381" cm="1">
        <f t="array" ref="AP76">SUM(AP$6:AP$72*($D$6:$D$72=$D76))</f>
        <v>0.5</v>
      </c>
      <c r="AQ76" s="381" cm="1">
        <f t="array" ref="AQ76">SUM(AQ$6:AQ$72*($D$6:$D$72=$D76))</f>
        <v>0</v>
      </c>
      <c r="AR76" s="381" cm="1">
        <f t="array" ref="AR76">SUM(AR$6:AR$72*($D$6:$D$72=$D76))</f>
        <v>0</v>
      </c>
      <c r="AS76" s="381" cm="1">
        <f t="array" ref="AS76">SUM(AS$6:AS$72*($D$6:$D$72=$D76))</f>
        <v>0</v>
      </c>
      <c r="AT76" s="381" cm="1">
        <f t="array" ref="AT76">SUM(AT$6:AT$72*($D$6:$D$72=$D76))</f>
        <v>0</v>
      </c>
      <c r="AU76" s="381" cm="1">
        <f t="array" ref="AU76">SUM(AU$6:AU$72*($D$6:$D$72=$D76))</f>
        <v>0</v>
      </c>
      <c r="AV76" s="381" cm="1">
        <f t="array" ref="AV76">SUM(AV$6:AV$72*($D$6:$D$72=$D76))</f>
        <v>0</v>
      </c>
      <c r="AW76" s="381" cm="1">
        <f t="array" ref="AW76">SUM(AW$6:AW$72*($D$6:$D$72=$D76))</f>
        <v>0</v>
      </c>
      <c r="AX76" s="381" cm="1">
        <f t="array" ref="AX76">SUM(AX$6:AX$72*($D$6:$D$72=$D76))</f>
        <v>0</v>
      </c>
      <c r="AY76" s="381" cm="1">
        <f t="array" ref="AY76">SUM(AY$6:AY$72*($D$6:$D$72=$D76))</f>
        <v>0</v>
      </c>
      <c r="AZ76" s="381" cm="1">
        <f t="array" ref="AZ76">SUM(AZ$6:AZ$72*($D$6:$D$72=$D76))</f>
        <v>0</v>
      </c>
      <c r="BA76" s="381" cm="1">
        <f t="array" ref="BA76">SUM(BA$6:BA$72*($D$6:$D$72=$D76))</f>
        <v>0</v>
      </c>
      <c r="BB76" s="381" cm="1">
        <f t="array" ref="BB76">SUM(BB$6:BB$72*($D$6:$D$72=$D76))</f>
        <v>0</v>
      </c>
      <c r="BC76" s="381" cm="1">
        <f t="array" ref="BC76">SUM(BC$6:BC$72*($D$6:$D$72=$D76))</f>
        <v>0</v>
      </c>
      <c r="BD76" s="381" cm="1">
        <f t="array" ref="BD76">SUM(BD$6:BD$72*($D$6:$D$72=$D76))</f>
        <v>0</v>
      </c>
      <c r="BE76" s="381" cm="1">
        <f t="array" ref="BE76">SUM(BE$6:BE$72*($D$6:$D$72=$D76))</f>
        <v>0</v>
      </c>
      <c r="BF76" s="381" cm="1">
        <f t="array" ref="BF76">SUM(BF$6:BF$72*($D$6:$D$72=$D76))</f>
        <v>0</v>
      </c>
      <c r="BG76" s="381" cm="1">
        <f t="array" ref="BG76">SUM(BG$6:BG$72*($D$6:$D$72=$D76))</f>
        <v>0</v>
      </c>
      <c r="BH76" s="381" cm="1">
        <f t="array" ref="BH76">SUM(BH$6:BH$72*($D$6:$D$72=$D76))</f>
        <v>0</v>
      </c>
      <c r="BI76" s="381" cm="1">
        <f t="array" ref="BI76">SUM(BI$6:BI$72*($D$6:$D$72=$D76))</f>
        <v>0</v>
      </c>
      <c r="BJ76" s="381" cm="1">
        <f t="array" ref="BJ76">SUM(BJ$6:BJ$72*($D$6:$D$72=$D76))</f>
        <v>0</v>
      </c>
      <c r="BK76" s="381" cm="1">
        <f t="array" ref="BK76">SUM(BK$6:BK$72*($D$6:$D$72=$D76))</f>
        <v>0</v>
      </c>
      <c r="BL76" s="381" cm="1">
        <f t="array" ref="BL76">SUM(BL$6:BL$72*($D$6:$D$72=$D76))</f>
        <v>0</v>
      </c>
      <c r="BM76" s="381" cm="1">
        <f t="array" ref="BM76">SUM(BM$6:BM$72*($D$6:$D$72=$D76))</f>
        <v>0</v>
      </c>
      <c r="BN76" s="381" cm="1">
        <f t="array" ref="BN76">SUM(BN$6:BN$72*($D$6:$D$72=$D76))</f>
        <v>0</v>
      </c>
      <c r="BO76" s="381" cm="1">
        <f t="array" ref="BO76">SUM(BO$6:BO$72*($D$6:$D$72=$D76))</f>
        <v>0</v>
      </c>
      <c r="BP76" s="381" cm="1">
        <f t="array" ref="BP76">SUM(BP$6:BP$72*($D$6:$D$72=$D76))</f>
        <v>0</v>
      </c>
      <c r="BQ76" s="381" cm="1">
        <f t="array" ref="BQ76">SUM(BQ$6:BQ$72*($D$6:$D$72=$D76))</f>
        <v>0</v>
      </c>
      <c r="BR76" s="381" cm="1">
        <f t="array" ref="BR76">SUM(BR$6:BR$72*($D$6:$D$72=$D76))</f>
        <v>0</v>
      </c>
      <c r="BS76" s="381" cm="1">
        <f t="array" ref="BS76">SUM(BS$6:BS$72*($D$6:$D$72=$D76))</f>
        <v>0</v>
      </c>
    </row>
    <row r="77" spans="2:274" x14ac:dyDescent="0.25">
      <c r="C77" s="378"/>
      <c r="D77" s="378" t="str">
        <v>Hadas Yehezkel</v>
      </c>
      <c r="F77" s="321" t="str">
        <f>_xlfn.XLOOKUP(D77,D9:D75,F9:F75)</f>
        <v>ServiceNow Architect</v>
      </c>
      <c r="I77" s="379">
        <f t="shared" ca="1" si="141"/>
        <v>237</v>
      </c>
      <c r="Y77" s="381" cm="1">
        <f t="array" ref="Y77">SUM(Y$6:Y$72*($D$6:$D$72=$D77))</f>
        <v>0.7</v>
      </c>
      <c r="Z77" s="381" cm="1">
        <f t="array" ref="Z77">SUM(Z$6:Z$72*($D$6:$D$72=$D77))</f>
        <v>0.5</v>
      </c>
      <c r="AA77" s="381" cm="1">
        <f t="array" ref="AA77">SUM(AA$6:AA$72*($D$6:$D$72=$D77))</f>
        <v>0.5</v>
      </c>
      <c r="AB77" s="381" cm="1">
        <f t="array" ref="AB77">SUM(AB$6:AB$72*($D$6:$D$72=$D77))</f>
        <v>1</v>
      </c>
      <c r="AC77" s="381" cm="1">
        <f t="array" ref="AC77">SUM(AC$6:AC$72*($D$6:$D$72=$D77))</f>
        <v>0.25</v>
      </c>
      <c r="AD77" s="381" cm="1">
        <f t="array" ref="AD77">SUM(AD$6:AD$72*($D$6:$D$72=$D77))</f>
        <v>0.25</v>
      </c>
      <c r="AE77" s="381" cm="1">
        <f t="array" ref="AE77">SUM(AE$6:AE$72*($D$6:$D$72=$D77))</f>
        <v>0.25</v>
      </c>
      <c r="AF77" s="381" cm="1">
        <f t="array" ref="AF77">SUM(AF$6:AF$72*($D$6:$D$72=$D77))</f>
        <v>0.5</v>
      </c>
      <c r="AG77" s="381" cm="1">
        <f t="array" ref="AG77">SUM(AG$6:AG$72*($D$6:$D$72=$D77))</f>
        <v>0.5</v>
      </c>
      <c r="AH77" s="381" cm="1">
        <f t="array" ref="AH77">SUM(AH$6:AH$72*($D$6:$D$72=$D77))</f>
        <v>0.5</v>
      </c>
      <c r="AI77" s="381" cm="1">
        <f t="array" ref="AI77">SUM(AI$6:AI$72*($D$6:$D$72=$D77))</f>
        <v>0.5</v>
      </c>
      <c r="AJ77" s="381" cm="1">
        <f t="array" ref="AJ77">SUM(AJ$6:AJ$72*($D$6:$D$72=$D77))</f>
        <v>0.5</v>
      </c>
      <c r="AK77" s="381" cm="1">
        <f t="array" ref="AK77">SUM(AK$6:AK$72*($D$6:$D$72=$D77))</f>
        <v>0.5</v>
      </c>
      <c r="AL77" s="381" cm="1">
        <f t="array" ref="AL77">SUM(AL$6:AL$72*($D$6:$D$72=$D77))</f>
        <v>0.5</v>
      </c>
      <c r="AM77" s="381" cm="1">
        <f t="array" ref="AM77">SUM(AM$6:AM$72*($D$6:$D$72=$D77))</f>
        <v>0.5</v>
      </c>
      <c r="AN77" s="381" cm="1">
        <f t="array" ref="AN77">SUM(AN$6:AN$72*($D$6:$D$72=$D77))</f>
        <v>0</v>
      </c>
      <c r="AO77" s="381" cm="1">
        <f t="array" ref="AO77">SUM(AO$6:AO$72*($D$6:$D$72=$D77))</f>
        <v>0</v>
      </c>
      <c r="AP77" s="381" cm="1">
        <f t="array" ref="AP77">SUM(AP$6:AP$72*($D$6:$D$72=$D77))</f>
        <v>0</v>
      </c>
      <c r="AQ77" s="381" cm="1">
        <f t="array" ref="AQ77">SUM(AQ$6:AQ$72*($D$6:$D$72=$D77))</f>
        <v>0</v>
      </c>
      <c r="AR77" s="381" cm="1">
        <f t="array" ref="AR77">SUM(AR$6:AR$72*($D$6:$D$72=$D77))</f>
        <v>0</v>
      </c>
      <c r="AS77" s="381" cm="1">
        <f t="array" ref="AS77">SUM(AS$6:AS$72*($D$6:$D$72=$D77))</f>
        <v>0</v>
      </c>
      <c r="AT77" s="381" cm="1">
        <f t="array" ref="AT77">SUM(AT$6:AT$72*($D$6:$D$72=$D77))</f>
        <v>0</v>
      </c>
      <c r="AU77" s="381" cm="1">
        <f t="array" ref="AU77">SUM(AU$6:AU$72*($D$6:$D$72=$D77))</f>
        <v>0</v>
      </c>
      <c r="AV77" s="381" cm="1">
        <f t="array" ref="AV77">SUM(AV$6:AV$72*($D$6:$D$72=$D77))</f>
        <v>0</v>
      </c>
      <c r="AW77" s="381" cm="1">
        <f t="array" ref="AW77">SUM(AW$6:AW$72*($D$6:$D$72=$D77))</f>
        <v>0</v>
      </c>
      <c r="AX77" s="381" cm="1">
        <f t="array" ref="AX77">SUM(AX$6:AX$72*($D$6:$D$72=$D77))</f>
        <v>0</v>
      </c>
      <c r="AY77" s="381" cm="1">
        <f t="array" ref="AY77">SUM(AY$6:AY$72*($D$6:$D$72=$D77))</f>
        <v>0</v>
      </c>
      <c r="AZ77" s="381" cm="1">
        <f t="array" ref="AZ77">SUM(AZ$6:AZ$72*($D$6:$D$72=$D77))</f>
        <v>0</v>
      </c>
      <c r="BA77" s="381" cm="1">
        <f t="array" ref="BA77">SUM(BA$6:BA$72*($D$6:$D$72=$D77))</f>
        <v>0</v>
      </c>
      <c r="BB77" s="381" cm="1">
        <f t="array" ref="BB77">SUM(BB$6:BB$72*($D$6:$D$72=$D77))</f>
        <v>0</v>
      </c>
      <c r="BC77" s="381" cm="1">
        <f t="array" ref="BC77">SUM(BC$6:BC$72*($D$6:$D$72=$D77))</f>
        <v>0</v>
      </c>
      <c r="BD77" s="381" cm="1">
        <f t="array" ref="BD77">SUM(BD$6:BD$72*($D$6:$D$72=$D77))</f>
        <v>0</v>
      </c>
      <c r="BE77" s="381" cm="1">
        <f t="array" ref="BE77">SUM(BE$6:BE$72*($D$6:$D$72=$D77))</f>
        <v>0</v>
      </c>
      <c r="BF77" s="381" cm="1">
        <f t="array" ref="BF77">SUM(BF$6:BF$72*($D$6:$D$72=$D77))</f>
        <v>0</v>
      </c>
      <c r="BG77" s="381" cm="1">
        <f t="array" ref="BG77">SUM(BG$6:BG$72*($D$6:$D$72=$D77))</f>
        <v>0</v>
      </c>
      <c r="BH77" s="381" cm="1">
        <f t="array" ref="BH77">SUM(BH$6:BH$72*($D$6:$D$72=$D77))</f>
        <v>0</v>
      </c>
      <c r="BI77" s="381" cm="1">
        <f t="array" ref="BI77">SUM(BI$6:BI$72*($D$6:$D$72=$D77))</f>
        <v>0</v>
      </c>
      <c r="BJ77" s="381" cm="1">
        <f t="array" ref="BJ77">SUM(BJ$6:BJ$72*($D$6:$D$72=$D77))</f>
        <v>0</v>
      </c>
      <c r="BK77" s="381" cm="1">
        <f t="array" ref="BK77">SUM(BK$6:BK$72*($D$6:$D$72=$D77))</f>
        <v>0</v>
      </c>
      <c r="BL77" s="381" cm="1">
        <f t="array" ref="BL77">SUM(BL$6:BL$72*($D$6:$D$72=$D77))</f>
        <v>0</v>
      </c>
      <c r="BM77" s="381" cm="1">
        <f t="array" ref="BM77">SUM(BM$6:BM$72*($D$6:$D$72=$D77))</f>
        <v>0</v>
      </c>
      <c r="BN77" s="381" cm="1">
        <f t="array" ref="BN77">SUM(BN$6:BN$72*($D$6:$D$72=$D77))</f>
        <v>0</v>
      </c>
      <c r="BO77" s="381" cm="1">
        <f t="array" ref="BO77">SUM(BO$6:BO$72*($D$6:$D$72=$D77))</f>
        <v>0</v>
      </c>
      <c r="BP77" s="381" cm="1">
        <f t="array" ref="BP77">SUM(BP$6:BP$72*($D$6:$D$72=$D77))</f>
        <v>0</v>
      </c>
      <c r="BQ77" s="381" cm="1">
        <f t="array" ref="BQ77">SUM(BQ$6:BQ$72*($D$6:$D$72=$D77))</f>
        <v>0</v>
      </c>
      <c r="BR77" s="381" cm="1">
        <f t="array" ref="BR77">SUM(BR$6:BR$72*($D$6:$D$72=$D77))</f>
        <v>0</v>
      </c>
      <c r="BS77" s="381" cm="1">
        <f t="array" ref="BS77">SUM(BS$6:BS$72*($D$6:$D$72=$D77))</f>
        <v>0</v>
      </c>
    </row>
    <row r="78" spans="2:274" x14ac:dyDescent="0.25">
      <c r="C78" s="378"/>
      <c r="D78" s="378" t="str">
        <v>Bradley Burge</v>
      </c>
      <c r="F78" s="321" t="str">
        <f>_xlfn.XLOOKUP(D78,D10:D76,F10:F76)</f>
        <v>Lead ServiceNow Developer</v>
      </c>
      <c r="I78" s="379">
        <f t="shared" ca="1" si="141"/>
        <v>207.39999999999998</v>
      </c>
      <c r="Y78" s="381" cm="1">
        <f t="array" ref="Y78">SUM(Y$6:Y$72*($D$6:$D$72=$D78))</f>
        <v>0</v>
      </c>
      <c r="Z78" s="381" cm="1">
        <f t="array" ref="Z78">SUM(Z$6:Z$72*($D$6:$D$72=$D78))</f>
        <v>0</v>
      </c>
      <c r="AA78" s="381" cm="1">
        <f t="array" ref="AA78">SUM(AA$6:AA$72*($D$6:$D$72=$D78))</f>
        <v>0.5</v>
      </c>
      <c r="AB78" s="381" cm="1">
        <f t="array" ref="AB78">SUM(AB$6:AB$72*($D$6:$D$72=$D78))</f>
        <v>1.5</v>
      </c>
      <c r="AC78" s="381" cm="1">
        <f t="array" ref="AC78">SUM(AC$6:AC$72*($D$6:$D$72=$D78))</f>
        <v>1</v>
      </c>
      <c r="AD78" s="381" cm="1">
        <f t="array" ref="AD78">SUM(AD$6:AD$72*($D$6:$D$72=$D78))</f>
        <v>1</v>
      </c>
      <c r="AE78" s="381" cm="1">
        <f t="array" ref="AE78">SUM(AE$6:AE$72*($D$6:$D$72=$D78))</f>
        <v>1</v>
      </c>
      <c r="AF78" s="381" cm="1">
        <f t="array" ref="AF78">SUM(AF$6:AF$72*($D$6:$D$72=$D78))</f>
        <v>1</v>
      </c>
      <c r="AG78" s="381" cm="1">
        <f t="array" ref="AG78">SUM(AG$6:AG$72*($D$6:$D$72=$D78))</f>
        <v>1</v>
      </c>
      <c r="AH78" s="381" cm="1">
        <f t="array" ref="AH78">SUM(AH$6:AH$72*($D$6:$D$72=$D78))</f>
        <v>1</v>
      </c>
      <c r="AI78" s="381" cm="1">
        <f t="array" ref="AI78">SUM(AI$6:AI$72*($D$6:$D$72=$D78))</f>
        <v>1</v>
      </c>
      <c r="AJ78" s="381" cm="1">
        <f t="array" ref="AJ78">SUM(AJ$6:AJ$72*($D$6:$D$72=$D78))</f>
        <v>1</v>
      </c>
      <c r="AK78" s="381" cm="1">
        <f t="array" ref="AK78">SUM(AK$6:AK$72*($D$6:$D$72=$D78))</f>
        <v>1</v>
      </c>
      <c r="AL78" s="381" cm="1">
        <f t="array" ref="AL78">SUM(AL$6:AL$72*($D$6:$D$72=$D78))</f>
        <v>1</v>
      </c>
      <c r="AM78" s="381" cm="1">
        <f t="array" ref="AM78">SUM(AM$6:AM$72*($D$6:$D$72=$D78))</f>
        <v>1</v>
      </c>
      <c r="AN78" s="381" cm="1">
        <f t="array" ref="AN78">SUM(AN$6:AN$72*($D$6:$D$72=$D78))</f>
        <v>1</v>
      </c>
      <c r="AO78" s="381" cm="1">
        <f t="array" ref="AO78">SUM(AO$6:AO$72*($D$6:$D$72=$D78))</f>
        <v>1</v>
      </c>
      <c r="AP78" s="381" cm="1">
        <f t="array" ref="AP78">SUM(AP$6:AP$72*($D$6:$D$72=$D78))</f>
        <v>1</v>
      </c>
      <c r="AQ78" s="381" cm="1">
        <f t="array" ref="AQ78">SUM(AQ$6:AQ$72*($D$6:$D$72=$D78))</f>
        <v>1</v>
      </c>
      <c r="AR78" s="381" cm="1">
        <f t="array" ref="AR78">SUM(AR$6:AR$72*($D$6:$D$72=$D78))</f>
        <v>1</v>
      </c>
      <c r="AS78" s="381" cm="1">
        <f t="array" ref="AS78">SUM(AS$6:AS$72*($D$6:$D$72=$D78))</f>
        <v>1</v>
      </c>
      <c r="AT78" s="381" cm="1">
        <f t="array" ref="AT78">SUM(AT$6:AT$72*($D$6:$D$72=$D78))</f>
        <v>1</v>
      </c>
      <c r="AU78" s="381" cm="1">
        <f t="array" ref="AU78">SUM(AU$6:AU$72*($D$6:$D$72=$D78))</f>
        <v>1</v>
      </c>
      <c r="AV78" s="381" cm="1">
        <f t="array" ref="AV78">SUM(AV$6:AV$72*($D$6:$D$72=$D78))</f>
        <v>1</v>
      </c>
      <c r="AW78" s="381" cm="1">
        <f t="array" ref="AW78">SUM(AW$6:AW$72*($D$6:$D$72=$D78))</f>
        <v>1</v>
      </c>
      <c r="AX78" s="381" cm="1">
        <f t="array" ref="AX78">SUM(AX$6:AX$72*($D$6:$D$72=$D78))</f>
        <v>1</v>
      </c>
      <c r="AY78" s="381" cm="1">
        <f t="array" ref="AY78">SUM(AY$6:AY$72*($D$6:$D$72=$D78))</f>
        <v>1</v>
      </c>
      <c r="AZ78" s="381" cm="1">
        <f t="array" ref="AZ78">SUM(AZ$6:AZ$72*($D$6:$D$72=$D78))</f>
        <v>0</v>
      </c>
      <c r="BA78" s="381" cm="1">
        <f t="array" ref="BA78">SUM(BA$6:BA$72*($D$6:$D$72=$D78))</f>
        <v>0</v>
      </c>
      <c r="BB78" s="381" cm="1">
        <f t="array" ref="BB78">SUM(BB$6:BB$72*($D$6:$D$72=$D78))</f>
        <v>0</v>
      </c>
      <c r="BC78" s="381" cm="1">
        <f t="array" ref="BC78">SUM(BC$6:BC$72*($D$6:$D$72=$D78))</f>
        <v>0</v>
      </c>
      <c r="BD78" s="381" cm="1">
        <f t="array" ref="BD78">SUM(BD$6:BD$72*($D$6:$D$72=$D78))</f>
        <v>0</v>
      </c>
      <c r="BE78" s="381" cm="1">
        <f t="array" ref="BE78">SUM(BE$6:BE$72*($D$6:$D$72=$D78))</f>
        <v>0</v>
      </c>
      <c r="BF78" s="381" cm="1">
        <f t="array" ref="BF78">SUM(BF$6:BF$72*($D$6:$D$72=$D78))</f>
        <v>0</v>
      </c>
      <c r="BG78" s="381" cm="1">
        <f t="array" ref="BG78">SUM(BG$6:BG$72*($D$6:$D$72=$D78))</f>
        <v>0</v>
      </c>
      <c r="BH78" s="381" cm="1">
        <f t="array" ref="BH78">SUM(BH$6:BH$72*($D$6:$D$72=$D78))</f>
        <v>0</v>
      </c>
      <c r="BI78" s="381" cm="1">
        <f t="array" ref="BI78">SUM(BI$6:BI$72*($D$6:$D$72=$D78))</f>
        <v>0</v>
      </c>
      <c r="BJ78" s="381" cm="1">
        <f t="array" ref="BJ78">SUM(BJ$6:BJ$72*($D$6:$D$72=$D78))</f>
        <v>0</v>
      </c>
      <c r="BK78" s="381" cm="1">
        <f t="array" ref="BK78">SUM(BK$6:BK$72*($D$6:$D$72=$D78))</f>
        <v>0</v>
      </c>
      <c r="BL78" s="381" cm="1">
        <f t="array" ref="BL78">SUM(BL$6:BL$72*($D$6:$D$72=$D78))</f>
        <v>0</v>
      </c>
      <c r="BM78" s="381" cm="1">
        <f t="array" ref="BM78">SUM(BM$6:BM$72*($D$6:$D$72=$D78))</f>
        <v>0</v>
      </c>
      <c r="BN78" s="381" cm="1">
        <f t="array" ref="BN78">SUM(BN$6:BN$72*($D$6:$D$72=$D78))</f>
        <v>0</v>
      </c>
      <c r="BO78" s="381" cm="1">
        <f t="array" ref="BO78">SUM(BO$6:BO$72*($D$6:$D$72=$D78))</f>
        <v>0</v>
      </c>
      <c r="BP78" s="381" cm="1">
        <f t="array" ref="BP78">SUM(BP$6:BP$72*($D$6:$D$72=$D78))</f>
        <v>0</v>
      </c>
      <c r="BQ78" s="381" cm="1">
        <f t="array" ref="BQ78">SUM(BQ$6:BQ$72*($D$6:$D$72=$D78))</f>
        <v>0</v>
      </c>
      <c r="BR78" s="381" cm="1">
        <f t="array" ref="BR78">SUM(BR$6:BR$72*($D$6:$D$72=$D78))</f>
        <v>0</v>
      </c>
      <c r="BS78" s="381" cm="1">
        <f t="array" ref="BS78">SUM(BS$6:BS$72*($D$6:$D$72=$D78))</f>
        <v>0</v>
      </c>
    </row>
    <row r="79" spans="2:274" x14ac:dyDescent="0.25">
      <c r="C79" s="378"/>
      <c r="D79" s="378" t="str">
        <v>Michelle Chant</v>
      </c>
      <c r="F79" s="321" t="str">
        <f>_xlfn.XLOOKUP(D79,D11:D77,F11:F77)</f>
        <v>Change Manager</v>
      </c>
      <c r="I79" s="379">
        <f t="shared" ca="1" si="141"/>
        <v>151.9</v>
      </c>
      <c r="Y79" s="381" cm="1">
        <f t="array" ref="Y79">SUM(Y$6:Y$72*($D$6:$D$72=$D79))</f>
        <v>0.2</v>
      </c>
      <c r="Z79" s="381" cm="1">
        <f t="array" ref="Z79">SUM(Z$6:Z$72*($D$6:$D$72=$D79))</f>
        <v>0.3</v>
      </c>
      <c r="AA79" s="381" cm="1">
        <f t="array" ref="AA79">SUM(AA$6:AA$72*($D$6:$D$72=$D79))</f>
        <v>0.85</v>
      </c>
      <c r="AB79" s="381" cm="1">
        <f t="array" ref="AB79">SUM(AB$6:AB$72*($D$6:$D$72=$D79))</f>
        <v>0.2</v>
      </c>
      <c r="AC79" s="381" cm="1">
        <f t="array" ref="AC79">SUM(AC$6:AC$72*($D$6:$D$72=$D79))</f>
        <v>0</v>
      </c>
      <c r="AD79" s="381" cm="1">
        <f t="array" ref="AD79">SUM(AD$6:AD$72*($D$6:$D$72=$D79))</f>
        <v>0</v>
      </c>
      <c r="AE79" s="381" cm="1">
        <f t="array" ref="AE79">SUM(AE$6:AE$72*($D$6:$D$72=$D79))</f>
        <v>0</v>
      </c>
      <c r="AF79" s="381" cm="1">
        <f t="array" ref="AF79">SUM(AF$6:AF$72*($D$6:$D$72=$D79))</f>
        <v>0</v>
      </c>
      <c r="AG79" s="381" cm="1">
        <f t="array" ref="AG79">SUM(AG$6:AG$72*($D$6:$D$72=$D79))</f>
        <v>1</v>
      </c>
      <c r="AH79" s="381" cm="1">
        <f t="array" ref="AH79">SUM(AH$6:AH$72*($D$6:$D$72=$D79))</f>
        <v>1</v>
      </c>
      <c r="AI79" s="381" cm="1">
        <f t="array" ref="AI79">SUM(AI$6:AI$72*($D$6:$D$72=$D79))</f>
        <v>1</v>
      </c>
      <c r="AJ79" s="381" cm="1">
        <f t="array" ref="AJ79">SUM(AJ$6:AJ$72*($D$6:$D$72=$D79))</f>
        <v>1</v>
      </c>
      <c r="AK79" s="381" cm="1">
        <f t="array" ref="AK79">SUM(AK$6:AK$72*($D$6:$D$72=$D79))</f>
        <v>1</v>
      </c>
      <c r="AL79" s="381" cm="1">
        <f t="array" ref="AL79">SUM(AL$6:AL$72*($D$6:$D$72=$D79))</f>
        <v>1</v>
      </c>
      <c r="AM79" s="381" cm="1">
        <f t="array" ref="AM79">SUM(AM$6:AM$72*($D$6:$D$72=$D79))</f>
        <v>1</v>
      </c>
      <c r="AN79" s="381" cm="1">
        <f t="array" ref="AN79">SUM(AN$6:AN$72*($D$6:$D$72=$D79))</f>
        <v>1</v>
      </c>
      <c r="AO79" s="381" cm="1">
        <f t="array" ref="AO79">SUM(AO$6:AO$72*($D$6:$D$72=$D79))</f>
        <v>1</v>
      </c>
      <c r="AP79" s="381" cm="1">
        <f t="array" ref="AP79">SUM(AP$6:AP$72*($D$6:$D$72=$D79))</f>
        <v>1</v>
      </c>
      <c r="AQ79" s="381" cm="1">
        <f t="array" ref="AQ79">SUM(AQ$6:AQ$72*($D$6:$D$72=$D79))</f>
        <v>1</v>
      </c>
      <c r="AR79" s="381" cm="1">
        <f t="array" ref="AR79">SUM(AR$6:AR$72*($D$6:$D$72=$D79))</f>
        <v>0</v>
      </c>
      <c r="AS79" s="381" cm="1">
        <f t="array" ref="AS79">SUM(AS$6:AS$72*($D$6:$D$72=$D79))</f>
        <v>0</v>
      </c>
      <c r="AT79" s="381" cm="1">
        <f t="array" ref="AT79">SUM(AT$6:AT$72*($D$6:$D$72=$D79))</f>
        <v>0</v>
      </c>
      <c r="AU79" s="381" cm="1">
        <f t="array" ref="AU79">SUM(AU$6:AU$72*($D$6:$D$72=$D79))</f>
        <v>0</v>
      </c>
      <c r="AV79" s="381" cm="1">
        <f t="array" ref="AV79">SUM(AV$6:AV$72*($D$6:$D$72=$D79))</f>
        <v>0</v>
      </c>
      <c r="AW79" s="381" cm="1">
        <f t="array" ref="AW79">SUM(AW$6:AW$72*($D$6:$D$72=$D79))</f>
        <v>0</v>
      </c>
      <c r="AX79" s="381" cm="1">
        <f t="array" ref="AX79">SUM(AX$6:AX$72*($D$6:$D$72=$D79))</f>
        <v>0</v>
      </c>
      <c r="AY79" s="381" cm="1">
        <f t="array" ref="AY79">SUM(AY$6:AY$72*($D$6:$D$72=$D79))</f>
        <v>0</v>
      </c>
      <c r="AZ79" s="381" cm="1">
        <f t="array" ref="AZ79">SUM(AZ$6:AZ$72*($D$6:$D$72=$D79))</f>
        <v>0</v>
      </c>
      <c r="BA79" s="381" cm="1">
        <f t="array" ref="BA79">SUM(BA$6:BA$72*($D$6:$D$72=$D79))</f>
        <v>0</v>
      </c>
      <c r="BB79" s="381" cm="1">
        <f t="array" ref="BB79">SUM(BB$6:BB$72*($D$6:$D$72=$D79))</f>
        <v>0</v>
      </c>
      <c r="BC79" s="381" cm="1">
        <f t="array" ref="BC79">SUM(BC$6:BC$72*($D$6:$D$72=$D79))</f>
        <v>0</v>
      </c>
      <c r="BD79" s="381" cm="1">
        <f t="array" ref="BD79">SUM(BD$6:BD$72*($D$6:$D$72=$D79))</f>
        <v>0</v>
      </c>
      <c r="BE79" s="381" cm="1">
        <f t="array" ref="BE79">SUM(BE$6:BE$72*($D$6:$D$72=$D79))</f>
        <v>0</v>
      </c>
      <c r="BF79" s="381" cm="1">
        <f t="array" ref="BF79">SUM(BF$6:BF$72*($D$6:$D$72=$D79))</f>
        <v>0</v>
      </c>
      <c r="BG79" s="381" cm="1">
        <f t="array" ref="BG79">SUM(BG$6:BG$72*($D$6:$D$72=$D79))</f>
        <v>0</v>
      </c>
      <c r="BH79" s="381" cm="1">
        <f t="array" ref="BH79">SUM(BH$6:BH$72*($D$6:$D$72=$D79))</f>
        <v>0</v>
      </c>
      <c r="BI79" s="381" cm="1">
        <f t="array" ref="BI79">SUM(BI$6:BI$72*($D$6:$D$72=$D79))</f>
        <v>0</v>
      </c>
      <c r="BJ79" s="381" cm="1">
        <f t="array" ref="BJ79">SUM(BJ$6:BJ$72*($D$6:$D$72=$D79))</f>
        <v>0</v>
      </c>
      <c r="BK79" s="381" cm="1">
        <f t="array" ref="BK79">SUM(BK$6:BK$72*($D$6:$D$72=$D79))</f>
        <v>0</v>
      </c>
      <c r="BL79" s="381" cm="1">
        <f t="array" ref="BL79">SUM(BL$6:BL$72*($D$6:$D$72=$D79))</f>
        <v>0</v>
      </c>
      <c r="BM79" s="381" cm="1">
        <f t="array" ref="BM79">SUM(BM$6:BM$72*($D$6:$D$72=$D79))</f>
        <v>0</v>
      </c>
      <c r="BN79" s="381" cm="1">
        <f t="array" ref="BN79">SUM(BN$6:BN$72*($D$6:$D$72=$D79))</f>
        <v>0</v>
      </c>
      <c r="BO79" s="381" cm="1">
        <f t="array" ref="BO79">SUM(BO$6:BO$72*($D$6:$D$72=$D79))</f>
        <v>0</v>
      </c>
      <c r="BP79" s="381" cm="1">
        <f t="array" ref="BP79">SUM(BP$6:BP$72*($D$6:$D$72=$D79))</f>
        <v>0</v>
      </c>
      <c r="BQ79" s="381" cm="1">
        <f t="array" ref="BQ79">SUM(BQ$6:BQ$72*($D$6:$D$72=$D79))</f>
        <v>0</v>
      </c>
      <c r="BR79" s="381" cm="1">
        <f t="array" ref="BR79">SUM(BR$6:BR$72*($D$6:$D$72=$D79))</f>
        <v>0</v>
      </c>
      <c r="BS79" s="381" cm="1">
        <f t="array" ref="BS79">SUM(BS$6:BS$72*($D$6:$D$72=$D79))</f>
        <v>0</v>
      </c>
    </row>
    <row r="80" spans="2:274" x14ac:dyDescent="0.25">
      <c r="D80" s="321" t="str">
        <v>Phani Gollamudi</v>
      </c>
      <c r="F80" s="321" t="str">
        <f>_xlfn.XLOOKUP(D80,D12:D78,F12:F78)</f>
        <v>ServiceNow Developer</v>
      </c>
      <c r="I80" s="379">
        <f t="shared" ca="1" si="141"/>
        <v>0</v>
      </c>
      <c r="Y80" s="381" cm="1">
        <f t="array" ref="Y80">SUM(Y$6:Y$72*($D$6:$D$72=$D80))</f>
        <v>0.25</v>
      </c>
      <c r="Z80" s="381" cm="1">
        <f t="array" ref="Z80">SUM(Z$6:Z$72*($D$6:$D$72=$D80))</f>
        <v>0.56999999999999995</v>
      </c>
      <c r="AA80" s="381" cm="1">
        <f t="array" ref="AA80">SUM(AA$6:AA$72*($D$6:$D$72=$D80))</f>
        <v>0.5</v>
      </c>
      <c r="AB80" s="381" cm="1">
        <f t="array" ref="AB80">SUM(AB$6:AB$72*($D$6:$D$72=$D80))</f>
        <v>1.5</v>
      </c>
      <c r="AC80" s="381" cm="1">
        <f t="array" ref="AC80">SUM(AC$6:AC$72*($D$6:$D$72=$D80))</f>
        <v>1</v>
      </c>
      <c r="AD80" s="381" cm="1">
        <f t="array" ref="AD80">SUM(AD$6:AD$72*($D$6:$D$72=$D80))</f>
        <v>1</v>
      </c>
      <c r="AE80" s="381" cm="1">
        <f t="array" ref="AE80">SUM(AE$6:AE$72*($D$6:$D$72=$D80))</f>
        <v>1</v>
      </c>
      <c r="AF80" s="381" cm="1">
        <f t="array" ref="AF80">SUM(AF$6:AF$72*($D$6:$D$72=$D80))</f>
        <v>1</v>
      </c>
      <c r="AG80" s="381" cm="1">
        <f t="array" ref="AG80">SUM(AG$6:AG$72*($D$6:$D$72=$D80))</f>
        <v>1</v>
      </c>
      <c r="AH80" s="381" cm="1">
        <f t="array" ref="AH80">SUM(AH$6:AH$72*($D$6:$D$72=$D80))</f>
        <v>1</v>
      </c>
      <c r="AI80" s="381" cm="1">
        <f t="array" ref="AI80">SUM(AI$6:AI$72*($D$6:$D$72=$D80))</f>
        <v>1</v>
      </c>
      <c r="AJ80" s="381" cm="1">
        <f t="array" ref="AJ80">SUM(AJ$6:AJ$72*($D$6:$D$72=$D80))</f>
        <v>1</v>
      </c>
      <c r="AK80" s="381" cm="1">
        <f t="array" ref="AK80">SUM(AK$6:AK$72*($D$6:$D$72=$D80))</f>
        <v>1</v>
      </c>
      <c r="AL80" s="381" cm="1">
        <f t="array" ref="AL80">SUM(AL$6:AL$72*($D$6:$D$72=$D80))</f>
        <v>1</v>
      </c>
      <c r="AM80" s="381" cm="1">
        <f t="array" ref="AM80">SUM(AM$6:AM$72*($D$6:$D$72=$D80))</f>
        <v>1</v>
      </c>
      <c r="AN80" s="381" cm="1">
        <f t="array" ref="AN80">SUM(AN$6:AN$72*($D$6:$D$72=$D80))</f>
        <v>0.5</v>
      </c>
      <c r="AO80" s="381" cm="1">
        <f t="array" ref="AO80">SUM(AO$6:AO$72*($D$6:$D$72=$D80))</f>
        <v>0.5</v>
      </c>
      <c r="AP80" s="381" cm="1">
        <f t="array" ref="AP80">SUM(AP$6:AP$72*($D$6:$D$72=$D80))</f>
        <v>0.5</v>
      </c>
      <c r="AQ80" s="381" cm="1">
        <f t="array" ref="AQ80">SUM(AQ$6:AQ$72*($D$6:$D$72=$D80))</f>
        <v>0.5</v>
      </c>
      <c r="AR80" s="381" cm="1">
        <f t="array" ref="AR80">SUM(AR$6:AR$72*($D$6:$D$72=$D80))</f>
        <v>1</v>
      </c>
      <c r="AS80" s="381" cm="1">
        <f t="array" ref="AS80">SUM(AS$6:AS$72*($D$6:$D$72=$D80))</f>
        <v>1</v>
      </c>
      <c r="AT80" s="381" cm="1">
        <f t="array" ref="AT80">SUM(AT$6:AT$72*($D$6:$D$72=$D80))</f>
        <v>0</v>
      </c>
      <c r="AU80" s="381" cm="1">
        <f t="array" ref="AU80">SUM(AU$6:AU$72*($D$6:$D$72=$D80))</f>
        <v>0</v>
      </c>
      <c r="AV80" s="381" cm="1">
        <f t="array" ref="AV80">SUM(AV$6:AV$72*($D$6:$D$72=$D80))</f>
        <v>0</v>
      </c>
      <c r="AW80" s="381" cm="1">
        <f t="array" ref="AW80">SUM(AW$6:AW$72*($D$6:$D$72=$D80))</f>
        <v>0</v>
      </c>
      <c r="AX80" s="381" cm="1">
        <f t="array" ref="AX80">SUM(AX$6:AX$72*($D$6:$D$72=$D80))</f>
        <v>0</v>
      </c>
      <c r="AY80" s="381" cm="1">
        <f t="array" ref="AY80">SUM(AY$6:AY$72*($D$6:$D$72=$D80))</f>
        <v>0</v>
      </c>
      <c r="AZ80" s="381" cm="1">
        <f t="array" ref="AZ80">SUM(AZ$6:AZ$72*($D$6:$D$72=$D80))</f>
        <v>0</v>
      </c>
      <c r="BA80" s="381" cm="1">
        <f t="array" ref="BA80">SUM(BA$6:BA$72*($D$6:$D$72=$D80))</f>
        <v>0</v>
      </c>
      <c r="BB80" s="381" cm="1">
        <f t="array" ref="BB80">SUM(BB$6:BB$72*($D$6:$D$72=$D80))</f>
        <v>0</v>
      </c>
      <c r="BC80" s="381" cm="1">
        <f t="array" ref="BC80">SUM(BC$6:BC$72*($D$6:$D$72=$D80))</f>
        <v>0</v>
      </c>
      <c r="BD80" s="381" cm="1">
        <f t="array" ref="BD80">SUM(BD$6:BD$72*($D$6:$D$72=$D80))</f>
        <v>0</v>
      </c>
      <c r="BE80" s="381" cm="1">
        <f t="array" ref="BE80">SUM(BE$6:BE$72*($D$6:$D$72=$D80))</f>
        <v>0</v>
      </c>
      <c r="BF80" s="381" cm="1">
        <f t="array" ref="BF80">SUM(BF$6:BF$72*($D$6:$D$72=$D80))</f>
        <v>0</v>
      </c>
      <c r="BG80" s="381" cm="1">
        <f t="array" ref="BG80">SUM(BG$6:BG$72*($D$6:$D$72=$D80))</f>
        <v>0</v>
      </c>
      <c r="BH80" s="381" cm="1">
        <f t="array" ref="BH80">SUM(BH$6:BH$72*($D$6:$D$72=$D80))</f>
        <v>0</v>
      </c>
      <c r="BI80" s="381" cm="1">
        <f t="array" ref="BI80">SUM(BI$6:BI$72*($D$6:$D$72=$D80))</f>
        <v>0</v>
      </c>
      <c r="BJ80" s="381" cm="1">
        <f t="array" ref="BJ80">SUM(BJ$6:BJ$72*($D$6:$D$72=$D80))</f>
        <v>0</v>
      </c>
      <c r="BK80" s="381" cm="1">
        <f t="array" ref="BK80">SUM(BK$6:BK$72*($D$6:$D$72=$D80))</f>
        <v>0</v>
      </c>
      <c r="BL80" s="381" cm="1">
        <f t="array" ref="BL80">SUM(BL$6:BL$72*($D$6:$D$72=$D80))</f>
        <v>0</v>
      </c>
      <c r="BM80" s="381" cm="1">
        <f t="array" ref="BM80">SUM(BM$6:BM$72*($D$6:$D$72=$D80))</f>
        <v>0</v>
      </c>
      <c r="BN80" s="381" cm="1">
        <f t="array" ref="BN80">SUM(BN$6:BN$72*($D$6:$D$72=$D80))</f>
        <v>0</v>
      </c>
      <c r="BO80" s="381" cm="1">
        <f t="array" ref="BO80">SUM(BO$6:BO$72*($D$6:$D$72=$D80))</f>
        <v>0</v>
      </c>
      <c r="BP80" s="381" cm="1">
        <f t="array" ref="BP80">SUM(BP$6:BP$72*($D$6:$D$72=$D80))</f>
        <v>0</v>
      </c>
      <c r="BQ80" s="381" cm="1">
        <f t="array" ref="BQ80">SUM(BQ$6:BQ$72*($D$6:$D$72=$D80))</f>
        <v>0</v>
      </c>
      <c r="BR80" s="381" cm="1">
        <f t="array" ref="BR80">SUM(BR$6:BR$72*($D$6:$D$72=$D80))</f>
        <v>0</v>
      </c>
      <c r="BS80" s="381" cm="1">
        <f t="array" ref="BS80">SUM(BS$6:BS$72*($D$6:$D$72=$D80))</f>
        <v>0</v>
      </c>
    </row>
    <row r="81" spans="4:71" x14ac:dyDescent="0.25">
      <c r="D81" s="321" t="str">
        <v>Contingency</v>
      </c>
      <c r="F81" s="321">
        <f>_xlfn.XLOOKUP(D81,D13:D79,F13:F79)</f>
        <v>0</v>
      </c>
      <c r="I81" s="379">
        <f t="shared" ca="1" si="141"/>
        <v>1438.66</v>
      </c>
      <c r="Y81" s="381" cm="1">
        <f t="array" ref="Y81">SUM(Y$6:Y$72*($D$6:$D$72=$D81))</f>
        <v>0</v>
      </c>
      <c r="Z81" s="381" cm="1">
        <f t="array" ref="Z81">SUM(Z$6:Z$72*($D$6:$D$72=$D81))</f>
        <v>2.5000000000000001E-2</v>
      </c>
      <c r="AA81" s="381" cm="1">
        <f t="array" ref="AA81">SUM(AA$6:AA$72*($D$6:$D$72=$D81))</f>
        <v>0</v>
      </c>
      <c r="AB81" s="381" cm="1">
        <f t="array" ref="AB81">SUM(AB$6:AB$72*($D$6:$D$72=$D81))</f>
        <v>0</v>
      </c>
      <c r="AC81" s="381" cm="1">
        <f t="array" ref="AC81">SUM(AC$6:AC$72*($D$6:$D$72=$D81))</f>
        <v>0</v>
      </c>
      <c r="AD81" s="381" cm="1">
        <f t="array" ref="AD81">SUM(AD$6:AD$72*($D$6:$D$72=$D81))</f>
        <v>0</v>
      </c>
      <c r="AE81" s="381" cm="1">
        <f t="array" ref="AE81">SUM(AE$6:AE$72*($D$6:$D$72=$D81))</f>
        <v>2.5000000000000001E-2</v>
      </c>
      <c r="AF81" s="381" cm="1">
        <f t="array" ref="AF81">SUM(AF$6:AF$72*($D$6:$D$72=$D81))</f>
        <v>0</v>
      </c>
      <c r="AG81" s="381" cm="1">
        <f t="array" ref="AG81">SUM(AG$6:AG$72*($D$6:$D$72=$D81))</f>
        <v>0</v>
      </c>
      <c r="AH81" s="381" cm="1">
        <f t="array" ref="AH81">SUM(AH$6:AH$72*($D$6:$D$72=$D81))</f>
        <v>0</v>
      </c>
      <c r="AI81" s="381" cm="1">
        <f t="array" ref="AI81">SUM(AI$6:AI$72*($D$6:$D$72=$D81))</f>
        <v>2.5000000000000001E-2</v>
      </c>
      <c r="AJ81" s="381" cm="1">
        <f t="array" ref="AJ81">SUM(AJ$6:AJ$72*($D$6:$D$72=$D81))</f>
        <v>0</v>
      </c>
      <c r="AK81" s="381" cm="1">
        <f t="array" ref="AK81">SUM(AK$6:AK$72*($D$6:$D$72=$D81))</f>
        <v>0</v>
      </c>
      <c r="AL81" s="381" cm="1">
        <f t="array" ref="AL81">SUM(AL$6:AL$72*($D$6:$D$72=$D81))</f>
        <v>0</v>
      </c>
      <c r="AM81" s="381" cm="1">
        <f t="array" ref="AM81">SUM(AM$6:AM$72*($D$6:$D$72=$D81))</f>
        <v>0</v>
      </c>
      <c r="AN81" s="381" cm="1">
        <f t="array" ref="AN81">SUM(AN$6:AN$72*($D$6:$D$72=$D81))</f>
        <v>0</v>
      </c>
      <c r="AO81" s="381" cm="1">
        <f t="array" ref="AO81">SUM(AO$6:AO$72*($D$6:$D$72=$D81))</f>
        <v>0</v>
      </c>
      <c r="AP81" s="381" cm="1">
        <f t="array" ref="AP81">SUM(AP$6:AP$72*($D$6:$D$72=$D81))</f>
        <v>0</v>
      </c>
      <c r="AQ81" s="381" cm="1">
        <f t="array" ref="AQ81">SUM(AQ$6:AQ$72*($D$6:$D$72=$D81))</f>
        <v>0</v>
      </c>
      <c r="AR81" s="381" cm="1">
        <f t="array" ref="AR81">SUM(AR$6:AR$72*($D$6:$D$72=$D81))</f>
        <v>0</v>
      </c>
      <c r="AS81" s="381" cm="1">
        <f t="array" ref="AS81">SUM(AS$6:AS$72*($D$6:$D$72=$D81))</f>
        <v>0</v>
      </c>
      <c r="AT81" s="381" cm="1">
        <f t="array" ref="AT81">SUM(AT$6:AT$72*($D$6:$D$72=$D81))</f>
        <v>0</v>
      </c>
      <c r="AU81" s="381" cm="1">
        <f t="array" ref="AU81">SUM(AU$6:AU$72*($D$6:$D$72=$D81))</f>
        <v>0</v>
      </c>
      <c r="AV81" s="381" cm="1">
        <f t="array" ref="AV81">SUM(AV$6:AV$72*($D$6:$D$72=$D81))</f>
        <v>0</v>
      </c>
      <c r="AW81" s="381" cm="1">
        <f t="array" ref="AW81">SUM(AW$6:AW$72*($D$6:$D$72=$D81))</f>
        <v>0</v>
      </c>
      <c r="AX81" s="381" cm="1">
        <f t="array" ref="AX81">SUM(AX$6:AX$72*($D$6:$D$72=$D81))</f>
        <v>0</v>
      </c>
      <c r="AY81" s="381" cm="1">
        <f t="array" ref="AY81">SUM(AY$6:AY$72*($D$6:$D$72=$D81))</f>
        <v>0</v>
      </c>
      <c r="AZ81" s="381" cm="1">
        <f t="array" ref="AZ81">SUM(AZ$6:AZ$72*($D$6:$D$72=$D81))</f>
        <v>0</v>
      </c>
      <c r="BA81" s="381" cm="1">
        <f t="array" ref="BA81">SUM(BA$6:BA$72*($D$6:$D$72=$D81))</f>
        <v>0</v>
      </c>
      <c r="BB81" s="381" cm="1">
        <f t="array" ref="BB81">SUM(BB$6:BB$72*($D$6:$D$72=$D81))</f>
        <v>0</v>
      </c>
      <c r="BC81" s="381" cm="1">
        <f t="array" ref="BC81">SUM(BC$6:BC$72*($D$6:$D$72=$D81))</f>
        <v>0</v>
      </c>
      <c r="BD81" s="381" cm="1">
        <f t="array" ref="BD81">SUM(BD$6:BD$72*($D$6:$D$72=$D81))</f>
        <v>0</v>
      </c>
      <c r="BE81" s="381" cm="1">
        <f t="array" ref="BE81">SUM(BE$6:BE$72*($D$6:$D$72=$D81))</f>
        <v>0</v>
      </c>
      <c r="BF81" s="381" cm="1">
        <f t="array" ref="BF81">SUM(BF$6:BF$72*($D$6:$D$72=$D81))</f>
        <v>0</v>
      </c>
      <c r="BG81" s="381" cm="1">
        <f t="array" ref="BG81">SUM(BG$6:BG$72*($D$6:$D$72=$D81))</f>
        <v>0</v>
      </c>
      <c r="BH81" s="381" cm="1">
        <f t="array" ref="BH81">SUM(BH$6:BH$72*($D$6:$D$72=$D81))</f>
        <v>0</v>
      </c>
      <c r="BI81" s="381" cm="1">
        <f t="array" ref="BI81">SUM(BI$6:BI$72*($D$6:$D$72=$D81))</f>
        <v>0</v>
      </c>
      <c r="BJ81" s="381" cm="1">
        <f t="array" ref="BJ81">SUM(BJ$6:BJ$72*($D$6:$D$72=$D81))</f>
        <v>0</v>
      </c>
      <c r="BK81" s="381" cm="1">
        <f t="array" ref="BK81">SUM(BK$6:BK$72*($D$6:$D$72=$D81))</f>
        <v>0</v>
      </c>
      <c r="BL81" s="381" cm="1">
        <f t="array" ref="BL81">SUM(BL$6:BL$72*($D$6:$D$72=$D81))</f>
        <v>0</v>
      </c>
      <c r="BM81" s="381" cm="1">
        <f t="array" ref="BM81">SUM(BM$6:BM$72*($D$6:$D$72=$D81))</f>
        <v>0</v>
      </c>
      <c r="BN81" s="381" cm="1">
        <f t="array" ref="BN81">SUM(BN$6:BN$72*($D$6:$D$72=$D81))</f>
        <v>0</v>
      </c>
      <c r="BO81" s="381" cm="1">
        <f t="array" ref="BO81">SUM(BO$6:BO$72*($D$6:$D$72=$D81))</f>
        <v>0</v>
      </c>
      <c r="BP81" s="381" cm="1">
        <f t="array" ref="BP81">SUM(BP$6:BP$72*($D$6:$D$72=$D81))</f>
        <v>0</v>
      </c>
      <c r="BQ81" s="381" cm="1">
        <f t="array" ref="BQ81">SUM(BQ$6:BQ$72*($D$6:$D$72=$D81))</f>
        <v>0</v>
      </c>
      <c r="BR81" s="381" cm="1">
        <f t="array" ref="BR81">SUM(BR$6:BR$72*($D$6:$D$72=$D81))</f>
        <v>0</v>
      </c>
      <c r="BS81" s="381" cm="1">
        <f t="array" ref="BS81">SUM(BS$6:BS$72*($D$6:$D$72=$D81))</f>
        <v>0</v>
      </c>
    </row>
    <row r="82" spans="4:71" x14ac:dyDescent="0.25">
      <c r="D82" s="321" t="str">
        <v>Mahesh Vemegal</v>
      </c>
      <c r="F82" s="321" t="str">
        <f>_xlfn.XLOOKUP(D82,D14:D80,F14:F80)</f>
        <v>Lead ServiceNow Developer</v>
      </c>
      <c r="I82" s="379">
        <f t="shared" ca="1" si="141"/>
        <v>207.39999999999998</v>
      </c>
      <c r="Y82" s="381" cm="1">
        <f t="array" ref="Y82">SUM(Y$6:Y$72*($D$6:$D$72=$D82))</f>
        <v>0</v>
      </c>
      <c r="Z82" s="381" cm="1">
        <f t="array" ref="Z82">SUM(Z$6:Z$72*($D$6:$D$72=$D82))</f>
        <v>0</v>
      </c>
      <c r="AA82" s="381" cm="1">
        <f t="array" ref="AA82">SUM(AA$6:AA$72*($D$6:$D$72=$D82))</f>
        <v>0.25</v>
      </c>
      <c r="AB82" s="381" cm="1">
        <f t="array" ref="AB82">SUM(AB$6:AB$72*($D$6:$D$72=$D82))</f>
        <v>0.5</v>
      </c>
      <c r="AC82" s="381" cm="1">
        <f t="array" ref="AC82">SUM(AC$6:AC$72*($D$6:$D$72=$D82))</f>
        <v>1</v>
      </c>
      <c r="AD82" s="381" cm="1">
        <f t="array" ref="AD82">SUM(AD$6:AD$72*($D$6:$D$72=$D82))</f>
        <v>1</v>
      </c>
      <c r="AE82" s="381" cm="1">
        <f t="array" ref="AE82">SUM(AE$6:AE$72*($D$6:$D$72=$D82))</f>
        <v>1</v>
      </c>
      <c r="AF82" s="381" cm="1">
        <f t="array" ref="AF82">SUM(AF$6:AF$72*($D$6:$D$72=$D82))</f>
        <v>1</v>
      </c>
      <c r="AG82" s="381" cm="1">
        <f t="array" ref="AG82">SUM(AG$6:AG$72*($D$6:$D$72=$D82))</f>
        <v>1</v>
      </c>
      <c r="AH82" s="381" cm="1">
        <f t="array" ref="AH82">SUM(AH$6:AH$72*($D$6:$D$72=$D82))</f>
        <v>1</v>
      </c>
      <c r="AI82" s="381" cm="1">
        <f t="array" ref="AI82">SUM(AI$6:AI$72*($D$6:$D$72=$D82))</f>
        <v>1</v>
      </c>
      <c r="AJ82" s="381" cm="1">
        <f t="array" ref="AJ82">SUM(AJ$6:AJ$72*($D$6:$D$72=$D82))</f>
        <v>1</v>
      </c>
      <c r="AK82" s="381" cm="1">
        <f t="array" ref="AK82">SUM(AK$6:AK$72*($D$6:$D$72=$D82))</f>
        <v>1</v>
      </c>
      <c r="AL82" s="381" cm="1">
        <f t="array" ref="AL82">SUM(AL$6:AL$72*($D$6:$D$72=$D82))</f>
        <v>1</v>
      </c>
      <c r="AM82" s="381" cm="1">
        <f t="array" ref="AM82">SUM(AM$6:AM$72*($D$6:$D$72=$D82))</f>
        <v>1</v>
      </c>
      <c r="AN82" s="381" cm="1">
        <f t="array" ref="AN82">SUM(AN$6:AN$72*($D$6:$D$72=$D82))</f>
        <v>0</v>
      </c>
      <c r="AO82" s="381" cm="1">
        <f t="array" ref="AO82">SUM(AO$6:AO$72*($D$6:$D$72=$D82))</f>
        <v>0</v>
      </c>
      <c r="AP82" s="381" cm="1">
        <f t="array" ref="AP82">SUM(AP$6:AP$72*($D$6:$D$72=$D82))</f>
        <v>0</v>
      </c>
      <c r="AQ82" s="381" cm="1">
        <f t="array" ref="AQ82">SUM(AQ$6:AQ$72*($D$6:$D$72=$D82))</f>
        <v>0</v>
      </c>
      <c r="AR82" s="381" cm="1">
        <f t="array" ref="AR82">SUM(AR$6:AR$72*($D$6:$D$72=$D82))</f>
        <v>0</v>
      </c>
      <c r="AS82" s="381" cm="1">
        <f t="array" ref="AS82">SUM(AS$6:AS$72*($D$6:$D$72=$D82))</f>
        <v>0</v>
      </c>
      <c r="AT82" s="381" cm="1">
        <f t="array" ref="AT82">SUM(AT$6:AT$72*($D$6:$D$72=$D82))</f>
        <v>0</v>
      </c>
      <c r="AU82" s="381" cm="1">
        <f t="array" ref="AU82">SUM(AU$6:AU$72*($D$6:$D$72=$D82))</f>
        <v>0</v>
      </c>
      <c r="AV82" s="381" cm="1">
        <f t="array" ref="AV82">SUM(AV$6:AV$72*($D$6:$D$72=$D82))</f>
        <v>0</v>
      </c>
      <c r="AW82" s="381" cm="1">
        <f t="array" ref="AW82">SUM(AW$6:AW$72*($D$6:$D$72=$D82))</f>
        <v>0</v>
      </c>
      <c r="AX82" s="381" cm="1">
        <f t="array" ref="AX82">SUM(AX$6:AX$72*($D$6:$D$72=$D82))</f>
        <v>0</v>
      </c>
      <c r="AY82" s="381" cm="1">
        <f t="array" ref="AY82">SUM(AY$6:AY$72*($D$6:$D$72=$D82))</f>
        <v>0</v>
      </c>
      <c r="AZ82" s="381" cm="1">
        <f t="array" ref="AZ82">SUM(AZ$6:AZ$72*($D$6:$D$72=$D82))</f>
        <v>0</v>
      </c>
      <c r="BA82" s="381" cm="1">
        <f t="array" ref="BA82">SUM(BA$6:BA$72*($D$6:$D$72=$D82))</f>
        <v>0</v>
      </c>
      <c r="BB82" s="381" cm="1">
        <f t="array" ref="BB82">SUM(BB$6:BB$72*($D$6:$D$72=$D82))</f>
        <v>0</v>
      </c>
      <c r="BC82" s="381" cm="1">
        <f t="array" ref="BC82">SUM(BC$6:BC$72*($D$6:$D$72=$D82))</f>
        <v>0</v>
      </c>
      <c r="BD82" s="381" cm="1">
        <f t="array" ref="BD82">SUM(BD$6:BD$72*($D$6:$D$72=$D82))</f>
        <v>0</v>
      </c>
      <c r="BE82" s="381" cm="1">
        <f t="array" ref="BE82">SUM(BE$6:BE$72*($D$6:$D$72=$D82))</f>
        <v>0</v>
      </c>
      <c r="BF82" s="381" cm="1">
        <f t="array" ref="BF82">SUM(BF$6:BF$72*($D$6:$D$72=$D82))</f>
        <v>0</v>
      </c>
      <c r="BG82" s="381" cm="1">
        <f t="array" ref="BG82">SUM(BG$6:BG$72*($D$6:$D$72=$D82))</f>
        <v>0</v>
      </c>
      <c r="BH82" s="381" cm="1">
        <f t="array" ref="BH82">SUM(BH$6:BH$72*($D$6:$D$72=$D82))</f>
        <v>0</v>
      </c>
      <c r="BI82" s="381" cm="1">
        <f t="array" ref="BI82">SUM(BI$6:BI$72*($D$6:$D$72=$D82))</f>
        <v>0</v>
      </c>
      <c r="BJ82" s="381" cm="1">
        <f t="array" ref="BJ82">SUM(BJ$6:BJ$72*($D$6:$D$72=$D82))</f>
        <v>0</v>
      </c>
      <c r="BK82" s="381" cm="1">
        <f t="array" ref="BK82">SUM(BK$6:BK$72*($D$6:$D$72=$D82))</f>
        <v>0</v>
      </c>
      <c r="BL82" s="381" cm="1">
        <f t="array" ref="BL82">SUM(BL$6:BL$72*($D$6:$D$72=$D82))</f>
        <v>0</v>
      </c>
      <c r="BM82" s="381" cm="1">
        <f t="array" ref="BM82">SUM(BM$6:BM$72*($D$6:$D$72=$D82))</f>
        <v>0</v>
      </c>
      <c r="BN82" s="381" cm="1">
        <f t="array" ref="BN82">SUM(BN$6:BN$72*($D$6:$D$72=$D82))</f>
        <v>0</v>
      </c>
      <c r="BO82" s="381" cm="1">
        <f t="array" ref="BO82">SUM(BO$6:BO$72*($D$6:$D$72=$D82))</f>
        <v>0</v>
      </c>
      <c r="BP82" s="381" cm="1">
        <f t="array" ref="BP82">SUM(BP$6:BP$72*($D$6:$D$72=$D82))</f>
        <v>0</v>
      </c>
      <c r="BQ82" s="381" cm="1">
        <f t="array" ref="BQ82">SUM(BQ$6:BQ$72*($D$6:$D$72=$D82))</f>
        <v>0</v>
      </c>
      <c r="BR82" s="381" cm="1">
        <f t="array" ref="BR82">SUM(BR$6:BR$72*($D$6:$D$72=$D82))</f>
        <v>0</v>
      </c>
      <c r="BS82" s="381" cm="1">
        <f t="array" ref="BS82">SUM(BS$6:BS$72*($D$6:$D$72=$D82))</f>
        <v>0</v>
      </c>
    </row>
    <row r="83" spans="4:71" x14ac:dyDescent="0.25">
      <c r="D83" s="321" t="str">
        <v>Kosta Walker-Laskos</v>
      </c>
      <c r="F83" s="321" t="str">
        <f>_xlfn.XLOOKUP(D83,D15:D81,F15:F81)</f>
        <v>ServiceNow Developer</v>
      </c>
      <c r="I83" s="379">
        <f t="shared" ca="1" si="141"/>
        <v>151.9</v>
      </c>
      <c r="Y83" s="381" cm="1">
        <f t="array" ref="Y83">SUM(Y$6:Y$72*($D$6:$D$72=$D83))</f>
        <v>0</v>
      </c>
      <c r="Z83" s="381" cm="1">
        <f t="array" ref="Z83">SUM(Z$6:Z$72*($D$6:$D$72=$D83))</f>
        <v>0</v>
      </c>
      <c r="AA83" s="381" cm="1">
        <f t="array" ref="AA83">SUM(AA$6:AA$72*($D$6:$D$72=$D83))</f>
        <v>0</v>
      </c>
      <c r="AB83" s="381" cm="1">
        <f t="array" ref="AB83">SUM(AB$6:AB$72*($D$6:$D$72=$D83))</f>
        <v>1</v>
      </c>
      <c r="AC83" s="381" cm="1">
        <f t="array" ref="AC83">SUM(AC$6:AC$72*($D$6:$D$72=$D83))</f>
        <v>1</v>
      </c>
      <c r="AD83" s="381" cm="1">
        <f t="array" ref="AD83">SUM(AD$6:AD$72*($D$6:$D$72=$D83))</f>
        <v>1</v>
      </c>
      <c r="AE83" s="381" cm="1">
        <f t="array" ref="AE83">SUM(AE$6:AE$72*($D$6:$D$72=$D83))</f>
        <v>1</v>
      </c>
      <c r="AF83" s="381" cm="1">
        <f t="array" ref="AF83">SUM(AF$6:AF$72*($D$6:$D$72=$D83))</f>
        <v>1</v>
      </c>
      <c r="AG83" s="381" cm="1">
        <f t="array" ref="AG83">SUM(AG$6:AG$72*($D$6:$D$72=$D83))</f>
        <v>1</v>
      </c>
      <c r="AH83" s="381" cm="1">
        <f t="array" ref="AH83">SUM(AH$6:AH$72*($D$6:$D$72=$D83))</f>
        <v>1</v>
      </c>
      <c r="AI83" s="381" cm="1">
        <f t="array" ref="AI83">SUM(AI$6:AI$72*($D$6:$D$72=$D83))</f>
        <v>1</v>
      </c>
      <c r="AJ83" s="381" cm="1">
        <f t="array" ref="AJ83">SUM(AJ$6:AJ$72*($D$6:$D$72=$D83))</f>
        <v>1</v>
      </c>
      <c r="AK83" s="381" cm="1">
        <f t="array" ref="AK83">SUM(AK$6:AK$72*($D$6:$D$72=$D83))</f>
        <v>1</v>
      </c>
      <c r="AL83" s="381" cm="1">
        <f t="array" ref="AL83">SUM(AL$6:AL$72*($D$6:$D$72=$D83))</f>
        <v>1</v>
      </c>
      <c r="AM83" s="381" cm="1">
        <f t="array" ref="AM83">SUM(AM$6:AM$72*($D$6:$D$72=$D83))</f>
        <v>1</v>
      </c>
      <c r="AN83" s="381" cm="1">
        <f t="array" ref="AN83">SUM(AN$6:AN$72*($D$6:$D$72=$D83))</f>
        <v>1</v>
      </c>
      <c r="AO83" s="381" cm="1">
        <f t="array" ref="AO83">SUM(AO$6:AO$72*($D$6:$D$72=$D83))</f>
        <v>1</v>
      </c>
      <c r="AP83" s="381" cm="1">
        <f t="array" ref="AP83">SUM(AP$6:AP$72*($D$6:$D$72=$D83))</f>
        <v>1</v>
      </c>
      <c r="AQ83" s="381" cm="1">
        <f t="array" ref="AQ83">SUM(AQ$6:AQ$72*($D$6:$D$72=$D83))</f>
        <v>1</v>
      </c>
      <c r="AR83" s="381" cm="1">
        <f t="array" ref="AR83">SUM(AR$6:AR$72*($D$6:$D$72=$D83))</f>
        <v>1</v>
      </c>
      <c r="AS83" s="381" cm="1">
        <f t="array" ref="AS83">SUM(AS$6:AS$72*($D$6:$D$72=$D83))</f>
        <v>1</v>
      </c>
      <c r="AT83" s="381" cm="1">
        <f t="array" ref="AT83">SUM(AT$6:AT$72*($D$6:$D$72=$D83))</f>
        <v>1</v>
      </c>
      <c r="AU83" s="381" cm="1">
        <f t="array" ref="AU83">SUM(AU$6:AU$72*($D$6:$D$72=$D83))</f>
        <v>1</v>
      </c>
      <c r="AV83" s="381" cm="1">
        <f t="array" ref="AV83">SUM(AV$6:AV$72*($D$6:$D$72=$D83))</f>
        <v>1</v>
      </c>
      <c r="AW83" s="381" cm="1">
        <f t="array" ref="AW83">SUM(AW$6:AW$72*($D$6:$D$72=$D83))</f>
        <v>1</v>
      </c>
      <c r="AX83" s="381" cm="1">
        <f t="array" ref="AX83">SUM(AX$6:AX$72*($D$6:$D$72=$D83))</f>
        <v>1</v>
      </c>
      <c r="AY83" s="381" cm="1">
        <f t="array" ref="AY83">SUM(AY$6:AY$72*($D$6:$D$72=$D83))</f>
        <v>1</v>
      </c>
      <c r="AZ83" s="381" cm="1">
        <f t="array" ref="AZ83">SUM(AZ$6:AZ$72*($D$6:$D$72=$D83))</f>
        <v>0</v>
      </c>
      <c r="BA83" s="381" cm="1">
        <f t="array" ref="BA83">SUM(BA$6:BA$72*($D$6:$D$72=$D83))</f>
        <v>0</v>
      </c>
      <c r="BB83" s="381" cm="1">
        <f t="array" ref="BB83">SUM(BB$6:BB$72*($D$6:$D$72=$D83))</f>
        <v>0</v>
      </c>
      <c r="BC83" s="381" cm="1">
        <f t="array" ref="BC83">SUM(BC$6:BC$72*($D$6:$D$72=$D83))</f>
        <v>0</v>
      </c>
      <c r="BD83" s="381" cm="1">
        <f t="array" ref="BD83">SUM(BD$6:BD$72*($D$6:$D$72=$D83))</f>
        <v>0</v>
      </c>
      <c r="BE83" s="381" cm="1">
        <f t="array" ref="BE83">SUM(BE$6:BE$72*($D$6:$D$72=$D83))</f>
        <v>0</v>
      </c>
      <c r="BF83" s="381" cm="1">
        <f t="array" ref="BF83">SUM(BF$6:BF$72*($D$6:$D$72=$D83))</f>
        <v>0</v>
      </c>
      <c r="BG83" s="381" cm="1">
        <f t="array" ref="BG83">SUM(BG$6:BG$72*($D$6:$D$72=$D83))</f>
        <v>0</v>
      </c>
      <c r="BH83" s="381" cm="1">
        <f t="array" ref="BH83">SUM(BH$6:BH$72*($D$6:$D$72=$D83))</f>
        <v>0</v>
      </c>
      <c r="BI83" s="381" cm="1">
        <f t="array" ref="BI83">SUM(BI$6:BI$72*($D$6:$D$72=$D83))</f>
        <v>0</v>
      </c>
      <c r="BJ83" s="381" cm="1">
        <f t="array" ref="BJ83">SUM(BJ$6:BJ$72*($D$6:$D$72=$D83))</f>
        <v>0</v>
      </c>
      <c r="BK83" s="381" cm="1">
        <f t="array" ref="BK83">SUM(BK$6:BK$72*($D$6:$D$72=$D83))</f>
        <v>0</v>
      </c>
      <c r="BL83" s="381" cm="1">
        <f t="array" ref="BL83">SUM(BL$6:BL$72*($D$6:$D$72=$D83))</f>
        <v>0</v>
      </c>
      <c r="BM83" s="381" cm="1">
        <f t="array" ref="BM83">SUM(BM$6:BM$72*($D$6:$D$72=$D83))</f>
        <v>0</v>
      </c>
      <c r="BN83" s="381" cm="1">
        <f t="array" ref="BN83">SUM(BN$6:BN$72*($D$6:$D$72=$D83))</f>
        <v>0</v>
      </c>
      <c r="BO83" s="381" cm="1">
        <f t="array" ref="BO83">SUM(BO$6:BO$72*($D$6:$D$72=$D83))</f>
        <v>0</v>
      </c>
      <c r="BP83" s="381" cm="1">
        <f t="array" ref="BP83">SUM(BP$6:BP$72*($D$6:$D$72=$D83))</f>
        <v>0</v>
      </c>
      <c r="BQ83" s="381" cm="1">
        <f t="array" ref="BQ83">SUM(BQ$6:BQ$72*($D$6:$D$72=$D83))</f>
        <v>0</v>
      </c>
      <c r="BR83" s="381" cm="1">
        <f t="array" ref="BR83">SUM(BR$6:BR$72*($D$6:$D$72=$D83))</f>
        <v>0</v>
      </c>
      <c r="BS83" s="381" cm="1">
        <f t="array" ref="BS83">SUM(BS$6:BS$72*($D$6:$D$72=$D83))</f>
        <v>0</v>
      </c>
    </row>
    <row r="84" spans="4:71" x14ac:dyDescent="0.25">
      <c r="D84" s="321" t="str">
        <v>Contractor-Tester-Manager</v>
      </c>
      <c r="F84" s="321" t="str">
        <f>_xlfn.XLOOKUP(D84,D16:D82,F16:F82)</f>
        <v>Senior Tester</v>
      </c>
      <c r="I84" s="379">
        <f t="shared" ca="1" si="141"/>
        <v>151.9</v>
      </c>
      <c r="Y84" s="381" cm="1">
        <f t="array" ref="Y84">SUM(Y$6:Y$72*($D$6:$D$72=$D84))</f>
        <v>0</v>
      </c>
      <c r="Z84" s="381" cm="1">
        <f t="array" ref="Z84">SUM(Z$6:Z$72*($D$6:$D$72=$D84))</f>
        <v>0</v>
      </c>
      <c r="AA84" s="381" cm="1">
        <f t="array" ref="AA84">SUM(AA$6:AA$72*($D$6:$D$72=$D84))</f>
        <v>0</v>
      </c>
      <c r="AB84" s="381" cm="1">
        <f t="array" ref="AB84">SUM(AB$6:AB$72*($D$6:$D$72=$D84))</f>
        <v>0</v>
      </c>
      <c r="AC84" s="381" cm="1">
        <f t="array" ref="AC84">SUM(AC$6:AC$72*($D$6:$D$72=$D84))</f>
        <v>0</v>
      </c>
      <c r="AD84" s="381" cm="1">
        <f t="array" ref="AD84">SUM(AD$6:AD$72*($D$6:$D$72=$D84))</f>
        <v>0</v>
      </c>
      <c r="AE84" s="381" cm="1">
        <f t="array" ref="AE84">SUM(AE$6:AE$72*($D$6:$D$72=$D84))</f>
        <v>0</v>
      </c>
      <c r="AF84" s="381" cm="1">
        <f t="array" ref="AF84">SUM(AF$6:AF$72*($D$6:$D$72=$D84))</f>
        <v>0</v>
      </c>
      <c r="AG84" s="381" cm="1">
        <f t="array" ref="AG84">SUM(AG$6:AG$72*($D$6:$D$72=$D84))</f>
        <v>0</v>
      </c>
      <c r="AH84" s="381" cm="1">
        <f t="array" ref="AH84">SUM(AH$6:AH$72*($D$6:$D$72=$D84))</f>
        <v>1</v>
      </c>
      <c r="AI84" s="381" cm="1">
        <f t="array" ref="AI84">SUM(AI$6:AI$72*($D$6:$D$72=$D84))</f>
        <v>1</v>
      </c>
      <c r="AJ84" s="381" cm="1">
        <f t="array" ref="AJ84">SUM(AJ$6:AJ$72*($D$6:$D$72=$D84))</f>
        <v>1</v>
      </c>
      <c r="AK84" s="381" cm="1">
        <f t="array" ref="AK84">SUM(AK$6:AK$72*($D$6:$D$72=$D84))</f>
        <v>1</v>
      </c>
      <c r="AL84" s="381" cm="1">
        <f t="array" ref="AL84">SUM(AL$6:AL$72*($D$6:$D$72=$D84))</f>
        <v>1</v>
      </c>
      <c r="AM84" s="381" cm="1">
        <f t="array" ref="AM84">SUM(AM$6:AM$72*($D$6:$D$72=$D84))</f>
        <v>1</v>
      </c>
      <c r="AN84" s="381" cm="1">
        <f t="array" ref="AN84">SUM(AN$6:AN$72*($D$6:$D$72=$D84))</f>
        <v>1</v>
      </c>
      <c r="AO84" s="381" cm="1">
        <f t="array" ref="AO84">SUM(AO$6:AO$72*($D$6:$D$72=$D84))</f>
        <v>1</v>
      </c>
      <c r="AP84" s="381" cm="1">
        <f t="array" ref="AP84">SUM(AP$6:AP$72*($D$6:$D$72=$D84))</f>
        <v>1</v>
      </c>
      <c r="AQ84" s="381" cm="1">
        <f t="array" ref="AQ84">SUM(AQ$6:AQ$72*($D$6:$D$72=$D84))</f>
        <v>1</v>
      </c>
      <c r="AR84" s="381" cm="1">
        <f t="array" ref="AR84">SUM(AR$6:AR$72*($D$6:$D$72=$D84))</f>
        <v>1</v>
      </c>
      <c r="AS84" s="381" cm="1">
        <f t="array" ref="AS84">SUM(AS$6:AS$72*($D$6:$D$72=$D84))</f>
        <v>1</v>
      </c>
      <c r="AT84" s="381" cm="1">
        <f t="array" ref="AT84">SUM(AT$6:AT$72*($D$6:$D$72=$D84))</f>
        <v>1</v>
      </c>
      <c r="AU84" s="381" cm="1">
        <f t="array" ref="AU84">SUM(AU$6:AU$72*($D$6:$D$72=$D84))</f>
        <v>0</v>
      </c>
      <c r="AV84" s="381" cm="1">
        <f t="array" ref="AV84">SUM(AV$6:AV$72*($D$6:$D$72=$D84))</f>
        <v>0</v>
      </c>
      <c r="AW84" s="381" cm="1">
        <f t="array" ref="AW84">SUM(AW$6:AW$72*($D$6:$D$72=$D84))</f>
        <v>0</v>
      </c>
      <c r="AX84" s="381" cm="1">
        <f t="array" ref="AX84">SUM(AX$6:AX$72*($D$6:$D$72=$D84))</f>
        <v>0</v>
      </c>
      <c r="AY84" s="381" cm="1">
        <f t="array" ref="AY84">SUM(AY$6:AY$72*($D$6:$D$72=$D84))</f>
        <v>0</v>
      </c>
      <c r="AZ84" s="381" cm="1">
        <f t="array" ref="AZ84">SUM(AZ$6:AZ$72*($D$6:$D$72=$D84))</f>
        <v>0</v>
      </c>
      <c r="BA84" s="381" cm="1">
        <f t="array" ref="BA84">SUM(BA$6:BA$72*($D$6:$D$72=$D84))</f>
        <v>0</v>
      </c>
      <c r="BB84" s="381" cm="1">
        <f t="array" ref="BB84">SUM(BB$6:BB$72*($D$6:$D$72=$D84))</f>
        <v>0</v>
      </c>
      <c r="BC84" s="381" cm="1">
        <f t="array" ref="BC84">SUM(BC$6:BC$72*($D$6:$D$72=$D84))</f>
        <v>0</v>
      </c>
      <c r="BD84" s="381" cm="1">
        <f t="array" ref="BD84">SUM(BD$6:BD$72*($D$6:$D$72=$D84))</f>
        <v>0</v>
      </c>
      <c r="BE84" s="381" cm="1">
        <f t="array" ref="BE84">SUM(BE$6:BE$72*($D$6:$D$72=$D84))</f>
        <v>0</v>
      </c>
      <c r="BF84" s="381" cm="1">
        <f t="array" ref="BF84">SUM(BF$6:BF$72*($D$6:$D$72=$D84))</f>
        <v>0</v>
      </c>
      <c r="BG84" s="381" cm="1">
        <f t="array" ref="BG84">SUM(BG$6:BG$72*($D$6:$D$72=$D84))</f>
        <v>0</v>
      </c>
      <c r="BH84" s="381" cm="1">
        <f t="array" ref="BH84">SUM(BH$6:BH$72*($D$6:$D$72=$D84))</f>
        <v>0</v>
      </c>
      <c r="BI84" s="381" cm="1">
        <f t="array" ref="BI84">SUM(BI$6:BI$72*($D$6:$D$72=$D84))</f>
        <v>0</v>
      </c>
      <c r="BJ84" s="381" cm="1">
        <f t="array" ref="BJ84">SUM(BJ$6:BJ$72*($D$6:$D$72=$D84))</f>
        <v>0</v>
      </c>
      <c r="BK84" s="381" cm="1">
        <f t="array" ref="BK84">SUM(BK$6:BK$72*($D$6:$D$72=$D84))</f>
        <v>0</v>
      </c>
      <c r="BL84" s="381" cm="1">
        <f t="array" ref="BL84">SUM(BL$6:BL$72*($D$6:$D$72=$D84))</f>
        <v>0</v>
      </c>
      <c r="BM84" s="381" cm="1">
        <f t="array" ref="BM84">SUM(BM$6:BM$72*($D$6:$D$72=$D84))</f>
        <v>0</v>
      </c>
      <c r="BN84" s="381" cm="1">
        <f t="array" ref="BN84">SUM(BN$6:BN$72*($D$6:$D$72=$D84))</f>
        <v>0</v>
      </c>
      <c r="BO84" s="381" cm="1">
        <f t="array" ref="BO84">SUM(BO$6:BO$72*($D$6:$D$72=$D84))</f>
        <v>0</v>
      </c>
      <c r="BP84" s="381" cm="1">
        <f t="array" ref="BP84">SUM(BP$6:BP$72*($D$6:$D$72=$D84))</f>
        <v>0</v>
      </c>
      <c r="BQ84" s="381" cm="1">
        <f t="array" ref="BQ84">SUM(BQ$6:BQ$72*($D$6:$D$72=$D84))</f>
        <v>0</v>
      </c>
      <c r="BR84" s="381" cm="1">
        <f t="array" ref="BR84">SUM(BR$6:BR$72*($D$6:$D$72=$D84))</f>
        <v>0</v>
      </c>
      <c r="BS84" s="381" cm="1">
        <f t="array" ref="BS84">SUM(BS$6:BS$72*($D$6:$D$72=$D84))</f>
        <v>0</v>
      </c>
    </row>
    <row r="86" spans="4:71" x14ac:dyDescent="0.25">
      <c r="F86" s="439" t="s">
        <v>982</v>
      </c>
      <c r="Y86" s="438"/>
      <c r="Z86" s="438"/>
      <c r="AA86" s="438"/>
    </row>
  </sheetData>
  <autoFilter ref="A3:WQ63" xr:uid="{1F166F39-C20C-47E5-A884-A2B0F6628BB9}"/>
  <mergeCells count="1">
    <mergeCell ref="L2:Q2"/>
  </mergeCells>
  <conditionalFormatting sqref="Y74:BS82">
    <cfRule type="colorScale" priority="2">
      <colorScale>
        <cfvo type="min"/>
        <cfvo type="max"/>
        <color rgb="FFFCFCFF"/>
        <color rgb="FF63BE7B"/>
      </colorScale>
    </cfRule>
  </conditionalFormatting>
  <conditionalFormatting sqref="Y83:BS84">
    <cfRule type="colorScale" priority="1">
      <colorScale>
        <cfvo type="min"/>
        <cfvo type="max"/>
        <color rgb="FFFCFCFF"/>
        <color rgb="FF63BE7B"/>
      </colorScale>
    </cfRule>
  </conditionalFormatting>
  <dataValidations count="2">
    <dataValidation type="list" allowBlank="1" showInputMessage="1" showErrorMessage="1" sqref="F4" xr:uid="{044668F7-6B50-4681-AE18-0A0A48375428}">
      <formula1>INDIRECT("Panel_List")</formula1>
    </dataValidation>
    <dataValidation type="list" allowBlank="1" showInputMessage="1" showErrorMessage="1" sqref="D4:D5" xr:uid="{5F49EE19-F66C-435B-B6B1-009DEB1BBAA6}">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E16DE619-CA11-4AA1-A077-89C6B1CECD7A}">
          <x14:formula1>
            <xm:f>Variable!$H$2:$H$572</xm:f>
          </x14:formula1>
          <xm:sqref>D6:D72</xm:sqref>
        </x14:dataValidation>
        <x14:dataValidation type="list" allowBlank="1" showInputMessage="1" showErrorMessage="1" xr:uid="{2870C4B3-2A5B-4933-9C6D-3979C1473D57}">
          <x14:formula1>
            <xm:f>Variable!$AZ$2:$AZ$100</xm:f>
          </x14:formula1>
          <xm:sqref>E6:E72</xm:sqref>
        </x14:dataValidation>
        <x14:dataValidation type="list" allowBlank="1" showInputMessage="1" showErrorMessage="1" xr:uid="{B1C7E8E8-77A6-45AE-90C2-9941D823DF4F}">
          <x14:formula1>
            <xm:f>Variable!$AX$2:$AX$500</xm:f>
          </x14:formula1>
          <xm:sqref>F5</xm:sqref>
        </x14:dataValidation>
        <x14:dataValidation type="list" allowBlank="1" showInputMessage="1" showErrorMessage="1" xr:uid="{F9124853-392F-4BC3-9D9A-699ECEA9ABBB}">
          <x14:formula1>
            <xm:f>Variable!$AS$2:$AS$246</xm:f>
          </x14:formula1>
          <xm:sqref>Y3 C1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6658-8840-425C-A808-6B8C051795A0}">
  <sheetPr>
    <tabColor rgb="FF205860"/>
  </sheetPr>
  <dimension ref="A1:WQ76"/>
  <sheetViews>
    <sheetView tabSelected="1" zoomScale="85" zoomScaleNormal="85" workbookViewId="0">
      <pane xSplit="6" ySplit="5" topLeftCell="AC15" activePane="bottomRight" state="frozen"/>
      <selection pane="topRight" activeCell="G1" sqref="G1"/>
      <selection pane="bottomLeft" activeCell="A6" sqref="A6"/>
      <selection pane="bottomRight" activeCell="AH32" sqref="AH32"/>
    </sheetView>
  </sheetViews>
  <sheetFormatPr defaultColWidth="9" defaultRowHeight="14.25" x14ac:dyDescent="0.25"/>
  <cols>
    <col min="1" max="1" width="2.140625" style="321" customWidth="1"/>
    <col min="2" max="2" width="27.85546875" style="321" customWidth="1"/>
    <col min="3" max="3" width="75.140625" style="321" customWidth="1"/>
    <col min="4" max="4" width="22.7109375" style="321" bestFit="1" customWidth="1"/>
    <col min="5" max="5" width="21.7109375" style="321" customWidth="1"/>
    <col min="6" max="6" width="42.140625" style="321" customWidth="1"/>
    <col min="7" max="7" width="12.5703125" style="321" customWidth="1"/>
    <col min="8" max="8" width="8.42578125" style="321" customWidth="1"/>
    <col min="9" max="9" width="13.7109375" style="321" customWidth="1"/>
    <col min="10" max="10" width="18.140625" style="399" customWidth="1"/>
    <col min="11" max="11" width="14.85546875" style="399" customWidth="1"/>
    <col min="12" max="12" width="12.140625" style="405" customWidth="1"/>
    <col min="13" max="13" width="14.140625" style="321" customWidth="1"/>
    <col min="14" max="14" width="17" style="321" customWidth="1"/>
    <col min="15" max="15" width="13.5703125" style="321" customWidth="1"/>
    <col min="16" max="16" width="20.7109375" style="321" customWidth="1"/>
    <col min="17" max="17" width="14.85546875" style="324" customWidth="1"/>
    <col min="18" max="18" width="12.140625" style="380" customWidth="1"/>
    <col min="19" max="20" width="12.5703125" style="380" customWidth="1"/>
    <col min="21" max="21" width="14.7109375" style="321" customWidth="1"/>
    <col min="22" max="22" width="15.140625" style="321" customWidth="1"/>
    <col min="23" max="23" width="14.140625" style="321" customWidth="1"/>
    <col min="24" max="24" width="19.140625" style="321" customWidth="1"/>
    <col min="25" max="36" width="10.42578125" style="321" customWidth="1"/>
    <col min="37" max="37" width="11.28515625" style="321" customWidth="1"/>
    <col min="38" max="39" width="10.42578125" style="321" customWidth="1"/>
    <col min="40" max="40" width="11" style="321" customWidth="1"/>
    <col min="41" max="53" width="10.42578125" style="321" customWidth="1"/>
    <col min="54" max="54" width="12.7109375" style="321" customWidth="1"/>
    <col min="55" max="314" width="10.42578125" style="321" customWidth="1"/>
    <col min="315" max="315" width="15.5703125" style="321" bestFit="1" customWidth="1"/>
    <col min="316" max="317" width="14.85546875" style="321" bestFit="1" customWidth="1"/>
    <col min="318" max="318" width="14.5703125" style="321" bestFit="1" customWidth="1"/>
    <col min="319" max="320" width="14.85546875" style="321" bestFit="1" customWidth="1"/>
    <col min="321" max="321" width="14.140625" style="321" bestFit="1" customWidth="1"/>
    <col min="322" max="323" width="14" style="321" bestFit="1" customWidth="1"/>
    <col min="324" max="324" width="14.140625" style="321" bestFit="1" customWidth="1"/>
    <col min="325" max="325" width="15.42578125" style="321" bestFit="1" customWidth="1"/>
    <col min="326" max="326" width="14.7109375" style="321" bestFit="1" customWidth="1"/>
    <col min="327" max="327" width="15" style="321" bestFit="1" customWidth="1"/>
    <col min="328" max="328" width="15.42578125" style="321" bestFit="1" customWidth="1"/>
    <col min="329" max="329" width="14.7109375" style="321" bestFit="1" customWidth="1"/>
    <col min="330" max="330" width="15" style="321" bestFit="1" customWidth="1"/>
    <col min="331" max="331" width="14.7109375" style="321" bestFit="1" customWidth="1"/>
    <col min="332" max="333" width="15" style="321" bestFit="1" customWidth="1"/>
    <col min="334" max="334" width="14.85546875" style="321" bestFit="1" customWidth="1"/>
    <col min="335" max="335" width="14.5703125" style="321" bestFit="1" customWidth="1"/>
    <col min="336" max="336" width="14.85546875" style="321" bestFit="1" customWidth="1"/>
    <col min="337" max="337" width="14.7109375" style="321" bestFit="1" customWidth="1"/>
    <col min="338" max="338" width="15.42578125" style="321" bestFit="1" customWidth="1"/>
    <col min="339" max="339" width="15" style="321" bestFit="1" customWidth="1"/>
    <col min="340" max="340" width="14.85546875" style="321" bestFit="1" customWidth="1"/>
    <col min="341" max="341" width="15.42578125" style="321" bestFit="1" customWidth="1"/>
    <col min="342" max="342" width="14.85546875" style="321" bestFit="1" customWidth="1"/>
    <col min="343" max="343" width="15.140625" style="321" bestFit="1" customWidth="1"/>
    <col min="344" max="344" width="14.85546875" style="321" bestFit="1" customWidth="1"/>
    <col min="345" max="346" width="15.140625" style="321" bestFit="1" customWidth="1"/>
    <col min="347" max="347" width="15" style="321" bestFit="1" customWidth="1"/>
    <col min="348" max="349" width="14.7109375" style="321" bestFit="1" customWidth="1"/>
    <col min="350" max="350" width="15" style="321" bestFit="1" customWidth="1"/>
    <col min="351" max="352" width="15.140625" style="321" bestFit="1" customWidth="1"/>
    <col min="353" max="353" width="14.85546875" style="321" bestFit="1" customWidth="1"/>
    <col min="354" max="355" width="15.140625" style="321" bestFit="1" customWidth="1"/>
    <col min="356" max="356" width="15.5703125" style="321" bestFit="1" customWidth="1"/>
    <col min="357" max="357" width="15.140625" style="321" bestFit="1" customWidth="1"/>
    <col min="358" max="359" width="15.5703125" style="321" bestFit="1" customWidth="1"/>
    <col min="360" max="360" width="15.140625" style="321" bestFit="1" customWidth="1"/>
    <col min="361" max="362" width="14.85546875" style="321" bestFit="1" customWidth="1"/>
    <col min="363" max="363" width="15.140625" style="321" bestFit="1" customWidth="1"/>
    <col min="364" max="364" width="15.85546875" style="321" bestFit="1" customWidth="1"/>
    <col min="365" max="365" width="15.5703125" style="321" bestFit="1" customWidth="1"/>
    <col min="366" max="366" width="15.42578125" style="321" bestFit="1" customWidth="1"/>
    <col min="367" max="367" width="15.85546875" style="321" bestFit="1" customWidth="1"/>
    <col min="368" max="368" width="15.5703125" style="321" bestFit="1" customWidth="1"/>
    <col min="369" max="369" width="15" style="321" bestFit="1" customWidth="1"/>
    <col min="370" max="371" width="14.85546875" style="321" bestFit="1" customWidth="1"/>
    <col min="372" max="372" width="15.140625" style="321" bestFit="1" customWidth="1"/>
    <col min="373" max="373" width="14.5703125" style="321" bestFit="1" customWidth="1"/>
    <col min="374" max="375" width="14.140625" style="321" bestFit="1" customWidth="1"/>
    <col min="376" max="376" width="14.5703125" style="321" bestFit="1" customWidth="1"/>
    <col min="377" max="378" width="15.7109375" style="321" bestFit="1" customWidth="1"/>
    <col min="379" max="379" width="15.42578125" style="321" bestFit="1" customWidth="1"/>
    <col min="380" max="381" width="15.7109375" style="321" bestFit="1" customWidth="1"/>
    <col min="382" max="382" width="15.42578125" style="321" bestFit="1" customWidth="1"/>
    <col min="383" max="383" width="15" style="321" bestFit="1" customWidth="1"/>
    <col min="384" max="384" width="15.42578125" style="321" bestFit="1" customWidth="1"/>
    <col min="385" max="386" width="15.140625" style="321" bestFit="1" customWidth="1"/>
    <col min="387" max="387" width="14.5703125" style="321" bestFit="1" customWidth="1"/>
    <col min="388" max="388" width="14.85546875" style="321" bestFit="1" customWidth="1"/>
    <col min="389" max="389" width="15.140625" style="321" bestFit="1" customWidth="1"/>
    <col min="390" max="390" width="15.42578125" style="321" bestFit="1" customWidth="1"/>
    <col min="391" max="391" width="15.7109375" style="321" bestFit="1" customWidth="1"/>
    <col min="392" max="392" width="15.42578125" style="321" bestFit="1" customWidth="1"/>
    <col min="393" max="394" width="15.7109375" style="321" bestFit="1" customWidth="1"/>
    <col min="395" max="395" width="15.5703125" style="321" bestFit="1" customWidth="1"/>
    <col min="396" max="396" width="15.140625" style="321" bestFit="1" customWidth="1"/>
    <col min="397" max="397" width="15.5703125" style="321" bestFit="1" customWidth="1"/>
    <col min="398" max="398" width="15.42578125" style="321" bestFit="1" customWidth="1"/>
    <col min="399" max="399" width="15" style="321" bestFit="1" customWidth="1"/>
    <col min="400" max="400" width="14.7109375" style="321" bestFit="1" customWidth="1"/>
    <col min="401" max="401" width="14.5703125" style="321" bestFit="1" customWidth="1"/>
    <col min="402" max="402" width="15" style="321" bestFit="1" customWidth="1"/>
    <col min="403" max="403" width="14.7109375" style="321" bestFit="1" customWidth="1"/>
    <col min="404" max="404" width="15" style="321" bestFit="1" customWidth="1"/>
    <col min="405" max="406" width="14.85546875" style="321" bestFit="1" customWidth="1"/>
    <col min="407" max="407" width="15.140625" style="321" bestFit="1" customWidth="1"/>
    <col min="408" max="408" width="15.42578125" style="321" bestFit="1" customWidth="1"/>
    <col min="409" max="410" width="15.140625" style="321" bestFit="1" customWidth="1"/>
    <col min="411" max="411" width="15.5703125" style="321" bestFit="1" customWidth="1"/>
    <col min="412" max="412" width="15.140625" style="321" bestFit="1" customWidth="1"/>
    <col min="413" max="413" width="14.5703125" style="321" bestFit="1" customWidth="1"/>
    <col min="414" max="414" width="14.85546875" style="321" bestFit="1" customWidth="1"/>
    <col min="415" max="415" width="15.140625" style="321" bestFit="1" customWidth="1"/>
    <col min="416" max="417" width="15.85546875" style="321" bestFit="1" customWidth="1"/>
    <col min="418" max="418" width="15.5703125" style="321" bestFit="1" customWidth="1"/>
    <col min="419" max="420" width="15.85546875" style="321" bestFit="1" customWidth="1"/>
    <col min="421" max="421" width="15.140625" style="321" bestFit="1" customWidth="1"/>
    <col min="422" max="422" width="14.85546875" style="321" bestFit="1" customWidth="1"/>
    <col min="423" max="423" width="15.140625" style="321" bestFit="1" customWidth="1"/>
    <col min="424" max="424" width="15" style="321" bestFit="1" customWidth="1"/>
    <col min="425" max="425" width="14.5703125" style="321" bestFit="1" customWidth="1"/>
    <col min="426" max="426" width="14" style="321" bestFit="1" customWidth="1"/>
    <col min="427" max="427" width="14.140625" style="321" bestFit="1" customWidth="1"/>
    <col min="428" max="428" width="14.5703125" style="321" bestFit="1" customWidth="1"/>
    <col min="429" max="429" width="15.42578125" style="321" bestFit="1" customWidth="1"/>
    <col min="430" max="430" width="15.7109375" style="321" bestFit="1" customWidth="1"/>
    <col min="431" max="431" width="15.42578125" style="321" bestFit="1" customWidth="1"/>
    <col min="432" max="433" width="15.7109375" style="321" bestFit="1" customWidth="1"/>
    <col min="434" max="434" width="15.42578125" style="321" bestFit="1" customWidth="1"/>
    <col min="435" max="436" width="15" style="321" bestFit="1" customWidth="1"/>
    <col min="437" max="437" width="15.42578125" style="321" bestFit="1" customWidth="1"/>
    <col min="438" max="438" width="15.140625" style="321" bestFit="1" customWidth="1"/>
    <col min="439" max="439" width="14.85546875" style="321" bestFit="1" customWidth="1"/>
    <col min="440" max="440" width="14.7109375" style="321" bestFit="1" customWidth="1"/>
    <col min="441" max="441" width="15.140625" style="321" bestFit="1" customWidth="1"/>
    <col min="442" max="442" width="14.85546875" style="321" bestFit="1" customWidth="1"/>
    <col min="443" max="443" width="15.5703125" style="321" bestFit="1" customWidth="1"/>
    <col min="444" max="445" width="15.42578125" style="321" bestFit="1" customWidth="1"/>
    <col min="446" max="446" width="15.7109375" style="321" bestFit="1" customWidth="1"/>
    <col min="447" max="447" width="15.5703125" style="321" bestFit="1" customWidth="1"/>
    <col min="448" max="449" width="15.140625" style="321" bestFit="1" customWidth="1"/>
    <col min="450" max="450" width="15.5703125" style="321" bestFit="1" customWidth="1"/>
    <col min="451" max="452" width="15" style="321" bestFit="1" customWidth="1"/>
    <col min="453" max="453" width="14.7109375" style="321" bestFit="1" customWidth="1"/>
    <col min="454" max="455" width="15" style="321" bestFit="1" customWidth="1"/>
    <col min="456" max="456" width="15.140625" style="321" bestFit="1" customWidth="1"/>
    <col min="457" max="457" width="14.85546875" style="321" bestFit="1" customWidth="1"/>
    <col min="458" max="458" width="15.140625" style="321" bestFit="1" customWidth="1"/>
    <col min="459" max="459" width="15" style="321" bestFit="1" customWidth="1"/>
    <col min="460" max="460" width="15.5703125" style="321" bestFit="1" customWidth="1"/>
    <col min="461" max="461" width="15.140625" style="321" bestFit="1" customWidth="1"/>
    <col min="462" max="462" width="15.5703125" style="321" bestFit="1" customWidth="1"/>
    <col min="463" max="463" width="15.42578125" style="321" bestFit="1" customWidth="1"/>
    <col min="464" max="464" width="15.140625" style="321" bestFit="1" customWidth="1"/>
    <col min="465" max="465" width="14.85546875" style="321" bestFit="1" customWidth="1"/>
    <col min="466" max="466" width="14.7109375" style="321" bestFit="1" customWidth="1"/>
    <col min="467" max="467" width="15.140625" style="321" bestFit="1" customWidth="1"/>
    <col min="468" max="468" width="15.5703125" style="321" bestFit="1" customWidth="1"/>
    <col min="469" max="469" width="15.85546875" style="321" bestFit="1" customWidth="1"/>
    <col min="470" max="470" width="15.5703125" style="321" bestFit="1" customWidth="1"/>
    <col min="471" max="472" width="15.85546875" style="321" bestFit="1" customWidth="1"/>
    <col min="473" max="473" width="15.140625" style="321" bestFit="1" customWidth="1"/>
    <col min="474" max="475" width="14.85546875" style="321" bestFit="1" customWidth="1"/>
    <col min="476" max="476" width="15.140625" style="321" bestFit="1" customWidth="1"/>
    <col min="477" max="477" width="14.5703125" style="321" bestFit="1" customWidth="1"/>
    <col min="478" max="479" width="14.140625" style="321" bestFit="1" customWidth="1"/>
    <col min="480" max="480" width="14.5703125" style="321" bestFit="1" customWidth="1"/>
    <col min="481" max="481" width="14.140625" style="321" bestFit="1" customWidth="1"/>
    <col min="482" max="482" width="15.5703125" style="321" bestFit="1" customWidth="1"/>
    <col min="483" max="484" width="15.42578125" style="321" bestFit="1" customWidth="1"/>
    <col min="485" max="485" width="15.7109375" style="321" bestFit="1" customWidth="1"/>
    <col min="486" max="486" width="15.42578125" style="321" bestFit="1" customWidth="1"/>
    <col min="487" max="487" width="14.7109375" style="321" bestFit="1" customWidth="1"/>
    <col min="488" max="488" width="15" style="321" bestFit="1" customWidth="1"/>
    <col min="489" max="489" width="15.42578125" style="321" bestFit="1" customWidth="1"/>
    <col min="490" max="491" width="15.140625" style="321" bestFit="1" customWidth="1"/>
    <col min="492" max="492" width="14.85546875" style="321" bestFit="1" customWidth="1"/>
    <col min="493" max="494" width="15.140625" style="321" bestFit="1" customWidth="1"/>
    <col min="495" max="495" width="15.7109375" style="321" bestFit="1" customWidth="1"/>
    <col min="496" max="496" width="15.42578125" style="321" bestFit="1" customWidth="1"/>
    <col min="497" max="497" width="15.7109375" style="321" bestFit="1" customWidth="1"/>
    <col min="498" max="499" width="15.5703125" style="321" bestFit="1" customWidth="1"/>
    <col min="500" max="500" width="14.85546875" style="321" bestFit="1" customWidth="1"/>
    <col min="501" max="501" width="15.140625" style="321" bestFit="1" customWidth="1"/>
    <col min="502" max="502" width="15.5703125" style="321" bestFit="1" customWidth="1"/>
    <col min="503" max="503" width="14.7109375" style="321" bestFit="1" customWidth="1"/>
    <col min="504" max="504" width="15" style="321" bestFit="1" customWidth="1"/>
    <col min="505" max="505" width="14.7109375" style="321" bestFit="1" customWidth="1"/>
    <col min="506" max="507" width="15" style="321" bestFit="1" customWidth="1"/>
    <col min="508" max="508" width="15.140625" style="321" bestFit="1" customWidth="1"/>
    <col min="509" max="510" width="14.85546875" style="321" bestFit="1" customWidth="1"/>
    <col min="511" max="511" width="15.140625" style="321" bestFit="1" customWidth="1"/>
    <col min="512" max="512" width="15.5703125" style="321" bestFit="1" customWidth="1"/>
    <col min="513" max="514" width="15.140625" style="321" bestFit="1" customWidth="1"/>
    <col min="515" max="515" width="15.5703125" style="321" bestFit="1" customWidth="1"/>
    <col min="516" max="517" width="15.140625" style="321" bestFit="1" customWidth="1"/>
    <col min="518" max="518" width="14.85546875" style="321" bestFit="1" customWidth="1"/>
    <col min="519" max="520" width="15.140625" style="321" bestFit="1" customWidth="1"/>
    <col min="521" max="521" width="15.7109375" style="321" bestFit="1" customWidth="1"/>
    <col min="522" max="523" width="15.5703125" style="321" bestFit="1" customWidth="1"/>
    <col min="524" max="524" width="15.85546875" style="321" bestFit="1" customWidth="1"/>
    <col min="525" max="525" width="15.140625" style="321" bestFit="1" customWidth="1"/>
    <col min="526" max="526" width="14.5703125" style="321" bestFit="1" customWidth="1"/>
    <col min="527" max="527" width="14.85546875" style="321" bestFit="1" customWidth="1"/>
    <col min="528" max="528" width="15.140625" style="321" bestFit="1" customWidth="1"/>
    <col min="529" max="530" width="14.5703125" style="321" bestFit="1" customWidth="1"/>
    <col min="531" max="531" width="14.140625" style="321" bestFit="1" customWidth="1"/>
    <col min="532" max="533" width="14.5703125" style="321" bestFit="1" customWidth="1"/>
    <col min="534" max="534" width="15.7109375" style="321" bestFit="1" customWidth="1"/>
    <col min="535" max="535" width="15.42578125" style="321" bestFit="1" customWidth="1"/>
    <col min="536" max="536" width="15.7109375" style="321" bestFit="1" customWidth="1"/>
    <col min="537" max="537" width="15.5703125" style="321" bestFit="1" customWidth="1"/>
    <col min="538" max="538" width="15.42578125" style="321" bestFit="1" customWidth="1"/>
    <col min="539" max="539" width="15" style="321" bestFit="1" customWidth="1"/>
    <col min="540" max="540" width="14.85546875" style="321" bestFit="1" customWidth="1"/>
    <col min="541" max="541" width="15.42578125" style="321" bestFit="1" customWidth="1"/>
    <col min="542" max="542" width="14.85546875" style="321" bestFit="1" customWidth="1"/>
    <col min="543" max="543" width="15.140625" style="321" bestFit="1" customWidth="1"/>
    <col min="544" max="544" width="14.85546875" style="321" bestFit="1" customWidth="1"/>
    <col min="545" max="546" width="15.140625" style="321" bestFit="1" customWidth="1"/>
    <col min="547" max="547" width="15.7109375" style="321" bestFit="1" customWidth="1"/>
    <col min="548" max="549" width="15.42578125" style="321" bestFit="1" customWidth="1"/>
    <col min="550" max="550" width="15.7109375" style="321" bestFit="1" customWidth="1"/>
    <col min="551" max="551" width="15.5703125" style="321" bestFit="1" customWidth="1"/>
    <col min="552" max="552" width="15.140625" style="321" bestFit="1" customWidth="1"/>
    <col min="553" max="553" width="15" style="321" bestFit="1" customWidth="1"/>
    <col min="554" max="554" width="15.5703125" style="321" bestFit="1" customWidth="1"/>
    <col min="555" max="555" width="15.140625" style="321" bestFit="1" customWidth="1"/>
    <col min="556" max="556" width="14.85546875" style="321" bestFit="1" customWidth="1"/>
    <col min="557" max="558" width="14.7109375" style="321" bestFit="1" customWidth="1"/>
    <col min="559" max="559" width="15" style="321" bestFit="1" customWidth="1"/>
    <col min="560" max="560" width="15.140625" style="321" bestFit="1" customWidth="1"/>
    <col min="561" max="561" width="14.5703125" style="321" bestFit="1" customWidth="1"/>
    <col min="562" max="562" width="14.85546875" style="321" bestFit="1" customWidth="1"/>
    <col min="563" max="563" width="15.140625" style="321" bestFit="1" customWidth="1"/>
    <col min="564" max="564" width="15.5703125" style="321" bestFit="1" customWidth="1"/>
    <col min="565" max="565" width="15.140625" style="321" bestFit="1" customWidth="1"/>
    <col min="566" max="566" width="15" style="321" bestFit="1" customWidth="1"/>
    <col min="567" max="567" width="15.5703125" style="321" bestFit="1" customWidth="1"/>
    <col min="568" max="568" width="15.140625" style="321" bestFit="1" customWidth="1"/>
    <col min="569" max="569" width="15" style="321" bestFit="1" customWidth="1"/>
    <col min="570" max="571" width="14.85546875" style="321" bestFit="1" customWidth="1"/>
    <col min="572" max="572" width="15.140625" style="321" bestFit="1" customWidth="1"/>
    <col min="573" max="573" width="15.85546875" style="321" bestFit="1" customWidth="1"/>
    <col min="574" max="575" width="15.5703125" style="321" bestFit="1" customWidth="1"/>
    <col min="576" max="576" width="15.85546875" style="321" bestFit="1" customWidth="1"/>
    <col min="577" max="578" width="15.140625" style="321" bestFit="1" customWidth="1"/>
    <col min="579" max="579" width="14.85546875" style="321" bestFit="1" customWidth="1"/>
    <col min="580" max="581" width="15.140625" style="321" bestFit="1" customWidth="1"/>
    <col min="582" max="582" width="14.42578125" style="321" bestFit="1" customWidth="1"/>
    <col min="583" max="584" width="14.140625" style="321" bestFit="1" customWidth="1"/>
    <col min="585" max="585" width="14.5703125" style="321" bestFit="1" customWidth="1"/>
    <col min="586" max="586" width="15.7109375" style="321" bestFit="1" customWidth="1"/>
    <col min="587" max="587" width="15" style="321" bestFit="1" customWidth="1"/>
    <col min="588" max="588" width="15.42578125" style="321" bestFit="1" customWidth="1"/>
    <col min="589" max="589" width="15.7109375" style="321" bestFit="1" customWidth="1"/>
    <col min="590" max="590" width="15" style="321" bestFit="1" customWidth="1"/>
    <col min="591" max="591" width="15.42578125" style="321" bestFit="1" customWidth="1"/>
    <col min="592" max="592" width="15" style="321" bestFit="1" customWidth="1"/>
    <col min="593" max="594" width="15.42578125" style="321" bestFit="1" customWidth="1"/>
    <col min="595" max="595" width="15.140625" style="321" bestFit="1" customWidth="1"/>
    <col min="596" max="596" width="14.85546875" style="321" bestFit="1" customWidth="1"/>
    <col min="597" max="597" width="15.140625" style="321" bestFit="1" customWidth="1"/>
    <col min="598" max="598" width="15" style="321" bestFit="1" customWidth="1"/>
    <col min="599" max="599" width="15.7109375" style="321" bestFit="1" customWidth="1"/>
    <col min="600" max="600" width="15.42578125" style="321" bestFit="1" customWidth="1"/>
    <col min="601" max="601" width="15.140625" style="321" bestFit="1" customWidth="1"/>
    <col min="602" max="602" width="15.7109375" style="321" bestFit="1" customWidth="1"/>
    <col min="603" max="603" width="15.140625" style="321" bestFit="1" customWidth="1"/>
    <col min="604" max="604" width="15.5703125" style="321" bestFit="1" customWidth="1"/>
    <col min="605" max="605" width="15.140625" style="321" bestFit="1" customWidth="1"/>
    <col min="606" max="607" width="15.5703125" style="321" bestFit="1" customWidth="1"/>
    <col min="608" max="608" width="14.85546875" style="321" bestFit="1" customWidth="1"/>
    <col min="609" max="610" width="14.5703125" style="321" bestFit="1" customWidth="1"/>
    <col min="611" max="611" width="14.85546875" style="321" bestFit="1" customWidth="1"/>
    <col min="612" max="613" width="15" style="321" bestFit="1" customWidth="1"/>
    <col min="614" max="614" width="14.7109375" style="321" bestFit="1" customWidth="1"/>
    <col min="615" max="615" width="15" style="321" bestFit="1" customWidth="1"/>
    <col min="616" max="16384" width="9" style="321"/>
  </cols>
  <sheetData>
    <row r="1" spans="1:615" s="270" customFormat="1" ht="20.25" customHeight="1" x14ac:dyDescent="0.25">
      <c r="B1" s="271" t="s">
        <v>76</v>
      </c>
      <c r="C1" s="272">
        <v>46083</v>
      </c>
      <c r="D1" s="432">
        <v>887523.63</v>
      </c>
      <c r="E1" s="275">
        <f ca="1">V5</f>
        <v>764069.6</v>
      </c>
      <c r="F1" s="275">
        <f ca="1">W5</f>
        <v>-887528.89</v>
      </c>
      <c r="G1" s="273"/>
      <c r="H1" s="273"/>
      <c r="I1" s="273">
        <v>907273.5</v>
      </c>
      <c r="J1" s="397"/>
      <c r="K1" s="397"/>
      <c r="L1" s="401"/>
      <c r="M1" s="273"/>
      <c r="N1" s="273"/>
      <c r="O1" s="273"/>
      <c r="P1" s="273"/>
      <c r="Q1" s="402"/>
      <c r="R1" s="386">
        <f ca="1">R5</f>
        <v>8.3916028919351991E-3</v>
      </c>
      <c r="S1" s="274"/>
      <c r="T1" s="274"/>
      <c r="U1" s="273"/>
      <c r="V1" s="275"/>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25">
      <c r="B2" s="271" t="s">
        <v>78</v>
      </c>
      <c r="C2" s="272">
        <v>46062</v>
      </c>
      <c r="D2" s="433">
        <f ca="1">R5</f>
        <v>8.3916028919351991E-3</v>
      </c>
      <c r="E2" s="434"/>
      <c r="F2" s="273"/>
      <c r="G2" s="273"/>
      <c r="H2" s="273"/>
      <c r="I2" s="273"/>
      <c r="J2" s="397"/>
      <c r="K2" s="397"/>
      <c r="L2" s="429" t="s">
        <v>79</v>
      </c>
      <c r="M2" s="430"/>
      <c r="N2" s="430"/>
      <c r="O2" s="430"/>
      <c r="P2" s="430"/>
      <c r="Q2" s="431"/>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25">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
      <c r="A5" s="270"/>
      <c r="B5" s="311"/>
      <c r="C5" s="312" t="s">
        <v>105</v>
      </c>
      <c r="D5" s="313" t="s">
        <v>317</v>
      </c>
      <c r="E5" s="312" t="s">
        <v>46</v>
      </c>
      <c r="F5" s="314" t="s">
        <v>812</v>
      </c>
      <c r="G5" s="297"/>
      <c r="H5" s="298"/>
      <c r="I5" s="298"/>
      <c r="J5" s="300"/>
      <c r="K5" s="300"/>
      <c r="L5" s="297">
        <f t="shared" ref="L5:Q5" si="20">SUM(L6:L64)</f>
        <v>0</v>
      </c>
      <c r="M5" s="301">
        <f t="shared" ca="1" si="20"/>
        <v>0</v>
      </c>
      <c r="N5" s="302">
        <f t="shared" si="20"/>
        <v>716.25</v>
      </c>
      <c r="O5" s="301">
        <f t="shared" ca="1" si="20"/>
        <v>112758.45</v>
      </c>
      <c r="P5" s="301">
        <f t="shared" ca="1" si="20"/>
        <v>-112758.45</v>
      </c>
      <c r="Q5" s="303">
        <f t="shared" si="20"/>
        <v>116011.5</v>
      </c>
      <c r="R5" s="400">
        <f ca="1">IFERROR(((U5+O5)-(V5+Q5))/(U5+O5),"")</f>
        <v>8.3916028919351991E-3</v>
      </c>
      <c r="S5" s="298">
        <f ca="1">SUM(S6:S64)</f>
        <v>4569</v>
      </c>
      <c r="T5" s="316">
        <f ca="1">SUM(T6:T64)</f>
        <v>571.125</v>
      </c>
      <c r="U5" s="317">
        <f ca="1">SUM(U6:U64)</f>
        <v>774770.44000000006</v>
      </c>
      <c r="V5" s="306">
        <f ca="1">SUM(V6:V64)</f>
        <v>764069.6</v>
      </c>
      <c r="W5" s="454">
        <f ca="1">SUM(W6:W64)</f>
        <v>-887528.89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25">
      <c r="B6" s="322" t="s">
        <v>926</v>
      </c>
      <c r="C6" s="323" t="s">
        <v>927</v>
      </c>
      <c r="D6" s="321" t="s">
        <v>306</v>
      </c>
      <c r="E6" s="321" t="s">
        <v>753</v>
      </c>
      <c r="F6" s="324" t="s">
        <v>928</v>
      </c>
      <c r="G6" s="325" cm="1">
        <f t="array" aca="1" ref="G6" ca="1">IFERROR(INDEX(Panel_Rates[[1]:[12]],MATCH(Panel_New&amp;Category_New,Panel_Rates[Panel]&amp;Panel_Rates[Category],0),MATCH('Time Plan (Partial Phani)'!E6,OFFSET(Variable!$AF$2,MATCH(Panel_New&amp;Category_New,Panel_Rates[Panel]&amp;Panel_Rates[Category],0)-1,0,1,12),0))/8,"")</f>
        <v>305</v>
      </c>
      <c r="H6" s="326">
        <v>0.32</v>
      </c>
      <c r="I6" s="328">
        <f t="shared" ref="I6:I24" ca="1" si="21">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24" ca="1" si="22">IFERROR(M6-O6,"")</f>
        <v>-24887.999999999996</v>
      </c>
      <c r="Q6" s="333">
        <f t="shared" ref="Q6:Q24" si="23">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25">
      <c r="B7" s="322" t="s">
        <v>926</v>
      </c>
      <c r="C7" s="323" t="s">
        <v>927</v>
      </c>
      <c r="D7" s="321" t="s">
        <v>327</v>
      </c>
      <c r="E7" s="321" t="s">
        <v>752</v>
      </c>
      <c r="F7" s="324" t="s">
        <v>155</v>
      </c>
      <c r="G7" s="325" cm="1">
        <f t="array" aca="1" ref="G7" ca="1">IFERROR(INDEX(Panel_Rates[[1]:[12]],MATCH(Panel_New&amp;Category_New,Panel_Rates[Panel]&amp;Panel_Rates[Category],0),MATCH('Time Plan (Partial Phani)'!E7,OFFSET(Variable!$AF$2,MATCH(Panel_New&amp;Category_New,Panel_Rates[Panel]&amp;Panel_Rates[Category],0)-1,0,1,12),0))/8,"")</f>
        <v>245</v>
      </c>
      <c r="H7" s="326">
        <v>0.38</v>
      </c>
      <c r="I7" s="328">
        <f t="shared" ca="1" si="21"/>
        <v>151.9</v>
      </c>
      <c r="J7" s="329">
        <f ca="1">IFERROR(I7*8,"")</f>
        <v>1215.2</v>
      </c>
      <c r="K7" s="329">
        <f>IFERROR(_xlfn.XLOOKUP(D7,CostTableLookup[Name],CostTableLookup[Gross Cost]),"")</f>
        <v>146</v>
      </c>
      <c r="L7" s="330"/>
      <c r="M7" s="331">
        <f ca="1">IFERROR(L7*I7,"")</f>
        <v>0</v>
      </c>
      <c r="N7" s="332">
        <v>144.5</v>
      </c>
      <c r="O7" s="331">
        <f ca="1">IFERROR(N7*I7,"")</f>
        <v>21949.55</v>
      </c>
      <c r="P7" s="331">
        <f t="shared" ca="1" si="22"/>
        <v>-21949.55</v>
      </c>
      <c r="Q7" s="333">
        <f t="shared" si="23"/>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64" ca="1" si="24">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25">
      <c r="B8" s="322" t="s">
        <v>926</v>
      </c>
      <c r="C8" s="323" t="s">
        <v>927</v>
      </c>
      <c r="D8" s="321" t="s">
        <v>746</v>
      </c>
      <c r="E8" s="321" t="s">
        <v>752</v>
      </c>
      <c r="F8" s="324" t="s">
        <v>155</v>
      </c>
      <c r="G8" s="325" cm="1">
        <f t="array" aca="1" ref="G8" ca="1">IFERROR(INDEX(Panel_Rates[[1]:[12]],MATCH(Panel_New&amp;Category_New,Panel_Rates[Panel]&amp;Panel_Rates[Category],0),MATCH('Time Plan (Partial Phani)'!E8,OFFSET(Variable!$AF$2,MATCH(Panel_New&amp;Category_New,Panel_Rates[Panel]&amp;Panel_Rates[Category],0)-1,0,1,12),0))/8,"")</f>
        <v>245</v>
      </c>
      <c r="H8" s="326">
        <v>0.38</v>
      </c>
      <c r="I8" s="328">
        <f t="shared" ca="1" si="21"/>
        <v>151.9</v>
      </c>
      <c r="J8" s="329">
        <f ca="1">IFERROR(I8*8,"")</f>
        <v>1215.2</v>
      </c>
      <c r="K8" s="329">
        <f>IFERROR(_xlfn.XLOOKUP(D8,CostTableLookup[Name],CostTableLookup[Gross Cost]),"")</f>
        <v>90</v>
      </c>
      <c r="L8" s="330"/>
      <c r="M8" s="331">
        <f ca="1">IFERROR(L8*I8,"")</f>
        <v>0</v>
      </c>
      <c r="N8" s="332">
        <v>120</v>
      </c>
      <c r="O8" s="331">
        <f ca="1">IFERROR(N8*I8,"")</f>
        <v>18228</v>
      </c>
      <c r="P8" s="331">
        <f t="shared" ca="1" si="22"/>
        <v>-18228</v>
      </c>
      <c r="Q8" s="333">
        <f t="shared" si="23"/>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4"/>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25">
      <c r="B9" s="322" t="s">
        <v>926</v>
      </c>
      <c r="C9" s="323" t="s">
        <v>927</v>
      </c>
      <c r="D9" s="321" t="s">
        <v>317</v>
      </c>
      <c r="E9" s="321" t="s">
        <v>754</v>
      </c>
      <c r="F9" s="324" t="s">
        <v>929</v>
      </c>
      <c r="G9" s="325" cm="1">
        <f t="array" aca="1" ref="G9" ca="1">IFERROR(INDEX(Panel_Rates[[1]:[12]],MATCH(Panel_New&amp;Category_New,Panel_Rates[Panel]&amp;Panel_Rates[Category],0),MATCH('Time Plan (Partial Phani)'!E9,OFFSET(Variable!$AF$2,MATCH(Panel_New&amp;Category_New,Panel_Rates[Panel]&amp;Panel_Rates[Category],0)-1,0,1,12),0))/8,"")</f>
        <v>395</v>
      </c>
      <c r="H9" s="326">
        <v>0.4</v>
      </c>
      <c r="I9" s="328">
        <f t="shared" ca="1" si="21"/>
        <v>237</v>
      </c>
      <c r="J9" s="329">
        <f t="shared" ref="J9:J13" ca="1" si="25">IFERROR(I9*8,"")</f>
        <v>1896</v>
      </c>
      <c r="K9" s="329">
        <f>IFERROR(_xlfn.XLOOKUP(D9,CostTableLookup[Name],CostTableLookup[Gross Cost]),"")</f>
        <v>198</v>
      </c>
      <c r="L9" s="330"/>
      <c r="M9" s="331">
        <f t="shared" ref="M9:M13" ca="1" si="26">IFERROR(L9*I9,"")</f>
        <v>0</v>
      </c>
      <c r="N9" s="332">
        <v>66</v>
      </c>
      <c r="O9" s="331">
        <f t="shared" ref="O9:O13" ca="1" si="27">IFERROR(N9*I9,"")</f>
        <v>15642</v>
      </c>
      <c r="P9" s="331">
        <f t="shared" ca="1" si="22"/>
        <v>-15642</v>
      </c>
      <c r="Q9" s="333">
        <f t="shared" si="23"/>
        <v>13068</v>
      </c>
      <c r="R9" s="343">
        <f t="shared" ref="R9:R11" ca="1" si="28">IFERROR(((U9+O9)-(V9+Q9))/(U9+O9),"")</f>
        <v>0.16455696202531644</v>
      </c>
      <c r="S9" s="335">
        <f t="shared" ref="S9:S11" ca="1" si="29">IFERROR(SUM(OFFSET(Y9,0,MATCH(Forecast_New,$Y$3:$WQ$3,0)-1,1,500))*40,"")</f>
        <v>30</v>
      </c>
      <c r="T9" s="336">
        <f t="shared" ref="T9:T24" ca="1" si="30">IFERROR(S9/8,"")</f>
        <v>3.75</v>
      </c>
      <c r="U9" s="337">
        <f t="shared" ref="U9:U13" ca="1" si="31">IFERROR($S9*I9,"")</f>
        <v>7110</v>
      </c>
      <c r="V9" s="338">
        <f t="shared" ref="V9:V13" ca="1" si="32">IFERROR($S9*K9,"")</f>
        <v>5940</v>
      </c>
      <c r="W9" s="339">
        <f t="shared" ca="1" si="24"/>
        <v>-22752</v>
      </c>
      <c r="X9" s="340" t="str">
        <f t="shared" ref="X9:X13" ca="1" si="33">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25">
      <c r="B10" s="322" t="s">
        <v>926</v>
      </c>
      <c r="C10" s="323" t="s">
        <v>927</v>
      </c>
      <c r="D10" s="321" t="s">
        <v>447</v>
      </c>
      <c r="E10" s="321" t="s">
        <v>753</v>
      </c>
      <c r="F10" s="324" t="s">
        <v>930</v>
      </c>
      <c r="G10" s="325" cm="1">
        <f t="array" aca="1" ref="G10" ca="1">IFERROR(INDEX(Panel_Rates[[1]:[12]],MATCH(Panel_New&amp;Category_New,Panel_Rates[Panel]&amp;Panel_Rates[Category],0),MATCH('Time Plan (Partial Phani)'!E10,OFFSET(Variable!$AF$2,MATCH(Panel_New&amp;Category_New,Panel_Rates[Panel]&amp;Panel_Rates[Category],0)-1,0,1,12),0))/8,"")</f>
        <v>305</v>
      </c>
      <c r="H10" s="326">
        <v>0.32</v>
      </c>
      <c r="I10" s="328">
        <f ca="1">IFERROR(G10*(1-H10),"")</f>
        <v>207.39999999999998</v>
      </c>
      <c r="J10" s="329">
        <f t="shared" ca="1" si="25"/>
        <v>1659.1999999999998</v>
      </c>
      <c r="K10" s="329">
        <f>IFERROR(_xlfn.XLOOKUP(D10,CostTableLookup[Name],CostTableLookup[Gross Cost]),"")</f>
        <v>151</v>
      </c>
      <c r="L10" s="330"/>
      <c r="M10" s="331">
        <f t="shared" ca="1" si="26"/>
        <v>0</v>
      </c>
      <c r="N10" s="332"/>
      <c r="O10" s="331">
        <f t="shared" ca="1" si="27"/>
        <v>0</v>
      </c>
      <c r="P10" s="331">
        <f t="shared" ca="1" si="22"/>
        <v>0</v>
      </c>
      <c r="Q10" s="333">
        <f t="shared" si="23"/>
        <v>0</v>
      </c>
      <c r="R10" s="343">
        <f t="shared" ca="1" si="28"/>
        <v>0.27193828351012539</v>
      </c>
      <c r="S10" s="335">
        <f t="shared" ref="S10:S12" ca="1" si="34">IFERROR(SUM(OFFSET(Y10,0,MATCH(Forecast_New,$Y$3:$WQ$3,0)-1,1,500))*40,"")</f>
        <v>20</v>
      </c>
      <c r="T10" s="336">
        <f t="shared" ca="1" si="30"/>
        <v>2.5</v>
      </c>
      <c r="U10" s="337">
        <f t="shared" ca="1" si="31"/>
        <v>4148</v>
      </c>
      <c r="V10" s="338">
        <f t="shared" ca="1" si="32"/>
        <v>3020</v>
      </c>
      <c r="W10" s="339">
        <f t="shared" ca="1" si="24"/>
        <v>-4148</v>
      </c>
      <c r="X10" s="340" t="str">
        <f t="shared" ca="1" si="33"/>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25">
      <c r="B11" s="322" t="s">
        <v>926</v>
      </c>
      <c r="C11" s="323" t="s">
        <v>927</v>
      </c>
      <c r="D11" s="321" t="s">
        <v>126</v>
      </c>
      <c r="E11" s="321" t="s">
        <v>752</v>
      </c>
      <c r="F11" s="324" t="s">
        <v>852</v>
      </c>
      <c r="G11" s="325" cm="1">
        <f t="array" aca="1" ref="G11" ca="1">IFERROR(INDEX(Panel_Rates[[1]:[12]],MATCH(Panel_New&amp;Category_New,Panel_Rates[Panel]&amp;Panel_Rates[Category],0),MATCH('Time Plan (Partial Phani)'!E11,OFFSET(Variable!$AF$2,MATCH(Panel_New&amp;Category_New,Panel_Rates[Panel]&amp;Panel_Rates[Category],0)-1,0,1,12),0))/8,"")</f>
        <v>245</v>
      </c>
      <c r="H11" s="326">
        <v>0.38</v>
      </c>
      <c r="I11" s="328">
        <f t="shared" ref="I11" ca="1" si="35">IFERROR(G11*(1-H11),"")</f>
        <v>151.9</v>
      </c>
      <c r="J11" s="329">
        <f t="shared" ca="1" si="25"/>
        <v>1215.2</v>
      </c>
      <c r="K11" s="329">
        <f>IFERROR(_xlfn.XLOOKUP(D11,CostTableLookup[Name],CostTableLookup[Gross Cost]),"")</f>
        <v>146</v>
      </c>
      <c r="L11" s="330"/>
      <c r="M11" s="331">
        <f t="shared" ca="1" si="26"/>
        <v>0</v>
      </c>
      <c r="N11" s="332">
        <v>66.5</v>
      </c>
      <c r="O11" s="331">
        <f t="shared" ca="1" si="27"/>
        <v>10101.35</v>
      </c>
      <c r="P11" s="331">
        <f t="shared" ca="1" si="22"/>
        <v>-10101.35</v>
      </c>
      <c r="Q11" s="333">
        <f t="shared" si="23"/>
        <v>9709</v>
      </c>
      <c r="R11" s="343">
        <f t="shared" ca="1" si="28"/>
        <v>3.8841342988808522E-2</v>
      </c>
      <c r="S11" s="335">
        <f t="shared" ref="S11:S13" ca="1" si="36">IFERROR(SUM(OFFSET(Y11,0,MATCH(Forecast_New,$Y$3:$WQ$3,0)-1,1,500))*40,"")</f>
        <v>8</v>
      </c>
      <c r="T11" s="336">
        <f t="shared" ca="1" si="30"/>
        <v>1</v>
      </c>
      <c r="U11" s="337">
        <f t="shared" ca="1" si="31"/>
        <v>1215.2</v>
      </c>
      <c r="V11" s="338">
        <f t="shared" ca="1" si="32"/>
        <v>1168</v>
      </c>
      <c r="W11" s="339">
        <f t="shared" ca="1" si="24"/>
        <v>-11316.550000000001</v>
      </c>
      <c r="X11" s="340" t="str">
        <f t="shared" ca="1" si="33"/>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25">
      <c r="B12" s="384" t="s">
        <v>926</v>
      </c>
      <c r="C12" s="384" t="s">
        <v>927</v>
      </c>
      <c r="D12" s="385" t="s">
        <v>122</v>
      </c>
      <c r="E12" s="321" t="s">
        <v>752</v>
      </c>
      <c r="F12" s="324" t="s">
        <v>931</v>
      </c>
      <c r="G12" s="325" cm="1">
        <f t="array" aca="1" ref="G12" ca="1">IFERROR(INDEX(Panel_Rates[[1]:[12]],MATCH(Panel_New&amp;Category_New,Panel_Rates[Panel]&amp;Panel_Rates[Category],0),MATCH('Time Plan (Partial Phani)'!E12,OFFSET(Variable!$AF$2,MATCH(Panel_New&amp;Category_New,Panel_Rates[Panel]&amp;Panel_Rates[Category],0)-1,0,1,12),0))/8,"")</f>
        <v>245</v>
      </c>
      <c r="H12" s="326">
        <v>1</v>
      </c>
      <c r="I12" s="328">
        <f ca="1">IFERROR(G12*(1-H12),"")</f>
        <v>0</v>
      </c>
      <c r="J12" s="329">
        <f t="shared" ca="1" si="25"/>
        <v>0</v>
      </c>
      <c r="K12" s="329">
        <f>IFERROR(_xlfn.XLOOKUP(D12,CostTableLookup[Name],CostTableLookup[Gross Cost]),"")</f>
        <v>198</v>
      </c>
      <c r="L12" s="330"/>
      <c r="M12" s="331">
        <f t="shared" ca="1" si="26"/>
        <v>0</v>
      </c>
      <c r="N12" s="332">
        <v>54.75</v>
      </c>
      <c r="O12" s="331">
        <f t="shared" ca="1" si="27"/>
        <v>0</v>
      </c>
      <c r="P12" s="331">
        <f t="shared" ca="1" si="22"/>
        <v>0</v>
      </c>
      <c r="Q12" s="333">
        <f t="shared" si="23"/>
        <v>10840.5</v>
      </c>
      <c r="R12" s="343">
        <v>1</v>
      </c>
      <c r="S12" s="335">
        <f t="shared" ref="S12:S20" ca="1" si="37">IFERROR(SUM(OFFSET(Y12,0,MATCH(Forecast_New,$Y$3:$WQ$3,0)-1,1,500))*40,"")</f>
        <v>20</v>
      </c>
      <c r="T12" s="336">
        <f t="shared" ca="1" si="30"/>
        <v>2.5</v>
      </c>
      <c r="U12" s="337">
        <f t="shared" ca="1" si="31"/>
        <v>0</v>
      </c>
      <c r="V12" s="338">
        <f t="shared" ca="1" si="32"/>
        <v>3960</v>
      </c>
      <c r="W12" s="339">
        <f t="shared" ca="1" si="24"/>
        <v>0</v>
      </c>
      <c r="X12" s="340" t="str">
        <f t="shared" ca="1" si="33"/>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25">
      <c r="B13" s="322" t="s">
        <v>926</v>
      </c>
      <c r="C13" s="323" t="s">
        <v>932</v>
      </c>
      <c r="D13" s="321" t="s">
        <v>306</v>
      </c>
      <c r="E13" s="321" t="s">
        <v>753</v>
      </c>
      <c r="F13" s="324" t="s">
        <v>928</v>
      </c>
      <c r="G13" s="325" cm="1">
        <f t="array" aca="1" ref="G13" ca="1">IFERROR(INDEX(Panel_Rates[[1]:[12]],MATCH(Panel_New&amp;Category_New,Panel_Rates[Panel]&amp;Panel_Rates[Category],0),MATCH('Time Plan (Partial Phani)'!E13,OFFSET(Variable!$AF$2,MATCH(Panel_New&amp;Category_New,Panel_Rates[Panel]&amp;Panel_Rates[Category],0)-1,0,1,12),0))/8,"")</f>
        <v>305</v>
      </c>
      <c r="H13" s="326">
        <v>0.32</v>
      </c>
      <c r="I13" s="328">
        <f t="shared" ref="I13:I31" ca="1" si="38">IFERROR(G13*(1-H13),"")</f>
        <v>207.39999999999998</v>
      </c>
      <c r="J13" s="329">
        <f t="shared" ca="1" si="25"/>
        <v>1659.1999999999998</v>
      </c>
      <c r="K13" s="329">
        <f>IFERROR(_xlfn.XLOOKUP(D13,CostTableLookup[Name],CostTableLookup[Gross Cost]),"")</f>
        <v>245</v>
      </c>
      <c r="L13" s="330"/>
      <c r="M13" s="331">
        <f t="shared" ca="1" si="26"/>
        <v>0</v>
      </c>
      <c r="N13" s="332"/>
      <c r="O13" s="331">
        <f t="shared" ca="1" si="27"/>
        <v>0</v>
      </c>
      <c r="P13" s="331">
        <f t="shared" ca="1" si="22"/>
        <v>0</v>
      </c>
      <c r="Q13" s="333">
        <f t="shared" si="23"/>
        <v>0</v>
      </c>
      <c r="R13" s="343" t="str">
        <f t="shared" ref="R13:R24" ca="1" si="39">IFERROR(((U13+O13)-(V13+Q13))/(U13+O13),"")</f>
        <v/>
      </c>
      <c r="S13" s="335">
        <f t="shared" ref="S13:S21" ca="1" si="40">IFERROR(SUM(OFFSET(Y13,0,MATCH(Forecast_New,$Y$3:$WQ$3,0)-1,1,500))*40,"")</f>
        <v>0</v>
      </c>
      <c r="T13" s="336">
        <f t="shared" ca="1" si="30"/>
        <v>0</v>
      </c>
      <c r="U13" s="337">
        <f t="shared" ca="1" si="31"/>
        <v>0</v>
      </c>
      <c r="V13" s="338">
        <f t="shared" ca="1" si="32"/>
        <v>0</v>
      </c>
      <c r="W13" s="339">
        <f t="shared" ca="1" si="24"/>
        <v>0</v>
      </c>
      <c r="X13" s="340" t="str">
        <f t="shared" ca="1" si="33"/>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25">
      <c r="B14" s="322" t="s">
        <v>926</v>
      </c>
      <c r="C14" s="323" t="s">
        <v>933</v>
      </c>
      <c r="D14" s="321" t="s">
        <v>306</v>
      </c>
      <c r="E14" s="321" t="s">
        <v>753</v>
      </c>
      <c r="F14" s="321" t="s">
        <v>928</v>
      </c>
      <c r="G14" s="328" cm="1">
        <f t="array" aca="1" ref="G14" ca="1">IFERROR(INDEX(Panel_Rates[[1]:[12]],MATCH(Panel_New&amp;Category_New,Panel_Rates[Panel]&amp;Panel_Rates[Category],0),MATCH('Time Plan (Partial Phani)'!E14,OFFSET(Variable!$AF$2,MATCH(Panel_New&amp;Category_New,Panel_Rates[Panel]&amp;Panel_Rates[Category],0)-1,0,1,12),0))/8,"")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4"/>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25">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4"/>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25">
      <c r="B16" s="360" t="s">
        <v>934</v>
      </c>
      <c r="C16" s="323" t="s">
        <v>935</v>
      </c>
      <c r="D16" s="321" t="s">
        <v>306</v>
      </c>
      <c r="E16" s="321" t="s">
        <v>753</v>
      </c>
      <c r="F16" s="324" t="s">
        <v>928</v>
      </c>
      <c r="G16" s="325" cm="1">
        <f t="array" aca="1" ref="G16" ca="1">IFERROR(INDEX(Panel_Rates[[1]:[12]],MATCH(Panel_New&amp;Category_New,Panel_Rates[Panel]&amp;Panel_Rates[Category],0),MATCH('Time Plan (Partial Phani)'!E16,OFFSET(Variable!$AF$2,MATCH(Panel_New&amp;Category_New,Panel_Rates[Panel]&amp;Panel_Rates[Category],0)-1,0,1,12),0))/8,"")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4"/>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25">
      <c r="B17" s="360" t="s">
        <v>934</v>
      </c>
      <c r="C17" s="323" t="s">
        <v>935</v>
      </c>
      <c r="D17" s="321" t="s">
        <v>746</v>
      </c>
      <c r="E17" s="321" t="s">
        <v>752</v>
      </c>
      <c r="F17" s="324" t="s">
        <v>155</v>
      </c>
      <c r="G17" s="325" cm="1">
        <f t="array" aca="1" ref="G17" ca="1">IFERROR(INDEX(Panel_Rates[[1]:[12]],MATCH(Panel_New&amp;Category_New,Panel_Rates[Panel]&amp;Panel_Rates[Category],0),MATCH('Time Plan (Partial Phani)'!E17,OFFSET(Variable!$AF$2,MATCH(Panel_New&amp;Category_New,Panel_Rates[Panel]&amp;Panel_Rates[Category],0)-1,0,1,12),0))/8,"")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4"/>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25">
      <c r="B18" s="360" t="s">
        <v>934</v>
      </c>
      <c r="C18" s="323" t="s">
        <v>935</v>
      </c>
      <c r="D18" s="321" t="s">
        <v>327</v>
      </c>
      <c r="E18" s="321" t="s">
        <v>752</v>
      </c>
      <c r="F18" s="324" t="s">
        <v>155</v>
      </c>
      <c r="G18" s="325" cm="1">
        <f t="array" aca="1" ref="G18" ca="1">IFERROR(INDEX(Panel_Rates[[1]:[12]],MATCH(Panel_New&amp;Category_New,Panel_Rates[Panel]&amp;Panel_Rates[Category],0),MATCH('Time Plan (Partial Phani)'!E18,OFFSET(Variable!$AF$2,MATCH(Panel_New&amp;Category_New,Panel_Rates[Panel]&amp;Panel_Rates[Category],0)-1,0,1,12),0))/8,"")</f>
        <v>245</v>
      </c>
      <c r="H18" s="326">
        <v>0.38</v>
      </c>
      <c r="I18" s="328">
        <f t="shared" ref="I18:I25" ca="1" si="41">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P25" ca="1" si="42">IFERROR(M18-O18,"")</f>
        <v>-21949.55</v>
      </c>
      <c r="Q18" s="333">
        <f t="shared" ref="Q18:Q25" si="43">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ca="1" si="24"/>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25">
      <c r="B19" s="360" t="s">
        <v>934</v>
      </c>
      <c r="C19" s="323" t="s">
        <v>936</v>
      </c>
      <c r="D19" s="321" t="s">
        <v>317</v>
      </c>
      <c r="E19" s="321" t="s">
        <v>754</v>
      </c>
      <c r="F19" s="324" t="s">
        <v>929</v>
      </c>
      <c r="G19" s="325" cm="1">
        <f t="array" aca="1" ref="G19" ca="1">IFERROR(INDEX(Panel_Rates[[1]:[12]],MATCH(Panel_New&amp;Category_New,Panel_Rates[Panel]&amp;Panel_Rates[Category],0),MATCH('Time Plan (Partial Phani)'!E19,OFFSET(Variable!$AF$2,MATCH(Panel_New&amp;Category_New,Panel_Rates[Panel]&amp;Panel_Rates[Category],0)-1,0,1,12),0))/8,"")</f>
        <v>395</v>
      </c>
      <c r="H19" s="326">
        <v>0.4</v>
      </c>
      <c r="I19" s="328">
        <f t="shared" ca="1" si="41"/>
        <v>237</v>
      </c>
      <c r="J19" s="329">
        <f ca="1">IFERROR(I19*8,"")</f>
        <v>1896</v>
      </c>
      <c r="K19" s="329">
        <f>IFERROR(_xlfn.XLOOKUP(D19,CostTableLookup[Name],CostTableLookup[Gross Cost]),"")</f>
        <v>198</v>
      </c>
      <c r="L19" s="330"/>
      <c r="M19" s="331">
        <f t="shared" ref="M19:M31" ca="1" si="44">IFERROR(L19*I19,"")</f>
        <v>0</v>
      </c>
      <c r="N19" s="332"/>
      <c r="O19" s="331">
        <f t="shared" ref="O19:O31" ca="1" si="45">IFERROR(N19*I19,"")</f>
        <v>0</v>
      </c>
      <c r="P19" s="331">
        <f t="shared" ca="1" si="42"/>
        <v>0</v>
      </c>
      <c r="Q19" s="333">
        <f t="shared" si="43"/>
        <v>0</v>
      </c>
      <c r="R19" s="343">
        <f t="shared" ref="R19:R30" ca="1" si="46">IFERROR(((U19+O19)-(V19+Q19))/(U19+O19),"")</f>
        <v>0.16455696202531644</v>
      </c>
      <c r="S19" s="335">
        <f t="shared" ref="S19:S27" ca="1" si="47">IFERROR(SUM(OFFSET(Y19,0,MATCH(Forecast_New,$Y$3:$WQ$3,0)-1,1,500))*40,"")</f>
        <v>40</v>
      </c>
      <c r="T19" s="336">
        <f t="shared" ref="T19:T34" ca="1" si="48">IFERROR(S19/8,"")</f>
        <v>5</v>
      </c>
      <c r="U19" s="337">
        <f t="shared" ref="U19:U31" ca="1" si="49">IFERROR($S19*I19,"")</f>
        <v>9480</v>
      </c>
      <c r="V19" s="338">
        <f t="shared" ref="V19:V31" ca="1" si="50">IFERROR($S19*K19,"")</f>
        <v>7920</v>
      </c>
      <c r="W19" s="339">
        <f t="shared" ca="1" si="24"/>
        <v>-9480</v>
      </c>
      <c r="X19" s="340" t="str">
        <f t="shared" ref="X19:X31" ca="1" si="51">IFERROR(W19/M19,"")</f>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25">
      <c r="B20" s="360" t="s">
        <v>934</v>
      </c>
      <c r="C20" s="323" t="s">
        <v>936</v>
      </c>
      <c r="D20" s="321" t="s">
        <v>126</v>
      </c>
      <c r="E20" s="321" t="s">
        <v>752</v>
      </c>
      <c r="F20" s="324" t="s">
        <v>852</v>
      </c>
      <c r="G20" s="325" cm="1">
        <f t="array" aca="1" ref="G20" ca="1">IFERROR(INDEX(Panel_Rates[[1]:[12]],MATCH(Panel_New&amp;Category_New,Panel_Rates[Panel]&amp;Panel_Rates[Category],0),MATCH('Time Plan (Partial Phani)'!E20,OFFSET(Variable!$AF$2,MATCH(Panel_New&amp;Category_New,Panel_Rates[Panel]&amp;Panel_Rates[Category],0)-1,0,1,12),0))/8,"")</f>
        <v>245</v>
      </c>
      <c r="H20" s="326">
        <v>0.38</v>
      </c>
      <c r="I20" s="328">
        <f t="shared" ca="1" si="41"/>
        <v>151.9</v>
      </c>
      <c r="J20" s="329">
        <f t="shared" ref="J20:J24" ca="1" si="52">IFERROR(I20*8,"")</f>
        <v>1215.2</v>
      </c>
      <c r="K20" s="329">
        <f>IFERROR(_xlfn.XLOOKUP(D20,CostTableLookup[Name],CostTableLookup[Gross Cost]),"")</f>
        <v>146</v>
      </c>
      <c r="L20" s="330"/>
      <c r="M20" s="331">
        <f t="shared" ca="1" si="44"/>
        <v>0</v>
      </c>
      <c r="N20" s="332"/>
      <c r="O20" s="331">
        <f t="shared" ca="1" si="45"/>
        <v>0</v>
      </c>
      <c r="P20" s="331">
        <f t="shared" ca="1" si="42"/>
        <v>0</v>
      </c>
      <c r="Q20" s="333">
        <f t="shared" si="43"/>
        <v>0</v>
      </c>
      <c r="R20" s="343" t="str">
        <f t="shared" ca="1" si="46"/>
        <v/>
      </c>
      <c r="S20" s="335">
        <f t="shared" ref="S20:S28" ca="1" si="53">IFERROR(SUM(OFFSET(Y20,0,MATCH(Forecast_New,$Y$3:$WQ$3,0)-1,1,500))*40,"")</f>
        <v>0</v>
      </c>
      <c r="T20" s="336">
        <f t="shared" ca="1" si="48"/>
        <v>0</v>
      </c>
      <c r="U20" s="337">
        <f t="shared" ca="1" si="49"/>
        <v>0</v>
      </c>
      <c r="V20" s="338">
        <f t="shared" ca="1" si="50"/>
        <v>0</v>
      </c>
      <c r="W20" s="339">
        <f t="shared" ca="1" si="24"/>
        <v>0</v>
      </c>
      <c r="X20" s="340" t="str">
        <f t="shared" ca="1" si="51"/>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25">
      <c r="B21" s="360" t="s">
        <v>934</v>
      </c>
      <c r="C21" s="323" t="s">
        <v>936</v>
      </c>
      <c r="D21" s="321" t="s">
        <v>756</v>
      </c>
      <c r="E21" s="321" t="s">
        <v>753</v>
      </c>
      <c r="F21" s="324" t="s">
        <v>930</v>
      </c>
      <c r="G21" s="325" cm="1">
        <f t="array" aca="1" ref="G21" ca="1">IFERROR(INDEX(Panel_Rates[[1]:[12]],MATCH(Panel_New&amp;Category_New,Panel_Rates[Panel]&amp;Panel_Rates[Category],0),MATCH('Time Plan (Partial Phani)'!E21,OFFSET(Variable!$AF$2,MATCH(Panel_New&amp;Category_New,Panel_Rates[Panel]&amp;Panel_Rates[Category],0)-1,0,1,12),0))/8,"")</f>
        <v>305</v>
      </c>
      <c r="H21" s="326">
        <v>0.32</v>
      </c>
      <c r="I21" s="328">
        <f t="shared" ca="1" si="41"/>
        <v>207.39999999999998</v>
      </c>
      <c r="J21" s="329">
        <f t="shared" ca="1" si="52"/>
        <v>1659.1999999999998</v>
      </c>
      <c r="K21" s="329">
        <f>IFERROR(_xlfn.XLOOKUP(D21,CostTableLookup[Name],CostTableLookup[Gross Cost]),"")</f>
        <v>170.96</v>
      </c>
      <c r="L21" s="330"/>
      <c r="M21" s="331">
        <f t="shared" ca="1" si="44"/>
        <v>0</v>
      </c>
      <c r="N21" s="332"/>
      <c r="O21" s="331">
        <f t="shared" ca="1" si="45"/>
        <v>0</v>
      </c>
      <c r="P21" s="331">
        <f t="shared" ca="1" si="42"/>
        <v>0</v>
      </c>
      <c r="Q21" s="333">
        <f t="shared" si="43"/>
        <v>0</v>
      </c>
      <c r="R21" s="343">
        <f t="shared" ca="1" si="46"/>
        <v>0.17569913211186097</v>
      </c>
      <c r="S21" s="335">
        <f t="shared" ref="S21:S24" ca="1" si="54">IFERROR(SUM(OFFSET(Y21,0,MATCH(Forecast_New,$Y$3:$WQ$3,0)-1,1,500))*40,"")</f>
        <v>140</v>
      </c>
      <c r="T21" s="336">
        <f t="shared" ca="1" si="48"/>
        <v>17.5</v>
      </c>
      <c r="U21" s="337">
        <f t="shared" ca="1" si="49"/>
        <v>29035.999999999996</v>
      </c>
      <c r="V21" s="338">
        <f t="shared" ca="1" si="50"/>
        <v>23934.400000000001</v>
      </c>
      <c r="W21" s="339">
        <f t="shared" ca="1" si="24"/>
        <v>-29035.999999999996</v>
      </c>
      <c r="X21" s="340" t="str">
        <f t="shared" ca="1" si="51"/>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25">
      <c r="B22" s="360" t="s">
        <v>934</v>
      </c>
      <c r="C22" s="323" t="s">
        <v>936</v>
      </c>
      <c r="D22" s="321" t="s">
        <v>447</v>
      </c>
      <c r="E22" s="321" t="s">
        <v>753</v>
      </c>
      <c r="F22" s="324" t="s">
        <v>931</v>
      </c>
      <c r="G22" s="325" cm="1">
        <f t="array" aca="1" ref="G22" ca="1">IFERROR(INDEX(Panel_Rates[[1]:[12]],MATCH(Panel_New&amp;Category_New,Panel_Rates[Panel]&amp;Panel_Rates[Category],0),MATCH('Time Plan (Partial Phani)'!E22,OFFSET(Variable!$AF$2,MATCH(Panel_New&amp;Category_New,Panel_Rates[Panel]&amp;Panel_Rates[Category],0)-1,0,1,12),0))/8,"")</f>
        <v>305</v>
      </c>
      <c r="H22" s="326">
        <v>0.38</v>
      </c>
      <c r="I22" s="328">
        <f t="shared" ca="1" si="41"/>
        <v>189.1</v>
      </c>
      <c r="J22" s="329">
        <f t="shared" ca="1" si="52"/>
        <v>1512.8</v>
      </c>
      <c r="K22" s="329">
        <f>IFERROR(_xlfn.XLOOKUP(D22,CostTableLookup[Name],CostTableLookup[Gross Cost]),"")</f>
        <v>151</v>
      </c>
      <c r="L22" s="330"/>
      <c r="M22" s="331">
        <f t="shared" ca="1" si="44"/>
        <v>0</v>
      </c>
      <c r="N22" s="332"/>
      <c r="O22" s="331">
        <f t="shared" ca="1" si="45"/>
        <v>0</v>
      </c>
      <c r="P22" s="331">
        <f t="shared" ca="1" si="42"/>
        <v>0</v>
      </c>
      <c r="Q22" s="333">
        <f t="shared" si="43"/>
        <v>0</v>
      </c>
      <c r="R22" s="343">
        <f t="shared" ca="1" si="46"/>
        <v>0.2014806980433633</v>
      </c>
      <c r="S22" s="335">
        <f t="shared" ref="S22:S25" ca="1" si="55">IFERROR(SUM(OFFSET(Y22,0,MATCH(Forecast_New,$Y$3:$WQ$3,0)-1,1,500))*40,"")</f>
        <v>160</v>
      </c>
      <c r="T22" s="336">
        <f t="shared" ca="1" si="48"/>
        <v>20</v>
      </c>
      <c r="U22" s="337">
        <f t="shared" ca="1" si="49"/>
        <v>30256</v>
      </c>
      <c r="V22" s="338">
        <f t="shared" ca="1" si="50"/>
        <v>24160</v>
      </c>
      <c r="W22" s="339">
        <f t="shared" ca="1" si="24"/>
        <v>-30256</v>
      </c>
      <c r="X22" s="340" t="str">
        <f t="shared" ca="1" si="51"/>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25">
      <c r="B23" s="360" t="s">
        <v>934</v>
      </c>
      <c r="C23" s="384" t="s">
        <v>936</v>
      </c>
      <c r="D23" s="385" t="s">
        <v>122</v>
      </c>
      <c r="E23" s="321" t="s">
        <v>752</v>
      </c>
      <c r="F23" s="324" t="s">
        <v>931</v>
      </c>
      <c r="G23" s="325" cm="1">
        <f t="array" aca="1" ref="G23" ca="1">IFERROR(INDEX(Panel_Rates[[1]:[12]],MATCH(Panel_New&amp;Category_New,Panel_Rates[Panel]&amp;Panel_Rates[Category],0),MATCH('Time Plan (Partial Phani)'!E23,OFFSET(Variable!$AF$2,MATCH(Panel_New&amp;Category_New,Panel_Rates[Panel]&amp;Panel_Rates[Category],0)-1,0,1,12),0))/8,"")</f>
        <v>245</v>
      </c>
      <c r="H23" s="326">
        <v>1</v>
      </c>
      <c r="I23" s="328">
        <f t="shared" ca="1" si="41"/>
        <v>0</v>
      </c>
      <c r="J23" s="329">
        <f t="shared" ca="1" si="52"/>
        <v>0</v>
      </c>
      <c r="K23" s="329">
        <f>IFERROR(_xlfn.XLOOKUP(D23,CostTableLookup[Name],CostTableLookup[Gross Cost]),"")</f>
        <v>198</v>
      </c>
      <c r="L23" s="330"/>
      <c r="M23" s="331">
        <f t="shared" ca="1" si="44"/>
        <v>0</v>
      </c>
      <c r="N23" s="332"/>
      <c r="O23" s="331">
        <f t="shared" ca="1" si="45"/>
        <v>0</v>
      </c>
      <c r="P23" s="331">
        <f t="shared" ca="1" si="42"/>
        <v>0</v>
      </c>
      <c r="Q23" s="333">
        <f t="shared" si="43"/>
        <v>0</v>
      </c>
      <c r="R23" s="343" t="str">
        <f t="shared" ca="1" si="46"/>
        <v/>
      </c>
      <c r="S23" s="335">
        <f t="shared" ref="S23" ca="1" si="56">IFERROR(SUM(OFFSET(Y23,0,MATCH(Forecast_New,$Y$3:$WQ$3,0)-1,1,500))*40,"")</f>
        <v>160</v>
      </c>
      <c r="T23" s="336">
        <f t="shared" ca="1" si="48"/>
        <v>20</v>
      </c>
      <c r="U23" s="337">
        <f t="shared" ca="1" si="49"/>
        <v>0</v>
      </c>
      <c r="V23" s="338">
        <f t="shared" ca="1" si="50"/>
        <v>31680</v>
      </c>
      <c r="W23" s="339">
        <f t="shared" ca="1" si="24"/>
        <v>0</v>
      </c>
      <c r="X23" s="340" t="str">
        <f t="shared" ca="1" si="51"/>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25">
      <c r="B24" s="360" t="s">
        <v>934</v>
      </c>
      <c r="C24" s="323" t="s">
        <v>936</v>
      </c>
      <c r="D24" s="321" t="s">
        <v>731</v>
      </c>
      <c r="E24" s="321" t="s">
        <v>752</v>
      </c>
      <c r="F24" s="324" t="s">
        <v>931</v>
      </c>
      <c r="G24" s="325" cm="1">
        <f t="array" aca="1" ref="G24" ca="1">IFERROR(INDEX(Panel_Rates[[1]:[12]],MATCH(Panel_New&amp;Category_New,Panel_Rates[Panel]&amp;Panel_Rates[Category],0),MATCH('Time Plan (Partial Phani)'!E24,OFFSET(Variable!$AF$2,MATCH(Panel_New&amp;Category_New,Panel_Rates[Panel]&amp;Panel_Rates[Category],0)-1,0,1,12),0))/8,"")</f>
        <v>245</v>
      </c>
      <c r="H24" s="326">
        <v>0.38</v>
      </c>
      <c r="I24" s="328">
        <f t="shared" ca="1" si="41"/>
        <v>151.9</v>
      </c>
      <c r="J24" s="329">
        <f t="shared" ca="1" si="52"/>
        <v>1215.2</v>
      </c>
      <c r="K24" s="329">
        <f>IFERROR(_xlfn.XLOOKUP(D24,CostTableLookup[Name],CostTableLookup[Gross Cost]),"")</f>
        <v>151</v>
      </c>
      <c r="L24" s="330"/>
      <c r="M24" s="331">
        <f t="shared" ca="1" si="44"/>
        <v>0</v>
      </c>
      <c r="N24" s="332"/>
      <c r="O24" s="331">
        <f t="shared" ca="1" si="45"/>
        <v>0</v>
      </c>
      <c r="P24" s="331">
        <f t="shared" ca="1" si="42"/>
        <v>0</v>
      </c>
      <c r="Q24" s="333">
        <f t="shared" si="43"/>
        <v>0</v>
      </c>
      <c r="R24" s="343">
        <f t="shared" ca="1" si="46"/>
        <v>5.9249506254114553E-3</v>
      </c>
      <c r="S24" s="335">
        <f t="shared" ref="S24:S27" ca="1" si="57">IFERROR(SUM(OFFSET(Y24,0,MATCH(Forecast_New,$Y$3:$WQ$3,0)-1,1,500))*40,"")</f>
        <v>160</v>
      </c>
      <c r="T24" s="336">
        <f t="shared" ca="1" si="48"/>
        <v>20</v>
      </c>
      <c r="U24" s="337">
        <f t="shared" ca="1" si="49"/>
        <v>24304</v>
      </c>
      <c r="V24" s="338">
        <f t="shared" ca="1" si="50"/>
        <v>24160</v>
      </c>
      <c r="W24" s="339">
        <f t="shared" ca="1" si="24"/>
        <v>-24304</v>
      </c>
      <c r="X24" s="340" t="str">
        <f t="shared" ca="1" si="51"/>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25">
      <c r="B25" s="360" t="s">
        <v>934</v>
      </c>
      <c r="C25" s="323" t="s">
        <v>936</v>
      </c>
      <c r="D25" s="321" t="s">
        <v>606</v>
      </c>
      <c r="E25" s="321" t="s">
        <v>752</v>
      </c>
      <c r="F25" s="321" t="s">
        <v>937</v>
      </c>
      <c r="G25" s="328" cm="1">
        <f t="array" aca="1" ref="G25" ca="1">IFERROR(INDEX(Panel_Rates[[1]:[12]],MATCH(Panel_New&amp;Category_New,Panel_Rates[Panel]&amp;Panel_Rates[Category],0),MATCH('Time Plan (Partial Phani)'!E25,OFFSET(Variable!$AF$2,MATCH(Panel_New&amp;Category_New,Panel_Rates[Panel]&amp;Panel_Rates[Category],0)-1,0,1,12),0))/8,"")</f>
        <v>245</v>
      </c>
      <c r="H25" s="326">
        <v>0.38</v>
      </c>
      <c r="I25" s="328">
        <f t="shared" ca="1" si="41"/>
        <v>151.9</v>
      </c>
      <c r="J25" s="329">
        <f ca="1">IFERROR(I25*8,"")</f>
        <v>1215.2</v>
      </c>
      <c r="K25" s="329">
        <f>IFERROR(_xlfn.XLOOKUP(D25,CostTableLookup[Name],CostTableLookup[Gross Cost]),"")</f>
        <v>161</v>
      </c>
      <c r="L25" s="330"/>
      <c r="M25" s="331">
        <f t="shared" ca="1" si="44"/>
        <v>0</v>
      </c>
      <c r="N25" s="406"/>
      <c r="O25" s="331">
        <f t="shared" ca="1" si="45"/>
        <v>0</v>
      </c>
      <c r="P25" s="331">
        <f t="shared" ca="1" si="42"/>
        <v>0</v>
      </c>
      <c r="Q25" s="333">
        <f t="shared" si="43"/>
        <v>0</v>
      </c>
      <c r="R25" s="343" t="str">
        <f t="shared" ca="1" si="46"/>
        <v/>
      </c>
      <c r="S25" s="335">
        <f ca="1">IFERROR(SUM(OFFSET(Y25,0,MATCH(Forecast_New,$Y$3:$WQ$3,0)-1,1,500))*40,"")</f>
        <v>0</v>
      </c>
      <c r="T25" s="336">
        <f t="shared" ca="1" si="48"/>
        <v>0</v>
      </c>
      <c r="U25" s="339">
        <f ca="1">IFERROR($S25*I25,"")</f>
        <v>0</v>
      </c>
      <c r="V25" s="338">
        <f ca="1">IFERROR($S25*K25,"")</f>
        <v>0</v>
      </c>
      <c r="W25" s="339">
        <f ca="1">IFERROR(M25-(O25+U25),"")</f>
        <v>0</v>
      </c>
      <c r="X25" s="343" t="str">
        <f t="shared" ca="1" si="51"/>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25">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ref="W26:W83" ca="1" si="58">IFERROR(M26-(O26+U26),"")</f>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25">
      <c r="B27" s="387" t="s">
        <v>980</v>
      </c>
      <c r="C27" s="323" t="s">
        <v>935</v>
      </c>
      <c r="D27" s="321" t="s">
        <v>306</v>
      </c>
      <c r="E27" s="321" t="s">
        <v>753</v>
      </c>
      <c r="F27" s="324" t="s">
        <v>928</v>
      </c>
      <c r="G27" s="325" cm="1">
        <f t="array" aca="1" ref="G27" ca="1">IFERROR(INDEX(Panel_Rates[[1]:[12]],MATCH(Panel_New&amp;Category_New,Panel_Rates[Panel]&amp;Panel_Rates[Category],0),MATCH('Time Plan (Partial Phani)'!E27,OFFSET(Variable!$AF$2,MATCH(Panel_New&amp;Category_New,Panel_Rates[Panel]&amp;Panel_Rates[Category],0)-1,0,1,12),0))/8,"")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58"/>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25">
      <c r="B28" s="360" t="s">
        <v>980</v>
      </c>
      <c r="C28" s="323" t="s">
        <v>935</v>
      </c>
      <c r="D28" s="321" t="s">
        <v>746</v>
      </c>
      <c r="E28" s="321" t="s">
        <v>752</v>
      </c>
      <c r="F28" s="324" t="s">
        <v>155</v>
      </c>
      <c r="G28" s="325" cm="1">
        <f t="array" aca="1" ref="G28" ca="1">IFERROR(INDEX(Panel_Rates[[1]:[12]],MATCH(Panel_New&amp;Category_New,Panel_Rates[Panel]&amp;Panel_Rates[Category],0),MATCH('Time Plan (Partial Phani)'!E28,OFFSET(Variable!$AF$2,MATCH(Panel_New&amp;Category_New,Panel_Rates[Panel]&amp;Panel_Rates[Category],0)-1,0,1,12),0))/8,"")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58"/>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25">
      <c r="B29" s="360" t="s">
        <v>980</v>
      </c>
      <c r="C29" s="323" t="s">
        <v>936</v>
      </c>
      <c r="D29" s="321" t="s">
        <v>317</v>
      </c>
      <c r="E29" s="321" t="s">
        <v>754</v>
      </c>
      <c r="F29" s="324" t="s">
        <v>929</v>
      </c>
      <c r="G29" s="325" cm="1">
        <f t="array" aca="1" ref="G29" ca="1">IFERROR(INDEX(Panel_Rates[[1]:[12]],MATCH(Panel_New&amp;Category_New,Panel_Rates[Panel]&amp;Panel_Rates[Category],0),MATCH('Time Plan (Partial Phani)'!E29,OFFSET(Variable!$AF$2,MATCH(Panel_New&amp;Category_New,Panel_Rates[Panel]&amp;Panel_Rates[Category],0)-1,0,1,12),0))/8,"")</f>
        <v>395</v>
      </c>
      <c r="H29" s="326">
        <v>0.4</v>
      </c>
      <c r="I29" s="328">
        <f t="shared" ref="I29:I34" ca="1" si="59">IFERROR(G29*(1-H29),"")</f>
        <v>237</v>
      </c>
      <c r="J29" s="329">
        <f ca="1">IFERROR(I29*8,"")</f>
        <v>1896</v>
      </c>
      <c r="K29" s="329">
        <f>IFERROR(_xlfn.XLOOKUP(D29,CostTableLookup[Name],CostTableLookup[Gross Cost]),"")</f>
        <v>198</v>
      </c>
      <c r="L29" s="330"/>
      <c r="M29" s="331">
        <f t="shared" ref="M29:M34" ca="1" si="60">IFERROR(L29*I29,"")</f>
        <v>0</v>
      </c>
      <c r="N29" s="332"/>
      <c r="O29" s="331">
        <f t="shared" ref="O29:O34" ca="1" si="61">IFERROR(N29*I29,"")</f>
        <v>0</v>
      </c>
      <c r="P29" s="331">
        <f t="shared" ref="P29:P34" ca="1" si="62">IFERROR(M29-O29,"")</f>
        <v>0</v>
      </c>
      <c r="Q29" s="333">
        <f t="shared" ref="Q29:Q34" si="63">IFERROR(N29*K29,"")</f>
        <v>0</v>
      </c>
      <c r="R29" s="343">
        <f t="shared" ref="R29:R34" ca="1" si="64">IFERROR(((U29+O29)-(V29+Q29))/(U29+O29),"")</f>
        <v>0.16455696202531644</v>
      </c>
      <c r="S29" s="335">
        <f t="shared" ref="S29:S30" ca="1" si="65">IFERROR(SUM(OFFSET(Y29,0,MATCH(Forecast_New,$Y$3:$WQ$3,0)-1,1,500))*40,"")</f>
        <v>80</v>
      </c>
      <c r="T29" s="336">
        <f t="shared" ref="T29:T34" ca="1" si="66">IFERROR(S29/8,"")</f>
        <v>10</v>
      </c>
      <c r="U29" s="337">
        <f t="shared" ref="U29:U34" ca="1" si="67">IFERROR($S29*I29,"")</f>
        <v>18960</v>
      </c>
      <c r="V29" s="338">
        <f t="shared" ref="V29:V34" ca="1" si="68">IFERROR($S29*K29,"")</f>
        <v>15840</v>
      </c>
      <c r="W29" s="339">
        <f t="shared" ca="1" si="58"/>
        <v>-18960</v>
      </c>
      <c r="X29" s="340" t="str">
        <f t="shared" ref="X29:X34" ca="1" si="69">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25">
      <c r="B30" s="360" t="s">
        <v>980</v>
      </c>
      <c r="C30" s="323" t="s">
        <v>936</v>
      </c>
      <c r="D30" s="321" t="s">
        <v>126</v>
      </c>
      <c r="E30" s="321" t="s">
        <v>752</v>
      </c>
      <c r="F30" s="324" t="s">
        <v>852</v>
      </c>
      <c r="G30" s="325" cm="1">
        <f t="array" aca="1" ref="G30" ca="1">IFERROR(INDEX(Panel_Rates[[1]:[12]],MATCH(Panel_New&amp;Category_New,Panel_Rates[Panel]&amp;Panel_Rates[Category],0),MATCH('Time Plan (Partial Phani)'!E30,OFFSET(Variable!$AF$2,MATCH(Panel_New&amp;Category_New,Panel_Rates[Panel]&amp;Panel_Rates[Category],0)-1,0,1,12),0))/8,"")</f>
        <v>245</v>
      </c>
      <c r="H30" s="326">
        <v>0.38</v>
      </c>
      <c r="I30" s="328">
        <f t="shared" ca="1" si="59"/>
        <v>151.9</v>
      </c>
      <c r="J30" s="329">
        <f t="shared" ref="J30:J34" ca="1" si="70">IFERROR(I30*8,"")</f>
        <v>1215.2</v>
      </c>
      <c r="K30" s="329">
        <f>IFERROR(_xlfn.XLOOKUP(D30,CostTableLookup[Name],CostTableLookup[Gross Cost]),"")</f>
        <v>146</v>
      </c>
      <c r="L30" s="330"/>
      <c r="M30" s="331">
        <f t="shared" ca="1" si="60"/>
        <v>0</v>
      </c>
      <c r="N30" s="332"/>
      <c r="O30" s="331">
        <f t="shared" ca="1" si="61"/>
        <v>0</v>
      </c>
      <c r="P30" s="331">
        <f t="shared" ca="1" si="62"/>
        <v>0</v>
      </c>
      <c r="Q30" s="333">
        <f t="shared" si="63"/>
        <v>0</v>
      </c>
      <c r="R30" s="343">
        <f t="shared" ca="1" si="64"/>
        <v>3.8841342988808425E-2</v>
      </c>
      <c r="S30" s="335">
        <f t="shared" ref="S30:S31" ca="1" si="71">IFERROR(SUM(OFFSET(Y30,0,MATCH(Forecast_New,$Y$3:$WQ$3,0)-1,1,500))*40,"")</f>
        <v>120</v>
      </c>
      <c r="T30" s="336">
        <f t="shared" ca="1" si="66"/>
        <v>15</v>
      </c>
      <c r="U30" s="337">
        <f t="shared" ca="1" si="67"/>
        <v>18228</v>
      </c>
      <c r="V30" s="338">
        <f t="shared" ca="1" si="68"/>
        <v>17520</v>
      </c>
      <c r="W30" s="339">
        <f t="shared" ca="1" si="58"/>
        <v>-18228</v>
      </c>
      <c r="X30" s="340" t="str">
        <f t="shared" ca="1" si="69"/>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25">
      <c r="B31" s="360" t="s">
        <v>980</v>
      </c>
      <c r="C31" s="323" t="s">
        <v>936</v>
      </c>
      <c r="D31" s="321" t="s">
        <v>756</v>
      </c>
      <c r="E31" s="321" t="s">
        <v>753</v>
      </c>
      <c r="F31" s="324" t="s">
        <v>930</v>
      </c>
      <c r="G31" s="325" cm="1">
        <f t="array" aca="1" ref="G31" ca="1">IFERROR(INDEX(Panel_Rates[[1]:[12]],MATCH(Panel_New&amp;Category_New,Panel_Rates[Panel]&amp;Panel_Rates[Category],0),MATCH('Time Plan (Partial Phani)'!E31,OFFSET(Variable!$AF$2,MATCH(Panel_New&amp;Category_New,Panel_Rates[Panel]&amp;Panel_Rates[Category],0)-1,0,1,12),0))/8,"")</f>
        <v>305</v>
      </c>
      <c r="H31" s="326">
        <v>0.32</v>
      </c>
      <c r="I31" s="328">
        <f t="shared" ca="1" si="59"/>
        <v>207.39999999999998</v>
      </c>
      <c r="J31" s="329">
        <f t="shared" ca="1" si="70"/>
        <v>1659.1999999999998</v>
      </c>
      <c r="K31" s="329">
        <f>IFERROR(_xlfn.XLOOKUP(D31,CostTableLookup[Name],CostTableLookup[Gross Cost]),"")</f>
        <v>170.96</v>
      </c>
      <c r="L31" s="330"/>
      <c r="M31" s="331">
        <f t="shared" ca="1" si="60"/>
        <v>0</v>
      </c>
      <c r="N31" s="332"/>
      <c r="O31" s="331">
        <f t="shared" ca="1" si="61"/>
        <v>0</v>
      </c>
      <c r="P31" s="331">
        <f t="shared" ca="1" si="62"/>
        <v>0</v>
      </c>
      <c r="Q31" s="333">
        <f t="shared" si="63"/>
        <v>0</v>
      </c>
      <c r="R31" s="343">
        <f t="shared" ca="1" si="64"/>
        <v>0.17569913211186108</v>
      </c>
      <c r="S31" s="335">
        <f t="shared" ref="S31:S32" ca="1" si="72">IFERROR(SUM(OFFSET(Y31,0,MATCH(Forecast_New,$Y$3:$WQ$3,0)-1,1,500))*40,"")</f>
        <v>160</v>
      </c>
      <c r="T31" s="336">
        <f t="shared" ca="1" si="66"/>
        <v>20</v>
      </c>
      <c r="U31" s="337">
        <f t="shared" ca="1" si="67"/>
        <v>33184</v>
      </c>
      <c r="V31" s="338">
        <f t="shared" ca="1" si="68"/>
        <v>27353.600000000002</v>
      </c>
      <c r="W31" s="339">
        <f t="shared" ca="1" si="58"/>
        <v>-33184</v>
      </c>
      <c r="X31" s="340" t="str">
        <f t="shared" ca="1" si="69"/>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25">
      <c r="B32" s="360" t="s">
        <v>980</v>
      </c>
      <c r="C32" s="323" t="s">
        <v>936</v>
      </c>
      <c r="D32" s="321" t="s">
        <v>447</v>
      </c>
      <c r="E32" s="321" t="s">
        <v>753</v>
      </c>
      <c r="F32" s="324" t="s">
        <v>931</v>
      </c>
      <c r="G32" s="325" cm="1">
        <f t="array" aca="1" ref="G32" ca="1">IFERROR(INDEX(Panel_Rates[[1]:[12]],MATCH(Panel_New&amp;Category_New,Panel_Rates[Panel]&amp;Panel_Rates[Category],0),MATCH('Time Plan (Partial Phani)'!E32,OFFSET(Variable!$AF$2,MATCH(Panel_New&amp;Category_New,Panel_Rates[Panel]&amp;Panel_Rates[Category],0)-1,0,1,12),0))/8,"")</f>
        <v>305</v>
      </c>
      <c r="H32" s="326">
        <v>0.38</v>
      </c>
      <c r="I32" s="328">
        <f t="shared" ca="1" si="59"/>
        <v>189.1</v>
      </c>
      <c r="J32" s="329">
        <f t="shared" ca="1" si="70"/>
        <v>1512.8</v>
      </c>
      <c r="K32" s="329">
        <f>IFERROR(_xlfn.XLOOKUP(D32,CostTableLookup[Name],CostTableLookup[Gross Cost]),"")</f>
        <v>151</v>
      </c>
      <c r="L32" s="330"/>
      <c r="M32" s="331">
        <f t="shared" ca="1" si="60"/>
        <v>0</v>
      </c>
      <c r="N32" s="332"/>
      <c r="O32" s="331">
        <f t="shared" ca="1" si="61"/>
        <v>0</v>
      </c>
      <c r="P32" s="331">
        <f t="shared" ca="1" si="62"/>
        <v>0</v>
      </c>
      <c r="Q32" s="333">
        <f t="shared" si="63"/>
        <v>0</v>
      </c>
      <c r="R32" s="343">
        <f t="shared" ca="1" si="64"/>
        <v>0.2014806980433633</v>
      </c>
      <c r="S32" s="335">
        <f t="shared" ref="S32:S33" ca="1" si="73">IFERROR(SUM(OFFSET(Y32,0,MATCH(Forecast_New,$Y$3:$WQ$3,0)-1,1,500))*40,"")</f>
        <v>160</v>
      </c>
      <c r="T32" s="336">
        <f t="shared" ca="1" si="66"/>
        <v>20</v>
      </c>
      <c r="U32" s="337">
        <f t="shared" ca="1" si="67"/>
        <v>30256</v>
      </c>
      <c r="V32" s="338">
        <f t="shared" ca="1" si="68"/>
        <v>24160</v>
      </c>
      <c r="W32" s="339">
        <f t="shared" ca="1" si="58"/>
        <v>-30256</v>
      </c>
      <c r="X32" s="340" t="str">
        <f t="shared" ca="1" si="69"/>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25">
      <c r="B33" s="360" t="s">
        <v>980</v>
      </c>
      <c r="C33" s="384" t="s">
        <v>936</v>
      </c>
      <c r="D33" s="385" t="s">
        <v>122</v>
      </c>
      <c r="E33" s="321" t="s">
        <v>752</v>
      </c>
      <c r="F33" s="324" t="s">
        <v>931</v>
      </c>
      <c r="G33" s="325" cm="1">
        <f t="array" aca="1" ref="G33" ca="1">IFERROR(INDEX(Panel_Rates[[1]:[12]],MATCH(Panel_New&amp;Category_New,Panel_Rates[Panel]&amp;Panel_Rates[Category],0),MATCH('Time Plan (Partial Phani)'!E33,OFFSET(Variable!$AF$2,MATCH(Panel_New&amp;Category_New,Panel_Rates[Panel]&amp;Panel_Rates[Category],0)-1,0,1,12),0))/8,"")</f>
        <v>245</v>
      </c>
      <c r="H33" s="326">
        <v>1</v>
      </c>
      <c r="I33" s="328">
        <f t="shared" ca="1" si="59"/>
        <v>0</v>
      </c>
      <c r="J33" s="329">
        <f t="shared" ca="1" si="70"/>
        <v>0</v>
      </c>
      <c r="K33" s="329">
        <f>IFERROR(_xlfn.XLOOKUP(D33,CostTableLookup[Name],CostTableLookup[Gross Cost]),"")</f>
        <v>198</v>
      </c>
      <c r="L33" s="330"/>
      <c r="M33" s="331">
        <f t="shared" ca="1" si="60"/>
        <v>0</v>
      </c>
      <c r="N33" s="332"/>
      <c r="O33" s="331">
        <f t="shared" ca="1" si="61"/>
        <v>0</v>
      </c>
      <c r="P33" s="331">
        <f t="shared" ca="1" si="62"/>
        <v>0</v>
      </c>
      <c r="Q33" s="333">
        <f t="shared" si="63"/>
        <v>0</v>
      </c>
      <c r="R33" s="343" t="str">
        <f t="shared" ca="1" si="64"/>
        <v/>
      </c>
      <c r="S33" s="335">
        <f t="shared" ref="S33" ca="1" si="74">IFERROR(SUM(OFFSET(Y33,0,MATCH(Forecast_New,$Y$3:$WQ$3,0)-1,1,500))*40,"")</f>
        <v>160</v>
      </c>
      <c r="T33" s="336">
        <f t="shared" ca="1" si="66"/>
        <v>20</v>
      </c>
      <c r="U33" s="337">
        <f t="shared" ca="1" si="67"/>
        <v>0</v>
      </c>
      <c r="V33" s="338">
        <f t="shared" ca="1" si="68"/>
        <v>31680</v>
      </c>
      <c r="W33" s="339">
        <f t="shared" ca="1" si="58"/>
        <v>0</v>
      </c>
      <c r="X33" s="340" t="str">
        <f t="shared" ca="1" si="69"/>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25">
      <c r="B34" s="360" t="s">
        <v>980</v>
      </c>
      <c r="C34" s="323" t="s">
        <v>936</v>
      </c>
      <c r="D34" s="321" t="s">
        <v>731</v>
      </c>
      <c r="E34" s="321" t="s">
        <v>752</v>
      </c>
      <c r="F34" s="324" t="s">
        <v>931</v>
      </c>
      <c r="G34" s="325" cm="1">
        <f t="array" aca="1" ref="G34" ca="1">IFERROR(INDEX(Panel_Rates[[1]:[12]],MATCH(Panel_New&amp;Category_New,Panel_Rates[Panel]&amp;Panel_Rates[Category],0),MATCH('Time Plan (Partial Phani)'!E34,OFFSET(Variable!$AF$2,MATCH(Panel_New&amp;Category_New,Panel_Rates[Panel]&amp;Panel_Rates[Category],0)-1,0,1,12),0))/8,"")</f>
        <v>245</v>
      </c>
      <c r="H34" s="326">
        <v>0.38</v>
      </c>
      <c r="I34" s="328">
        <f t="shared" ca="1" si="59"/>
        <v>151.9</v>
      </c>
      <c r="J34" s="329">
        <f t="shared" ca="1" si="70"/>
        <v>1215.2</v>
      </c>
      <c r="K34" s="329">
        <f>IFERROR(_xlfn.XLOOKUP(D34,CostTableLookup[Name],CostTableLookup[Gross Cost]),"")</f>
        <v>151</v>
      </c>
      <c r="L34" s="330"/>
      <c r="M34" s="331">
        <f t="shared" ca="1" si="60"/>
        <v>0</v>
      </c>
      <c r="N34" s="332"/>
      <c r="O34" s="331">
        <f t="shared" ca="1" si="61"/>
        <v>0</v>
      </c>
      <c r="P34" s="331">
        <f t="shared" ca="1" si="62"/>
        <v>0</v>
      </c>
      <c r="Q34" s="333">
        <f t="shared" si="63"/>
        <v>0</v>
      </c>
      <c r="R34" s="343">
        <f t="shared" ca="1" si="64"/>
        <v>5.9249506254114553E-3</v>
      </c>
      <c r="S34" s="335">
        <f t="shared" ref="S34" ca="1" si="75">IFERROR(SUM(OFFSET(Y34,0,MATCH(Forecast_New,$Y$3:$WQ$3,0)-1,1,500))*40,"")</f>
        <v>160</v>
      </c>
      <c r="T34" s="336">
        <f t="shared" ca="1" si="66"/>
        <v>20</v>
      </c>
      <c r="U34" s="337">
        <f t="shared" ca="1" si="67"/>
        <v>24304</v>
      </c>
      <c r="V34" s="338">
        <f t="shared" ca="1" si="68"/>
        <v>24160</v>
      </c>
      <c r="W34" s="339">
        <f t="shared" ca="1" si="58"/>
        <v>-24304</v>
      </c>
      <c r="X34" s="340" t="str">
        <f t="shared" ca="1" si="69"/>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25">
      <c r="B35" s="360" t="s">
        <v>980</v>
      </c>
      <c r="C35" s="323" t="s">
        <v>936</v>
      </c>
      <c r="D35" s="321" t="s">
        <v>606</v>
      </c>
      <c r="E35" s="321" t="s">
        <v>752</v>
      </c>
      <c r="F35" s="321" t="s">
        <v>937</v>
      </c>
      <c r="G35" s="328" cm="1">
        <f t="array" aca="1" ref="G35" ca="1">IFERROR(INDEX(Panel_Rates[[1]:[12]],MATCH(Panel_New&amp;Category_New,Panel_Rates[Panel]&amp;Panel_Rates[Category],0),MATCH('Time Plan (Partial Phani)'!E35,OFFSET(Variable!$AF$2,MATCH(Panel_New&amp;Category_New,Panel_Rates[Panel]&amp;Panel_Rates[Category],0)-1,0,1,12),0))/8,"")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25">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ref="W36:W93" ca="1" si="76">IFERROR(M36-(O36+U36),"")</f>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25">
      <c r="B37" s="387" t="s">
        <v>939</v>
      </c>
      <c r="C37" s="323" t="s">
        <v>935</v>
      </c>
      <c r="D37" s="321" t="s">
        <v>306</v>
      </c>
      <c r="E37" s="321" t="s">
        <v>753</v>
      </c>
      <c r="F37" s="324" t="s">
        <v>928</v>
      </c>
      <c r="G37" s="325" cm="1">
        <f t="array" aca="1" ref="G37" ca="1">IFERROR(INDEX(Panel_Rates[[1]:[12]],MATCH(Panel_New&amp;Category_New,Panel_Rates[Panel]&amp;Panel_Rates[Category],0),MATCH('Time Plan (Partial Phani)'!E37,OFFSET(Variable!$AF$2,MATCH(Panel_New&amp;Category_New,Panel_Rates[Panel]&amp;Panel_Rates[Category],0)-1,0,1,12),0))/8,"")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76"/>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25">
      <c r="B38" s="360" t="s">
        <v>939</v>
      </c>
      <c r="C38" s="323" t="s">
        <v>935</v>
      </c>
      <c r="D38" s="321" t="s">
        <v>746</v>
      </c>
      <c r="E38" s="321" t="s">
        <v>752</v>
      </c>
      <c r="F38" s="324" t="s">
        <v>155</v>
      </c>
      <c r="G38" s="325" cm="1">
        <f t="array" aca="1" ref="G38" ca="1">IFERROR(INDEX(Panel_Rates[[1]:[12]],MATCH(Panel_New&amp;Category_New,Panel_Rates[Panel]&amp;Panel_Rates[Category],0),MATCH('Time Plan (Partial Phani)'!E38,OFFSET(Variable!$AF$2,MATCH(Panel_New&amp;Category_New,Panel_Rates[Panel]&amp;Panel_Rates[Category],0)-1,0,1,12),0))/8,"")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76"/>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25">
      <c r="B39" s="360" t="s">
        <v>939</v>
      </c>
      <c r="C39" s="323" t="s">
        <v>936</v>
      </c>
      <c r="D39" s="321" t="s">
        <v>317</v>
      </c>
      <c r="E39" s="321" t="s">
        <v>754</v>
      </c>
      <c r="F39" s="324" t="s">
        <v>929</v>
      </c>
      <c r="G39" s="325" cm="1">
        <f t="array" aca="1" ref="G39" ca="1">IFERROR(INDEX(Panel_Rates[[1]:[12]],MATCH(Panel_New&amp;Category_New,Panel_Rates[Panel]&amp;Panel_Rates[Category],0),MATCH('Time Plan (Partial Phani)'!E39,OFFSET(Variable!$AF$2,MATCH(Panel_New&amp;Category_New,Panel_Rates[Panel]&amp;Panel_Rates[Category],0)-1,0,1,12),0))/8,"")</f>
        <v>395</v>
      </c>
      <c r="H39" s="326">
        <v>0.4</v>
      </c>
      <c r="I39" s="328">
        <f t="shared" ref="I39:I46" ca="1" si="77">IFERROR(G39*(1-H39),"")</f>
        <v>237</v>
      </c>
      <c r="J39" s="329">
        <f ca="1">IFERROR(I39*8,"")</f>
        <v>1896</v>
      </c>
      <c r="K39" s="329">
        <f>IFERROR(_xlfn.XLOOKUP(D39,CostTableLookup[Name],CostTableLookup[Gross Cost]),"")</f>
        <v>198</v>
      </c>
      <c r="L39" s="330"/>
      <c r="M39" s="331">
        <f t="shared" ref="M39:M46" ca="1" si="78">IFERROR(L39*I39,"")</f>
        <v>0</v>
      </c>
      <c r="N39" s="332"/>
      <c r="O39" s="331">
        <f t="shared" ref="O39:O46" ca="1" si="79">IFERROR(N39*I39,"")</f>
        <v>0</v>
      </c>
      <c r="P39" s="331">
        <f t="shared" ref="P39:P46" ca="1" si="80">IFERROR(M39-O39,"")</f>
        <v>0</v>
      </c>
      <c r="Q39" s="333">
        <f t="shared" ref="Q39:Q46" si="81">IFERROR(N39*K39,"")</f>
        <v>0</v>
      </c>
      <c r="R39" s="343">
        <f t="shared" ref="R39:R46" ca="1" si="82">IFERROR(((U39+O39)-(V39+Q39))/(U39+O39),"")</f>
        <v>0.16455696202531644</v>
      </c>
      <c r="S39" s="335">
        <f t="shared" ref="S39:S40" ca="1" si="83">IFERROR(SUM(OFFSET(Y39,0,MATCH(Forecast_New,$Y$3:$WQ$3,0)-1,1,500))*40,"")</f>
        <v>80</v>
      </c>
      <c r="T39" s="336">
        <f t="shared" ref="T39:T46" ca="1" si="84">IFERROR(S39/8,"")</f>
        <v>10</v>
      </c>
      <c r="U39" s="337">
        <f t="shared" ref="U39:U46" ca="1" si="85">IFERROR($S39*I39,"")</f>
        <v>18960</v>
      </c>
      <c r="V39" s="338">
        <f t="shared" ref="V39:V46" ca="1" si="86">IFERROR($S39*K39,"")</f>
        <v>15840</v>
      </c>
      <c r="W39" s="339">
        <f t="shared" ca="1" si="76"/>
        <v>-18960</v>
      </c>
      <c r="X39" s="340" t="str">
        <f t="shared" ref="X39:X46" ca="1" si="87">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25">
      <c r="B40" s="360" t="s">
        <v>939</v>
      </c>
      <c r="C40" s="323" t="s">
        <v>936</v>
      </c>
      <c r="D40" s="321" t="s">
        <v>126</v>
      </c>
      <c r="E40" s="321" t="s">
        <v>752</v>
      </c>
      <c r="F40" s="324" t="s">
        <v>852</v>
      </c>
      <c r="G40" s="325" cm="1">
        <f t="array" aca="1" ref="G40" ca="1">IFERROR(INDEX(Panel_Rates[[1]:[12]],MATCH(Panel_New&amp;Category_New,Panel_Rates[Panel]&amp;Panel_Rates[Category],0),MATCH('Time Plan (Partial Phani)'!E40,OFFSET(Variable!$AF$2,MATCH(Panel_New&amp;Category_New,Panel_Rates[Panel]&amp;Panel_Rates[Category],0)-1,0,1,12),0))/8,"")</f>
        <v>245</v>
      </c>
      <c r="H40" s="326">
        <v>0.38</v>
      </c>
      <c r="I40" s="328">
        <f t="shared" ca="1" si="77"/>
        <v>151.9</v>
      </c>
      <c r="J40" s="329">
        <f t="shared" ref="J40:J46" ca="1" si="88">IFERROR(I40*8,"")</f>
        <v>1215.2</v>
      </c>
      <c r="K40" s="329">
        <f>IFERROR(_xlfn.XLOOKUP(D40,CostTableLookup[Name],CostTableLookup[Gross Cost]),"")</f>
        <v>146</v>
      </c>
      <c r="L40" s="330"/>
      <c r="M40" s="331">
        <f t="shared" ca="1" si="78"/>
        <v>0</v>
      </c>
      <c r="N40" s="332"/>
      <c r="O40" s="331">
        <f t="shared" ca="1" si="79"/>
        <v>0</v>
      </c>
      <c r="P40" s="331">
        <f t="shared" ca="1" si="80"/>
        <v>0</v>
      </c>
      <c r="Q40" s="333">
        <f t="shared" si="81"/>
        <v>0</v>
      </c>
      <c r="R40" s="343">
        <f t="shared" ca="1" si="82"/>
        <v>3.8841342988808425E-2</v>
      </c>
      <c r="S40" s="335">
        <f t="shared" ref="S40:S41" ca="1" si="89">IFERROR(SUM(OFFSET(Y40,0,MATCH(Forecast_New,$Y$3:$WQ$3,0)-1,1,500))*40,"")</f>
        <v>160</v>
      </c>
      <c r="T40" s="336">
        <f t="shared" ca="1" si="84"/>
        <v>20</v>
      </c>
      <c r="U40" s="337">
        <f t="shared" ca="1" si="85"/>
        <v>24304</v>
      </c>
      <c r="V40" s="338">
        <f t="shared" ca="1" si="86"/>
        <v>23360</v>
      </c>
      <c r="W40" s="339">
        <f t="shared" ca="1" si="76"/>
        <v>-24304</v>
      </c>
      <c r="X40" s="340" t="str">
        <f t="shared" ca="1" si="87"/>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25">
      <c r="B41" s="360" t="s">
        <v>939</v>
      </c>
      <c r="C41" s="323" t="s">
        <v>936</v>
      </c>
      <c r="D41" s="321" t="s">
        <v>756</v>
      </c>
      <c r="E41" s="321" t="s">
        <v>753</v>
      </c>
      <c r="F41" s="324" t="s">
        <v>930</v>
      </c>
      <c r="G41" s="325" cm="1">
        <f t="array" aca="1" ref="G41" ca="1">IFERROR(INDEX(Panel_Rates[[1]:[12]],MATCH(Panel_New&amp;Category_New,Panel_Rates[Panel]&amp;Panel_Rates[Category],0),MATCH('Time Plan (Partial Phani)'!E41,OFFSET(Variable!$AF$2,MATCH(Panel_New&amp;Category_New,Panel_Rates[Panel]&amp;Panel_Rates[Category],0)-1,0,1,12),0))/8,"")</f>
        <v>305</v>
      </c>
      <c r="H41" s="326">
        <v>0.32</v>
      </c>
      <c r="I41" s="328">
        <f t="shared" ca="1" si="77"/>
        <v>207.39999999999998</v>
      </c>
      <c r="J41" s="329">
        <f t="shared" ca="1" si="88"/>
        <v>1659.1999999999998</v>
      </c>
      <c r="K41" s="329">
        <f>IFERROR(_xlfn.XLOOKUP(D41,CostTableLookup[Name],CostTableLookup[Gross Cost]),"")</f>
        <v>170.96</v>
      </c>
      <c r="L41" s="330"/>
      <c r="M41" s="331">
        <f t="shared" ca="1" si="78"/>
        <v>0</v>
      </c>
      <c r="N41" s="332"/>
      <c r="O41" s="331">
        <f t="shared" ca="1" si="79"/>
        <v>0</v>
      </c>
      <c r="P41" s="331">
        <f t="shared" ca="1" si="80"/>
        <v>0</v>
      </c>
      <c r="Q41" s="333">
        <f t="shared" si="81"/>
        <v>0</v>
      </c>
      <c r="R41" s="343">
        <f t="shared" ca="1" si="82"/>
        <v>0.17569913211186108</v>
      </c>
      <c r="S41" s="335">
        <f t="shared" ref="S41:S42" ca="1" si="90">IFERROR(SUM(OFFSET(Y41,0,MATCH(Forecast_New,$Y$3:$WQ$3,0)-1,1,500))*40,"")</f>
        <v>160</v>
      </c>
      <c r="T41" s="336">
        <f t="shared" ca="1" si="84"/>
        <v>20</v>
      </c>
      <c r="U41" s="337">
        <f t="shared" ca="1" si="85"/>
        <v>33184</v>
      </c>
      <c r="V41" s="338">
        <f t="shared" ca="1" si="86"/>
        <v>27353.600000000002</v>
      </c>
      <c r="W41" s="339">
        <f t="shared" ca="1" si="76"/>
        <v>-33184</v>
      </c>
      <c r="X41" s="340" t="str">
        <f t="shared" ca="1" si="87"/>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25">
      <c r="B42" s="360" t="s">
        <v>939</v>
      </c>
      <c r="C42" s="323" t="s">
        <v>936</v>
      </c>
      <c r="D42" s="321" t="s">
        <v>447</v>
      </c>
      <c r="E42" s="321" t="s">
        <v>753</v>
      </c>
      <c r="F42" s="324" t="s">
        <v>931</v>
      </c>
      <c r="G42" s="325" cm="1">
        <f t="array" aca="1" ref="G42" ca="1">IFERROR(INDEX(Panel_Rates[[1]:[12]],MATCH(Panel_New&amp;Category_New,Panel_Rates[Panel]&amp;Panel_Rates[Category],0),MATCH('Time Plan (Partial Phani)'!E42,OFFSET(Variable!$AF$2,MATCH(Panel_New&amp;Category_New,Panel_Rates[Panel]&amp;Panel_Rates[Category],0)-1,0,1,12),0))/8,"")</f>
        <v>305</v>
      </c>
      <c r="H42" s="326">
        <v>0.38</v>
      </c>
      <c r="I42" s="328">
        <f t="shared" ca="1" si="77"/>
        <v>189.1</v>
      </c>
      <c r="J42" s="329">
        <f t="shared" ca="1" si="88"/>
        <v>1512.8</v>
      </c>
      <c r="K42" s="329">
        <f>IFERROR(_xlfn.XLOOKUP(D42,CostTableLookup[Name],CostTableLookup[Gross Cost]),"")</f>
        <v>151</v>
      </c>
      <c r="L42" s="330"/>
      <c r="M42" s="331">
        <f t="shared" ca="1" si="78"/>
        <v>0</v>
      </c>
      <c r="N42" s="332"/>
      <c r="O42" s="331">
        <f t="shared" ca="1" si="79"/>
        <v>0</v>
      </c>
      <c r="P42" s="331">
        <f t="shared" ca="1" si="80"/>
        <v>0</v>
      </c>
      <c r="Q42" s="333">
        <f t="shared" si="81"/>
        <v>0</v>
      </c>
      <c r="R42" s="343">
        <f t="shared" ca="1" si="82"/>
        <v>0.2014806980433633</v>
      </c>
      <c r="S42" s="335">
        <f t="shared" ref="S42:S43" ca="1" si="91">IFERROR(SUM(OFFSET(Y42,0,MATCH(Forecast_New,$Y$3:$WQ$3,0)-1,1,500))*40,"")</f>
        <v>160</v>
      </c>
      <c r="T42" s="336">
        <f t="shared" ca="1" si="84"/>
        <v>20</v>
      </c>
      <c r="U42" s="337">
        <f t="shared" ca="1" si="85"/>
        <v>30256</v>
      </c>
      <c r="V42" s="338">
        <f t="shared" ca="1" si="86"/>
        <v>24160</v>
      </c>
      <c r="W42" s="339">
        <f t="shared" ca="1" si="76"/>
        <v>-30256</v>
      </c>
      <c r="X42" s="340" t="str">
        <f t="shared" ca="1" si="87"/>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25">
      <c r="B43" s="360" t="s">
        <v>939</v>
      </c>
      <c r="C43" s="384" t="s">
        <v>936</v>
      </c>
      <c r="D43" s="385" t="s">
        <v>122</v>
      </c>
      <c r="E43" s="321" t="s">
        <v>752</v>
      </c>
      <c r="F43" s="324" t="s">
        <v>931</v>
      </c>
      <c r="G43" s="325" cm="1">
        <f t="array" aca="1" ref="G43" ca="1">IFERROR(INDEX(Panel_Rates[[1]:[12]],MATCH(Panel_New&amp;Category_New,Panel_Rates[Panel]&amp;Panel_Rates[Category],0),MATCH('Time Plan (Partial Phani)'!E43,OFFSET(Variable!$AF$2,MATCH(Panel_New&amp;Category_New,Panel_Rates[Panel]&amp;Panel_Rates[Category],0)-1,0,1,12),0))/8,"")</f>
        <v>245</v>
      </c>
      <c r="H43" s="326">
        <v>1</v>
      </c>
      <c r="I43" s="328">
        <f t="shared" ca="1" si="77"/>
        <v>0</v>
      </c>
      <c r="J43" s="329">
        <f t="shared" ca="1" si="88"/>
        <v>0</v>
      </c>
      <c r="K43" s="329">
        <f>IFERROR(_xlfn.XLOOKUP(D43,CostTableLookup[Name],CostTableLookup[Gross Cost]),"")</f>
        <v>198</v>
      </c>
      <c r="L43" s="330"/>
      <c r="M43" s="331">
        <f t="shared" ca="1" si="78"/>
        <v>0</v>
      </c>
      <c r="N43" s="332"/>
      <c r="O43" s="331">
        <f t="shared" ca="1" si="79"/>
        <v>0</v>
      </c>
      <c r="P43" s="331">
        <f t="shared" ca="1" si="80"/>
        <v>0</v>
      </c>
      <c r="Q43" s="333">
        <f t="shared" si="81"/>
        <v>0</v>
      </c>
      <c r="R43" s="343" t="str">
        <f t="shared" ca="1" si="82"/>
        <v/>
      </c>
      <c r="S43" s="335">
        <f t="shared" ref="S43" ca="1" si="92">IFERROR(SUM(OFFSET(Y43,0,MATCH(Forecast_New,$Y$3:$WQ$3,0)-1,1,500))*40,"")</f>
        <v>0</v>
      </c>
      <c r="T43" s="336">
        <f t="shared" ca="1" si="84"/>
        <v>0</v>
      </c>
      <c r="U43" s="337">
        <f t="shared" ca="1" si="85"/>
        <v>0</v>
      </c>
      <c r="V43" s="338">
        <f t="shared" ca="1" si="86"/>
        <v>0</v>
      </c>
      <c r="W43" s="339">
        <f t="shared" ca="1" si="76"/>
        <v>0</v>
      </c>
      <c r="X43" s="340" t="str">
        <f t="shared" ca="1" si="87"/>
        <v/>
      </c>
      <c r="Y43" s="341"/>
      <c r="Z43" s="341"/>
      <c r="AA43" s="341"/>
      <c r="AB43" s="341"/>
      <c r="AC43" s="341"/>
      <c r="AD43" s="341"/>
      <c r="AE43" s="341"/>
      <c r="AF43" s="341"/>
      <c r="AG43" s="341"/>
      <c r="AH43" s="341"/>
      <c r="AI43" s="341"/>
      <c r="AJ43" s="341"/>
      <c r="AK43" s="341"/>
      <c r="AL43" s="341"/>
      <c r="AM43" s="341"/>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25">
      <c r="B44" s="360" t="s">
        <v>939</v>
      </c>
      <c r="C44" s="323" t="s">
        <v>936</v>
      </c>
      <c r="D44" s="321" t="s">
        <v>731</v>
      </c>
      <c r="E44" s="321" t="s">
        <v>752</v>
      </c>
      <c r="F44" s="324" t="s">
        <v>931</v>
      </c>
      <c r="G44" s="325" cm="1">
        <f t="array" aca="1" ref="G44" ca="1">IFERROR(INDEX(Panel_Rates[[1]:[12]],MATCH(Panel_New&amp;Category_New,Panel_Rates[Panel]&amp;Panel_Rates[Category],0),MATCH('Time Plan (Partial Phani)'!E44,OFFSET(Variable!$AF$2,MATCH(Panel_New&amp;Category_New,Panel_Rates[Panel]&amp;Panel_Rates[Category],0)-1,0,1,12),0))/8,"")</f>
        <v>245</v>
      </c>
      <c r="H44" s="326">
        <v>0.38</v>
      </c>
      <c r="I44" s="328">
        <f t="shared" ca="1" si="77"/>
        <v>151.9</v>
      </c>
      <c r="J44" s="329">
        <f t="shared" ca="1" si="88"/>
        <v>1215.2</v>
      </c>
      <c r="K44" s="329">
        <f>IFERROR(_xlfn.XLOOKUP(D44,CostTableLookup[Name],CostTableLookup[Gross Cost]),"")</f>
        <v>151</v>
      </c>
      <c r="L44" s="330"/>
      <c r="M44" s="331">
        <f t="shared" ca="1" si="78"/>
        <v>0</v>
      </c>
      <c r="N44" s="332"/>
      <c r="O44" s="331">
        <f t="shared" ca="1" si="79"/>
        <v>0</v>
      </c>
      <c r="P44" s="331">
        <f t="shared" ca="1" si="80"/>
        <v>0</v>
      </c>
      <c r="Q44" s="333">
        <f t="shared" si="81"/>
        <v>0</v>
      </c>
      <c r="R44" s="343">
        <f t="shared" ca="1" si="82"/>
        <v>5.9249506254114553E-3</v>
      </c>
      <c r="S44" s="335">
        <f t="shared" ref="S44" ca="1" si="93">IFERROR(SUM(OFFSET(Y44,0,MATCH(Forecast_New,$Y$3:$WQ$3,0)-1,1,500))*40,"")</f>
        <v>160</v>
      </c>
      <c r="T44" s="336">
        <f t="shared" ca="1" si="84"/>
        <v>20</v>
      </c>
      <c r="U44" s="337">
        <f t="shared" ca="1" si="85"/>
        <v>24304</v>
      </c>
      <c r="V44" s="338">
        <f t="shared" ca="1" si="86"/>
        <v>24160</v>
      </c>
      <c r="W44" s="339">
        <f t="shared" ca="1" si="76"/>
        <v>-24304</v>
      </c>
      <c r="X44" s="340" t="str">
        <f t="shared" ca="1" si="87"/>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20.25" customHeight="1" x14ac:dyDescent="0.25">
      <c r="B45" s="361" t="s">
        <v>980</v>
      </c>
      <c r="C45" s="362" t="s">
        <v>936</v>
      </c>
      <c r="D45" s="392" t="s">
        <v>465</v>
      </c>
      <c r="E45" s="393"/>
      <c r="F45" s="393"/>
      <c r="G45" s="391"/>
      <c r="H45" s="394">
        <v>0.05</v>
      </c>
      <c r="I45" s="391">
        <f ca="1">H45*SUM(U36:U44)</f>
        <v>9907.0820000000022</v>
      </c>
      <c r="J45" s="366"/>
      <c r="K45" s="366">
        <f>IFERROR(_xlfn.XLOOKUP(D45,CostTableLookup[Name],CostTableLookup[Gross Cost]),"")</f>
        <v>0</v>
      </c>
      <c r="L45" s="367"/>
      <c r="M45" s="368">
        <f ca="1">IFERROR(L45*I45,"")</f>
        <v>0</v>
      </c>
      <c r="N45" s="369"/>
      <c r="O45" s="368">
        <f ca="1">IFERROR(N45*I45,"")</f>
        <v>0</v>
      </c>
      <c r="P45" s="368">
        <f ca="1">IFERROR(M45-O45,"")</f>
        <v>0</v>
      </c>
      <c r="Q45" s="370">
        <f>IFERROR(N45*K45,"")</f>
        <v>0</v>
      </c>
      <c r="R45" s="396" t="str">
        <f ca="1">IFERROR(((U45+O45)-(V45+Q45))/(U45+O45),"")</f>
        <v/>
      </c>
      <c r="S45" s="395">
        <f ca="1">IFERROR(SUM(OFFSET(Y45,0,MATCH(Forecast_New,$Y$3:$WQ$3,0)-1,1,500))*40,"")</f>
        <v>1</v>
      </c>
      <c r="T45" s="372">
        <f ca="1">IFERROR(S45/8,"")</f>
        <v>0.125</v>
      </c>
      <c r="U45" s="374">
        <v>0</v>
      </c>
      <c r="V45" s="358">
        <f ca="1">IFERROR($S45*K45,"")</f>
        <v>0</v>
      </c>
      <c r="W45" s="374">
        <f t="shared" ca="1" si="76"/>
        <v>0</v>
      </c>
      <c r="X45" s="396"/>
      <c r="Y45" s="376"/>
      <c r="Z45" s="376"/>
      <c r="AA45" s="376"/>
      <c r="AB45" s="376"/>
      <c r="AC45" s="376"/>
      <c r="AD45" s="376"/>
      <c r="AE45" s="376"/>
      <c r="AF45" s="376"/>
      <c r="AG45" s="376"/>
      <c r="AH45" s="376"/>
      <c r="AI45" s="376">
        <v>2.5000000000000001E-2</v>
      </c>
      <c r="AJ45" s="376"/>
      <c r="AK45" s="376"/>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s="345" customFormat="1" ht="19.5" customHeight="1" x14ac:dyDescent="0.25">
      <c r="B46" s="360" t="s">
        <v>939</v>
      </c>
      <c r="C46" s="362" t="s">
        <v>936</v>
      </c>
      <c r="D46" s="345" t="s">
        <v>606</v>
      </c>
      <c r="E46" s="345" t="s">
        <v>752</v>
      </c>
      <c r="F46" s="363" t="s">
        <v>937</v>
      </c>
      <c r="G46" s="364" cm="1">
        <f t="array" aca="1" ref="G46" ca="1">IFERROR(INDEX(Panel_Rates[[1]:[12]],MATCH(Panel_New&amp;Category_New,Panel_Rates[Panel]&amp;Panel_Rates[Category],0),MATCH('Time Plan (Partial Phani)'!E46,OFFSET(Variable!$AF$2,MATCH(Panel_New&amp;Category_New,Panel_Rates[Panel]&amp;Panel_Rates[Category],0)-1,0,1,12),0))/8,"")</f>
        <v>245</v>
      </c>
      <c r="H46" s="326">
        <v>0.38</v>
      </c>
      <c r="I46" s="391">
        <f t="shared" ref="I46:I53" ca="1" si="94">IFERROR(G46*(1-H46),"")</f>
        <v>151.9</v>
      </c>
      <c r="J46" s="398">
        <f t="shared" ref="J46:J52" ca="1" si="95">IFERROR(I46*8,"")</f>
        <v>1215.2</v>
      </c>
      <c r="K46" s="366">
        <f>IFERROR(_xlfn.XLOOKUP(D46,CostTableLookup[Name],CostTableLookup[Gross Cost]),"")</f>
        <v>161</v>
      </c>
      <c r="L46" s="367"/>
      <c r="M46" s="368">
        <f t="shared" ref="M46:M53" ca="1" si="96">IFERROR(L46*I46,"")</f>
        <v>0</v>
      </c>
      <c r="N46" s="369"/>
      <c r="O46" s="368">
        <f t="shared" ref="O46:O53" ca="1" si="97">IFERROR(N46*I46,"")</f>
        <v>0</v>
      </c>
      <c r="P46" s="368">
        <f t="shared" ref="P46:P53" ca="1" si="98">IFERROR(M46-O46,"")</f>
        <v>0</v>
      </c>
      <c r="Q46" s="370">
        <f t="shared" ref="Q46:Q53" si="99">IFERROR(N46*K46,"")</f>
        <v>0</v>
      </c>
      <c r="R46" s="396">
        <f t="shared" ref="R46:R53" ca="1" si="100">IFERROR(((U46+O46)-(V46+Q46))/(U46+O46),"")</f>
        <v>-5.9907834101382486E-2</v>
      </c>
      <c r="S46" s="335">
        <f ca="1">IFERROR(SUM(OFFSET(Y46,0,MATCH(Forecast_New,$Y$3:$WQ$3,0)-1,1,500))*40,"")</f>
        <v>160</v>
      </c>
      <c r="T46" s="372">
        <f t="shared" ref="T46:T53" ca="1" si="101">IFERROR(S46/8,"")</f>
        <v>20</v>
      </c>
      <c r="U46" s="373">
        <f t="shared" ref="U46:U53" ca="1" si="102">IFERROR($S46*I46,"")</f>
        <v>24304</v>
      </c>
      <c r="V46" s="358">
        <f t="shared" ref="V46:V53" ca="1" si="103">IFERROR($S46*K46,"")</f>
        <v>25760</v>
      </c>
      <c r="W46" s="339">
        <f t="shared" ca="1" si="76"/>
        <v>-24304</v>
      </c>
      <c r="X46" s="375" t="str">
        <f t="shared" ref="X46:X53" ca="1" si="104">IFERROR(W46/M46,"")</f>
        <v/>
      </c>
      <c r="Y46" s="376"/>
      <c r="Z46" s="376"/>
      <c r="AA46" s="376"/>
      <c r="AB46" s="376"/>
      <c r="AC46" s="376"/>
      <c r="AD46" s="376"/>
      <c r="AE46" s="376"/>
      <c r="AF46" s="376"/>
      <c r="AG46" s="376"/>
      <c r="AH46" s="376"/>
      <c r="AI46" s="376"/>
      <c r="AJ46" s="376">
        <v>1</v>
      </c>
      <c r="AK46" s="376">
        <v>1</v>
      </c>
      <c r="AL46" s="376">
        <v>1</v>
      </c>
      <c r="AM46" s="376">
        <v>1</v>
      </c>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376"/>
      <c r="BM46" s="376"/>
      <c r="BN46" s="376"/>
      <c r="BO46" s="376"/>
      <c r="BP46" s="376"/>
      <c r="BQ46" s="376"/>
      <c r="BR46" s="376"/>
      <c r="BS46" s="376"/>
      <c r="BT46" s="376"/>
      <c r="BU46" s="376"/>
      <c r="BV46" s="37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6"/>
      <c r="DV46" s="376"/>
      <c r="DW46" s="376"/>
      <c r="DX46" s="376"/>
      <c r="DY46" s="376"/>
      <c r="DZ46" s="376"/>
      <c r="EA46" s="376"/>
      <c r="EB46" s="376"/>
      <c r="EC46" s="376"/>
      <c r="ED46" s="376"/>
      <c r="EE46" s="376"/>
      <c r="EF46" s="376"/>
      <c r="EG46" s="376"/>
      <c r="EH46" s="376"/>
      <c r="EI46" s="376"/>
      <c r="EJ46" s="376"/>
      <c r="EK46" s="376"/>
      <c r="EL46" s="376"/>
      <c r="EM46" s="376"/>
      <c r="EN46" s="376"/>
      <c r="EO46" s="376"/>
      <c r="EP46" s="376"/>
      <c r="EQ46" s="376"/>
      <c r="ER46" s="376"/>
      <c r="ES46" s="376"/>
      <c r="ET46" s="376"/>
      <c r="EU46" s="376"/>
      <c r="EV46" s="376"/>
      <c r="EW46" s="376"/>
      <c r="EX46" s="376"/>
      <c r="EY46" s="376"/>
      <c r="EZ46" s="376"/>
      <c r="FA46" s="376"/>
      <c r="FB46" s="376"/>
      <c r="FC46" s="376"/>
      <c r="FD46" s="376"/>
      <c r="FE46" s="376"/>
      <c r="FF46" s="376"/>
      <c r="FG46" s="376"/>
      <c r="FH46" s="376"/>
      <c r="FI46" s="376"/>
      <c r="FJ46" s="376"/>
      <c r="FK46" s="376"/>
      <c r="FL46" s="376"/>
      <c r="FM46" s="376"/>
      <c r="FN46" s="376"/>
      <c r="FO46" s="376"/>
      <c r="FP46" s="376"/>
      <c r="FQ46" s="376"/>
      <c r="FR46" s="376"/>
      <c r="FS46" s="376"/>
      <c r="FT46" s="376"/>
      <c r="FU46" s="376"/>
      <c r="FV46" s="376"/>
      <c r="FW46" s="376"/>
      <c r="FX46" s="376"/>
      <c r="FY46" s="376"/>
      <c r="FZ46" s="376"/>
      <c r="GA46" s="376"/>
      <c r="GB46" s="376"/>
      <c r="GC46" s="376"/>
      <c r="GD46" s="376"/>
      <c r="GE46" s="376"/>
      <c r="GF46" s="376"/>
      <c r="GG46" s="376"/>
      <c r="GH46" s="376"/>
      <c r="GI46" s="376"/>
      <c r="GJ46" s="376"/>
      <c r="GK46" s="376"/>
      <c r="GL46" s="376"/>
      <c r="GM46" s="376"/>
      <c r="GN46" s="376"/>
      <c r="GO46" s="376"/>
      <c r="GP46" s="376"/>
      <c r="GQ46" s="376"/>
      <c r="GR46" s="376"/>
      <c r="GS46" s="376"/>
      <c r="GT46" s="376"/>
      <c r="GU46" s="376"/>
      <c r="GV46" s="376"/>
      <c r="GW46" s="376"/>
      <c r="GX46" s="376"/>
      <c r="GY46" s="376"/>
      <c r="GZ46" s="376"/>
      <c r="HA46" s="376"/>
      <c r="HB46" s="376"/>
      <c r="HC46" s="376"/>
      <c r="HD46" s="376"/>
      <c r="HE46" s="376"/>
      <c r="HF46" s="376"/>
      <c r="HG46" s="376"/>
      <c r="HH46" s="376"/>
      <c r="HI46" s="376"/>
      <c r="HJ46" s="376"/>
      <c r="HK46" s="376"/>
      <c r="HL46" s="376"/>
      <c r="HM46" s="376"/>
      <c r="HN46" s="376"/>
      <c r="HO46" s="376"/>
      <c r="HP46" s="376"/>
      <c r="HQ46" s="376"/>
      <c r="HR46" s="376"/>
      <c r="HS46" s="376"/>
      <c r="HT46" s="376"/>
      <c r="HU46" s="376"/>
      <c r="HV46" s="376"/>
      <c r="HW46" s="376"/>
      <c r="HX46" s="376"/>
      <c r="HY46" s="376"/>
      <c r="HZ46" s="376"/>
      <c r="IA46" s="376"/>
      <c r="IB46" s="376"/>
      <c r="IC46" s="376"/>
      <c r="ID46" s="376"/>
      <c r="IE46" s="376"/>
      <c r="IF46" s="376"/>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c r="JL46" s="376"/>
      <c r="JM46" s="376"/>
      <c r="JN46" s="376"/>
    </row>
    <row r="47" spans="2:274" ht="19.5" customHeight="1" x14ac:dyDescent="0.25">
      <c r="B47" s="387" t="s">
        <v>940</v>
      </c>
      <c r="C47" s="323" t="s">
        <v>935</v>
      </c>
      <c r="D47" s="321" t="s">
        <v>306</v>
      </c>
      <c r="E47" s="321" t="s">
        <v>753</v>
      </c>
      <c r="F47" s="324" t="s">
        <v>928</v>
      </c>
      <c r="G47" s="325" cm="1">
        <f t="array" aca="1" ref="G47" ca="1">IFERROR(INDEX(Panel_Rates[[1]:[12]],MATCH(Panel_New&amp;Category_New,Panel_Rates[Panel]&amp;Panel_Rates[Category],0),MATCH('Time Plan (Partial Phani)'!E47,OFFSET(Variable!$AF$2,MATCH(Panel_New&amp;Category_New,Panel_Rates[Panel]&amp;Panel_Rates[Category],0)-1,0,1,12),0))/8,"")</f>
        <v>305</v>
      </c>
      <c r="H47" s="326">
        <v>0.32</v>
      </c>
      <c r="I47" s="328">
        <f ca="1">IFERROR(G47*(1-H47),"")</f>
        <v>207.39999999999998</v>
      </c>
      <c r="J47" s="329">
        <f ca="1">IFERROR(I47*8,"")</f>
        <v>1659.1999999999998</v>
      </c>
      <c r="K47" s="329">
        <f>IFERROR(_xlfn.XLOOKUP(D47,CostTableLookup[Name],CostTableLookup[Gross Cost]),"")</f>
        <v>245</v>
      </c>
      <c r="L47" s="330"/>
      <c r="M47" s="331">
        <f ca="1">IFERROR(L47*I47,"")</f>
        <v>0</v>
      </c>
      <c r="N47" s="332"/>
      <c r="O47" s="331">
        <f ca="1">IFERROR(N47*I47,"")</f>
        <v>0</v>
      </c>
      <c r="P47" s="331">
        <f ca="1">IFERROR(M47-O47,"")</f>
        <v>0</v>
      </c>
      <c r="Q47" s="333">
        <f>IFERROR(N47*K47,"")</f>
        <v>0</v>
      </c>
      <c r="R47" s="343">
        <f ca="1">IFERROR(((U47+O47)-(V47+Q47))/(U47+O47),"")</f>
        <v>-0.18129218900675023</v>
      </c>
      <c r="S47" s="335">
        <f ca="1">IFERROR(SUM(OFFSET(Y47,0,MATCH(Forecast_New,$Y$3:$WQ$3,0)-1,1,500))*40,"")</f>
        <v>160</v>
      </c>
      <c r="T47" s="336">
        <f ca="1">IFERROR(S47/8,"")</f>
        <v>20</v>
      </c>
      <c r="U47" s="337">
        <f ca="1">IFERROR($S47*I47,"")</f>
        <v>33184</v>
      </c>
      <c r="V47" s="338">
        <f ca="1">IFERROR($S47*K47,"")</f>
        <v>39200</v>
      </c>
      <c r="W47" s="339">
        <f t="shared" ca="1" si="76"/>
        <v>-33184</v>
      </c>
      <c r="X47" s="343"/>
      <c r="Y47" s="344"/>
      <c r="Z47" s="344"/>
      <c r="AA47" s="344"/>
      <c r="AB47" s="344"/>
      <c r="AC47" s="344"/>
      <c r="AD47" s="344"/>
      <c r="AE47" s="344"/>
      <c r="AF47" s="344"/>
      <c r="AG47" s="344"/>
      <c r="AH47" s="344"/>
      <c r="AI47" s="344"/>
      <c r="AJ47" s="344"/>
      <c r="AK47" s="344"/>
      <c r="AL47" s="344"/>
      <c r="AM47" s="344"/>
      <c r="AN47" s="344">
        <v>1</v>
      </c>
      <c r="AO47" s="344">
        <v>1</v>
      </c>
      <c r="AP47" s="344">
        <v>1</v>
      </c>
      <c r="AQ47" s="344">
        <v>1</v>
      </c>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25">
      <c r="B48" s="360" t="s">
        <v>940</v>
      </c>
      <c r="C48" s="323" t="s">
        <v>935</v>
      </c>
      <c r="D48" s="321" t="s">
        <v>746</v>
      </c>
      <c r="E48" s="321" t="s">
        <v>752</v>
      </c>
      <c r="F48" s="324" t="s">
        <v>155</v>
      </c>
      <c r="G48" s="325" cm="1">
        <f t="array" aca="1" ref="G48" ca="1">IFERROR(INDEX(Panel_Rates[[1]:[12]],MATCH(Panel_New&amp;Category_New,Panel_Rates[Panel]&amp;Panel_Rates[Category],0),MATCH('Time Plan (Partial Phani)'!E48,OFFSET(Variable!$AF$2,MATCH(Panel_New&amp;Category_New,Panel_Rates[Panel]&amp;Panel_Rates[Category],0)-1,0,1,12),0))/8,"")</f>
        <v>245</v>
      </c>
      <c r="H48" s="326">
        <v>0.38</v>
      </c>
      <c r="I48" s="328">
        <f ca="1">IFERROR(G48*(1-H48),"")</f>
        <v>151.9</v>
      </c>
      <c r="J48" s="329">
        <f ca="1">IFERROR(I48*8,"")</f>
        <v>1215.2</v>
      </c>
      <c r="K48" s="329">
        <f>IFERROR(_xlfn.XLOOKUP(D48,CostTableLookup[Name],CostTableLookup[Gross Cost]),"")</f>
        <v>90</v>
      </c>
      <c r="L48" s="330"/>
      <c r="M48" s="331">
        <f ca="1">IFERROR(L48*I48,"")</f>
        <v>0</v>
      </c>
      <c r="N48" s="332"/>
      <c r="O48" s="331">
        <f ca="1">IFERROR(N48*I48,"")</f>
        <v>0</v>
      </c>
      <c r="P48" s="331">
        <f ca="1">IFERROR(M48-O48,"")</f>
        <v>0</v>
      </c>
      <c r="Q48" s="333">
        <f>IFERROR(N48*K48,"")</f>
        <v>0</v>
      </c>
      <c r="R48" s="343" t="str">
        <f ca="1">IFERROR(((U48+O48)-(V48+Q48))/(U48+O48),"")</f>
        <v/>
      </c>
      <c r="S48" s="335">
        <f ca="1">IFERROR(SUM(OFFSET(Y48,0,MATCH(Forecast_New,$Y$3:$WQ$3,0)-1,1,500))*40,"")</f>
        <v>0</v>
      </c>
      <c r="T48" s="336">
        <f ca="1">IFERROR(S48/8,"")</f>
        <v>0</v>
      </c>
      <c r="U48" s="337">
        <f ca="1">IFERROR($S48*I48,"")</f>
        <v>0</v>
      </c>
      <c r="V48" s="338">
        <f ca="1">IFERROR($S48*K48,"")</f>
        <v>0</v>
      </c>
      <c r="W48" s="339">
        <f t="shared" ca="1" si="76"/>
        <v>0</v>
      </c>
      <c r="X48" s="343"/>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4"/>
      <c r="BC48" s="344"/>
      <c r="BD48" s="344"/>
      <c r="BE48" s="344"/>
      <c r="BF48" s="344"/>
      <c r="BG48" s="344"/>
      <c r="BH48" s="344"/>
      <c r="BI48" s="344"/>
      <c r="BJ48" s="344"/>
      <c r="BK48" s="344"/>
      <c r="BL48" s="344"/>
      <c r="BM48" s="344"/>
      <c r="BN48" s="344"/>
      <c r="BO48" s="344"/>
      <c r="BP48" s="344"/>
      <c r="BQ48" s="344"/>
      <c r="BR48" s="344"/>
      <c r="BS48" s="344"/>
      <c r="BT48" s="344"/>
      <c r="BU48" s="344"/>
      <c r="BV48" s="344"/>
      <c r="BW48" s="344"/>
      <c r="BX48" s="344"/>
      <c r="BY48" s="344"/>
      <c r="BZ48" s="344"/>
      <c r="CA48" s="344"/>
      <c r="CB48" s="344"/>
      <c r="CC48" s="344"/>
      <c r="CD48" s="344"/>
      <c r="CE48" s="344"/>
      <c r="CF48" s="344"/>
      <c r="CG48" s="344"/>
      <c r="CH48" s="344"/>
      <c r="CI48" s="344"/>
      <c r="CJ48" s="344"/>
      <c r="CK48" s="344"/>
      <c r="CL48" s="344"/>
      <c r="CM48" s="344"/>
      <c r="CN48" s="344"/>
      <c r="CO48" s="344"/>
      <c r="CP48" s="344"/>
      <c r="CQ48" s="344"/>
      <c r="CR48" s="344"/>
      <c r="CS48" s="344"/>
      <c r="CT48" s="344"/>
      <c r="CU48" s="344"/>
      <c r="CV48" s="344"/>
      <c r="CW48" s="344"/>
      <c r="CX48" s="344"/>
      <c r="CY48" s="344"/>
      <c r="CZ48" s="344"/>
      <c r="DA48" s="344"/>
      <c r="DB48" s="344"/>
      <c r="DC48" s="344"/>
      <c r="DD48" s="344"/>
      <c r="DE48" s="344"/>
      <c r="DF48" s="344"/>
      <c r="DG48" s="344"/>
      <c r="DH48" s="344"/>
      <c r="DI48" s="344"/>
      <c r="DJ48" s="344"/>
      <c r="DK48" s="344"/>
      <c r="DL48" s="344"/>
      <c r="DM48" s="344"/>
      <c r="DN48" s="344"/>
      <c r="DO48" s="344"/>
      <c r="DP48" s="344"/>
      <c r="DQ48" s="344"/>
      <c r="DR48" s="344"/>
      <c r="DS48" s="344"/>
      <c r="DT48" s="344"/>
      <c r="DU48" s="344"/>
      <c r="DV48" s="344"/>
      <c r="DW48" s="344"/>
      <c r="DX48" s="344"/>
      <c r="DY48" s="344"/>
      <c r="DZ48" s="344"/>
      <c r="EA48" s="344"/>
      <c r="EB48" s="344"/>
      <c r="EC48" s="344"/>
      <c r="ED48" s="344"/>
      <c r="EE48" s="344"/>
      <c r="EF48" s="344"/>
      <c r="EG48" s="344"/>
      <c r="EH48" s="344"/>
      <c r="EI48" s="344"/>
      <c r="EJ48" s="344"/>
      <c r="EK48" s="344"/>
      <c r="EL48" s="344"/>
      <c r="EM48" s="344"/>
      <c r="EN48" s="344"/>
      <c r="EO48" s="344"/>
      <c r="EP48" s="344"/>
      <c r="EQ48" s="344"/>
      <c r="ER48" s="344"/>
      <c r="ES48" s="344"/>
      <c r="ET48" s="344"/>
      <c r="EU48" s="344"/>
      <c r="EV48" s="344"/>
      <c r="EW48" s="344"/>
      <c r="EX48" s="344"/>
      <c r="EY48" s="344"/>
      <c r="EZ48" s="344"/>
      <c r="FA48" s="344"/>
      <c r="FB48" s="344"/>
      <c r="FC48" s="344"/>
      <c r="FD48" s="344"/>
      <c r="FE48" s="344"/>
      <c r="FF48" s="344"/>
      <c r="FG48" s="344"/>
      <c r="FH48" s="344"/>
      <c r="FI48" s="344"/>
      <c r="FJ48" s="344"/>
      <c r="FK48" s="344"/>
      <c r="FL48" s="344"/>
      <c r="FM48" s="344"/>
      <c r="FN48" s="344"/>
      <c r="FO48" s="344"/>
      <c r="FP48" s="344"/>
      <c r="FQ48" s="344"/>
      <c r="FR48" s="344"/>
      <c r="FS48" s="344"/>
      <c r="FT48" s="344"/>
      <c r="FU48" s="344"/>
      <c r="FV48" s="344"/>
      <c r="FW48" s="344"/>
      <c r="FX48" s="344"/>
      <c r="FY48" s="344"/>
      <c r="FZ48" s="344"/>
      <c r="GA48" s="344"/>
      <c r="GB48" s="344"/>
      <c r="GC48" s="344"/>
      <c r="GD48" s="344"/>
      <c r="GE48" s="344"/>
      <c r="GF48" s="344"/>
      <c r="GG48" s="344"/>
      <c r="GH48" s="344"/>
      <c r="GI48" s="344"/>
      <c r="GJ48" s="344"/>
      <c r="GK48" s="344"/>
      <c r="GL48" s="344"/>
      <c r="GM48" s="344"/>
      <c r="GN48" s="344"/>
      <c r="GO48" s="344"/>
      <c r="GP48" s="344"/>
      <c r="GQ48" s="344"/>
      <c r="GR48" s="344"/>
      <c r="GS48" s="344"/>
      <c r="GT48" s="344"/>
      <c r="GU48" s="344"/>
      <c r="GV48" s="344"/>
      <c r="GW48" s="344"/>
      <c r="GX48" s="344"/>
      <c r="GY48" s="344"/>
      <c r="GZ48" s="344"/>
      <c r="HA48" s="344"/>
      <c r="HB48" s="344"/>
      <c r="HC48" s="344"/>
      <c r="HD48" s="344"/>
      <c r="HE48" s="344"/>
      <c r="HF48" s="344"/>
      <c r="HG48" s="344"/>
      <c r="HH48" s="344"/>
      <c r="HI48" s="344"/>
      <c r="HJ48" s="344"/>
      <c r="HK48" s="344"/>
      <c r="HL48" s="344"/>
      <c r="HM48" s="344"/>
      <c r="HN48" s="344"/>
      <c r="HO48" s="344"/>
      <c r="HP48" s="344"/>
      <c r="HQ48" s="344"/>
      <c r="HR48" s="344"/>
      <c r="HS48" s="344"/>
      <c r="HT48" s="344"/>
      <c r="HU48" s="344"/>
      <c r="HV48" s="344"/>
      <c r="HW48" s="344"/>
      <c r="HX48" s="344"/>
      <c r="HY48" s="344"/>
      <c r="HZ48" s="344"/>
      <c r="IA48" s="344"/>
      <c r="IB48" s="344"/>
      <c r="IC48" s="344"/>
      <c r="ID48" s="344"/>
      <c r="IE48" s="344"/>
      <c r="IF48" s="344"/>
      <c r="IG48" s="344"/>
      <c r="IH48" s="344"/>
      <c r="II48" s="344"/>
      <c r="IJ48" s="344"/>
      <c r="IK48" s="344"/>
      <c r="IL48" s="344"/>
      <c r="IM48" s="344"/>
      <c r="IN48" s="344"/>
      <c r="IO48" s="344"/>
      <c r="IP48" s="344"/>
      <c r="IQ48" s="344"/>
      <c r="IR48" s="344"/>
      <c r="IS48" s="344"/>
      <c r="IT48" s="344"/>
      <c r="IU48" s="344"/>
      <c r="IV48" s="344"/>
      <c r="IW48" s="344"/>
      <c r="IX48" s="344"/>
      <c r="IY48" s="344"/>
      <c r="IZ48" s="344"/>
      <c r="JA48" s="344"/>
      <c r="JB48" s="344"/>
      <c r="JC48" s="344"/>
      <c r="JD48" s="344"/>
      <c r="JE48" s="344"/>
      <c r="JF48" s="344"/>
      <c r="JG48" s="344"/>
      <c r="JH48" s="344"/>
      <c r="JI48" s="344"/>
      <c r="JJ48" s="344"/>
      <c r="JK48" s="344"/>
      <c r="JL48" s="344"/>
      <c r="JM48" s="344"/>
      <c r="JN48" s="344"/>
    </row>
    <row r="49" spans="2:274" ht="19.5" customHeight="1" x14ac:dyDescent="0.25">
      <c r="B49" s="360" t="s">
        <v>940</v>
      </c>
      <c r="C49" s="323" t="s">
        <v>936</v>
      </c>
      <c r="D49" s="321" t="s">
        <v>317</v>
      </c>
      <c r="E49" s="321" t="s">
        <v>754</v>
      </c>
      <c r="F49" s="324" t="s">
        <v>929</v>
      </c>
      <c r="G49" s="325" cm="1">
        <f t="array" aca="1" ref="G49" ca="1">IFERROR(INDEX(Panel_Rates[[1]:[12]],MATCH(Panel_New&amp;Category_New,Panel_Rates[Panel]&amp;Panel_Rates[Category],0),MATCH('Time Plan (Partial Phani)'!E49,OFFSET(Variable!$AF$2,MATCH(Panel_New&amp;Category_New,Panel_Rates[Panel]&amp;Panel_Rates[Category],0)-1,0,1,12),0))/8,"")</f>
        <v>395</v>
      </c>
      <c r="H49" s="326">
        <v>0.4</v>
      </c>
      <c r="I49" s="328">
        <f t="shared" ref="I49:I55" ca="1" si="105">IFERROR(G49*(1-H49),"")</f>
        <v>237</v>
      </c>
      <c r="J49" s="329">
        <f ca="1">IFERROR(I49*8,"")</f>
        <v>1896</v>
      </c>
      <c r="K49" s="329">
        <f>IFERROR(_xlfn.XLOOKUP(D49,CostTableLookup[Name],CostTableLookup[Gross Cost]),"")</f>
        <v>198</v>
      </c>
      <c r="L49" s="330"/>
      <c r="M49" s="331">
        <f t="shared" ref="M49:M55" ca="1" si="106">IFERROR(L49*I49,"")</f>
        <v>0</v>
      </c>
      <c r="N49" s="332"/>
      <c r="O49" s="331">
        <f t="shared" ref="O49:O55" ca="1" si="107">IFERROR(N49*I49,"")</f>
        <v>0</v>
      </c>
      <c r="P49" s="331">
        <f t="shared" ref="P49:P55" ca="1" si="108">IFERROR(M49-O49,"")</f>
        <v>0</v>
      </c>
      <c r="Q49" s="333">
        <f t="shared" ref="Q49:Q55" si="109">IFERROR(N49*K49,"")</f>
        <v>0</v>
      </c>
      <c r="R49" s="343" t="str">
        <f t="shared" ref="R49:R55" ca="1" si="110">IFERROR(((U49+O49)-(V49+Q49))/(U49+O49),"")</f>
        <v/>
      </c>
      <c r="S49" s="335">
        <f t="shared" ref="S49:S50" ca="1" si="111">IFERROR(SUM(OFFSET(Y49,0,MATCH(Forecast_New,$Y$3:$WQ$3,0)-1,1,500))*40,"")</f>
        <v>0</v>
      </c>
      <c r="T49" s="336">
        <f t="shared" ref="T49:T55" ca="1" si="112">IFERROR(S49/8,"")</f>
        <v>0</v>
      </c>
      <c r="U49" s="337">
        <f t="shared" ref="U49:U55" ca="1" si="113">IFERROR($S49*I49,"")</f>
        <v>0</v>
      </c>
      <c r="V49" s="338">
        <f t="shared" ref="V49:V55" ca="1" si="114">IFERROR($S49*K49,"")</f>
        <v>0</v>
      </c>
      <c r="W49" s="339">
        <f t="shared" ca="1" si="76"/>
        <v>0</v>
      </c>
      <c r="X49" s="340" t="str">
        <f t="shared" ref="X49:X55" ca="1" si="115">IFERROR(W49/M49,"")</f>
        <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25">
      <c r="B50" s="360" t="s">
        <v>940</v>
      </c>
      <c r="C50" s="323" t="s">
        <v>936</v>
      </c>
      <c r="D50" s="321" t="s">
        <v>126</v>
      </c>
      <c r="E50" s="321" t="s">
        <v>752</v>
      </c>
      <c r="F50" s="324" t="s">
        <v>852</v>
      </c>
      <c r="G50" s="325" cm="1">
        <f t="array" aca="1" ref="G50" ca="1">IFERROR(INDEX(Panel_Rates[[1]:[12]],MATCH(Panel_New&amp;Category_New,Panel_Rates[Panel]&amp;Panel_Rates[Category],0),MATCH('Time Plan (Partial Phani)'!E50,OFFSET(Variable!$AF$2,MATCH(Panel_New&amp;Category_New,Panel_Rates[Panel]&amp;Panel_Rates[Category],0)-1,0,1,12),0))/8,"")</f>
        <v>245</v>
      </c>
      <c r="H50" s="326">
        <v>0.38</v>
      </c>
      <c r="I50" s="328">
        <f t="shared" ca="1" si="105"/>
        <v>151.9</v>
      </c>
      <c r="J50" s="329">
        <f t="shared" ref="J50:J55" ca="1" si="116">IFERROR(I50*8,"")</f>
        <v>1215.2</v>
      </c>
      <c r="K50" s="329">
        <f>IFERROR(_xlfn.XLOOKUP(D50,CostTableLookup[Name],CostTableLookup[Gross Cost]),"")</f>
        <v>146</v>
      </c>
      <c r="L50" s="330"/>
      <c r="M50" s="331">
        <f t="shared" ca="1" si="106"/>
        <v>0</v>
      </c>
      <c r="N50" s="332"/>
      <c r="O50" s="331">
        <f t="shared" ca="1" si="107"/>
        <v>0</v>
      </c>
      <c r="P50" s="331">
        <f t="shared" ca="1" si="108"/>
        <v>0</v>
      </c>
      <c r="Q50" s="333">
        <f t="shared" si="109"/>
        <v>0</v>
      </c>
      <c r="R50" s="343">
        <f t="shared" ca="1" si="110"/>
        <v>3.8841342988808425E-2</v>
      </c>
      <c r="S50" s="335">
        <f t="shared" ref="S50:S51" ca="1" si="117">IFERROR(SUM(OFFSET(Y50,0,MATCH(Forecast_New,$Y$3:$WQ$3,0)-1,1,500))*40,"")</f>
        <v>80</v>
      </c>
      <c r="T50" s="336">
        <f t="shared" ca="1" si="112"/>
        <v>10</v>
      </c>
      <c r="U50" s="337">
        <f t="shared" ca="1" si="113"/>
        <v>12152</v>
      </c>
      <c r="V50" s="338">
        <f t="shared" ca="1" si="114"/>
        <v>11680</v>
      </c>
      <c r="W50" s="339">
        <f t="shared" ca="1" si="76"/>
        <v>-12152</v>
      </c>
      <c r="X50" s="340" t="str">
        <f t="shared" ca="1" si="115"/>
        <v/>
      </c>
      <c r="Y50" s="341"/>
      <c r="Z50" s="341"/>
      <c r="AA50" s="341"/>
      <c r="AB50" s="341"/>
      <c r="AC50" s="341"/>
      <c r="AD50" s="341"/>
      <c r="AE50" s="341"/>
      <c r="AF50" s="341"/>
      <c r="AG50" s="341"/>
      <c r="AH50" s="341"/>
      <c r="AI50" s="341"/>
      <c r="AJ50" s="341"/>
      <c r="AK50" s="341"/>
      <c r="AL50" s="341"/>
      <c r="AM50" s="341"/>
      <c r="AN50" s="341">
        <v>0.5</v>
      </c>
      <c r="AO50" s="341">
        <v>0.5</v>
      </c>
      <c r="AP50" s="341">
        <v>0.5</v>
      </c>
      <c r="AQ50" s="341">
        <v>0.5</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25">
      <c r="B51" s="360" t="s">
        <v>940</v>
      </c>
      <c r="C51" s="323" t="s">
        <v>936</v>
      </c>
      <c r="D51" s="321" t="s">
        <v>756</v>
      </c>
      <c r="E51" s="321" t="s">
        <v>753</v>
      </c>
      <c r="F51" s="324" t="s">
        <v>930</v>
      </c>
      <c r="G51" s="325" cm="1">
        <f t="array" aca="1" ref="G51" ca="1">IFERROR(INDEX(Panel_Rates[[1]:[12]],MATCH(Panel_New&amp;Category_New,Panel_Rates[Panel]&amp;Panel_Rates[Category],0),MATCH('Time Plan (Partial Phani)'!E51,OFFSET(Variable!$AF$2,MATCH(Panel_New&amp;Category_New,Panel_Rates[Panel]&amp;Panel_Rates[Category],0)-1,0,1,12),0))/8,"")</f>
        <v>305</v>
      </c>
      <c r="H51" s="326">
        <v>0.32</v>
      </c>
      <c r="I51" s="328">
        <f t="shared" ca="1" si="105"/>
        <v>207.39999999999998</v>
      </c>
      <c r="J51" s="329">
        <f t="shared" ca="1" si="116"/>
        <v>1659.1999999999998</v>
      </c>
      <c r="K51" s="329">
        <f>IFERROR(_xlfn.XLOOKUP(D51,CostTableLookup[Name],CostTableLookup[Gross Cost]),"")</f>
        <v>170.96</v>
      </c>
      <c r="L51" s="330"/>
      <c r="M51" s="331">
        <f t="shared" ca="1" si="106"/>
        <v>0</v>
      </c>
      <c r="N51" s="332"/>
      <c r="O51" s="331">
        <f t="shared" ca="1" si="107"/>
        <v>0</v>
      </c>
      <c r="P51" s="331">
        <f t="shared" ca="1" si="108"/>
        <v>0</v>
      </c>
      <c r="Q51" s="333">
        <f t="shared" si="109"/>
        <v>0</v>
      </c>
      <c r="R51" s="343" t="str">
        <f t="shared" ca="1" si="110"/>
        <v/>
      </c>
      <c r="S51" s="335">
        <f t="shared" ref="S51:S52" ca="1" si="118">IFERROR(SUM(OFFSET(Y51,0,MATCH(Forecast_New,$Y$3:$WQ$3,0)-1,1,500))*40,"")</f>
        <v>0</v>
      </c>
      <c r="T51" s="336">
        <f t="shared" ca="1" si="112"/>
        <v>0</v>
      </c>
      <c r="U51" s="337">
        <f t="shared" ca="1" si="113"/>
        <v>0</v>
      </c>
      <c r="V51" s="338">
        <f t="shared" ca="1" si="114"/>
        <v>0</v>
      </c>
      <c r="W51" s="339">
        <f t="shared" ca="1" si="76"/>
        <v>0</v>
      </c>
      <c r="X51" s="340" t="str">
        <f t="shared" ca="1" si="115"/>
        <v/>
      </c>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25">
      <c r="B52" s="360" t="s">
        <v>940</v>
      </c>
      <c r="C52" s="323" t="s">
        <v>936</v>
      </c>
      <c r="D52" s="321" t="s">
        <v>447</v>
      </c>
      <c r="E52" s="321" t="s">
        <v>753</v>
      </c>
      <c r="F52" s="324" t="s">
        <v>931</v>
      </c>
      <c r="G52" s="325" cm="1">
        <f t="array" aca="1" ref="G52" ca="1">IFERROR(INDEX(Panel_Rates[[1]:[12]],MATCH(Panel_New&amp;Category_New,Panel_Rates[Panel]&amp;Panel_Rates[Category],0),MATCH('Time Plan (Partial Phani)'!E52,OFFSET(Variable!$AF$2,MATCH(Panel_New&amp;Category_New,Panel_Rates[Panel]&amp;Panel_Rates[Category],0)-1,0,1,12),0))/8,"")</f>
        <v>305</v>
      </c>
      <c r="H52" s="326">
        <v>0.38</v>
      </c>
      <c r="I52" s="328">
        <f t="shared" ca="1" si="105"/>
        <v>189.1</v>
      </c>
      <c r="J52" s="329">
        <f t="shared" ca="1" si="116"/>
        <v>1512.8</v>
      </c>
      <c r="K52" s="329">
        <f>IFERROR(_xlfn.XLOOKUP(D52,CostTableLookup[Name],CostTableLookup[Gross Cost]),"")</f>
        <v>151</v>
      </c>
      <c r="L52" s="330"/>
      <c r="M52" s="331">
        <f t="shared" ca="1" si="106"/>
        <v>0</v>
      </c>
      <c r="N52" s="332"/>
      <c r="O52" s="331">
        <f t="shared" ca="1" si="107"/>
        <v>0</v>
      </c>
      <c r="P52" s="331">
        <f t="shared" ca="1" si="108"/>
        <v>0</v>
      </c>
      <c r="Q52" s="333">
        <f t="shared" si="109"/>
        <v>0</v>
      </c>
      <c r="R52" s="343">
        <f t="shared" ca="1" si="110"/>
        <v>0.2014806980433633</v>
      </c>
      <c r="S52" s="335">
        <f t="shared" ref="S52:S53" ca="1" si="119">IFERROR(SUM(OFFSET(Y52,0,MATCH(Forecast_New,$Y$3:$WQ$3,0)-1,1,500))*40,"")</f>
        <v>160</v>
      </c>
      <c r="T52" s="336">
        <f t="shared" ca="1" si="112"/>
        <v>20</v>
      </c>
      <c r="U52" s="337">
        <f t="shared" ca="1" si="113"/>
        <v>30256</v>
      </c>
      <c r="V52" s="338">
        <f t="shared" ca="1" si="114"/>
        <v>24160</v>
      </c>
      <c r="W52" s="339">
        <f t="shared" ca="1" si="76"/>
        <v>-30256</v>
      </c>
      <c r="X52" s="340" t="str">
        <f t="shared" ca="1" si="115"/>
        <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25">
      <c r="B53" s="360" t="s">
        <v>940</v>
      </c>
      <c r="C53" s="384" t="s">
        <v>936</v>
      </c>
      <c r="D53" s="385" t="s">
        <v>122</v>
      </c>
      <c r="E53" s="321" t="s">
        <v>752</v>
      </c>
      <c r="F53" s="324" t="s">
        <v>931</v>
      </c>
      <c r="G53" s="325" cm="1">
        <f t="array" aca="1" ref="G53" ca="1">IFERROR(INDEX(Panel_Rates[[1]:[12]],MATCH(Panel_New&amp;Category_New,Panel_Rates[Panel]&amp;Panel_Rates[Category],0),MATCH('Time Plan (Partial Phani)'!E53,OFFSET(Variable!$AF$2,MATCH(Panel_New&amp;Category_New,Panel_Rates[Panel]&amp;Panel_Rates[Category],0)-1,0,1,12),0))/8,"")</f>
        <v>245</v>
      </c>
      <c r="H53" s="326">
        <v>1</v>
      </c>
      <c r="I53" s="328">
        <f t="shared" ca="1" si="105"/>
        <v>0</v>
      </c>
      <c r="J53" s="329">
        <f t="shared" ca="1" si="116"/>
        <v>0</v>
      </c>
      <c r="K53" s="329">
        <f>IFERROR(_xlfn.XLOOKUP(D53,CostTableLookup[Name],CostTableLookup[Gross Cost]),"")</f>
        <v>198</v>
      </c>
      <c r="L53" s="330"/>
      <c r="M53" s="331">
        <f t="shared" ca="1" si="106"/>
        <v>0</v>
      </c>
      <c r="N53" s="332"/>
      <c r="O53" s="331">
        <f t="shared" ca="1" si="107"/>
        <v>0</v>
      </c>
      <c r="P53" s="331">
        <f t="shared" ca="1" si="108"/>
        <v>0</v>
      </c>
      <c r="Q53" s="333">
        <f t="shared" si="109"/>
        <v>0</v>
      </c>
      <c r="R53" s="343" t="str">
        <f t="shared" ca="1" si="110"/>
        <v/>
      </c>
      <c r="S53" s="335">
        <f t="shared" ref="S53" ca="1" si="120">IFERROR(SUM(OFFSET(Y53,0,MATCH(Forecast_New,$Y$3:$WQ$3,0)-1,1,500))*40,"")</f>
        <v>0</v>
      </c>
      <c r="T53" s="336">
        <f t="shared" ca="1" si="112"/>
        <v>0</v>
      </c>
      <c r="U53" s="337">
        <f t="shared" ca="1" si="113"/>
        <v>0</v>
      </c>
      <c r="V53" s="338">
        <f t="shared" ca="1" si="114"/>
        <v>0</v>
      </c>
      <c r="W53" s="339">
        <f t="shared" ca="1" si="76"/>
        <v>0</v>
      </c>
      <c r="X53" s="340" t="str">
        <f t="shared" ca="1" si="115"/>
        <v/>
      </c>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ht="19.5" customHeight="1" x14ac:dyDescent="0.25">
      <c r="B54" s="360" t="s">
        <v>940</v>
      </c>
      <c r="C54" s="323" t="s">
        <v>936</v>
      </c>
      <c r="D54" s="321" t="s">
        <v>731</v>
      </c>
      <c r="E54" s="321" t="s">
        <v>752</v>
      </c>
      <c r="F54" s="324" t="s">
        <v>931</v>
      </c>
      <c r="G54" s="325" cm="1">
        <f t="array" aca="1" ref="G54" ca="1">IFERROR(INDEX(Panel_Rates[[1]:[12]],MATCH(Panel_New&amp;Category_New,Panel_Rates[Panel]&amp;Panel_Rates[Category],0),MATCH('Time Plan (Partial Phani)'!E54,OFFSET(Variable!$AF$2,MATCH(Panel_New&amp;Category_New,Panel_Rates[Panel]&amp;Panel_Rates[Category],0)-1,0,1,12),0))/8,"")</f>
        <v>245</v>
      </c>
      <c r="H54" s="326">
        <v>0.38</v>
      </c>
      <c r="I54" s="328">
        <f t="shared" ca="1" si="105"/>
        <v>151.9</v>
      </c>
      <c r="J54" s="329">
        <f t="shared" ca="1" si="116"/>
        <v>1215.2</v>
      </c>
      <c r="K54" s="329">
        <f>IFERROR(_xlfn.XLOOKUP(D54,CostTableLookup[Name],CostTableLookup[Gross Cost]),"")</f>
        <v>151</v>
      </c>
      <c r="L54" s="330"/>
      <c r="M54" s="331">
        <f t="shared" ca="1" si="106"/>
        <v>0</v>
      </c>
      <c r="N54" s="332"/>
      <c r="O54" s="331">
        <f t="shared" ca="1" si="107"/>
        <v>0</v>
      </c>
      <c r="P54" s="331">
        <f t="shared" ca="1" si="108"/>
        <v>0</v>
      </c>
      <c r="Q54" s="333">
        <f t="shared" si="109"/>
        <v>0</v>
      </c>
      <c r="R54" s="343">
        <f t="shared" ca="1" si="110"/>
        <v>5.9249506254114553E-3</v>
      </c>
      <c r="S54" s="335">
        <f t="shared" ref="S54" ca="1" si="121">IFERROR(SUM(OFFSET(Y54,0,MATCH(Forecast_New,$Y$3:$WQ$3,0)-1,1,500))*40,"")</f>
        <v>80</v>
      </c>
      <c r="T54" s="336">
        <f t="shared" ca="1" si="112"/>
        <v>10</v>
      </c>
      <c r="U54" s="337">
        <f t="shared" ca="1" si="113"/>
        <v>12152</v>
      </c>
      <c r="V54" s="338">
        <f t="shared" ca="1" si="114"/>
        <v>12080</v>
      </c>
      <c r="W54" s="339">
        <f t="shared" ca="1" si="76"/>
        <v>-12152</v>
      </c>
      <c r="X54" s="340" t="str">
        <f t="shared" ca="1" si="115"/>
        <v/>
      </c>
      <c r="Y54" s="341"/>
      <c r="Z54" s="341"/>
      <c r="AA54" s="341"/>
      <c r="AB54" s="341"/>
      <c r="AC54" s="341"/>
      <c r="AD54" s="341"/>
      <c r="AE54" s="341"/>
      <c r="AF54" s="341"/>
      <c r="AG54" s="341"/>
      <c r="AH54" s="341"/>
      <c r="AI54" s="341"/>
      <c r="AJ54" s="341"/>
      <c r="AK54" s="341"/>
      <c r="AL54" s="341"/>
      <c r="AM54" s="341"/>
      <c r="AN54" s="341">
        <v>0.5</v>
      </c>
      <c r="AO54" s="341">
        <v>0.5</v>
      </c>
      <c r="AP54" s="341">
        <v>0.5</v>
      </c>
      <c r="AQ54" s="341">
        <v>0.5</v>
      </c>
      <c r="AR54" s="341"/>
      <c r="AS54" s="341"/>
      <c r="AT54" s="341"/>
      <c r="AU54" s="341"/>
      <c r="AV54" s="341"/>
      <c r="AW54" s="341"/>
      <c r="AX54" s="341"/>
      <c r="AY54" s="341"/>
      <c r="AZ54" s="341"/>
      <c r="BA54" s="341"/>
      <c r="BB54" s="341"/>
      <c r="BC54" s="341"/>
      <c r="BD54" s="341"/>
      <c r="BE54" s="341"/>
      <c r="BF54" s="341"/>
      <c r="BG54" s="341"/>
      <c r="BH54" s="341"/>
      <c r="BI54" s="341"/>
      <c r="BJ54" s="341"/>
      <c r="BK54" s="341"/>
      <c r="BL54" s="341"/>
      <c r="BM54" s="341"/>
      <c r="BN54" s="341"/>
      <c r="BO54" s="341"/>
      <c r="BP54" s="341"/>
      <c r="BQ54" s="341"/>
      <c r="BR54" s="341"/>
      <c r="BS54" s="341"/>
      <c r="BT54" s="341"/>
      <c r="BU54" s="341"/>
      <c r="BV54" s="341"/>
      <c r="BW54" s="341"/>
      <c r="BX54" s="341"/>
      <c r="BY54" s="341"/>
      <c r="BZ54" s="341"/>
      <c r="CA54" s="341"/>
      <c r="CB54" s="341"/>
      <c r="CC54" s="341"/>
      <c r="CD54" s="341"/>
      <c r="CE54" s="341"/>
      <c r="CF54" s="341"/>
      <c r="CG54" s="341"/>
      <c r="CH54" s="341"/>
      <c r="CI54" s="341"/>
      <c r="CJ54" s="341"/>
      <c r="CK54" s="341"/>
      <c r="CL54" s="341"/>
      <c r="CM54" s="341"/>
      <c r="CN54" s="341"/>
      <c r="CO54" s="341"/>
      <c r="CP54" s="341"/>
      <c r="CQ54" s="341"/>
      <c r="CR54" s="341"/>
      <c r="CS54" s="341"/>
      <c r="CT54" s="341"/>
      <c r="CU54" s="341"/>
      <c r="CV54" s="341"/>
      <c r="CW54" s="341"/>
      <c r="CX54" s="341"/>
      <c r="CY54" s="341"/>
      <c r="CZ54" s="341"/>
      <c r="DA54" s="341"/>
      <c r="DB54" s="341"/>
      <c r="DC54" s="341"/>
      <c r="DD54" s="341"/>
      <c r="DE54" s="341"/>
      <c r="DF54" s="341"/>
      <c r="DG54" s="341"/>
      <c r="DH54" s="341"/>
      <c r="DI54" s="341"/>
      <c r="DJ54" s="341"/>
      <c r="DK54" s="341"/>
      <c r="DL54" s="341"/>
      <c r="DM54" s="341"/>
      <c r="DN54" s="341"/>
      <c r="DO54" s="341"/>
      <c r="DP54" s="341"/>
      <c r="DQ54" s="341"/>
      <c r="DR54" s="341"/>
      <c r="DS54" s="341"/>
      <c r="DT54" s="341"/>
      <c r="DU54" s="341"/>
      <c r="DV54" s="341"/>
      <c r="DW54" s="341"/>
      <c r="DX54" s="341"/>
      <c r="DY54" s="341"/>
      <c r="DZ54" s="341"/>
      <c r="EA54" s="341"/>
      <c r="EB54" s="341"/>
      <c r="EC54" s="341"/>
      <c r="ED54" s="341"/>
      <c r="EE54" s="341"/>
      <c r="EF54" s="341"/>
      <c r="EG54" s="341"/>
      <c r="EH54" s="341"/>
      <c r="EI54" s="341"/>
      <c r="EJ54" s="341"/>
      <c r="EK54" s="341"/>
      <c r="EL54" s="341"/>
      <c r="EM54" s="341"/>
      <c r="EN54" s="341"/>
      <c r="EO54" s="341"/>
      <c r="EP54" s="341"/>
      <c r="EQ54" s="341"/>
      <c r="ER54" s="341"/>
      <c r="ES54" s="341"/>
      <c r="ET54" s="341"/>
      <c r="EU54" s="341"/>
      <c r="EV54" s="341"/>
      <c r="EW54" s="341"/>
      <c r="EX54" s="341"/>
      <c r="EY54" s="341"/>
      <c r="EZ54" s="341"/>
      <c r="FA54" s="341"/>
      <c r="FB54" s="341"/>
      <c r="FC54" s="341"/>
      <c r="FD54" s="341"/>
      <c r="FE54" s="341"/>
      <c r="FF54" s="341"/>
      <c r="FG54" s="341"/>
      <c r="FH54" s="341"/>
      <c r="FI54" s="341"/>
      <c r="FJ54" s="341"/>
      <c r="FK54" s="341"/>
      <c r="FL54" s="341"/>
      <c r="FM54" s="341"/>
      <c r="FN54" s="341"/>
      <c r="FO54" s="341"/>
      <c r="FP54" s="341"/>
      <c r="FQ54" s="341"/>
      <c r="FR54" s="341"/>
      <c r="FS54" s="341"/>
      <c r="FT54" s="341"/>
      <c r="FU54" s="341"/>
      <c r="FV54" s="341"/>
      <c r="FW54" s="341"/>
      <c r="FX54" s="341"/>
      <c r="FY54" s="341"/>
      <c r="FZ54" s="341"/>
      <c r="GA54" s="341"/>
      <c r="GB54" s="341"/>
      <c r="GC54" s="341"/>
      <c r="GD54" s="341"/>
      <c r="GE54" s="341"/>
      <c r="GF54" s="341"/>
      <c r="GG54" s="341"/>
      <c r="GH54" s="341"/>
      <c r="GI54" s="341"/>
      <c r="GJ54" s="341"/>
      <c r="GK54" s="341"/>
      <c r="GL54" s="341"/>
      <c r="GM54" s="341"/>
      <c r="GN54" s="341"/>
      <c r="GO54" s="341"/>
      <c r="GP54" s="341"/>
      <c r="GQ54" s="341"/>
      <c r="GR54" s="341"/>
      <c r="GS54" s="341"/>
      <c r="GT54" s="341"/>
      <c r="GU54" s="341"/>
      <c r="GV54" s="341"/>
      <c r="GW54" s="341"/>
      <c r="GX54" s="341"/>
      <c r="GY54" s="341"/>
      <c r="GZ54" s="341"/>
      <c r="HA54" s="341"/>
      <c r="HB54" s="341"/>
      <c r="HC54" s="341"/>
      <c r="HD54" s="341"/>
      <c r="HE54" s="341"/>
      <c r="HF54" s="341"/>
      <c r="HG54" s="341"/>
      <c r="HH54" s="341"/>
      <c r="HI54" s="341"/>
      <c r="HJ54" s="341"/>
      <c r="HK54" s="341"/>
      <c r="HL54" s="341"/>
      <c r="HM54" s="341"/>
      <c r="HN54" s="341"/>
      <c r="HO54" s="341"/>
      <c r="HP54" s="341"/>
      <c r="HQ54" s="341"/>
      <c r="HR54" s="341"/>
      <c r="HS54" s="341"/>
      <c r="HT54" s="341"/>
      <c r="HU54" s="341"/>
      <c r="HV54" s="341"/>
      <c r="HW54" s="341"/>
      <c r="HX54" s="341"/>
      <c r="HY54" s="341"/>
      <c r="HZ54" s="341"/>
      <c r="IA54" s="341"/>
      <c r="IB54" s="341"/>
      <c r="IC54" s="341"/>
      <c r="ID54" s="341"/>
      <c r="IE54" s="341"/>
      <c r="IF54" s="341"/>
      <c r="IG54" s="341"/>
      <c r="IH54" s="341"/>
      <c r="II54" s="341"/>
      <c r="IJ54" s="341"/>
      <c r="IK54" s="341"/>
      <c r="IL54" s="341"/>
      <c r="IM54" s="341"/>
      <c r="IN54" s="341"/>
      <c r="IO54" s="341"/>
      <c r="IP54" s="341"/>
      <c r="IQ54" s="341"/>
      <c r="IR54" s="341"/>
      <c r="IS54" s="341"/>
      <c r="IT54" s="341"/>
      <c r="IU54" s="341"/>
      <c r="IV54" s="341"/>
      <c r="IW54" s="341"/>
      <c r="IX54" s="341"/>
      <c r="IY54" s="341"/>
      <c r="IZ54" s="341"/>
      <c r="JA54" s="341"/>
      <c r="JB54" s="341"/>
      <c r="JC54" s="341"/>
      <c r="JD54" s="341"/>
      <c r="JE54" s="341"/>
      <c r="JF54" s="341"/>
      <c r="JG54" s="341"/>
      <c r="JH54" s="341"/>
      <c r="JI54" s="341"/>
      <c r="JJ54" s="341"/>
      <c r="JK54" s="341"/>
      <c r="JL54" s="341"/>
      <c r="JM54" s="341"/>
      <c r="JN54" s="341"/>
    </row>
    <row r="55" spans="2:274" s="345" customFormat="1" ht="19.5" customHeight="1" x14ac:dyDescent="0.25">
      <c r="B55" s="360" t="s">
        <v>940</v>
      </c>
      <c r="C55" s="362" t="s">
        <v>936</v>
      </c>
      <c r="D55" s="345" t="s">
        <v>606</v>
      </c>
      <c r="E55" s="345" t="s">
        <v>752</v>
      </c>
      <c r="F55" s="363" t="s">
        <v>937</v>
      </c>
      <c r="G55" s="364" cm="1">
        <f t="array" aca="1" ref="G55" ca="1">IFERROR(INDEX(Panel_Rates[[1]:[12]],MATCH(Panel_New&amp;Category_New,Panel_Rates[Panel]&amp;Panel_Rates[Category],0),MATCH('Time Plan (Partial Phani)'!E55,OFFSET(Variable!$AF$2,MATCH(Panel_New&amp;Category_New,Panel_Rates[Panel]&amp;Panel_Rates[Category],0)-1,0,1,12),0))/8,"")</f>
        <v>245</v>
      </c>
      <c r="H55" s="326">
        <v>0.38</v>
      </c>
      <c r="I55" s="391">
        <f t="shared" ca="1" si="105"/>
        <v>151.9</v>
      </c>
      <c r="J55" s="398">
        <f t="shared" ca="1" si="116"/>
        <v>1215.2</v>
      </c>
      <c r="K55" s="366">
        <f>IFERROR(_xlfn.XLOOKUP(D55,CostTableLookup[Name],CostTableLookup[Gross Cost]),"")</f>
        <v>161</v>
      </c>
      <c r="L55" s="367"/>
      <c r="M55" s="368">
        <f t="shared" ca="1" si="106"/>
        <v>0</v>
      </c>
      <c r="N55" s="369"/>
      <c r="O55" s="368">
        <f t="shared" ca="1" si="107"/>
        <v>0</v>
      </c>
      <c r="P55" s="368">
        <f t="shared" ca="1" si="108"/>
        <v>0</v>
      </c>
      <c r="Q55" s="370">
        <f t="shared" si="109"/>
        <v>0</v>
      </c>
      <c r="R55" s="396">
        <f t="shared" ca="1" si="110"/>
        <v>-5.9907834101382486E-2</v>
      </c>
      <c r="S55" s="335">
        <f ca="1">IFERROR(SUM(OFFSET(Y55,0,MATCH(Forecast_New,$Y$3:$WQ$3,0)-1,1,500))*40,"")</f>
        <v>160</v>
      </c>
      <c r="T55" s="372">
        <f t="shared" ca="1" si="112"/>
        <v>20</v>
      </c>
      <c r="U55" s="373">
        <f t="shared" ca="1" si="113"/>
        <v>24304</v>
      </c>
      <c r="V55" s="358">
        <f t="shared" ca="1" si="114"/>
        <v>25760</v>
      </c>
      <c r="W55" s="339">
        <f t="shared" ca="1" si="76"/>
        <v>-24304</v>
      </c>
      <c r="X55" s="375" t="str">
        <f t="shared" ca="1" si="115"/>
        <v/>
      </c>
      <c r="Y55" s="376"/>
      <c r="Z55" s="376"/>
      <c r="AA55" s="376"/>
      <c r="AB55" s="376"/>
      <c r="AC55" s="376"/>
      <c r="AD55" s="376"/>
      <c r="AE55" s="376"/>
      <c r="AF55" s="376"/>
      <c r="AG55" s="376"/>
      <c r="AH55" s="376"/>
      <c r="AI55" s="376"/>
      <c r="AJ55" s="376"/>
      <c r="AK55" s="376"/>
      <c r="AL55" s="376"/>
      <c r="AM55" s="376"/>
      <c r="AN55" s="376">
        <v>1</v>
      </c>
      <c r="AO55" s="376">
        <v>1</v>
      </c>
      <c r="AP55" s="376">
        <v>1</v>
      </c>
      <c r="AQ55" s="376">
        <v>1</v>
      </c>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76"/>
      <c r="BW55" s="376"/>
      <c r="BX55" s="376"/>
      <c r="BY55" s="376"/>
      <c r="BZ55" s="376"/>
      <c r="CA55" s="376"/>
      <c r="CB55" s="376"/>
      <c r="CC55" s="376"/>
      <c r="CD55" s="376"/>
      <c r="CE55" s="376"/>
      <c r="CF55" s="376"/>
      <c r="CG55" s="376"/>
      <c r="CH55" s="376"/>
      <c r="CI55" s="376"/>
      <c r="CJ55" s="376"/>
      <c r="CK55" s="376"/>
      <c r="CL55" s="376"/>
      <c r="CM55" s="376"/>
      <c r="CN55" s="376"/>
      <c r="CO55" s="376"/>
      <c r="CP55" s="376"/>
      <c r="CQ55" s="376"/>
      <c r="CR55" s="376"/>
      <c r="CS55" s="376"/>
      <c r="CT55" s="376"/>
      <c r="CU55" s="376"/>
      <c r="CV55" s="376"/>
      <c r="CW55" s="376"/>
      <c r="CX55" s="376"/>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c r="DU55" s="376"/>
      <c r="DV55" s="376"/>
      <c r="DW55" s="376"/>
      <c r="DX55" s="376"/>
      <c r="DY55" s="376"/>
      <c r="DZ55" s="376"/>
      <c r="EA55" s="376"/>
      <c r="EB55" s="376"/>
      <c r="EC55" s="376"/>
      <c r="ED55" s="376"/>
      <c r="EE55" s="376"/>
      <c r="EF55" s="376"/>
      <c r="EG55" s="376"/>
      <c r="EH55" s="376"/>
      <c r="EI55" s="376"/>
      <c r="EJ55" s="376"/>
      <c r="EK55" s="376"/>
      <c r="EL55" s="376"/>
      <c r="EM55" s="376"/>
      <c r="EN55" s="376"/>
      <c r="EO55" s="376"/>
      <c r="EP55" s="376"/>
      <c r="EQ55" s="376"/>
      <c r="ER55" s="376"/>
      <c r="ES55" s="376"/>
      <c r="ET55" s="376"/>
      <c r="EU55" s="376"/>
      <c r="EV55" s="376"/>
      <c r="EW55" s="376"/>
      <c r="EX55" s="376"/>
      <c r="EY55" s="376"/>
      <c r="EZ55" s="376"/>
      <c r="FA55" s="376"/>
      <c r="FB55" s="376"/>
      <c r="FC55" s="376"/>
      <c r="FD55" s="376"/>
      <c r="FE55" s="376"/>
      <c r="FF55" s="376"/>
      <c r="FG55" s="376"/>
      <c r="FH55" s="376"/>
      <c r="FI55" s="376"/>
      <c r="FJ55" s="376"/>
      <c r="FK55" s="376"/>
      <c r="FL55" s="376"/>
      <c r="FM55" s="376"/>
      <c r="FN55" s="376"/>
      <c r="FO55" s="376"/>
      <c r="FP55" s="376"/>
      <c r="FQ55" s="376"/>
      <c r="FR55" s="376"/>
      <c r="FS55" s="376"/>
      <c r="FT55" s="376"/>
      <c r="FU55" s="376"/>
      <c r="FV55" s="376"/>
      <c r="FW55" s="376"/>
      <c r="FX55" s="376"/>
      <c r="FY55" s="376"/>
      <c r="FZ55" s="376"/>
      <c r="GA55" s="376"/>
      <c r="GB55" s="376"/>
      <c r="GC55" s="376"/>
      <c r="GD55" s="376"/>
      <c r="GE55" s="376"/>
      <c r="GF55" s="376"/>
      <c r="GG55" s="376"/>
      <c r="GH55" s="376"/>
      <c r="GI55" s="376"/>
      <c r="GJ55" s="376"/>
      <c r="GK55" s="376"/>
      <c r="GL55" s="376"/>
      <c r="GM55" s="376"/>
      <c r="GN55" s="376"/>
      <c r="GO55" s="376"/>
      <c r="GP55" s="376"/>
      <c r="GQ55" s="376"/>
      <c r="GR55" s="376"/>
      <c r="GS55" s="376"/>
      <c r="GT55" s="376"/>
      <c r="GU55" s="376"/>
      <c r="GV55" s="376"/>
      <c r="GW55" s="376"/>
      <c r="GX55" s="376"/>
      <c r="GY55" s="376"/>
      <c r="GZ55" s="376"/>
      <c r="HA55" s="376"/>
      <c r="HB55" s="376"/>
      <c r="HC55" s="376"/>
      <c r="HD55" s="376"/>
      <c r="HE55" s="376"/>
      <c r="HF55" s="376"/>
      <c r="HG55" s="376"/>
      <c r="HH55" s="376"/>
      <c r="HI55" s="376"/>
      <c r="HJ55" s="376"/>
      <c r="HK55" s="376"/>
      <c r="HL55" s="376"/>
      <c r="HM55" s="376"/>
      <c r="HN55" s="376"/>
      <c r="HO55" s="376"/>
      <c r="HP55" s="376"/>
      <c r="HQ55" s="376"/>
      <c r="HR55" s="376"/>
      <c r="HS55" s="376"/>
      <c r="HT55" s="376"/>
      <c r="HU55" s="376"/>
      <c r="HV55" s="376"/>
      <c r="HW55" s="376"/>
      <c r="HX55" s="376"/>
      <c r="HY55" s="376"/>
      <c r="HZ55" s="376"/>
      <c r="IA55" s="376"/>
      <c r="IB55" s="376"/>
      <c r="IC55" s="376"/>
      <c r="ID55" s="376"/>
      <c r="IE55" s="376"/>
      <c r="IF55" s="376"/>
      <c r="IG55" s="376"/>
      <c r="IH55" s="376"/>
      <c r="II55" s="376"/>
      <c r="IJ55" s="376"/>
      <c r="IK55" s="376"/>
      <c r="IL55" s="376"/>
      <c r="IM55" s="376"/>
      <c r="IN55" s="376"/>
      <c r="IO55" s="376"/>
      <c r="IP55" s="376"/>
      <c r="IQ55" s="376"/>
      <c r="IR55" s="376"/>
      <c r="IS55" s="376"/>
      <c r="IT55" s="376"/>
      <c r="IU55" s="376"/>
      <c r="IV55" s="376"/>
      <c r="IW55" s="376"/>
      <c r="IX55" s="376"/>
      <c r="IY55" s="376"/>
      <c r="IZ55" s="376"/>
      <c r="JA55" s="376"/>
      <c r="JB55" s="376"/>
      <c r="JC55" s="376"/>
      <c r="JD55" s="376"/>
      <c r="JE55" s="376"/>
      <c r="JF55" s="376"/>
      <c r="JG55" s="376"/>
      <c r="JH55" s="376"/>
      <c r="JI55" s="376"/>
      <c r="JJ55" s="376"/>
      <c r="JK55" s="376"/>
      <c r="JL55" s="376"/>
      <c r="JM55" s="376"/>
      <c r="JN55" s="376"/>
    </row>
    <row r="56" spans="2:274" ht="19.5" customHeight="1" x14ac:dyDescent="0.25">
      <c r="B56" s="387" t="s">
        <v>941</v>
      </c>
      <c r="C56" s="323" t="s">
        <v>935</v>
      </c>
      <c r="D56" s="321" t="s">
        <v>306</v>
      </c>
      <c r="E56" s="321" t="s">
        <v>753</v>
      </c>
      <c r="F56" s="324" t="s">
        <v>928</v>
      </c>
      <c r="G56" s="325" cm="1">
        <f t="array" aca="1" ref="G56" ca="1">IFERROR(INDEX(Panel_Rates[[1]:[12]],MATCH(Panel_New&amp;Category_New,Panel_Rates[Panel]&amp;Panel_Rates[Category],0),MATCH('Time Plan (Partial Phani)'!E56,OFFSET(Variable!$AF$2,MATCH(Panel_New&amp;Category_New,Panel_Rates[Panel]&amp;Panel_Rates[Category],0)-1,0,1,12),0))/8,"")</f>
        <v>305</v>
      </c>
      <c r="H56" s="326">
        <v>0.32</v>
      </c>
      <c r="I56" s="328">
        <f ca="1">IFERROR(G56*(1-H56),"")</f>
        <v>207.39999999999998</v>
      </c>
      <c r="J56" s="329">
        <f ca="1">IFERROR(I56*8,"")</f>
        <v>1659.1999999999998</v>
      </c>
      <c r="K56" s="329">
        <f>IFERROR(_xlfn.XLOOKUP(D56,CostTableLookup[Name],CostTableLookup[Gross Cost]),"")</f>
        <v>245</v>
      </c>
      <c r="L56" s="330"/>
      <c r="M56" s="331">
        <f ca="1">IFERROR(L56*I56,"")</f>
        <v>0</v>
      </c>
      <c r="N56" s="332"/>
      <c r="O56" s="331">
        <f ca="1">IFERROR(N56*I56,"")</f>
        <v>0</v>
      </c>
      <c r="P56" s="331">
        <f ca="1">IFERROR(M56-O56,"")</f>
        <v>0</v>
      </c>
      <c r="Q56" s="333">
        <f>IFERROR(N56*K56,"")</f>
        <v>0</v>
      </c>
      <c r="R56" s="343">
        <f ca="1">IFERROR(((U56+O56)-(V56+Q56))/(U56+O56),"")</f>
        <v>-0.1812921890067504</v>
      </c>
      <c r="S56" s="335">
        <f ca="1">IFERROR(SUM(OFFSET(Y56,0,MATCH(Forecast_New,$Y$3:$WQ$3,0)-1,1,500))*40,"")</f>
        <v>76</v>
      </c>
      <c r="T56" s="336">
        <f ca="1">IFERROR(S56/8,"")</f>
        <v>9.5</v>
      </c>
      <c r="U56" s="337">
        <f ca="1">IFERROR($S56*I56,"")</f>
        <v>15762.399999999998</v>
      </c>
      <c r="V56" s="338">
        <f ca="1">IFERROR($S56*K56,"")</f>
        <v>18620</v>
      </c>
      <c r="W56" s="339">
        <f t="shared" ca="1" si="76"/>
        <v>-15762.399999999998</v>
      </c>
      <c r="X56" s="343"/>
      <c r="Y56" s="344"/>
      <c r="Z56" s="344"/>
      <c r="AA56" s="344"/>
      <c r="AB56" s="344"/>
      <c r="AC56" s="344"/>
      <c r="AD56" s="344"/>
      <c r="AE56" s="344"/>
      <c r="AF56" s="344"/>
      <c r="AG56" s="344"/>
      <c r="AH56" s="344"/>
      <c r="AI56" s="344"/>
      <c r="AJ56" s="344"/>
      <c r="AK56" s="344"/>
      <c r="AL56" s="344"/>
      <c r="AM56" s="344"/>
      <c r="AN56" s="344"/>
      <c r="AO56" s="344"/>
      <c r="AP56" s="344"/>
      <c r="AQ56" s="344"/>
      <c r="AR56" s="344">
        <v>0.5</v>
      </c>
      <c r="AS56" s="344">
        <v>0.5</v>
      </c>
      <c r="AT56" s="344">
        <v>0.5</v>
      </c>
      <c r="AU56" s="344">
        <v>0.4</v>
      </c>
      <c r="AV56" s="440"/>
      <c r="AW56" s="440"/>
      <c r="AX56" s="440"/>
      <c r="AY56" s="440"/>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25">
      <c r="B57" s="360" t="s">
        <v>941</v>
      </c>
      <c r="C57" s="323" t="s">
        <v>935</v>
      </c>
      <c r="D57" s="321" t="s">
        <v>746</v>
      </c>
      <c r="E57" s="321" t="s">
        <v>752</v>
      </c>
      <c r="F57" s="324" t="s">
        <v>155</v>
      </c>
      <c r="G57" s="325" cm="1">
        <f t="array" aca="1" ref="G57" ca="1">IFERROR(INDEX(Panel_Rates[[1]:[12]],MATCH(Panel_New&amp;Category_New,Panel_Rates[Panel]&amp;Panel_Rates[Category],0),MATCH('Time Plan (Partial Phani)'!E57,OFFSET(Variable!$AF$2,MATCH(Panel_New&amp;Category_New,Panel_Rates[Panel]&amp;Panel_Rates[Category],0)-1,0,1,12),0))/8,"")</f>
        <v>245</v>
      </c>
      <c r="H57" s="326">
        <v>0.38</v>
      </c>
      <c r="I57" s="328">
        <f ca="1">IFERROR(G57*(1-H57),"")</f>
        <v>151.9</v>
      </c>
      <c r="J57" s="329">
        <f ca="1">IFERROR(I57*8,"")</f>
        <v>1215.2</v>
      </c>
      <c r="K57" s="329">
        <f>IFERROR(_xlfn.XLOOKUP(D57,CostTableLookup[Name],CostTableLookup[Gross Cost]),"")</f>
        <v>90</v>
      </c>
      <c r="L57" s="330"/>
      <c r="M57" s="331">
        <f ca="1">IFERROR(L57*I57,"")</f>
        <v>0</v>
      </c>
      <c r="N57" s="332"/>
      <c r="O57" s="331">
        <f ca="1">IFERROR(N57*I57,"")</f>
        <v>0</v>
      </c>
      <c r="P57" s="331">
        <f ca="1">IFERROR(M57-O57,"")</f>
        <v>0</v>
      </c>
      <c r="Q57" s="333">
        <f>IFERROR(N57*K57,"")</f>
        <v>0</v>
      </c>
      <c r="R57" s="343" t="str">
        <f ca="1">IFERROR(((U57+O57)-(V57+Q57))/(U57+O57),"")</f>
        <v/>
      </c>
      <c r="S57" s="335">
        <f ca="1">IFERROR(SUM(OFFSET(Y57,0,MATCH(Forecast_New,$Y$3:$WQ$3,0)-1,1,500))*40,"")</f>
        <v>0</v>
      </c>
      <c r="T57" s="336">
        <f ca="1">IFERROR(S57/8,"")</f>
        <v>0</v>
      </c>
      <c r="U57" s="337">
        <f ca="1">IFERROR($S57*I57,"")</f>
        <v>0</v>
      </c>
      <c r="V57" s="338">
        <f ca="1">IFERROR($S57*K57,"")</f>
        <v>0</v>
      </c>
      <c r="W57" s="339">
        <f t="shared" ca="1" si="76"/>
        <v>0</v>
      </c>
      <c r="X57" s="343"/>
      <c r="Y57" s="344"/>
      <c r="Z57" s="344"/>
      <c r="AA57" s="344"/>
      <c r="AB57" s="344"/>
      <c r="AC57" s="344"/>
      <c r="AD57" s="344"/>
      <c r="AE57" s="344"/>
      <c r="AF57" s="344"/>
      <c r="AG57" s="344"/>
      <c r="AH57" s="344"/>
      <c r="AI57" s="344"/>
      <c r="AJ57" s="344"/>
      <c r="AK57" s="344"/>
      <c r="AL57" s="344"/>
      <c r="AM57" s="344"/>
      <c r="AN57" s="344"/>
      <c r="AO57" s="344"/>
      <c r="AP57" s="344"/>
      <c r="AQ57" s="344"/>
      <c r="AR57" s="344"/>
      <c r="AS57" s="344"/>
      <c r="AT57" s="344"/>
      <c r="AU57" s="344"/>
      <c r="AV57" s="440"/>
      <c r="AW57" s="440"/>
      <c r="AX57" s="440"/>
      <c r="AY57" s="440"/>
      <c r="AZ57" s="344"/>
      <c r="BA57" s="344"/>
      <c r="BB57" s="344"/>
      <c r="BC57" s="344"/>
      <c r="BD57" s="344"/>
      <c r="BE57" s="344"/>
      <c r="BF57" s="344"/>
      <c r="BG57" s="344"/>
      <c r="BH57" s="344"/>
      <c r="BI57" s="344"/>
      <c r="BJ57" s="344"/>
      <c r="BK57" s="344"/>
      <c r="BL57" s="344"/>
      <c r="BM57" s="344"/>
      <c r="BN57" s="344"/>
      <c r="BO57" s="344"/>
      <c r="BP57" s="344"/>
      <c r="BQ57" s="344"/>
      <c r="BR57" s="344"/>
      <c r="BS57" s="344"/>
      <c r="BT57" s="344"/>
      <c r="BU57" s="344"/>
      <c r="BV57" s="344"/>
      <c r="BW57" s="344"/>
      <c r="BX57" s="344"/>
      <c r="BY57" s="344"/>
      <c r="BZ57" s="344"/>
      <c r="CA57" s="344"/>
      <c r="CB57" s="344"/>
      <c r="CC57" s="344"/>
      <c r="CD57" s="344"/>
      <c r="CE57" s="344"/>
      <c r="CF57" s="344"/>
      <c r="CG57" s="344"/>
      <c r="CH57" s="344"/>
      <c r="CI57" s="344"/>
      <c r="CJ57" s="344"/>
      <c r="CK57" s="344"/>
      <c r="CL57" s="344"/>
      <c r="CM57" s="344"/>
      <c r="CN57" s="344"/>
      <c r="CO57" s="344"/>
      <c r="CP57" s="344"/>
      <c r="CQ57" s="344"/>
      <c r="CR57" s="344"/>
      <c r="CS57" s="344"/>
      <c r="CT57" s="344"/>
      <c r="CU57" s="344"/>
      <c r="CV57" s="344"/>
      <c r="CW57" s="344"/>
      <c r="CX57" s="344"/>
      <c r="CY57" s="344"/>
      <c r="CZ57" s="344"/>
      <c r="DA57" s="344"/>
      <c r="DB57" s="344"/>
      <c r="DC57" s="344"/>
      <c r="DD57" s="344"/>
      <c r="DE57" s="344"/>
      <c r="DF57" s="344"/>
      <c r="DG57" s="344"/>
      <c r="DH57" s="344"/>
      <c r="DI57" s="344"/>
      <c r="DJ57" s="344"/>
      <c r="DK57" s="344"/>
      <c r="DL57" s="344"/>
      <c r="DM57" s="344"/>
      <c r="DN57" s="344"/>
      <c r="DO57" s="344"/>
      <c r="DP57" s="344"/>
      <c r="DQ57" s="344"/>
      <c r="DR57" s="344"/>
      <c r="DS57" s="344"/>
      <c r="DT57" s="344"/>
      <c r="DU57" s="344"/>
      <c r="DV57" s="344"/>
      <c r="DW57" s="344"/>
      <c r="DX57" s="344"/>
      <c r="DY57" s="344"/>
      <c r="DZ57" s="344"/>
      <c r="EA57" s="344"/>
      <c r="EB57" s="344"/>
      <c r="EC57" s="344"/>
      <c r="ED57" s="344"/>
      <c r="EE57" s="344"/>
      <c r="EF57" s="344"/>
      <c r="EG57" s="344"/>
      <c r="EH57" s="344"/>
      <c r="EI57" s="344"/>
      <c r="EJ57" s="344"/>
      <c r="EK57" s="344"/>
      <c r="EL57" s="344"/>
      <c r="EM57" s="344"/>
      <c r="EN57" s="344"/>
      <c r="EO57" s="344"/>
      <c r="EP57" s="344"/>
      <c r="EQ57" s="344"/>
      <c r="ER57" s="344"/>
      <c r="ES57" s="344"/>
      <c r="ET57" s="344"/>
      <c r="EU57" s="344"/>
      <c r="EV57" s="344"/>
      <c r="EW57" s="344"/>
      <c r="EX57" s="344"/>
      <c r="EY57" s="344"/>
      <c r="EZ57" s="344"/>
      <c r="FA57" s="344"/>
      <c r="FB57" s="344"/>
      <c r="FC57" s="344"/>
      <c r="FD57" s="344"/>
      <c r="FE57" s="344"/>
      <c r="FF57" s="344"/>
      <c r="FG57" s="344"/>
      <c r="FH57" s="344"/>
      <c r="FI57" s="344"/>
      <c r="FJ57" s="344"/>
      <c r="FK57" s="344"/>
      <c r="FL57" s="344"/>
      <c r="FM57" s="344"/>
      <c r="FN57" s="344"/>
      <c r="FO57" s="344"/>
      <c r="FP57" s="344"/>
      <c r="FQ57" s="344"/>
      <c r="FR57" s="344"/>
      <c r="FS57" s="344"/>
      <c r="FT57" s="344"/>
      <c r="FU57" s="344"/>
      <c r="FV57" s="344"/>
      <c r="FW57" s="344"/>
      <c r="FX57" s="344"/>
      <c r="FY57" s="344"/>
      <c r="FZ57" s="344"/>
      <c r="GA57" s="344"/>
      <c r="GB57" s="344"/>
      <c r="GC57" s="344"/>
      <c r="GD57" s="344"/>
      <c r="GE57" s="344"/>
      <c r="GF57" s="344"/>
      <c r="GG57" s="344"/>
      <c r="GH57" s="344"/>
      <c r="GI57" s="344"/>
      <c r="GJ57" s="344"/>
      <c r="GK57" s="344"/>
      <c r="GL57" s="344"/>
      <c r="GM57" s="344"/>
      <c r="GN57" s="344"/>
      <c r="GO57" s="344"/>
      <c r="GP57" s="344"/>
      <c r="GQ57" s="344"/>
      <c r="GR57" s="344"/>
      <c r="GS57" s="344"/>
      <c r="GT57" s="344"/>
      <c r="GU57" s="344"/>
      <c r="GV57" s="344"/>
      <c r="GW57" s="344"/>
      <c r="GX57" s="344"/>
      <c r="GY57" s="344"/>
      <c r="GZ57" s="344"/>
      <c r="HA57" s="344"/>
      <c r="HB57" s="344"/>
      <c r="HC57" s="344"/>
      <c r="HD57" s="344"/>
      <c r="HE57" s="344"/>
      <c r="HF57" s="344"/>
      <c r="HG57" s="344"/>
      <c r="HH57" s="344"/>
      <c r="HI57" s="344"/>
      <c r="HJ57" s="344"/>
      <c r="HK57" s="344"/>
      <c r="HL57" s="344"/>
      <c r="HM57" s="344"/>
      <c r="HN57" s="344"/>
      <c r="HO57" s="344"/>
      <c r="HP57" s="344"/>
      <c r="HQ57" s="344"/>
      <c r="HR57" s="344"/>
      <c r="HS57" s="344"/>
      <c r="HT57" s="344"/>
      <c r="HU57" s="344"/>
      <c r="HV57" s="344"/>
      <c r="HW57" s="344"/>
      <c r="HX57" s="344"/>
      <c r="HY57" s="344"/>
      <c r="HZ57" s="344"/>
      <c r="IA57" s="344"/>
      <c r="IB57" s="344"/>
      <c r="IC57" s="344"/>
      <c r="ID57" s="344"/>
      <c r="IE57" s="344"/>
      <c r="IF57" s="344"/>
      <c r="IG57" s="344"/>
      <c r="IH57" s="344"/>
      <c r="II57" s="344"/>
      <c r="IJ57" s="344"/>
      <c r="IK57" s="344"/>
      <c r="IL57" s="344"/>
      <c r="IM57" s="344"/>
      <c r="IN57" s="344"/>
      <c r="IO57" s="344"/>
      <c r="IP57" s="344"/>
      <c r="IQ57" s="344"/>
      <c r="IR57" s="344"/>
      <c r="IS57" s="344"/>
      <c r="IT57" s="344"/>
      <c r="IU57" s="344"/>
      <c r="IV57" s="344"/>
      <c r="IW57" s="344"/>
      <c r="IX57" s="344"/>
      <c r="IY57" s="344"/>
      <c r="IZ57" s="344"/>
      <c r="JA57" s="344"/>
      <c r="JB57" s="344"/>
      <c r="JC57" s="344"/>
      <c r="JD57" s="344"/>
      <c r="JE57" s="344"/>
      <c r="JF57" s="344"/>
      <c r="JG57" s="344"/>
      <c r="JH57" s="344"/>
      <c r="JI57" s="344"/>
      <c r="JJ57" s="344"/>
      <c r="JK57" s="344"/>
      <c r="JL57" s="344"/>
      <c r="JM57" s="344"/>
      <c r="JN57" s="344"/>
    </row>
    <row r="58" spans="2:274" ht="19.5" customHeight="1" x14ac:dyDescent="0.25">
      <c r="B58" s="360" t="s">
        <v>941</v>
      </c>
      <c r="C58" s="323" t="s">
        <v>936</v>
      </c>
      <c r="D58" s="321" t="s">
        <v>317</v>
      </c>
      <c r="E58" s="321" t="s">
        <v>754</v>
      </c>
      <c r="F58" s="324" t="s">
        <v>929</v>
      </c>
      <c r="G58" s="325" cm="1">
        <f t="array" aca="1" ref="G58" ca="1">IFERROR(INDEX(Panel_Rates[[1]:[12]],MATCH(Panel_New&amp;Category_New,Panel_Rates[Panel]&amp;Panel_Rates[Category],0),MATCH('Time Plan (Partial Phani)'!E58,OFFSET(Variable!$AF$2,MATCH(Panel_New&amp;Category_New,Panel_Rates[Panel]&amp;Panel_Rates[Category],0)-1,0,1,12),0))/8,"")</f>
        <v>395</v>
      </c>
      <c r="H58" s="326">
        <v>0.4</v>
      </c>
      <c r="I58" s="328">
        <f t="shared" ref="I58:I64" ca="1" si="122">IFERROR(G58*(1-H58),"")</f>
        <v>237</v>
      </c>
      <c r="J58" s="329">
        <f ca="1">IFERROR(I58*8,"")</f>
        <v>1896</v>
      </c>
      <c r="K58" s="329">
        <f>IFERROR(_xlfn.XLOOKUP(D58,CostTableLookup[Name],CostTableLookup[Gross Cost]),"")</f>
        <v>198</v>
      </c>
      <c r="L58" s="330"/>
      <c r="M58" s="331">
        <f t="shared" ref="M58:M64" ca="1" si="123">IFERROR(L58*I58,"")</f>
        <v>0</v>
      </c>
      <c r="N58" s="332"/>
      <c r="O58" s="331">
        <f t="shared" ref="O58:O64" ca="1" si="124">IFERROR(N58*I58,"")</f>
        <v>0</v>
      </c>
      <c r="P58" s="331">
        <f t="shared" ref="P58:P64" ca="1" si="125">IFERROR(M58-O58,"")</f>
        <v>0</v>
      </c>
      <c r="Q58" s="333">
        <f t="shared" ref="Q58:Q64" si="126">IFERROR(N58*K58,"")</f>
        <v>0</v>
      </c>
      <c r="R58" s="343" t="str">
        <f t="shared" ref="R58:R64" ca="1" si="127">IFERROR(((U58+O58)-(V58+Q58))/(U58+O58),"")</f>
        <v/>
      </c>
      <c r="S58" s="335">
        <f t="shared" ref="S58:S59" ca="1" si="128">IFERROR(SUM(OFFSET(Y58,0,MATCH(Forecast_New,$Y$3:$WQ$3,0)-1,1,500))*40,"")</f>
        <v>0</v>
      </c>
      <c r="T58" s="336">
        <f t="shared" ref="T58:T64" ca="1" si="129">IFERROR(S58/8,"")</f>
        <v>0</v>
      </c>
      <c r="U58" s="337">
        <f t="shared" ref="U58:U64" ca="1" si="130">IFERROR($S58*I58,"")</f>
        <v>0</v>
      </c>
      <c r="V58" s="338">
        <f t="shared" ref="V58:V64" ca="1" si="131">IFERROR($S58*K58,"")</f>
        <v>0</v>
      </c>
      <c r="W58" s="339">
        <f t="shared" ca="1" si="76"/>
        <v>0</v>
      </c>
      <c r="X58" s="340" t="str">
        <f t="shared" ref="X58:X64" ca="1" si="132">IFERROR(W58/M58,"")</f>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441"/>
      <c r="AW58" s="441"/>
      <c r="AX58" s="441"/>
      <c r="AY58" s="4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25">
      <c r="B59" s="360" t="s">
        <v>941</v>
      </c>
      <c r="C59" s="323" t="s">
        <v>936</v>
      </c>
      <c r="D59" s="321" t="s">
        <v>126</v>
      </c>
      <c r="E59" s="321" t="s">
        <v>752</v>
      </c>
      <c r="F59" s="324" t="s">
        <v>852</v>
      </c>
      <c r="G59" s="325" cm="1">
        <f t="array" aca="1" ref="G59" ca="1">IFERROR(INDEX(Panel_Rates[[1]:[12]],MATCH(Panel_New&amp;Category_New,Panel_Rates[Panel]&amp;Panel_Rates[Category],0),MATCH('Time Plan (Partial Phani)'!E59,OFFSET(Variable!$AF$2,MATCH(Panel_New&amp;Category_New,Panel_Rates[Panel]&amp;Panel_Rates[Category],0)-1,0,1,12),0))/8,"")</f>
        <v>245</v>
      </c>
      <c r="H59" s="326">
        <v>0.38</v>
      </c>
      <c r="I59" s="328">
        <f t="shared" ca="1" si="122"/>
        <v>151.9</v>
      </c>
      <c r="J59" s="329">
        <f t="shared" ref="J59:J64" ca="1" si="133">IFERROR(I59*8,"")</f>
        <v>1215.2</v>
      </c>
      <c r="K59" s="329">
        <f>IFERROR(_xlfn.XLOOKUP(D59,CostTableLookup[Name],CostTableLookup[Gross Cost]),"")</f>
        <v>146</v>
      </c>
      <c r="L59" s="330"/>
      <c r="M59" s="331">
        <f t="shared" ca="1" si="123"/>
        <v>0</v>
      </c>
      <c r="N59" s="332"/>
      <c r="O59" s="331">
        <f t="shared" ca="1" si="124"/>
        <v>0</v>
      </c>
      <c r="P59" s="331">
        <f t="shared" ca="1" si="125"/>
        <v>0</v>
      </c>
      <c r="Q59" s="333">
        <f t="shared" si="126"/>
        <v>0</v>
      </c>
      <c r="R59" s="343" t="str">
        <f t="shared" ca="1" si="127"/>
        <v/>
      </c>
      <c r="S59" s="335">
        <f t="shared" ref="S59:S60" ca="1" si="134">IFERROR(SUM(OFFSET(Y59,0,MATCH(Forecast_New,$Y$3:$WQ$3,0)-1,1,500))*40,"")</f>
        <v>0</v>
      </c>
      <c r="T59" s="336">
        <f t="shared" ca="1" si="129"/>
        <v>0</v>
      </c>
      <c r="U59" s="337">
        <f t="shared" ca="1" si="130"/>
        <v>0</v>
      </c>
      <c r="V59" s="338">
        <f t="shared" ca="1" si="131"/>
        <v>0</v>
      </c>
      <c r="W59" s="339">
        <f t="shared" ca="1" si="76"/>
        <v>0</v>
      </c>
      <c r="X59" s="340" t="str">
        <f t="shared" ca="1" si="132"/>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441"/>
      <c r="AW59" s="441"/>
      <c r="AX59" s="441"/>
      <c r="AY59" s="4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25">
      <c r="B60" s="360" t="s">
        <v>941</v>
      </c>
      <c r="C60" s="323" t="s">
        <v>936</v>
      </c>
      <c r="D60" s="321" t="s">
        <v>756</v>
      </c>
      <c r="E60" s="321" t="s">
        <v>753</v>
      </c>
      <c r="F60" s="324" t="s">
        <v>930</v>
      </c>
      <c r="G60" s="325" cm="1">
        <f t="array" aca="1" ref="G60" ca="1">IFERROR(INDEX(Panel_Rates[[1]:[12]],MATCH(Panel_New&amp;Category_New,Panel_Rates[Panel]&amp;Panel_Rates[Category],0),MATCH('Time Plan (Partial Phani)'!E60,OFFSET(Variable!$AF$2,MATCH(Panel_New&amp;Category_New,Panel_Rates[Panel]&amp;Panel_Rates[Category],0)-1,0,1,12),0))/8,"")</f>
        <v>305</v>
      </c>
      <c r="H60" s="326">
        <v>0.32</v>
      </c>
      <c r="I60" s="328">
        <f t="shared" ca="1" si="122"/>
        <v>207.39999999999998</v>
      </c>
      <c r="J60" s="329">
        <f t="shared" ca="1" si="133"/>
        <v>1659.1999999999998</v>
      </c>
      <c r="K60" s="329">
        <f>IFERROR(_xlfn.XLOOKUP(D60,CostTableLookup[Name],CostTableLookup[Gross Cost]),"")</f>
        <v>170.96</v>
      </c>
      <c r="L60" s="330"/>
      <c r="M60" s="331">
        <f t="shared" ca="1" si="123"/>
        <v>0</v>
      </c>
      <c r="N60" s="332"/>
      <c r="O60" s="331">
        <f t="shared" ca="1" si="124"/>
        <v>0</v>
      </c>
      <c r="P60" s="331">
        <f t="shared" ca="1" si="125"/>
        <v>0</v>
      </c>
      <c r="Q60" s="333">
        <f t="shared" si="126"/>
        <v>0</v>
      </c>
      <c r="R60" s="343" t="str">
        <f t="shared" ca="1" si="127"/>
        <v/>
      </c>
      <c r="S60" s="335">
        <f t="shared" ref="S60:S61" ca="1" si="135">IFERROR(SUM(OFFSET(Y60,0,MATCH(Forecast_New,$Y$3:$WQ$3,0)-1,1,500))*40,"")</f>
        <v>0</v>
      </c>
      <c r="T60" s="336">
        <f t="shared" ca="1" si="129"/>
        <v>0</v>
      </c>
      <c r="U60" s="337">
        <f t="shared" ca="1" si="130"/>
        <v>0</v>
      </c>
      <c r="V60" s="338">
        <f t="shared" ca="1" si="131"/>
        <v>0</v>
      </c>
      <c r="W60" s="339">
        <f t="shared" ca="1" si="76"/>
        <v>0</v>
      </c>
      <c r="X60" s="340" t="str">
        <f t="shared" ca="1" si="132"/>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441"/>
      <c r="AW60" s="441"/>
      <c r="AX60" s="441"/>
      <c r="AY60" s="4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25">
      <c r="B61" s="360" t="s">
        <v>941</v>
      </c>
      <c r="C61" s="323" t="s">
        <v>936</v>
      </c>
      <c r="D61" s="321" t="s">
        <v>447</v>
      </c>
      <c r="E61" s="321" t="s">
        <v>753</v>
      </c>
      <c r="F61" s="324" t="s">
        <v>931</v>
      </c>
      <c r="G61" s="325" cm="1">
        <f t="array" aca="1" ref="G61" ca="1">IFERROR(INDEX(Panel_Rates[[1]:[12]],MATCH(Panel_New&amp;Category_New,Panel_Rates[Panel]&amp;Panel_Rates[Category],0),MATCH('Time Plan (Partial Phani)'!E61,OFFSET(Variable!$AF$2,MATCH(Panel_New&amp;Category_New,Panel_Rates[Panel]&amp;Panel_Rates[Category],0)-1,0,1,12),0))/8,"")</f>
        <v>305</v>
      </c>
      <c r="H61" s="326">
        <v>0.38</v>
      </c>
      <c r="I61" s="328">
        <f t="shared" ca="1" si="122"/>
        <v>189.1</v>
      </c>
      <c r="J61" s="329">
        <f t="shared" ca="1" si="133"/>
        <v>1512.8</v>
      </c>
      <c r="K61" s="329">
        <f>IFERROR(_xlfn.XLOOKUP(D61,CostTableLookup[Name],CostTableLookup[Gross Cost]),"")</f>
        <v>151</v>
      </c>
      <c r="L61" s="330"/>
      <c r="M61" s="331">
        <f t="shared" ca="1" si="123"/>
        <v>0</v>
      </c>
      <c r="N61" s="332"/>
      <c r="O61" s="331">
        <f t="shared" ca="1" si="124"/>
        <v>0</v>
      </c>
      <c r="P61" s="331">
        <f t="shared" ca="1" si="125"/>
        <v>0</v>
      </c>
      <c r="Q61" s="333">
        <f t="shared" si="126"/>
        <v>0</v>
      </c>
      <c r="R61" s="343">
        <f t="shared" ca="1" si="127"/>
        <v>0.2014806980433633</v>
      </c>
      <c r="S61" s="335">
        <f t="shared" ref="S61:S62" ca="1" si="136">IFERROR(SUM(OFFSET(Y61,0,MATCH(Forecast_New,$Y$3:$WQ$3,0)-1,1,500))*40,"")</f>
        <v>160</v>
      </c>
      <c r="T61" s="336">
        <f t="shared" ca="1" si="129"/>
        <v>20</v>
      </c>
      <c r="U61" s="337">
        <f t="shared" ca="1" si="130"/>
        <v>30256</v>
      </c>
      <c r="V61" s="338">
        <f t="shared" ca="1" si="131"/>
        <v>24160</v>
      </c>
      <c r="W61" s="339">
        <f t="shared" ca="1" si="76"/>
        <v>-30256</v>
      </c>
      <c r="X61" s="340" t="str">
        <f t="shared" ca="1" si="132"/>
        <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440"/>
      <c r="AW61" s="440"/>
      <c r="AX61" s="440"/>
      <c r="AY61" s="440"/>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25">
      <c r="B62" s="360" t="s">
        <v>941</v>
      </c>
      <c r="C62" s="384" t="s">
        <v>936</v>
      </c>
      <c r="D62" s="385" t="s">
        <v>122</v>
      </c>
      <c r="E62" s="321" t="s">
        <v>752</v>
      </c>
      <c r="F62" s="324" t="s">
        <v>931</v>
      </c>
      <c r="G62" s="325" cm="1">
        <f t="array" aca="1" ref="G62" ca="1">IFERROR(INDEX(Panel_Rates[[1]:[12]],MATCH(Panel_New&amp;Category_New,Panel_Rates[Panel]&amp;Panel_Rates[Category],0),MATCH('Time Plan (Partial Phani)'!E62,OFFSET(Variable!$AF$2,MATCH(Panel_New&amp;Category_New,Panel_Rates[Panel]&amp;Panel_Rates[Category],0)-1,0,1,12),0))/8,"")</f>
        <v>245</v>
      </c>
      <c r="H62" s="326">
        <v>1</v>
      </c>
      <c r="I62" s="328">
        <f t="shared" ca="1" si="122"/>
        <v>0</v>
      </c>
      <c r="J62" s="329">
        <f t="shared" ca="1" si="133"/>
        <v>0</v>
      </c>
      <c r="K62" s="329">
        <f>IFERROR(_xlfn.XLOOKUP(D62,CostTableLookup[Name],CostTableLookup[Gross Cost]),"")</f>
        <v>198</v>
      </c>
      <c r="L62" s="330"/>
      <c r="M62" s="331">
        <f t="shared" ca="1" si="123"/>
        <v>0</v>
      </c>
      <c r="N62" s="332"/>
      <c r="O62" s="331">
        <f t="shared" ca="1" si="124"/>
        <v>0</v>
      </c>
      <c r="P62" s="331">
        <f t="shared" ca="1" si="125"/>
        <v>0</v>
      </c>
      <c r="Q62" s="333">
        <f t="shared" si="126"/>
        <v>0</v>
      </c>
      <c r="R62" s="343" t="str">
        <f t="shared" ca="1" si="127"/>
        <v/>
      </c>
      <c r="S62" s="335">
        <f t="shared" ref="S62" ca="1" si="137">IFERROR(SUM(OFFSET(Y62,0,MATCH(Forecast_New,$Y$3:$WQ$3,0)-1,1,500))*40,"")</f>
        <v>0</v>
      </c>
      <c r="T62" s="336">
        <f t="shared" ca="1" si="129"/>
        <v>0</v>
      </c>
      <c r="U62" s="337">
        <f t="shared" ca="1" si="130"/>
        <v>0</v>
      </c>
      <c r="V62" s="338">
        <f t="shared" ca="1" si="131"/>
        <v>0</v>
      </c>
      <c r="W62" s="339">
        <f t="shared" ca="1" si="76"/>
        <v>0</v>
      </c>
      <c r="X62" s="340" t="str">
        <f t="shared" ca="1" si="132"/>
        <v/>
      </c>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440"/>
      <c r="AW62" s="440"/>
      <c r="AX62" s="440"/>
      <c r="AY62" s="441"/>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ht="19.5" customHeight="1" x14ac:dyDescent="0.25">
      <c r="B63" s="360" t="s">
        <v>941</v>
      </c>
      <c r="C63" s="323" t="s">
        <v>936</v>
      </c>
      <c r="D63" s="321" t="s">
        <v>731</v>
      </c>
      <c r="E63" s="321" t="s">
        <v>752</v>
      </c>
      <c r="F63" s="324" t="s">
        <v>931</v>
      </c>
      <c r="G63" s="325" cm="1">
        <f t="array" aca="1" ref="G63" ca="1">IFERROR(INDEX(Panel_Rates[[1]:[12]],MATCH(Panel_New&amp;Category_New,Panel_Rates[Panel]&amp;Panel_Rates[Category],0),MATCH('Time Plan (Partial Phani)'!E63,OFFSET(Variable!$AF$2,MATCH(Panel_New&amp;Category_New,Panel_Rates[Panel]&amp;Panel_Rates[Category],0)-1,0,1,12),0))/8,"")</f>
        <v>245</v>
      </c>
      <c r="H63" s="326">
        <v>0.38</v>
      </c>
      <c r="I63" s="328">
        <f t="shared" ca="1" si="122"/>
        <v>151.9</v>
      </c>
      <c r="J63" s="329">
        <f t="shared" ca="1" si="133"/>
        <v>1215.2</v>
      </c>
      <c r="K63" s="329">
        <f>IFERROR(_xlfn.XLOOKUP(D63,CostTableLookup[Name],CostTableLookup[Gross Cost]),"")</f>
        <v>151</v>
      </c>
      <c r="L63" s="330"/>
      <c r="M63" s="331">
        <f t="shared" ca="1" si="123"/>
        <v>0</v>
      </c>
      <c r="N63" s="332"/>
      <c r="O63" s="331">
        <f t="shared" ca="1" si="124"/>
        <v>0</v>
      </c>
      <c r="P63" s="331">
        <f t="shared" ca="1" si="125"/>
        <v>0</v>
      </c>
      <c r="Q63" s="333">
        <f t="shared" si="126"/>
        <v>0</v>
      </c>
      <c r="R63" s="343">
        <f t="shared" ca="1" si="127"/>
        <v>5.9249506254114553E-3</v>
      </c>
      <c r="S63" s="335">
        <f t="shared" ref="S63" ca="1" si="138">IFERROR(SUM(OFFSET(Y63,0,MATCH(Forecast_New,$Y$3:$WQ$3,0)-1,1,500))*40,"")</f>
        <v>40</v>
      </c>
      <c r="T63" s="336">
        <f t="shared" ca="1" si="129"/>
        <v>5</v>
      </c>
      <c r="U63" s="337">
        <f t="shared" ca="1" si="130"/>
        <v>6076</v>
      </c>
      <c r="V63" s="338">
        <f t="shared" ca="1" si="131"/>
        <v>6040</v>
      </c>
      <c r="W63" s="339">
        <f t="shared" ca="1" si="76"/>
        <v>-6076</v>
      </c>
      <c r="X63" s="340" t="str">
        <f t="shared" ca="1" si="132"/>
        <v/>
      </c>
      <c r="Y63" s="341"/>
      <c r="Z63" s="341"/>
      <c r="AA63" s="341"/>
      <c r="AB63" s="341"/>
      <c r="AC63" s="341"/>
      <c r="AD63" s="341"/>
      <c r="AE63" s="341"/>
      <c r="AF63" s="341"/>
      <c r="AG63" s="341"/>
      <c r="AH63" s="341"/>
      <c r="AI63" s="341"/>
      <c r="AJ63" s="341"/>
      <c r="AK63" s="341"/>
      <c r="AL63" s="341"/>
      <c r="AM63" s="341"/>
      <c r="AN63" s="341"/>
      <c r="AO63" s="341"/>
      <c r="AP63" s="341"/>
      <c r="AQ63" s="341"/>
      <c r="AR63" s="341">
        <v>0.5</v>
      </c>
      <c r="AS63" s="341">
        <v>0.5</v>
      </c>
      <c r="AT63" s="341"/>
      <c r="AU63" s="341"/>
      <c r="AV63" s="440"/>
      <c r="AW63" s="440"/>
      <c r="AX63" s="440"/>
      <c r="AY63" s="440"/>
      <c r="AZ63" s="341"/>
      <c r="BA63" s="341"/>
      <c r="BB63" s="341"/>
      <c r="BC63" s="341"/>
      <c r="BD63" s="341"/>
      <c r="BE63" s="341"/>
      <c r="BF63" s="341"/>
      <c r="BG63" s="341"/>
      <c r="BH63" s="341"/>
      <c r="BI63" s="341"/>
      <c r="BJ63" s="341"/>
      <c r="BK63" s="341"/>
      <c r="BL63" s="341"/>
      <c r="BM63" s="341"/>
      <c r="BN63" s="341"/>
      <c r="BO63" s="341"/>
      <c r="BP63" s="341"/>
      <c r="BQ63" s="341"/>
      <c r="BR63" s="341"/>
      <c r="BS63" s="341"/>
      <c r="BT63" s="341"/>
      <c r="BU63" s="341"/>
      <c r="BV63" s="341"/>
      <c r="BW63" s="341"/>
      <c r="BX63" s="341"/>
      <c r="BY63" s="341"/>
      <c r="BZ63" s="341"/>
      <c r="CA63" s="341"/>
      <c r="CB63" s="341"/>
      <c r="CC63" s="341"/>
      <c r="CD63" s="341"/>
      <c r="CE63" s="341"/>
      <c r="CF63" s="341"/>
      <c r="CG63" s="341"/>
      <c r="CH63" s="341"/>
      <c r="CI63" s="341"/>
      <c r="CJ63" s="341"/>
      <c r="CK63" s="341"/>
      <c r="CL63" s="341"/>
      <c r="CM63" s="341"/>
      <c r="CN63" s="341"/>
      <c r="CO63" s="341"/>
      <c r="CP63" s="341"/>
      <c r="CQ63" s="341"/>
      <c r="CR63" s="341"/>
      <c r="CS63" s="341"/>
      <c r="CT63" s="341"/>
      <c r="CU63" s="341"/>
      <c r="CV63" s="341"/>
      <c r="CW63" s="341"/>
      <c r="CX63" s="341"/>
      <c r="CY63" s="341"/>
      <c r="CZ63" s="341"/>
      <c r="DA63" s="341"/>
      <c r="DB63" s="341"/>
      <c r="DC63" s="341"/>
      <c r="DD63" s="341"/>
      <c r="DE63" s="341"/>
      <c r="DF63" s="341"/>
      <c r="DG63" s="341"/>
      <c r="DH63" s="341"/>
      <c r="DI63" s="341"/>
      <c r="DJ63" s="341"/>
      <c r="DK63" s="341"/>
      <c r="DL63" s="341"/>
      <c r="DM63" s="341"/>
      <c r="DN63" s="341"/>
      <c r="DO63" s="341"/>
      <c r="DP63" s="341"/>
      <c r="DQ63" s="341"/>
      <c r="DR63" s="341"/>
      <c r="DS63" s="341"/>
      <c r="DT63" s="341"/>
      <c r="DU63" s="341"/>
      <c r="DV63" s="341"/>
      <c r="DW63" s="341"/>
      <c r="DX63" s="341"/>
      <c r="DY63" s="341"/>
      <c r="DZ63" s="341"/>
      <c r="EA63" s="341"/>
      <c r="EB63" s="341"/>
      <c r="EC63" s="341"/>
      <c r="ED63" s="341"/>
      <c r="EE63" s="341"/>
      <c r="EF63" s="341"/>
      <c r="EG63" s="341"/>
      <c r="EH63" s="341"/>
      <c r="EI63" s="341"/>
      <c r="EJ63" s="341"/>
      <c r="EK63" s="341"/>
      <c r="EL63" s="341"/>
      <c r="EM63" s="341"/>
      <c r="EN63" s="341"/>
      <c r="EO63" s="341"/>
      <c r="EP63" s="341"/>
      <c r="EQ63" s="341"/>
      <c r="ER63" s="341"/>
      <c r="ES63" s="341"/>
      <c r="ET63" s="341"/>
      <c r="EU63" s="341"/>
      <c r="EV63" s="341"/>
      <c r="EW63" s="341"/>
      <c r="EX63" s="341"/>
      <c r="EY63" s="341"/>
      <c r="EZ63" s="341"/>
      <c r="FA63" s="341"/>
      <c r="FB63" s="341"/>
      <c r="FC63" s="341"/>
      <c r="FD63" s="341"/>
      <c r="FE63" s="341"/>
      <c r="FF63" s="341"/>
      <c r="FG63" s="341"/>
      <c r="FH63" s="341"/>
      <c r="FI63" s="341"/>
      <c r="FJ63" s="341"/>
      <c r="FK63" s="341"/>
      <c r="FL63" s="341"/>
      <c r="FM63" s="341"/>
      <c r="FN63" s="341"/>
      <c r="FO63" s="341"/>
      <c r="FP63" s="341"/>
      <c r="FQ63" s="341"/>
      <c r="FR63" s="341"/>
      <c r="FS63" s="341"/>
      <c r="FT63" s="341"/>
      <c r="FU63" s="341"/>
      <c r="FV63" s="341"/>
      <c r="FW63" s="341"/>
      <c r="FX63" s="341"/>
      <c r="FY63" s="341"/>
      <c r="FZ63" s="341"/>
      <c r="GA63" s="341"/>
      <c r="GB63" s="341"/>
      <c r="GC63" s="341"/>
      <c r="GD63" s="341"/>
      <c r="GE63" s="341"/>
      <c r="GF63" s="341"/>
      <c r="GG63" s="341"/>
      <c r="GH63" s="341"/>
      <c r="GI63" s="341"/>
      <c r="GJ63" s="341"/>
      <c r="GK63" s="341"/>
      <c r="GL63" s="341"/>
      <c r="GM63" s="341"/>
      <c r="GN63" s="341"/>
      <c r="GO63" s="341"/>
      <c r="GP63" s="341"/>
      <c r="GQ63" s="341"/>
      <c r="GR63" s="341"/>
      <c r="GS63" s="341"/>
      <c r="GT63" s="341"/>
      <c r="GU63" s="341"/>
      <c r="GV63" s="341"/>
      <c r="GW63" s="341"/>
      <c r="GX63" s="341"/>
      <c r="GY63" s="341"/>
      <c r="GZ63" s="341"/>
      <c r="HA63" s="341"/>
      <c r="HB63" s="341"/>
      <c r="HC63" s="341"/>
      <c r="HD63" s="341"/>
      <c r="HE63" s="341"/>
      <c r="HF63" s="341"/>
      <c r="HG63" s="341"/>
      <c r="HH63" s="341"/>
      <c r="HI63" s="341"/>
      <c r="HJ63" s="341"/>
      <c r="HK63" s="341"/>
      <c r="HL63" s="341"/>
      <c r="HM63" s="341"/>
      <c r="HN63" s="341"/>
      <c r="HO63" s="341"/>
      <c r="HP63" s="341"/>
      <c r="HQ63" s="341"/>
      <c r="HR63" s="341"/>
      <c r="HS63" s="341"/>
      <c r="HT63" s="341"/>
      <c r="HU63" s="341"/>
      <c r="HV63" s="341"/>
      <c r="HW63" s="341"/>
      <c r="HX63" s="341"/>
      <c r="HY63" s="341"/>
      <c r="HZ63" s="341"/>
      <c r="IA63" s="341"/>
      <c r="IB63" s="341"/>
      <c r="IC63" s="341"/>
      <c r="ID63" s="341"/>
      <c r="IE63" s="341"/>
      <c r="IF63" s="341"/>
      <c r="IG63" s="341"/>
      <c r="IH63" s="341"/>
      <c r="II63" s="341"/>
      <c r="IJ63" s="341"/>
      <c r="IK63" s="341"/>
      <c r="IL63" s="341"/>
      <c r="IM63" s="341"/>
      <c r="IN63" s="341"/>
      <c r="IO63" s="341"/>
      <c r="IP63" s="341"/>
      <c r="IQ63" s="341"/>
      <c r="IR63" s="341"/>
      <c r="IS63" s="341"/>
      <c r="IT63" s="341"/>
      <c r="IU63" s="341"/>
      <c r="IV63" s="341"/>
      <c r="IW63" s="341"/>
      <c r="IX63" s="341"/>
      <c r="IY63" s="341"/>
      <c r="IZ63" s="341"/>
      <c r="JA63" s="341"/>
      <c r="JB63" s="341"/>
      <c r="JC63" s="341"/>
      <c r="JD63" s="341"/>
      <c r="JE63" s="341"/>
      <c r="JF63" s="341"/>
      <c r="JG63" s="341"/>
      <c r="JH63" s="341"/>
      <c r="JI63" s="341"/>
      <c r="JJ63" s="341"/>
      <c r="JK63" s="341"/>
      <c r="JL63" s="341"/>
      <c r="JM63" s="341"/>
      <c r="JN63" s="341"/>
    </row>
    <row r="64" spans="2:274" s="345" customFormat="1" ht="19.5" customHeight="1" x14ac:dyDescent="0.25">
      <c r="B64" s="361" t="s">
        <v>941</v>
      </c>
      <c r="C64" s="362" t="s">
        <v>936</v>
      </c>
      <c r="D64" s="345" t="s">
        <v>606</v>
      </c>
      <c r="E64" s="345" t="s">
        <v>752</v>
      </c>
      <c r="F64" s="363" t="s">
        <v>937</v>
      </c>
      <c r="G64" s="364" cm="1">
        <f t="array" aca="1" ref="G64" ca="1">IFERROR(INDEX(Panel_Rates[[1]:[12]],MATCH(Panel_New&amp;Category_New,Panel_Rates[Panel]&amp;Panel_Rates[Category],0),MATCH('Time Plan (Partial Phani)'!E64,OFFSET(Variable!$AF$2,MATCH(Panel_New&amp;Category_New,Panel_Rates[Panel]&amp;Panel_Rates[Category],0)-1,0,1,12),0))/8,"")</f>
        <v>245</v>
      </c>
      <c r="H64" s="326">
        <v>0.38</v>
      </c>
      <c r="I64" s="391">
        <f t="shared" ca="1" si="122"/>
        <v>151.9</v>
      </c>
      <c r="J64" s="398">
        <f t="shared" ca="1" si="133"/>
        <v>1215.2</v>
      </c>
      <c r="K64" s="366">
        <f>IFERROR(_xlfn.XLOOKUP(D64,CostTableLookup[Name],CostTableLookup[Gross Cost]),"")</f>
        <v>161</v>
      </c>
      <c r="L64" s="367"/>
      <c r="M64" s="368">
        <f t="shared" ca="1" si="123"/>
        <v>0</v>
      </c>
      <c r="N64" s="369"/>
      <c r="O64" s="368">
        <f t="shared" ca="1" si="124"/>
        <v>0</v>
      </c>
      <c r="P64" s="368">
        <f t="shared" ca="1" si="125"/>
        <v>0</v>
      </c>
      <c r="Q64" s="370">
        <f t="shared" si="126"/>
        <v>0</v>
      </c>
      <c r="R64" s="396" t="str">
        <f t="shared" ca="1" si="127"/>
        <v/>
      </c>
      <c r="S64" s="335">
        <f ca="1">IFERROR(SUM(OFFSET(Y64,0,MATCH(Forecast_New,$Y$3:$WQ$3,0)-1,1,500))*40,"")</f>
        <v>0</v>
      </c>
      <c r="T64" s="372">
        <f t="shared" ca="1" si="129"/>
        <v>0</v>
      </c>
      <c r="U64" s="373">
        <f t="shared" ca="1" si="130"/>
        <v>0</v>
      </c>
      <c r="V64" s="358">
        <f t="shared" ca="1" si="131"/>
        <v>0</v>
      </c>
      <c r="W64" s="339">
        <f t="shared" ca="1" si="76"/>
        <v>0</v>
      </c>
      <c r="X64" s="375" t="str">
        <f t="shared" ca="1" si="132"/>
        <v/>
      </c>
      <c r="Y64" s="376"/>
      <c r="Z64" s="376"/>
      <c r="AA64" s="376"/>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6"/>
      <c r="BB64" s="376"/>
      <c r="BC64" s="376"/>
      <c r="BD64" s="376"/>
      <c r="BE64" s="376"/>
      <c r="BF64" s="376"/>
      <c r="BG64" s="376"/>
      <c r="BH64" s="376"/>
      <c r="BI64" s="376"/>
      <c r="BJ64" s="376"/>
      <c r="BK64" s="376"/>
      <c r="BL64" s="376"/>
      <c r="BM64" s="376"/>
      <c r="BN64" s="376"/>
      <c r="BO64" s="376"/>
      <c r="BP64" s="376"/>
      <c r="BQ64" s="376"/>
      <c r="BR64" s="376"/>
      <c r="BS64" s="376"/>
      <c r="BT64" s="376"/>
      <c r="BU64" s="376"/>
      <c r="BV64" s="376"/>
      <c r="BW64" s="376"/>
      <c r="BX64" s="376"/>
      <c r="BY64" s="376"/>
      <c r="BZ64" s="376"/>
      <c r="CA64" s="376"/>
      <c r="CB64" s="376"/>
      <c r="CC64" s="376"/>
      <c r="CD64" s="376"/>
      <c r="CE64" s="376"/>
      <c r="CF64" s="376"/>
      <c r="CG64" s="376"/>
      <c r="CH64" s="376"/>
      <c r="CI64" s="376"/>
      <c r="CJ64" s="376"/>
      <c r="CK64" s="376"/>
      <c r="CL64" s="376"/>
      <c r="CM64" s="376"/>
      <c r="CN64" s="376"/>
      <c r="CO64" s="376"/>
      <c r="CP64" s="376"/>
      <c r="CQ64" s="376"/>
      <c r="CR64" s="376"/>
      <c r="CS64" s="376"/>
      <c r="CT64" s="376"/>
      <c r="CU64" s="376"/>
      <c r="CV64" s="376"/>
      <c r="CW64" s="376"/>
      <c r="CX64" s="376"/>
      <c r="CY64" s="376"/>
      <c r="CZ64" s="376"/>
      <c r="DA64" s="376"/>
      <c r="DB64" s="376"/>
      <c r="DC64" s="376"/>
      <c r="DD64" s="376"/>
      <c r="DE64" s="376"/>
      <c r="DF64" s="376"/>
      <c r="DG64" s="376"/>
      <c r="DH64" s="376"/>
      <c r="DI64" s="376"/>
      <c r="DJ64" s="376"/>
      <c r="DK64" s="376"/>
      <c r="DL64" s="376"/>
      <c r="DM64" s="376"/>
      <c r="DN64" s="376"/>
      <c r="DO64" s="376"/>
      <c r="DP64" s="376"/>
      <c r="DQ64" s="376"/>
      <c r="DR64" s="376"/>
      <c r="DS64" s="376"/>
      <c r="DT64" s="376"/>
      <c r="DU64" s="376"/>
      <c r="DV64" s="376"/>
      <c r="DW64" s="376"/>
      <c r="DX64" s="376"/>
      <c r="DY64" s="376"/>
      <c r="DZ64" s="376"/>
      <c r="EA64" s="376"/>
      <c r="EB64" s="376"/>
      <c r="EC64" s="376"/>
      <c r="ED64" s="376"/>
      <c r="EE64" s="376"/>
      <c r="EF64" s="376"/>
      <c r="EG64" s="376"/>
      <c r="EH64" s="376"/>
      <c r="EI64" s="376"/>
      <c r="EJ64" s="376"/>
      <c r="EK64" s="376"/>
      <c r="EL64" s="376"/>
      <c r="EM64" s="376"/>
      <c r="EN64" s="376"/>
      <c r="EO64" s="376"/>
      <c r="EP64" s="376"/>
      <c r="EQ64" s="376"/>
      <c r="ER64" s="376"/>
      <c r="ES64" s="376"/>
      <c r="ET64" s="376"/>
      <c r="EU64" s="376"/>
      <c r="EV64" s="376"/>
      <c r="EW64" s="376"/>
      <c r="EX64" s="376"/>
      <c r="EY64" s="376"/>
      <c r="EZ64" s="376"/>
      <c r="FA64" s="376"/>
      <c r="FB64" s="376"/>
      <c r="FC64" s="376"/>
      <c r="FD64" s="376"/>
      <c r="FE64" s="376"/>
      <c r="FF64" s="376"/>
      <c r="FG64" s="376"/>
      <c r="FH64" s="376"/>
      <c r="FI64" s="376"/>
      <c r="FJ64" s="376"/>
      <c r="FK64" s="376"/>
      <c r="FL64" s="376"/>
      <c r="FM64" s="376"/>
      <c r="FN64" s="376"/>
      <c r="FO64" s="376"/>
      <c r="FP64" s="376"/>
      <c r="FQ64" s="376"/>
      <c r="FR64" s="376"/>
      <c r="FS64" s="376"/>
      <c r="FT64" s="376"/>
      <c r="FU64" s="376"/>
      <c r="FV64" s="376"/>
      <c r="FW64" s="376"/>
      <c r="FX64" s="376"/>
      <c r="FY64" s="376"/>
      <c r="FZ64" s="376"/>
      <c r="GA64" s="376"/>
      <c r="GB64" s="376"/>
      <c r="GC64" s="376"/>
      <c r="GD64" s="376"/>
      <c r="GE64" s="376"/>
      <c r="GF64" s="376"/>
      <c r="GG64" s="376"/>
      <c r="GH64" s="376"/>
      <c r="GI64" s="376"/>
      <c r="GJ64" s="376"/>
      <c r="GK64" s="376"/>
      <c r="GL64" s="376"/>
      <c r="GM64" s="376"/>
      <c r="GN64" s="376"/>
      <c r="GO64" s="376"/>
      <c r="GP64" s="376"/>
      <c r="GQ64" s="376"/>
      <c r="GR64" s="376"/>
      <c r="GS64" s="376"/>
      <c r="GT64" s="376"/>
      <c r="GU64" s="376"/>
      <c r="GV64" s="376"/>
      <c r="GW64" s="376"/>
      <c r="GX64" s="376"/>
      <c r="GY64" s="376"/>
      <c r="GZ64" s="376"/>
      <c r="HA64" s="376"/>
      <c r="HB64" s="376"/>
      <c r="HC64" s="376"/>
      <c r="HD64" s="376"/>
      <c r="HE64" s="376"/>
      <c r="HF64" s="376"/>
      <c r="HG64" s="376"/>
      <c r="HH64" s="376"/>
      <c r="HI64" s="376"/>
      <c r="HJ64" s="376"/>
      <c r="HK64" s="376"/>
      <c r="HL64" s="376"/>
      <c r="HM64" s="376"/>
      <c r="HN64" s="376"/>
      <c r="HO64" s="376"/>
      <c r="HP64" s="376"/>
      <c r="HQ64" s="376"/>
      <c r="HR64" s="376"/>
      <c r="HS64" s="376"/>
      <c r="HT64" s="376"/>
      <c r="HU64" s="376"/>
      <c r="HV64" s="376"/>
      <c r="HW64" s="376"/>
      <c r="HX64" s="376"/>
      <c r="HY64" s="376"/>
      <c r="HZ64" s="376"/>
      <c r="IA64" s="376"/>
      <c r="IB64" s="376"/>
      <c r="IC64" s="376"/>
      <c r="ID64" s="376"/>
      <c r="IE64" s="376"/>
      <c r="IF64" s="376"/>
      <c r="IG64" s="376"/>
      <c r="IH64" s="376"/>
      <c r="II64" s="376"/>
      <c r="IJ64" s="376"/>
      <c r="IK64" s="376"/>
      <c r="IL64" s="376"/>
      <c r="IM64" s="376"/>
      <c r="IN64" s="376"/>
      <c r="IO64" s="376"/>
      <c r="IP64" s="376"/>
      <c r="IQ64" s="376"/>
      <c r="IR64" s="376"/>
      <c r="IS64" s="376"/>
      <c r="IT64" s="376"/>
      <c r="IU64" s="376"/>
      <c r="IV64" s="376"/>
      <c r="IW64" s="376"/>
      <c r="IX64" s="376"/>
      <c r="IY64" s="376"/>
      <c r="IZ64" s="376"/>
      <c r="JA64" s="376"/>
      <c r="JB64" s="376"/>
      <c r="JC64" s="376"/>
      <c r="JD64" s="376"/>
      <c r="JE64" s="376"/>
      <c r="JF64" s="376"/>
      <c r="JG64" s="376"/>
      <c r="JH64" s="376"/>
      <c r="JI64" s="376"/>
      <c r="JJ64" s="376"/>
      <c r="JK64" s="376"/>
      <c r="JL64" s="376"/>
      <c r="JM64" s="376"/>
      <c r="JN64" s="376"/>
    </row>
    <row r="66" spans="3:71" x14ac:dyDescent="0.25">
      <c r="C66" s="377" t="s">
        <v>942</v>
      </c>
      <c r="D66" s="378" t="str" cm="1">
        <f t="array" ref="D66:D76">_xlfn._xlws.FILTER(_xlfn.UNIQUE(D6:D64),_xlfn.UNIQUE(D6:D64)&lt;&gt;"")</f>
        <v>Anil Kinagi</v>
      </c>
      <c r="F66" s="321" t="str">
        <f>_xlfn.XLOOKUP(D66,D6:D64,F6:F64)</f>
        <v>Project Manager</v>
      </c>
      <c r="I66" s="379">
        <f t="shared" ref="I66:I76" ca="1" si="139">_xlfn.XLOOKUP($D66,$D$6:$D$64,$I$6:$I$64)</f>
        <v>207.39999999999998</v>
      </c>
      <c r="Y66" s="381" cm="1">
        <f t="array" ref="Y66">SUM(Y$6:Y$64*($D$6:$D$64=$D66))</f>
        <v>1</v>
      </c>
      <c r="Z66" s="381" cm="1">
        <f t="array" ref="Z66">SUM(Z$6:Z$64*($D$6:$D$64=$D66))</f>
        <v>1</v>
      </c>
      <c r="AA66" s="381" cm="1">
        <f t="array" ref="AA66">SUM(AA$6:AA$64*($D$6:$D$64=$D66))</f>
        <v>1</v>
      </c>
      <c r="AB66" s="381" cm="1">
        <f t="array" ref="AB66">SUM(AB$6:AB$64*($D$6:$D$64=$D66))</f>
        <v>1</v>
      </c>
      <c r="AC66" s="381" cm="1">
        <f t="array" ref="AC66">SUM(AC$6:AC$64*($D$6:$D$64=$D66))</f>
        <v>1</v>
      </c>
      <c r="AD66" s="381" cm="1">
        <f t="array" ref="AD66">SUM(AD$6:AD$64*($D$6:$D$64=$D66))</f>
        <v>1</v>
      </c>
      <c r="AE66" s="381" cm="1">
        <f t="array" ref="AE66">SUM(AE$6:AE$64*($D$6:$D$64=$D66))</f>
        <v>1</v>
      </c>
      <c r="AF66" s="381" cm="1">
        <f t="array" ref="AF66">SUM(AF$6:AF$64*($D$6:$D$64=$D66))</f>
        <v>0.8</v>
      </c>
      <c r="AG66" s="381" cm="1">
        <f t="array" ref="AG66">SUM(AG$6:AG$64*($D$6:$D$64=$D66))</f>
        <v>1</v>
      </c>
      <c r="AH66" s="381" cm="1">
        <f t="array" ref="AH66">SUM(AH$6:AH$64*($D$6:$D$64=$D66))</f>
        <v>1</v>
      </c>
      <c r="AI66" s="381" cm="1">
        <f t="array" ref="AI66">SUM(AI$6:AI$64*($D$6:$D$64=$D66))</f>
        <v>1</v>
      </c>
      <c r="AJ66" s="381" cm="1">
        <f t="array" ref="AJ66">SUM(AJ$6:AJ$64*($D$6:$D$64=$D66))</f>
        <v>1</v>
      </c>
      <c r="AK66" s="381" cm="1">
        <f t="array" ref="AK66">SUM(AK$6:AK$64*($D$6:$D$64=$D66))</f>
        <v>1</v>
      </c>
      <c r="AL66" s="381" cm="1">
        <f t="array" ref="AL66">SUM(AL$6:AL$64*($D$6:$D$64=$D66))</f>
        <v>1</v>
      </c>
      <c r="AM66" s="381" cm="1">
        <f t="array" ref="AM66">SUM(AM$6:AM$64*($D$6:$D$64=$D66))</f>
        <v>1</v>
      </c>
      <c r="AN66" s="381" cm="1">
        <f t="array" ref="AN66">SUM(AN$6:AN$64*($D$6:$D$64=$D66))</f>
        <v>1</v>
      </c>
      <c r="AO66" s="381" cm="1">
        <f t="array" ref="AO66">SUM(AO$6:AO$64*($D$6:$D$64=$D66))</f>
        <v>1</v>
      </c>
      <c r="AP66" s="381" cm="1">
        <f t="array" ref="AP66">SUM(AP$6:AP$64*($D$6:$D$64=$D66))</f>
        <v>1</v>
      </c>
      <c r="AQ66" s="381" cm="1">
        <f t="array" ref="AQ66">SUM(AQ$6:AQ$64*($D$6:$D$64=$D66))</f>
        <v>1</v>
      </c>
      <c r="AR66" s="381" cm="1">
        <f t="array" ref="AR66">SUM(AR$6:AR$64*($D$6:$D$64=$D66))</f>
        <v>0.5</v>
      </c>
      <c r="AS66" s="381" cm="1">
        <f t="array" ref="AS66">SUM(AS$6:AS$64*($D$6:$D$64=$D66))</f>
        <v>0.5</v>
      </c>
      <c r="AT66" s="381" cm="1">
        <f t="array" ref="AT66">SUM(AT$6:AT$64*($D$6:$D$64=$D66))</f>
        <v>0.5</v>
      </c>
      <c r="AU66" s="381" cm="1">
        <f t="array" ref="AU66">SUM(AU$6:AU$64*($D$6:$D$64=$D66))</f>
        <v>0.4</v>
      </c>
      <c r="AV66" s="381" cm="1">
        <f t="array" ref="AV66">SUM(AV$6:AV$64*($D$6:$D$64=$D66))</f>
        <v>0</v>
      </c>
      <c r="AW66" s="381" cm="1">
        <f t="array" ref="AW66">SUM(AW$6:AW$64*($D$6:$D$64=$D66))</f>
        <v>0</v>
      </c>
      <c r="AX66" s="381" cm="1">
        <f t="array" ref="AX66">SUM(AX$6:AX$64*($D$6:$D$64=$D66))</f>
        <v>0</v>
      </c>
      <c r="AY66" s="381" cm="1">
        <f t="array" ref="AY66">SUM(AY$6:AY$64*($D$6:$D$64=$D66))</f>
        <v>0</v>
      </c>
      <c r="AZ66" s="381" cm="1">
        <f t="array" ref="AZ66">SUM(AZ$6:AZ$64*($D$6:$D$64=$D66))</f>
        <v>0</v>
      </c>
      <c r="BA66" s="381" cm="1">
        <f t="array" ref="BA66">SUM(BA$6:BA$64*($D$6:$D$64=$D66))</f>
        <v>0</v>
      </c>
      <c r="BB66" s="381" cm="1">
        <f t="array" ref="BB66">SUM(BB$6:BB$64*($D$6:$D$64=$D66))</f>
        <v>0</v>
      </c>
      <c r="BC66" s="381" cm="1">
        <f t="array" ref="BC66">SUM(BC$6:BC$64*($D$6:$D$64=$D66))</f>
        <v>0</v>
      </c>
      <c r="BD66" s="381" cm="1">
        <f t="array" ref="BD66">SUM(BD$6:BD$64*($D$6:$D$64=$D66))</f>
        <v>0</v>
      </c>
      <c r="BE66" s="381" cm="1">
        <f t="array" ref="BE66">SUM(BE$6:BE$64*($D$6:$D$64=$D66))</f>
        <v>0</v>
      </c>
      <c r="BF66" s="381" cm="1">
        <f t="array" ref="BF66">SUM(BF$6:BF$64*($D$6:$D$64=$D66))</f>
        <v>0</v>
      </c>
      <c r="BG66" s="381" cm="1">
        <f t="array" ref="BG66">SUM(BG$6:BG$64*($D$6:$D$64=$D66))</f>
        <v>0</v>
      </c>
      <c r="BH66" s="381" cm="1">
        <f t="array" ref="BH66">SUM(BH$6:BH$64*($D$6:$D$64=$D66))</f>
        <v>0</v>
      </c>
      <c r="BI66" s="381" cm="1">
        <f t="array" ref="BI66">SUM(BI$6:BI$64*($D$6:$D$64=$D66))</f>
        <v>0</v>
      </c>
      <c r="BJ66" s="381" cm="1">
        <f t="array" ref="BJ66">SUM(BJ$6:BJ$64*($D$6:$D$64=$D66))</f>
        <v>0</v>
      </c>
      <c r="BK66" s="381" cm="1">
        <f t="array" ref="BK66">SUM(BK$6:BK$64*($D$6:$D$64=$D66))</f>
        <v>0</v>
      </c>
      <c r="BL66" s="381" cm="1">
        <f t="array" ref="BL66">SUM(BL$6:BL$64*($D$6:$D$64=$D66))</f>
        <v>0</v>
      </c>
      <c r="BM66" s="381" cm="1">
        <f t="array" ref="BM66">SUM(BM$6:BM$64*($D$6:$D$64=$D66))</f>
        <v>0</v>
      </c>
      <c r="BN66" s="381" cm="1">
        <f t="array" ref="BN66">SUM(BN$6:BN$64*($D$6:$D$64=$D66))</f>
        <v>0</v>
      </c>
      <c r="BO66" s="381" cm="1">
        <f t="array" ref="BO66">SUM(BO$6:BO$64*($D$6:$D$64=$D66))</f>
        <v>0</v>
      </c>
      <c r="BP66" s="381" cm="1">
        <f t="array" ref="BP66">SUM(BP$6:BP$64*($D$6:$D$64=$D66))</f>
        <v>0</v>
      </c>
      <c r="BQ66" s="381" cm="1">
        <f t="array" ref="BQ66">SUM(BQ$6:BQ$64*($D$6:$D$64=$D66))</f>
        <v>0</v>
      </c>
      <c r="BR66" s="381" cm="1">
        <f t="array" ref="BR66">SUM(BR$6:BR$64*($D$6:$D$64=$D66))</f>
        <v>0</v>
      </c>
      <c r="BS66" s="381" cm="1">
        <f t="array" ref="BS66">SUM(BS$6:BS$64*($D$6:$D$64=$D66))</f>
        <v>0</v>
      </c>
    </row>
    <row r="67" spans="3:71" x14ac:dyDescent="0.25">
      <c r="C67" s="378"/>
      <c r="D67" s="378" t="str">
        <v>Lacy Pejcinovic</v>
      </c>
      <c r="F67" s="321" t="str">
        <f>_xlfn.XLOOKUP(D67,D7:D65,F7:F65)</f>
        <v>Business Analyst</v>
      </c>
      <c r="I67" s="379">
        <f t="shared" ca="1" si="139"/>
        <v>151.9</v>
      </c>
      <c r="Y67" s="381" cm="1">
        <f t="array" ref="Y67">SUM(Y$6:Y$64*($D$6:$D$64=$D67))</f>
        <v>1.7</v>
      </c>
      <c r="Z67" s="381" cm="1">
        <f t="array" ref="Z67">SUM(Z$6:Z$64*($D$6:$D$64=$D67))</f>
        <v>1.1000000000000001</v>
      </c>
      <c r="AA67" s="381" cm="1">
        <f t="array" ref="AA67">SUM(AA$6:AA$64*($D$6:$D$64=$D67))</f>
        <v>0.7</v>
      </c>
      <c r="AB67" s="381" cm="1">
        <f t="array" ref="AB67">SUM(AB$6:AB$64*($D$6:$D$64=$D67))</f>
        <v>1</v>
      </c>
      <c r="AC67" s="381" cm="1">
        <f t="array" ref="AC67">SUM(AC$6:AC$64*($D$6:$D$64=$D67))</f>
        <v>1</v>
      </c>
      <c r="AD67" s="381" cm="1">
        <f t="array" ref="AD67">SUM(AD$6:AD$64*($D$6:$D$64=$D67))</f>
        <v>1</v>
      </c>
      <c r="AE67" s="381" cm="1">
        <f t="array" ref="AE67">SUM(AE$6:AE$64*($D$6:$D$64=$D67))</f>
        <v>1</v>
      </c>
      <c r="AF67" s="381" cm="1">
        <f t="array" ref="AF67">SUM(AF$6:AF$64*($D$6:$D$64=$D67))</f>
        <v>0</v>
      </c>
      <c r="AG67" s="381" cm="1">
        <f t="array" ref="AG67">SUM(AG$6:AG$64*($D$6:$D$64=$D67))</f>
        <v>0</v>
      </c>
      <c r="AH67" s="381" cm="1">
        <f t="array" ref="AH67">SUM(AH$6:AH$64*($D$6:$D$64=$D67))</f>
        <v>0</v>
      </c>
      <c r="AI67" s="381" cm="1">
        <f t="array" ref="AI67">SUM(AI$6:AI$64*($D$6:$D$64=$D67))</f>
        <v>0</v>
      </c>
      <c r="AJ67" s="381" cm="1">
        <f t="array" ref="AJ67">SUM(AJ$6:AJ$64*($D$6:$D$64=$D67))</f>
        <v>0</v>
      </c>
      <c r="AK67" s="381" cm="1">
        <f t="array" ref="AK67">SUM(AK$6:AK$64*($D$6:$D$64=$D67))</f>
        <v>0</v>
      </c>
      <c r="AL67" s="381" cm="1">
        <f t="array" ref="AL67">SUM(AL$6:AL$64*($D$6:$D$64=$D67))</f>
        <v>0</v>
      </c>
      <c r="AM67" s="381" cm="1">
        <f t="array" ref="AM67">SUM(AM$6:AM$64*($D$6:$D$64=$D67))</f>
        <v>0</v>
      </c>
      <c r="AN67" s="381" cm="1">
        <f t="array" ref="AN67">SUM(AN$6:AN$64*($D$6:$D$64=$D67))</f>
        <v>0</v>
      </c>
      <c r="AO67" s="381" cm="1">
        <f t="array" ref="AO67">SUM(AO$6:AO$64*($D$6:$D$64=$D67))</f>
        <v>0</v>
      </c>
      <c r="AP67" s="381" cm="1">
        <f t="array" ref="AP67">SUM(AP$6:AP$64*($D$6:$D$64=$D67))</f>
        <v>0</v>
      </c>
      <c r="AQ67" s="381" cm="1">
        <f t="array" ref="AQ67">SUM(AQ$6:AQ$64*($D$6:$D$64=$D67))</f>
        <v>0</v>
      </c>
      <c r="AR67" s="381" cm="1">
        <f t="array" ref="AR67">SUM(AR$6:AR$64*($D$6:$D$64=$D67))</f>
        <v>0</v>
      </c>
      <c r="AS67" s="381" cm="1">
        <f t="array" ref="AS67">SUM(AS$6:AS$64*($D$6:$D$64=$D67))</f>
        <v>0</v>
      </c>
      <c r="AT67" s="381" cm="1">
        <f t="array" ref="AT67">SUM(AT$6:AT$64*($D$6:$D$64=$D67))</f>
        <v>0</v>
      </c>
      <c r="AU67" s="381" cm="1">
        <f t="array" ref="AU67">SUM(AU$6:AU$64*($D$6:$D$64=$D67))</f>
        <v>0</v>
      </c>
      <c r="AV67" s="381" cm="1">
        <f t="array" ref="AV67">SUM(AV$6:AV$64*($D$6:$D$64=$D67))</f>
        <v>0</v>
      </c>
      <c r="AW67" s="381" cm="1">
        <f t="array" ref="AW67">SUM(AW$6:AW$64*($D$6:$D$64=$D67))</f>
        <v>0</v>
      </c>
      <c r="AX67" s="381" cm="1">
        <f t="array" ref="AX67">SUM(AX$6:AX$64*($D$6:$D$64=$D67))</f>
        <v>0</v>
      </c>
      <c r="AY67" s="381" cm="1">
        <f t="array" ref="AY67">SUM(AY$6:AY$64*($D$6:$D$64=$D67))</f>
        <v>0</v>
      </c>
      <c r="AZ67" s="381" cm="1">
        <f t="array" ref="AZ67">SUM(AZ$6:AZ$64*($D$6:$D$64=$D67))</f>
        <v>0</v>
      </c>
      <c r="BA67" s="381" cm="1">
        <f t="array" ref="BA67">SUM(BA$6:BA$64*($D$6:$D$64=$D67))</f>
        <v>0</v>
      </c>
      <c r="BB67" s="381" cm="1">
        <f t="array" ref="BB67">SUM(BB$6:BB$64*($D$6:$D$64=$D67))</f>
        <v>0</v>
      </c>
      <c r="BC67" s="381" cm="1">
        <f t="array" ref="BC67">SUM(BC$6:BC$64*($D$6:$D$64=$D67))</f>
        <v>0</v>
      </c>
      <c r="BD67" s="381" cm="1">
        <f t="array" ref="BD67">SUM(BD$6:BD$64*($D$6:$D$64=$D67))</f>
        <v>0</v>
      </c>
      <c r="BE67" s="381" cm="1">
        <f t="array" ref="BE67">SUM(BE$6:BE$64*($D$6:$D$64=$D67))</f>
        <v>0</v>
      </c>
      <c r="BF67" s="381" cm="1">
        <f t="array" ref="BF67">SUM(BF$6:BF$64*($D$6:$D$64=$D67))</f>
        <v>0</v>
      </c>
      <c r="BG67" s="381" cm="1">
        <f t="array" ref="BG67">SUM(BG$6:BG$64*($D$6:$D$64=$D67))</f>
        <v>0</v>
      </c>
      <c r="BH67" s="381" cm="1">
        <f t="array" ref="BH67">SUM(BH$6:BH$64*($D$6:$D$64=$D67))</f>
        <v>0</v>
      </c>
      <c r="BI67" s="381" cm="1">
        <f t="array" ref="BI67">SUM(BI$6:BI$64*($D$6:$D$64=$D67))</f>
        <v>0</v>
      </c>
      <c r="BJ67" s="381" cm="1">
        <f t="array" ref="BJ67">SUM(BJ$6:BJ$64*($D$6:$D$64=$D67))</f>
        <v>0</v>
      </c>
      <c r="BK67" s="381" cm="1">
        <f t="array" ref="BK67">SUM(BK$6:BK$64*($D$6:$D$64=$D67))</f>
        <v>0</v>
      </c>
      <c r="BL67" s="381" cm="1">
        <f t="array" ref="BL67">SUM(BL$6:BL$64*($D$6:$D$64=$D67))</f>
        <v>0</v>
      </c>
      <c r="BM67" s="381" cm="1">
        <f t="array" ref="BM67">SUM(BM$6:BM$64*($D$6:$D$64=$D67))</f>
        <v>0</v>
      </c>
      <c r="BN67" s="381" cm="1">
        <f t="array" ref="BN67">SUM(BN$6:BN$64*($D$6:$D$64=$D67))</f>
        <v>0</v>
      </c>
      <c r="BO67" s="381" cm="1">
        <f t="array" ref="BO67">SUM(BO$6:BO$64*($D$6:$D$64=$D67))</f>
        <v>0</v>
      </c>
      <c r="BP67" s="381" cm="1">
        <f t="array" ref="BP67">SUM(BP$6:BP$64*($D$6:$D$64=$D67))</f>
        <v>0</v>
      </c>
      <c r="BQ67" s="381" cm="1">
        <f t="array" ref="BQ67">SUM(BQ$6:BQ$64*($D$6:$D$64=$D67))</f>
        <v>0</v>
      </c>
      <c r="BR67" s="381" cm="1">
        <f t="array" ref="BR67">SUM(BR$6:BR$64*($D$6:$D$64=$D67))</f>
        <v>0</v>
      </c>
      <c r="BS67" s="381" cm="1">
        <f t="array" ref="BS67">SUM(BS$6:BS$64*($D$6:$D$64=$D67))</f>
        <v>0</v>
      </c>
    </row>
    <row r="68" spans="3:71" x14ac:dyDescent="0.25">
      <c r="C68" s="378"/>
      <c r="D68" s="378" t="str">
        <v>Lynne Sutherland</v>
      </c>
      <c r="F68" s="321" t="str">
        <f>_xlfn.XLOOKUP(D68,D8:D66,F8:F66)</f>
        <v>Business Analyst</v>
      </c>
      <c r="I68" s="379">
        <f t="shared" ca="1" si="139"/>
        <v>151.9</v>
      </c>
      <c r="Y68" s="381" cm="1">
        <f t="array" ref="Y68">SUM(Y$6:Y$64*($D$6:$D$64=$D68))</f>
        <v>1</v>
      </c>
      <c r="Z68" s="381" cm="1">
        <f t="array" ref="Z68">SUM(Z$6:Z$64*($D$6:$D$64=$D68))</f>
        <v>1</v>
      </c>
      <c r="AA68" s="381" cm="1">
        <f t="array" ref="AA68">SUM(AA$6:AA$64*($D$6:$D$64=$D68))</f>
        <v>1</v>
      </c>
      <c r="AB68" s="381" cm="1">
        <f t="array" ref="AB68">SUM(AB$6:AB$64*($D$6:$D$64=$D68))</f>
        <v>1</v>
      </c>
      <c r="AC68" s="381" cm="1">
        <f t="array" ref="AC68">SUM(AC$6:AC$64*($D$6:$D$64=$D68))</f>
        <v>1</v>
      </c>
      <c r="AD68" s="381" cm="1">
        <f t="array" ref="AD68">SUM(AD$6:AD$64*($D$6:$D$64=$D68))</f>
        <v>1</v>
      </c>
      <c r="AE68" s="381" cm="1">
        <f t="array" ref="AE68">SUM(AE$6:AE$64*($D$6:$D$64=$D68))</f>
        <v>1</v>
      </c>
      <c r="AF68" s="381" cm="1">
        <f t="array" ref="AF68">SUM(AF$6:AF$64*($D$6:$D$64=$D68))</f>
        <v>1</v>
      </c>
      <c r="AG68" s="381" cm="1">
        <f t="array" ref="AG68">SUM(AG$6:AG$64*($D$6:$D$64=$D68))</f>
        <v>1</v>
      </c>
      <c r="AH68" s="381" cm="1">
        <f t="array" ref="AH68">SUM(AH$6:AH$64*($D$6:$D$64=$D68))</f>
        <v>1</v>
      </c>
      <c r="AI68" s="381" cm="1">
        <f t="array" ref="AI68">SUM(AI$6:AI$64*($D$6:$D$64=$D68))</f>
        <v>1</v>
      </c>
      <c r="AJ68" s="381" cm="1">
        <f t="array" ref="AJ68">SUM(AJ$6:AJ$64*($D$6:$D$64=$D68))</f>
        <v>1</v>
      </c>
      <c r="AK68" s="381" cm="1">
        <f t="array" ref="AK68">SUM(AK$6:AK$64*($D$6:$D$64=$D68))</f>
        <v>1</v>
      </c>
      <c r="AL68" s="381" cm="1">
        <f t="array" ref="AL68">SUM(AL$6:AL$64*($D$6:$D$64=$D68))</f>
        <v>1</v>
      </c>
      <c r="AM68" s="381" cm="1">
        <f t="array" ref="AM68">SUM(AM$6:AM$64*($D$6:$D$64=$D68))</f>
        <v>1</v>
      </c>
      <c r="AN68" s="381" cm="1">
        <f t="array" ref="AN68">SUM(AN$6:AN$64*($D$6:$D$64=$D68))</f>
        <v>0</v>
      </c>
      <c r="AO68" s="381" cm="1">
        <f t="array" ref="AO68">SUM(AO$6:AO$64*($D$6:$D$64=$D68))</f>
        <v>0</v>
      </c>
      <c r="AP68" s="381" cm="1">
        <f t="array" ref="AP68">SUM(AP$6:AP$64*($D$6:$D$64=$D68))</f>
        <v>0</v>
      </c>
      <c r="AQ68" s="381" cm="1">
        <f t="array" ref="AQ68">SUM(AQ$6:AQ$64*($D$6:$D$64=$D68))</f>
        <v>0</v>
      </c>
      <c r="AR68" s="381" cm="1">
        <f t="array" ref="AR68">SUM(AR$6:AR$64*($D$6:$D$64=$D68))</f>
        <v>0</v>
      </c>
      <c r="AS68" s="381" cm="1">
        <f t="array" ref="AS68">SUM(AS$6:AS$64*($D$6:$D$64=$D68))</f>
        <v>0</v>
      </c>
      <c r="AT68" s="381" cm="1">
        <f t="array" ref="AT68">SUM(AT$6:AT$64*($D$6:$D$64=$D68))</f>
        <v>0</v>
      </c>
      <c r="AU68" s="381" cm="1">
        <f t="array" ref="AU68">SUM(AU$6:AU$64*($D$6:$D$64=$D68))</f>
        <v>0</v>
      </c>
      <c r="AV68" s="381" cm="1">
        <f t="array" ref="AV68">SUM(AV$6:AV$64*($D$6:$D$64=$D68))</f>
        <v>0</v>
      </c>
      <c r="AW68" s="381" cm="1">
        <f t="array" ref="AW68">SUM(AW$6:AW$64*($D$6:$D$64=$D68))</f>
        <v>0</v>
      </c>
      <c r="AX68" s="381" cm="1">
        <f t="array" ref="AX68">SUM(AX$6:AX$64*($D$6:$D$64=$D68))</f>
        <v>0</v>
      </c>
      <c r="AY68" s="381" cm="1">
        <f t="array" ref="AY68">SUM(AY$6:AY$64*($D$6:$D$64=$D68))</f>
        <v>0</v>
      </c>
      <c r="AZ68" s="381" cm="1">
        <f t="array" ref="AZ68">SUM(AZ$6:AZ$64*($D$6:$D$64=$D68))</f>
        <v>0</v>
      </c>
      <c r="BA68" s="381" cm="1">
        <f t="array" ref="BA68">SUM(BA$6:BA$64*($D$6:$D$64=$D68))</f>
        <v>0</v>
      </c>
      <c r="BB68" s="381" cm="1">
        <f t="array" ref="BB68">SUM(BB$6:BB$64*($D$6:$D$64=$D68))</f>
        <v>0</v>
      </c>
      <c r="BC68" s="381" cm="1">
        <f t="array" ref="BC68">SUM(BC$6:BC$64*($D$6:$D$64=$D68))</f>
        <v>0</v>
      </c>
      <c r="BD68" s="381" cm="1">
        <f t="array" ref="BD68">SUM(BD$6:BD$64*($D$6:$D$64=$D68))</f>
        <v>0</v>
      </c>
      <c r="BE68" s="381" cm="1">
        <f t="array" ref="BE68">SUM(BE$6:BE$64*($D$6:$D$64=$D68))</f>
        <v>0</v>
      </c>
      <c r="BF68" s="381" cm="1">
        <f t="array" ref="BF68">SUM(BF$6:BF$64*($D$6:$D$64=$D68))</f>
        <v>0</v>
      </c>
      <c r="BG68" s="381" cm="1">
        <f t="array" ref="BG68">SUM(BG$6:BG$64*($D$6:$D$64=$D68))</f>
        <v>0</v>
      </c>
      <c r="BH68" s="381" cm="1">
        <f t="array" ref="BH68">SUM(BH$6:BH$64*($D$6:$D$64=$D68))</f>
        <v>0</v>
      </c>
      <c r="BI68" s="381" cm="1">
        <f t="array" ref="BI68">SUM(BI$6:BI$64*($D$6:$D$64=$D68))</f>
        <v>0</v>
      </c>
      <c r="BJ68" s="381" cm="1">
        <f t="array" ref="BJ68">SUM(BJ$6:BJ$64*($D$6:$D$64=$D68))</f>
        <v>0</v>
      </c>
      <c r="BK68" s="381" cm="1">
        <f t="array" ref="BK68">SUM(BK$6:BK$64*($D$6:$D$64=$D68))</f>
        <v>0</v>
      </c>
      <c r="BL68" s="381" cm="1">
        <f t="array" ref="BL68">SUM(BL$6:BL$64*($D$6:$D$64=$D68))</f>
        <v>0</v>
      </c>
      <c r="BM68" s="381" cm="1">
        <f t="array" ref="BM68">SUM(BM$6:BM$64*($D$6:$D$64=$D68))</f>
        <v>0</v>
      </c>
      <c r="BN68" s="381" cm="1">
        <f t="array" ref="BN68">SUM(BN$6:BN$64*($D$6:$D$64=$D68))</f>
        <v>0</v>
      </c>
      <c r="BO68" s="381" cm="1">
        <f t="array" ref="BO68">SUM(BO$6:BO$64*($D$6:$D$64=$D68))</f>
        <v>0</v>
      </c>
      <c r="BP68" s="381" cm="1">
        <f t="array" ref="BP68">SUM(BP$6:BP$64*($D$6:$D$64=$D68))</f>
        <v>0</v>
      </c>
      <c r="BQ68" s="381" cm="1">
        <f t="array" ref="BQ68">SUM(BQ$6:BQ$64*($D$6:$D$64=$D68))</f>
        <v>0</v>
      </c>
      <c r="BR68" s="381" cm="1">
        <f t="array" ref="BR68">SUM(BR$6:BR$64*($D$6:$D$64=$D68))</f>
        <v>0</v>
      </c>
      <c r="BS68" s="381" cm="1">
        <f t="array" ref="BS68">SUM(BS$6:BS$64*($D$6:$D$64=$D68))</f>
        <v>0</v>
      </c>
    </row>
    <row r="69" spans="3:71" x14ac:dyDescent="0.25">
      <c r="C69" s="378"/>
      <c r="D69" s="378" t="str">
        <v>Hadas Yehezkel</v>
      </c>
      <c r="F69" s="321" t="str">
        <f>_xlfn.XLOOKUP(D69,D9:D67,F9:F67)</f>
        <v>ServiceNow Architect</v>
      </c>
      <c r="I69" s="379">
        <f t="shared" ca="1" si="139"/>
        <v>237</v>
      </c>
      <c r="Y69" s="381" cm="1">
        <f t="array" ref="Y69">SUM(Y$6:Y$64*($D$6:$D$64=$D69))</f>
        <v>0.7</v>
      </c>
      <c r="Z69" s="381" cm="1">
        <f t="array" ref="Z69">SUM(Z$6:Z$64*($D$6:$D$64=$D69))</f>
        <v>0.5</v>
      </c>
      <c r="AA69" s="381" cm="1">
        <f t="array" ref="AA69">SUM(AA$6:AA$64*($D$6:$D$64=$D69))</f>
        <v>0.5</v>
      </c>
      <c r="AB69" s="381" cm="1">
        <f t="array" ref="AB69">SUM(AB$6:AB$64*($D$6:$D$64=$D69))</f>
        <v>1</v>
      </c>
      <c r="AC69" s="381" cm="1">
        <f t="array" ref="AC69">SUM(AC$6:AC$64*($D$6:$D$64=$D69))</f>
        <v>0.25</v>
      </c>
      <c r="AD69" s="381" cm="1">
        <f t="array" ref="AD69">SUM(AD$6:AD$64*($D$6:$D$64=$D69))</f>
        <v>0.25</v>
      </c>
      <c r="AE69" s="381" cm="1">
        <f t="array" ref="AE69">SUM(AE$6:AE$64*($D$6:$D$64=$D69))</f>
        <v>0.25</v>
      </c>
      <c r="AF69" s="381" cm="1">
        <f t="array" ref="AF69">SUM(AF$6:AF$64*($D$6:$D$64=$D69))</f>
        <v>0.5</v>
      </c>
      <c r="AG69" s="381" cm="1">
        <f t="array" ref="AG69">SUM(AG$6:AG$64*($D$6:$D$64=$D69))</f>
        <v>0.5</v>
      </c>
      <c r="AH69" s="381" cm="1">
        <f t="array" ref="AH69">SUM(AH$6:AH$64*($D$6:$D$64=$D69))</f>
        <v>0.5</v>
      </c>
      <c r="AI69" s="381" cm="1">
        <f t="array" ref="AI69">SUM(AI$6:AI$64*($D$6:$D$64=$D69))</f>
        <v>0.5</v>
      </c>
      <c r="AJ69" s="381" cm="1">
        <f t="array" ref="AJ69">SUM(AJ$6:AJ$64*($D$6:$D$64=$D69))</f>
        <v>0.5</v>
      </c>
      <c r="AK69" s="381" cm="1">
        <f t="array" ref="AK69">SUM(AK$6:AK$64*($D$6:$D$64=$D69))</f>
        <v>0.5</v>
      </c>
      <c r="AL69" s="381" cm="1">
        <f t="array" ref="AL69">SUM(AL$6:AL$64*($D$6:$D$64=$D69))</f>
        <v>0.5</v>
      </c>
      <c r="AM69" s="381" cm="1">
        <f t="array" ref="AM69">SUM(AM$6:AM$64*($D$6:$D$64=$D69))</f>
        <v>0.5</v>
      </c>
      <c r="AN69" s="381" cm="1">
        <f t="array" ref="AN69">SUM(AN$6:AN$64*($D$6:$D$64=$D69))</f>
        <v>0</v>
      </c>
      <c r="AO69" s="381" cm="1">
        <f t="array" ref="AO69">SUM(AO$6:AO$64*($D$6:$D$64=$D69))</f>
        <v>0</v>
      </c>
      <c r="AP69" s="381" cm="1">
        <f t="array" ref="AP69">SUM(AP$6:AP$64*($D$6:$D$64=$D69))</f>
        <v>0</v>
      </c>
      <c r="AQ69" s="381" cm="1">
        <f t="array" ref="AQ69">SUM(AQ$6:AQ$64*($D$6:$D$64=$D69))</f>
        <v>0</v>
      </c>
      <c r="AR69" s="381" cm="1">
        <f t="array" ref="AR69">SUM(AR$6:AR$64*($D$6:$D$64=$D69))</f>
        <v>0</v>
      </c>
      <c r="AS69" s="381" cm="1">
        <f t="array" ref="AS69">SUM(AS$6:AS$64*($D$6:$D$64=$D69))</f>
        <v>0</v>
      </c>
      <c r="AT69" s="381" cm="1">
        <f t="array" ref="AT69">SUM(AT$6:AT$64*($D$6:$D$64=$D69))</f>
        <v>0</v>
      </c>
      <c r="AU69" s="381" cm="1">
        <f t="array" ref="AU69">SUM(AU$6:AU$64*($D$6:$D$64=$D69))</f>
        <v>0</v>
      </c>
      <c r="AV69" s="381" cm="1">
        <f t="array" ref="AV69">SUM(AV$6:AV$64*($D$6:$D$64=$D69))</f>
        <v>0</v>
      </c>
      <c r="AW69" s="381" cm="1">
        <f t="array" ref="AW69">SUM(AW$6:AW$64*($D$6:$D$64=$D69))</f>
        <v>0</v>
      </c>
      <c r="AX69" s="381" cm="1">
        <f t="array" ref="AX69">SUM(AX$6:AX$64*($D$6:$D$64=$D69))</f>
        <v>0</v>
      </c>
      <c r="AY69" s="381" cm="1">
        <f t="array" ref="AY69">SUM(AY$6:AY$64*($D$6:$D$64=$D69))</f>
        <v>0</v>
      </c>
      <c r="AZ69" s="381" cm="1">
        <f t="array" ref="AZ69">SUM(AZ$6:AZ$64*($D$6:$D$64=$D69))</f>
        <v>0</v>
      </c>
      <c r="BA69" s="381" cm="1">
        <f t="array" ref="BA69">SUM(BA$6:BA$64*($D$6:$D$64=$D69))</f>
        <v>0</v>
      </c>
      <c r="BB69" s="381" cm="1">
        <f t="array" ref="BB69">SUM(BB$6:BB$64*($D$6:$D$64=$D69))</f>
        <v>0</v>
      </c>
      <c r="BC69" s="381" cm="1">
        <f t="array" ref="BC69">SUM(BC$6:BC$64*($D$6:$D$64=$D69))</f>
        <v>0</v>
      </c>
      <c r="BD69" s="381" cm="1">
        <f t="array" ref="BD69">SUM(BD$6:BD$64*($D$6:$D$64=$D69))</f>
        <v>0</v>
      </c>
      <c r="BE69" s="381" cm="1">
        <f t="array" ref="BE69">SUM(BE$6:BE$64*($D$6:$D$64=$D69))</f>
        <v>0</v>
      </c>
      <c r="BF69" s="381" cm="1">
        <f t="array" ref="BF69">SUM(BF$6:BF$64*($D$6:$D$64=$D69))</f>
        <v>0</v>
      </c>
      <c r="BG69" s="381" cm="1">
        <f t="array" ref="BG69">SUM(BG$6:BG$64*($D$6:$D$64=$D69))</f>
        <v>0</v>
      </c>
      <c r="BH69" s="381" cm="1">
        <f t="array" ref="BH69">SUM(BH$6:BH$64*($D$6:$D$64=$D69))</f>
        <v>0</v>
      </c>
      <c r="BI69" s="381" cm="1">
        <f t="array" ref="BI69">SUM(BI$6:BI$64*($D$6:$D$64=$D69))</f>
        <v>0</v>
      </c>
      <c r="BJ69" s="381" cm="1">
        <f t="array" ref="BJ69">SUM(BJ$6:BJ$64*($D$6:$D$64=$D69))</f>
        <v>0</v>
      </c>
      <c r="BK69" s="381" cm="1">
        <f t="array" ref="BK69">SUM(BK$6:BK$64*($D$6:$D$64=$D69))</f>
        <v>0</v>
      </c>
      <c r="BL69" s="381" cm="1">
        <f t="array" ref="BL69">SUM(BL$6:BL$64*($D$6:$D$64=$D69))</f>
        <v>0</v>
      </c>
      <c r="BM69" s="381" cm="1">
        <f t="array" ref="BM69">SUM(BM$6:BM$64*($D$6:$D$64=$D69))</f>
        <v>0</v>
      </c>
      <c r="BN69" s="381" cm="1">
        <f t="array" ref="BN69">SUM(BN$6:BN$64*($D$6:$D$64=$D69))</f>
        <v>0</v>
      </c>
      <c r="BO69" s="381" cm="1">
        <f t="array" ref="BO69">SUM(BO$6:BO$64*($D$6:$D$64=$D69))</f>
        <v>0</v>
      </c>
      <c r="BP69" s="381" cm="1">
        <f t="array" ref="BP69">SUM(BP$6:BP$64*($D$6:$D$64=$D69))</f>
        <v>0</v>
      </c>
      <c r="BQ69" s="381" cm="1">
        <f t="array" ref="BQ69">SUM(BQ$6:BQ$64*($D$6:$D$64=$D69))</f>
        <v>0</v>
      </c>
      <c r="BR69" s="381" cm="1">
        <f t="array" ref="BR69">SUM(BR$6:BR$64*($D$6:$D$64=$D69))</f>
        <v>0</v>
      </c>
      <c r="BS69" s="381" cm="1">
        <f t="array" ref="BS69">SUM(BS$6:BS$64*($D$6:$D$64=$D69))</f>
        <v>0</v>
      </c>
    </row>
    <row r="70" spans="3:71" x14ac:dyDescent="0.25">
      <c r="C70" s="378"/>
      <c r="D70" s="378" t="str">
        <v>Bradley Burge</v>
      </c>
      <c r="F70" s="321" t="str">
        <f>_xlfn.XLOOKUP(D70,D10:D68,F10:F68)</f>
        <v>Lead ServiceNow Developer</v>
      </c>
      <c r="I70" s="379">
        <f t="shared" ca="1" si="139"/>
        <v>207.39999999999998</v>
      </c>
      <c r="Y70" s="381" cm="1">
        <f t="array" ref="Y70">SUM(Y$6:Y$64*($D$6:$D$64=$D70))</f>
        <v>0</v>
      </c>
      <c r="Z70" s="381" cm="1">
        <f t="array" ref="Z70">SUM(Z$6:Z$64*($D$6:$D$64=$D70))</f>
        <v>0</v>
      </c>
      <c r="AA70" s="381" cm="1">
        <f t="array" ref="AA70">SUM(AA$6:AA$64*($D$6:$D$64=$D70))</f>
        <v>0.5</v>
      </c>
      <c r="AB70" s="381" cm="1">
        <f t="array" ref="AB70">SUM(AB$6:AB$64*($D$6:$D$64=$D70))</f>
        <v>1.5</v>
      </c>
      <c r="AC70" s="381" cm="1">
        <f t="array" ref="AC70">SUM(AC$6:AC$64*($D$6:$D$64=$D70))</f>
        <v>1</v>
      </c>
      <c r="AD70" s="381" cm="1">
        <f t="array" ref="AD70">SUM(AD$6:AD$64*($D$6:$D$64=$D70))</f>
        <v>1</v>
      </c>
      <c r="AE70" s="381" cm="1">
        <f t="array" ref="AE70">SUM(AE$6:AE$64*($D$6:$D$64=$D70))</f>
        <v>1</v>
      </c>
      <c r="AF70" s="381" cm="1">
        <f t="array" ref="AF70">SUM(AF$6:AF$64*($D$6:$D$64=$D70))</f>
        <v>1</v>
      </c>
      <c r="AG70" s="381" cm="1">
        <f t="array" ref="AG70">SUM(AG$6:AG$64*($D$6:$D$64=$D70))</f>
        <v>1</v>
      </c>
      <c r="AH70" s="381" cm="1">
        <f t="array" ref="AH70">SUM(AH$6:AH$64*($D$6:$D$64=$D70))</f>
        <v>1</v>
      </c>
      <c r="AI70" s="381" cm="1">
        <f t="array" ref="AI70">SUM(AI$6:AI$64*($D$6:$D$64=$D70))</f>
        <v>1</v>
      </c>
      <c r="AJ70" s="381" cm="1">
        <f t="array" ref="AJ70">SUM(AJ$6:AJ$64*($D$6:$D$64=$D70))</f>
        <v>1</v>
      </c>
      <c r="AK70" s="381" cm="1">
        <f t="array" ref="AK70">SUM(AK$6:AK$64*($D$6:$D$64=$D70))</f>
        <v>1</v>
      </c>
      <c r="AL70" s="381" cm="1">
        <f t="array" ref="AL70">SUM(AL$6:AL$64*($D$6:$D$64=$D70))</f>
        <v>1</v>
      </c>
      <c r="AM70" s="381" cm="1">
        <f t="array" ref="AM70">SUM(AM$6:AM$64*($D$6:$D$64=$D70))</f>
        <v>1</v>
      </c>
      <c r="AN70" s="381" cm="1">
        <f t="array" ref="AN70">SUM(AN$6:AN$64*($D$6:$D$64=$D70))</f>
        <v>1</v>
      </c>
      <c r="AO70" s="381" cm="1">
        <f t="array" ref="AO70">SUM(AO$6:AO$64*($D$6:$D$64=$D70))</f>
        <v>1</v>
      </c>
      <c r="AP70" s="381" cm="1">
        <f t="array" ref="AP70">SUM(AP$6:AP$64*($D$6:$D$64=$D70))</f>
        <v>1</v>
      </c>
      <c r="AQ70" s="381" cm="1">
        <f t="array" ref="AQ70">SUM(AQ$6:AQ$64*($D$6:$D$64=$D70))</f>
        <v>1</v>
      </c>
      <c r="AR70" s="381" cm="1">
        <f t="array" ref="AR70">SUM(AR$6:AR$64*($D$6:$D$64=$D70))</f>
        <v>1</v>
      </c>
      <c r="AS70" s="381" cm="1">
        <f t="array" ref="AS70">SUM(AS$6:AS$64*($D$6:$D$64=$D70))</f>
        <v>1</v>
      </c>
      <c r="AT70" s="381" cm="1">
        <f t="array" ref="AT70">SUM(AT$6:AT$64*($D$6:$D$64=$D70))</f>
        <v>1</v>
      </c>
      <c r="AU70" s="381" cm="1">
        <f t="array" ref="AU70">SUM(AU$6:AU$64*($D$6:$D$64=$D70))</f>
        <v>1</v>
      </c>
      <c r="AV70" s="381" cm="1">
        <f t="array" ref="AV70">SUM(AV$6:AV$64*($D$6:$D$64=$D70))</f>
        <v>0</v>
      </c>
      <c r="AW70" s="381" cm="1">
        <f t="array" ref="AW70">SUM(AW$6:AW$64*($D$6:$D$64=$D70))</f>
        <v>0</v>
      </c>
      <c r="AX70" s="381" cm="1">
        <f t="array" ref="AX70">SUM(AX$6:AX$64*($D$6:$D$64=$D70))</f>
        <v>0</v>
      </c>
      <c r="AY70" s="381" cm="1">
        <f t="array" ref="AY70">SUM(AY$6:AY$64*($D$6:$D$64=$D70))</f>
        <v>0</v>
      </c>
      <c r="AZ70" s="381" cm="1">
        <f t="array" ref="AZ70">SUM(AZ$6:AZ$64*($D$6:$D$64=$D70))</f>
        <v>0</v>
      </c>
      <c r="BA70" s="381" cm="1">
        <f t="array" ref="BA70">SUM(BA$6:BA$64*($D$6:$D$64=$D70))</f>
        <v>0</v>
      </c>
      <c r="BB70" s="381" cm="1">
        <f t="array" ref="BB70">SUM(BB$6:BB$64*($D$6:$D$64=$D70))</f>
        <v>0</v>
      </c>
      <c r="BC70" s="381" cm="1">
        <f t="array" ref="BC70">SUM(BC$6:BC$64*($D$6:$D$64=$D70))</f>
        <v>0</v>
      </c>
      <c r="BD70" s="381" cm="1">
        <f t="array" ref="BD70">SUM(BD$6:BD$64*($D$6:$D$64=$D70))</f>
        <v>0</v>
      </c>
      <c r="BE70" s="381" cm="1">
        <f t="array" ref="BE70">SUM(BE$6:BE$64*($D$6:$D$64=$D70))</f>
        <v>0</v>
      </c>
      <c r="BF70" s="381" cm="1">
        <f t="array" ref="BF70">SUM(BF$6:BF$64*($D$6:$D$64=$D70))</f>
        <v>0</v>
      </c>
      <c r="BG70" s="381" cm="1">
        <f t="array" ref="BG70">SUM(BG$6:BG$64*($D$6:$D$64=$D70))</f>
        <v>0</v>
      </c>
      <c r="BH70" s="381" cm="1">
        <f t="array" ref="BH70">SUM(BH$6:BH$64*($D$6:$D$64=$D70))</f>
        <v>0</v>
      </c>
      <c r="BI70" s="381" cm="1">
        <f t="array" ref="BI70">SUM(BI$6:BI$64*($D$6:$D$64=$D70))</f>
        <v>0</v>
      </c>
      <c r="BJ70" s="381" cm="1">
        <f t="array" ref="BJ70">SUM(BJ$6:BJ$64*($D$6:$D$64=$D70))</f>
        <v>0</v>
      </c>
      <c r="BK70" s="381" cm="1">
        <f t="array" ref="BK70">SUM(BK$6:BK$64*($D$6:$D$64=$D70))</f>
        <v>0</v>
      </c>
      <c r="BL70" s="381" cm="1">
        <f t="array" ref="BL70">SUM(BL$6:BL$64*($D$6:$D$64=$D70))</f>
        <v>0</v>
      </c>
      <c r="BM70" s="381" cm="1">
        <f t="array" ref="BM70">SUM(BM$6:BM$64*($D$6:$D$64=$D70))</f>
        <v>0</v>
      </c>
      <c r="BN70" s="381" cm="1">
        <f t="array" ref="BN70">SUM(BN$6:BN$64*($D$6:$D$64=$D70))</f>
        <v>0</v>
      </c>
      <c r="BO70" s="381" cm="1">
        <f t="array" ref="BO70">SUM(BO$6:BO$64*($D$6:$D$64=$D70))</f>
        <v>0</v>
      </c>
      <c r="BP70" s="381" cm="1">
        <f t="array" ref="BP70">SUM(BP$6:BP$64*($D$6:$D$64=$D70))</f>
        <v>0</v>
      </c>
      <c r="BQ70" s="381" cm="1">
        <f t="array" ref="BQ70">SUM(BQ$6:BQ$64*($D$6:$D$64=$D70))</f>
        <v>0</v>
      </c>
      <c r="BR70" s="381" cm="1">
        <f t="array" ref="BR70">SUM(BR$6:BR$64*($D$6:$D$64=$D70))</f>
        <v>0</v>
      </c>
      <c r="BS70" s="381" cm="1">
        <f t="array" ref="BS70">SUM(BS$6:BS$64*($D$6:$D$64=$D70))</f>
        <v>0</v>
      </c>
    </row>
    <row r="71" spans="3:71" x14ac:dyDescent="0.25">
      <c r="C71" s="378"/>
      <c r="D71" s="378" t="str">
        <v>Michelle Chant</v>
      </c>
      <c r="F71" s="321" t="str">
        <f>_xlfn.XLOOKUP(D71,D11:D69,F11:F69)</f>
        <v>Change Manager</v>
      </c>
      <c r="I71" s="379">
        <f t="shared" ca="1" si="139"/>
        <v>151.9</v>
      </c>
      <c r="Y71" s="381" cm="1">
        <f t="array" ref="Y71">SUM(Y$6:Y$64*($D$6:$D$64=$D71))</f>
        <v>0.2</v>
      </c>
      <c r="Z71" s="381" cm="1">
        <f t="array" ref="Z71">SUM(Z$6:Z$64*($D$6:$D$64=$D71))</f>
        <v>0.3</v>
      </c>
      <c r="AA71" s="381" cm="1">
        <f t="array" ref="AA71">SUM(AA$6:AA$64*($D$6:$D$64=$D71))</f>
        <v>0.85</v>
      </c>
      <c r="AB71" s="381" cm="1">
        <f t="array" ref="AB71">SUM(AB$6:AB$64*($D$6:$D$64=$D71))</f>
        <v>0.2</v>
      </c>
      <c r="AC71" s="381" cm="1">
        <f t="array" ref="AC71">SUM(AC$6:AC$64*($D$6:$D$64=$D71))</f>
        <v>0</v>
      </c>
      <c r="AD71" s="381" cm="1">
        <f t="array" ref="AD71">SUM(AD$6:AD$64*($D$6:$D$64=$D71))</f>
        <v>0</v>
      </c>
      <c r="AE71" s="381" cm="1">
        <f t="array" ref="AE71">SUM(AE$6:AE$64*($D$6:$D$64=$D71))</f>
        <v>0</v>
      </c>
      <c r="AF71" s="381" cm="1">
        <f t="array" ref="AF71">SUM(AF$6:AF$64*($D$6:$D$64=$D71))</f>
        <v>0</v>
      </c>
      <c r="AG71" s="381" cm="1">
        <f t="array" ref="AG71">SUM(AG$6:AG$64*($D$6:$D$64=$D71))</f>
        <v>1</v>
      </c>
      <c r="AH71" s="381" cm="1">
        <f t="array" ref="AH71">SUM(AH$6:AH$64*($D$6:$D$64=$D71))</f>
        <v>1</v>
      </c>
      <c r="AI71" s="381" cm="1">
        <f t="array" ref="AI71">SUM(AI$6:AI$64*($D$6:$D$64=$D71))</f>
        <v>1</v>
      </c>
      <c r="AJ71" s="381" cm="1">
        <f t="array" ref="AJ71">SUM(AJ$6:AJ$64*($D$6:$D$64=$D71))</f>
        <v>1</v>
      </c>
      <c r="AK71" s="381" cm="1">
        <f t="array" ref="AK71">SUM(AK$6:AK$64*($D$6:$D$64=$D71))</f>
        <v>1</v>
      </c>
      <c r="AL71" s="381" cm="1">
        <f t="array" ref="AL71">SUM(AL$6:AL$64*($D$6:$D$64=$D71))</f>
        <v>1</v>
      </c>
      <c r="AM71" s="381" cm="1">
        <f t="array" ref="AM71">SUM(AM$6:AM$64*($D$6:$D$64=$D71))</f>
        <v>1</v>
      </c>
      <c r="AN71" s="381" cm="1">
        <f t="array" ref="AN71">SUM(AN$6:AN$64*($D$6:$D$64=$D71))</f>
        <v>0.5</v>
      </c>
      <c r="AO71" s="381" cm="1">
        <f t="array" ref="AO71">SUM(AO$6:AO$64*($D$6:$D$64=$D71))</f>
        <v>0.5</v>
      </c>
      <c r="AP71" s="381" cm="1">
        <f t="array" ref="AP71">SUM(AP$6:AP$64*($D$6:$D$64=$D71))</f>
        <v>0.5</v>
      </c>
      <c r="AQ71" s="381" cm="1">
        <f t="array" ref="AQ71">SUM(AQ$6:AQ$64*($D$6:$D$64=$D71))</f>
        <v>0.5</v>
      </c>
      <c r="AR71" s="381" cm="1">
        <f t="array" ref="AR71">SUM(AR$6:AR$64*($D$6:$D$64=$D71))</f>
        <v>0</v>
      </c>
      <c r="AS71" s="381" cm="1">
        <f t="array" ref="AS71">SUM(AS$6:AS$64*($D$6:$D$64=$D71))</f>
        <v>0</v>
      </c>
      <c r="AT71" s="381" cm="1">
        <f t="array" ref="AT71">SUM(AT$6:AT$64*($D$6:$D$64=$D71))</f>
        <v>0</v>
      </c>
      <c r="AU71" s="381" cm="1">
        <f t="array" ref="AU71">SUM(AU$6:AU$64*($D$6:$D$64=$D71))</f>
        <v>0</v>
      </c>
      <c r="AV71" s="381" cm="1">
        <f t="array" ref="AV71">SUM(AV$6:AV$64*($D$6:$D$64=$D71))</f>
        <v>0</v>
      </c>
      <c r="AW71" s="381" cm="1">
        <f t="array" ref="AW71">SUM(AW$6:AW$64*($D$6:$D$64=$D71))</f>
        <v>0</v>
      </c>
      <c r="AX71" s="381" cm="1">
        <f t="array" ref="AX71">SUM(AX$6:AX$64*($D$6:$D$64=$D71))</f>
        <v>0</v>
      </c>
      <c r="AY71" s="381" cm="1">
        <f t="array" ref="AY71">SUM(AY$6:AY$64*($D$6:$D$64=$D71))</f>
        <v>0</v>
      </c>
      <c r="AZ71" s="381" cm="1">
        <f t="array" ref="AZ71">SUM(AZ$6:AZ$64*($D$6:$D$64=$D71))</f>
        <v>0</v>
      </c>
      <c r="BA71" s="381" cm="1">
        <f t="array" ref="BA71">SUM(BA$6:BA$64*($D$6:$D$64=$D71))</f>
        <v>0</v>
      </c>
      <c r="BB71" s="381" cm="1">
        <f t="array" ref="BB71">SUM(BB$6:BB$64*($D$6:$D$64=$D71))</f>
        <v>0</v>
      </c>
      <c r="BC71" s="381" cm="1">
        <f t="array" ref="BC71">SUM(BC$6:BC$64*($D$6:$D$64=$D71))</f>
        <v>0</v>
      </c>
      <c r="BD71" s="381" cm="1">
        <f t="array" ref="BD71">SUM(BD$6:BD$64*($D$6:$D$64=$D71))</f>
        <v>0</v>
      </c>
      <c r="BE71" s="381" cm="1">
        <f t="array" ref="BE71">SUM(BE$6:BE$64*($D$6:$D$64=$D71))</f>
        <v>0</v>
      </c>
      <c r="BF71" s="381" cm="1">
        <f t="array" ref="BF71">SUM(BF$6:BF$64*($D$6:$D$64=$D71))</f>
        <v>0</v>
      </c>
      <c r="BG71" s="381" cm="1">
        <f t="array" ref="BG71">SUM(BG$6:BG$64*($D$6:$D$64=$D71))</f>
        <v>0</v>
      </c>
      <c r="BH71" s="381" cm="1">
        <f t="array" ref="BH71">SUM(BH$6:BH$64*($D$6:$D$64=$D71))</f>
        <v>0</v>
      </c>
      <c r="BI71" s="381" cm="1">
        <f t="array" ref="BI71">SUM(BI$6:BI$64*($D$6:$D$64=$D71))</f>
        <v>0</v>
      </c>
      <c r="BJ71" s="381" cm="1">
        <f t="array" ref="BJ71">SUM(BJ$6:BJ$64*($D$6:$D$64=$D71))</f>
        <v>0</v>
      </c>
      <c r="BK71" s="381" cm="1">
        <f t="array" ref="BK71">SUM(BK$6:BK$64*($D$6:$D$64=$D71))</f>
        <v>0</v>
      </c>
      <c r="BL71" s="381" cm="1">
        <f t="array" ref="BL71">SUM(BL$6:BL$64*($D$6:$D$64=$D71))</f>
        <v>0</v>
      </c>
      <c r="BM71" s="381" cm="1">
        <f t="array" ref="BM71">SUM(BM$6:BM$64*($D$6:$D$64=$D71))</f>
        <v>0</v>
      </c>
      <c r="BN71" s="381" cm="1">
        <f t="array" ref="BN71">SUM(BN$6:BN$64*($D$6:$D$64=$D71))</f>
        <v>0</v>
      </c>
      <c r="BO71" s="381" cm="1">
        <f t="array" ref="BO71">SUM(BO$6:BO$64*($D$6:$D$64=$D71))</f>
        <v>0</v>
      </c>
      <c r="BP71" s="381" cm="1">
        <f t="array" ref="BP71">SUM(BP$6:BP$64*($D$6:$D$64=$D71))</f>
        <v>0</v>
      </c>
      <c r="BQ71" s="381" cm="1">
        <f t="array" ref="BQ71">SUM(BQ$6:BQ$64*($D$6:$D$64=$D71))</f>
        <v>0</v>
      </c>
      <c r="BR71" s="381" cm="1">
        <f t="array" ref="BR71">SUM(BR$6:BR$64*($D$6:$D$64=$D71))</f>
        <v>0</v>
      </c>
      <c r="BS71" s="381" cm="1">
        <f t="array" ref="BS71">SUM(BS$6:BS$64*($D$6:$D$64=$D71))</f>
        <v>0</v>
      </c>
    </row>
    <row r="72" spans="3:71" x14ac:dyDescent="0.25">
      <c r="D72" s="321" t="str">
        <v>Phani Gollamudi</v>
      </c>
      <c r="F72" s="321" t="str">
        <f>_xlfn.XLOOKUP(D72,D12:D70,F12:F70)</f>
        <v>ServiceNow Developer</v>
      </c>
      <c r="I72" s="379">
        <f t="shared" ca="1" si="139"/>
        <v>0</v>
      </c>
      <c r="Y72" s="381" cm="1">
        <f t="array" ref="Y72">SUM(Y$6:Y$64*($D$6:$D$64=$D72))</f>
        <v>0.25</v>
      </c>
      <c r="Z72" s="381" cm="1">
        <f t="array" ref="Z72">SUM(Z$6:Z$64*($D$6:$D$64=$D72))</f>
        <v>0.56999999999999995</v>
      </c>
      <c r="AA72" s="381" cm="1">
        <f t="array" ref="AA72">SUM(AA$6:AA$64*($D$6:$D$64=$D72))</f>
        <v>0.5</v>
      </c>
      <c r="AB72" s="381" cm="1">
        <f t="array" ref="AB72">SUM(AB$6:AB$64*($D$6:$D$64=$D72))</f>
        <v>1.5</v>
      </c>
      <c r="AC72" s="381" cm="1">
        <f t="array" ref="AC72">SUM(AC$6:AC$64*($D$6:$D$64=$D72))</f>
        <v>1</v>
      </c>
      <c r="AD72" s="381" cm="1">
        <f t="array" ref="AD72">SUM(AD$6:AD$64*($D$6:$D$64=$D72))</f>
        <v>1</v>
      </c>
      <c r="AE72" s="381" cm="1">
        <f t="array" ref="AE72">SUM(AE$6:AE$64*($D$6:$D$64=$D72))</f>
        <v>1</v>
      </c>
      <c r="AF72" s="381" cm="1">
        <f t="array" ref="AF72">SUM(AF$6:AF$64*($D$6:$D$64=$D72))</f>
        <v>1</v>
      </c>
      <c r="AG72" s="381" cm="1">
        <f t="array" ref="AG72">SUM(AG$6:AG$64*($D$6:$D$64=$D72))</f>
        <v>1</v>
      </c>
      <c r="AH72" s="381" cm="1">
        <f t="array" ref="AH72">SUM(AH$6:AH$64*($D$6:$D$64=$D72))</f>
        <v>1</v>
      </c>
      <c r="AI72" s="381" cm="1">
        <f t="array" ref="AI72">SUM(AI$6:AI$64*($D$6:$D$64=$D72))</f>
        <v>1</v>
      </c>
      <c r="AJ72" s="381" cm="1">
        <f t="array" ref="AJ72">SUM(AJ$6:AJ$64*($D$6:$D$64=$D72))</f>
        <v>0</v>
      </c>
      <c r="AK72" s="381" cm="1">
        <f t="array" ref="AK72">SUM(AK$6:AK$64*($D$6:$D$64=$D72))</f>
        <v>0</v>
      </c>
      <c r="AL72" s="381" cm="1">
        <f t="array" ref="AL72">SUM(AL$6:AL$64*($D$6:$D$64=$D72))</f>
        <v>0</v>
      </c>
      <c r="AM72" s="381" cm="1">
        <f t="array" ref="AM72">SUM(AM$6:AM$64*($D$6:$D$64=$D72))</f>
        <v>0</v>
      </c>
      <c r="AN72" s="381" cm="1">
        <f t="array" ref="AN72">SUM(AN$6:AN$64*($D$6:$D$64=$D72))</f>
        <v>0</v>
      </c>
      <c r="AO72" s="381" cm="1">
        <f t="array" ref="AO72">SUM(AO$6:AO$64*($D$6:$D$64=$D72))</f>
        <v>0</v>
      </c>
      <c r="AP72" s="381" cm="1">
        <f t="array" ref="AP72">SUM(AP$6:AP$64*($D$6:$D$64=$D72))</f>
        <v>0</v>
      </c>
      <c r="AQ72" s="381" cm="1">
        <f t="array" ref="AQ72">SUM(AQ$6:AQ$64*($D$6:$D$64=$D72))</f>
        <v>0</v>
      </c>
      <c r="AR72" s="381" cm="1">
        <f t="array" ref="AR72">SUM(AR$6:AR$64*($D$6:$D$64=$D72))</f>
        <v>0</v>
      </c>
      <c r="AS72" s="381" cm="1">
        <f t="array" ref="AS72">SUM(AS$6:AS$64*($D$6:$D$64=$D72))</f>
        <v>0</v>
      </c>
      <c r="AT72" s="381" cm="1">
        <f t="array" ref="AT72">SUM(AT$6:AT$64*($D$6:$D$64=$D72))</f>
        <v>0</v>
      </c>
      <c r="AU72" s="381" cm="1">
        <f t="array" ref="AU72">SUM(AU$6:AU$64*($D$6:$D$64=$D72))</f>
        <v>0</v>
      </c>
      <c r="AV72" s="381" cm="1">
        <f t="array" ref="AV72">SUM(AV$6:AV$64*($D$6:$D$64=$D72))</f>
        <v>0</v>
      </c>
      <c r="AW72" s="381" cm="1">
        <f t="array" ref="AW72">SUM(AW$6:AW$64*($D$6:$D$64=$D72))</f>
        <v>0</v>
      </c>
      <c r="AX72" s="381" cm="1">
        <f t="array" ref="AX72">SUM(AX$6:AX$64*($D$6:$D$64=$D72))</f>
        <v>0</v>
      </c>
      <c r="AY72" s="381" cm="1">
        <f t="array" ref="AY72">SUM(AY$6:AY$64*($D$6:$D$64=$D72))</f>
        <v>0</v>
      </c>
      <c r="AZ72" s="381" cm="1">
        <f t="array" ref="AZ72">SUM(AZ$6:AZ$64*($D$6:$D$64=$D72))</f>
        <v>0</v>
      </c>
      <c r="BA72" s="381" cm="1">
        <f t="array" ref="BA72">SUM(BA$6:BA$64*($D$6:$D$64=$D72))</f>
        <v>0</v>
      </c>
      <c r="BB72" s="381" cm="1">
        <f t="array" ref="BB72">SUM(BB$6:BB$64*($D$6:$D$64=$D72))</f>
        <v>0</v>
      </c>
      <c r="BC72" s="381" cm="1">
        <f t="array" ref="BC72">SUM(BC$6:BC$64*($D$6:$D$64=$D72))</f>
        <v>0</v>
      </c>
      <c r="BD72" s="381" cm="1">
        <f t="array" ref="BD72">SUM(BD$6:BD$64*($D$6:$D$64=$D72))</f>
        <v>0</v>
      </c>
      <c r="BE72" s="381" cm="1">
        <f t="array" ref="BE72">SUM(BE$6:BE$64*($D$6:$D$64=$D72))</f>
        <v>0</v>
      </c>
      <c r="BF72" s="381" cm="1">
        <f t="array" ref="BF72">SUM(BF$6:BF$64*($D$6:$D$64=$D72))</f>
        <v>0</v>
      </c>
      <c r="BG72" s="381" cm="1">
        <f t="array" ref="BG72">SUM(BG$6:BG$64*($D$6:$D$64=$D72))</f>
        <v>0</v>
      </c>
      <c r="BH72" s="381" cm="1">
        <f t="array" ref="BH72">SUM(BH$6:BH$64*($D$6:$D$64=$D72))</f>
        <v>0</v>
      </c>
      <c r="BI72" s="381" cm="1">
        <f t="array" ref="BI72">SUM(BI$6:BI$64*($D$6:$D$64=$D72))</f>
        <v>0</v>
      </c>
      <c r="BJ72" s="381" cm="1">
        <f t="array" ref="BJ72">SUM(BJ$6:BJ$64*($D$6:$D$64=$D72))</f>
        <v>0</v>
      </c>
      <c r="BK72" s="381" cm="1">
        <f t="array" ref="BK72">SUM(BK$6:BK$64*($D$6:$D$64=$D72))</f>
        <v>0</v>
      </c>
      <c r="BL72" s="381" cm="1">
        <f t="array" ref="BL72">SUM(BL$6:BL$64*($D$6:$D$64=$D72))</f>
        <v>0</v>
      </c>
      <c r="BM72" s="381" cm="1">
        <f t="array" ref="BM72">SUM(BM$6:BM$64*($D$6:$D$64=$D72))</f>
        <v>0</v>
      </c>
      <c r="BN72" s="381" cm="1">
        <f t="array" ref="BN72">SUM(BN$6:BN$64*($D$6:$D$64=$D72))</f>
        <v>0</v>
      </c>
      <c r="BO72" s="381" cm="1">
        <f t="array" ref="BO72">SUM(BO$6:BO$64*($D$6:$D$64=$D72))</f>
        <v>0</v>
      </c>
      <c r="BP72" s="381" cm="1">
        <f t="array" ref="BP72">SUM(BP$6:BP$64*($D$6:$D$64=$D72))</f>
        <v>0</v>
      </c>
      <c r="BQ72" s="381" cm="1">
        <f t="array" ref="BQ72">SUM(BQ$6:BQ$64*($D$6:$D$64=$D72))</f>
        <v>0</v>
      </c>
      <c r="BR72" s="381" cm="1">
        <f t="array" ref="BR72">SUM(BR$6:BR$64*($D$6:$D$64=$D72))</f>
        <v>0</v>
      </c>
      <c r="BS72" s="381" cm="1">
        <f t="array" ref="BS72">SUM(BS$6:BS$64*($D$6:$D$64=$D72))</f>
        <v>0</v>
      </c>
    </row>
    <row r="73" spans="3:71" x14ac:dyDescent="0.25">
      <c r="D73" s="321" t="str">
        <v>Contingency</v>
      </c>
      <c r="F73" s="321">
        <f>_xlfn.XLOOKUP(D73,D13:D71,F13:F71)</f>
        <v>0</v>
      </c>
      <c r="I73" s="379">
        <f t="shared" ca="1" si="139"/>
        <v>1438.66</v>
      </c>
      <c r="Y73" s="381" cm="1">
        <f t="array" ref="Y73">SUM(Y$6:Y$64*($D$6:$D$64=$D73))</f>
        <v>0</v>
      </c>
      <c r="Z73" s="381" cm="1">
        <f t="array" ref="Z73">SUM(Z$6:Z$64*($D$6:$D$64=$D73))</f>
        <v>2.5000000000000001E-2</v>
      </c>
      <c r="AA73" s="381" cm="1">
        <f t="array" ref="AA73">SUM(AA$6:AA$64*($D$6:$D$64=$D73))</f>
        <v>0</v>
      </c>
      <c r="AB73" s="381" cm="1">
        <f t="array" ref="AB73">SUM(AB$6:AB$64*($D$6:$D$64=$D73))</f>
        <v>0</v>
      </c>
      <c r="AC73" s="381" cm="1">
        <f t="array" ref="AC73">SUM(AC$6:AC$64*($D$6:$D$64=$D73))</f>
        <v>0</v>
      </c>
      <c r="AD73" s="381" cm="1">
        <f t="array" ref="AD73">SUM(AD$6:AD$64*($D$6:$D$64=$D73))</f>
        <v>0</v>
      </c>
      <c r="AE73" s="381" cm="1">
        <f t="array" ref="AE73">SUM(AE$6:AE$64*($D$6:$D$64=$D73))</f>
        <v>2.5000000000000001E-2</v>
      </c>
      <c r="AF73" s="381" cm="1">
        <f t="array" ref="AF73">SUM(AF$6:AF$64*($D$6:$D$64=$D73))</f>
        <v>0</v>
      </c>
      <c r="AG73" s="381" cm="1">
        <f t="array" ref="AG73">SUM(AG$6:AG$64*($D$6:$D$64=$D73))</f>
        <v>0</v>
      </c>
      <c r="AH73" s="381" cm="1">
        <f t="array" ref="AH73">SUM(AH$6:AH$64*($D$6:$D$64=$D73))</f>
        <v>0</v>
      </c>
      <c r="AI73" s="381" cm="1">
        <f t="array" ref="AI73">SUM(AI$6:AI$64*($D$6:$D$64=$D73))</f>
        <v>0.05</v>
      </c>
      <c r="AJ73" s="381" cm="1">
        <f t="array" ref="AJ73">SUM(AJ$6:AJ$64*($D$6:$D$64=$D73))</f>
        <v>0</v>
      </c>
      <c r="AK73" s="381" cm="1">
        <f t="array" ref="AK73">SUM(AK$6:AK$64*($D$6:$D$64=$D73))</f>
        <v>0</v>
      </c>
      <c r="AL73" s="381" cm="1">
        <f t="array" ref="AL73">SUM(AL$6:AL$64*($D$6:$D$64=$D73))</f>
        <v>0</v>
      </c>
      <c r="AM73" s="381" cm="1">
        <f t="array" ref="AM73">SUM(AM$6:AM$64*($D$6:$D$64=$D73))</f>
        <v>0</v>
      </c>
      <c r="AN73" s="381" cm="1">
        <f t="array" ref="AN73">SUM(AN$6:AN$64*($D$6:$D$64=$D73))</f>
        <v>0</v>
      </c>
      <c r="AO73" s="381" cm="1">
        <f t="array" ref="AO73">SUM(AO$6:AO$64*($D$6:$D$64=$D73))</f>
        <v>0</v>
      </c>
      <c r="AP73" s="381" cm="1">
        <f t="array" ref="AP73">SUM(AP$6:AP$64*($D$6:$D$64=$D73))</f>
        <v>0</v>
      </c>
      <c r="AQ73" s="381" cm="1">
        <f t="array" ref="AQ73">SUM(AQ$6:AQ$64*($D$6:$D$64=$D73))</f>
        <v>0</v>
      </c>
      <c r="AR73" s="381" cm="1">
        <f t="array" ref="AR73">SUM(AR$6:AR$64*($D$6:$D$64=$D73))</f>
        <v>0</v>
      </c>
      <c r="AS73" s="381" cm="1">
        <f t="array" ref="AS73">SUM(AS$6:AS$64*($D$6:$D$64=$D73))</f>
        <v>0</v>
      </c>
      <c r="AT73" s="381" cm="1">
        <f t="array" ref="AT73">SUM(AT$6:AT$64*($D$6:$D$64=$D73))</f>
        <v>0</v>
      </c>
      <c r="AU73" s="381" cm="1">
        <f t="array" ref="AU73">SUM(AU$6:AU$64*($D$6:$D$64=$D73))</f>
        <v>0</v>
      </c>
      <c r="AV73" s="381" cm="1">
        <f t="array" ref="AV73">SUM(AV$6:AV$64*($D$6:$D$64=$D73))</f>
        <v>0</v>
      </c>
      <c r="AW73" s="381" cm="1">
        <f t="array" ref="AW73">SUM(AW$6:AW$64*($D$6:$D$64=$D73))</f>
        <v>0</v>
      </c>
      <c r="AX73" s="381" cm="1">
        <f t="array" ref="AX73">SUM(AX$6:AX$64*($D$6:$D$64=$D73))</f>
        <v>0</v>
      </c>
      <c r="AY73" s="381" cm="1">
        <f t="array" ref="AY73">SUM(AY$6:AY$64*($D$6:$D$64=$D73))</f>
        <v>0</v>
      </c>
      <c r="AZ73" s="381" cm="1">
        <f t="array" ref="AZ73">SUM(AZ$6:AZ$64*($D$6:$D$64=$D73))</f>
        <v>0</v>
      </c>
      <c r="BA73" s="381" cm="1">
        <f t="array" ref="BA73">SUM(BA$6:BA$64*($D$6:$D$64=$D73))</f>
        <v>0</v>
      </c>
      <c r="BB73" s="381" cm="1">
        <f t="array" ref="BB73">SUM(BB$6:BB$64*($D$6:$D$64=$D73))</f>
        <v>0</v>
      </c>
      <c r="BC73" s="381" cm="1">
        <f t="array" ref="BC73">SUM(BC$6:BC$64*($D$6:$D$64=$D73))</f>
        <v>0</v>
      </c>
      <c r="BD73" s="381" cm="1">
        <f t="array" ref="BD73">SUM(BD$6:BD$64*($D$6:$D$64=$D73))</f>
        <v>0</v>
      </c>
      <c r="BE73" s="381" cm="1">
        <f t="array" ref="BE73">SUM(BE$6:BE$64*($D$6:$D$64=$D73))</f>
        <v>0</v>
      </c>
      <c r="BF73" s="381" cm="1">
        <f t="array" ref="BF73">SUM(BF$6:BF$64*($D$6:$D$64=$D73))</f>
        <v>0</v>
      </c>
      <c r="BG73" s="381" cm="1">
        <f t="array" ref="BG73">SUM(BG$6:BG$64*($D$6:$D$64=$D73))</f>
        <v>0</v>
      </c>
      <c r="BH73" s="381" cm="1">
        <f t="array" ref="BH73">SUM(BH$6:BH$64*($D$6:$D$64=$D73))</f>
        <v>0</v>
      </c>
      <c r="BI73" s="381" cm="1">
        <f t="array" ref="BI73">SUM(BI$6:BI$64*($D$6:$D$64=$D73))</f>
        <v>0</v>
      </c>
      <c r="BJ73" s="381" cm="1">
        <f t="array" ref="BJ73">SUM(BJ$6:BJ$64*($D$6:$D$64=$D73))</f>
        <v>0</v>
      </c>
      <c r="BK73" s="381" cm="1">
        <f t="array" ref="BK73">SUM(BK$6:BK$64*($D$6:$D$64=$D73))</f>
        <v>0</v>
      </c>
      <c r="BL73" s="381" cm="1">
        <f t="array" ref="BL73">SUM(BL$6:BL$64*($D$6:$D$64=$D73))</f>
        <v>0</v>
      </c>
      <c r="BM73" s="381" cm="1">
        <f t="array" ref="BM73">SUM(BM$6:BM$64*($D$6:$D$64=$D73))</f>
        <v>0</v>
      </c>
      <c r="BN73" s="381" cm="1">
        <f t="array" ref="BN73">SUM(BN$6:BN$64*($D$6:$D$64=$D73))</f>
        <v>0</v>
      </c>
      <c r="BO73" s="381" cm="1">
        <f t="array" ref="BO73">SUM(BO$6:BO$64*($D$6:$D$64=$D73))</f>
        <v>0</v>
      </c>
      <c r="BP73" s="381" cm="1">
        <f t="array" ref="BP73">SUM(BP$6:BP$64*($D$6:$D$64=$D73))</f>
        <v>0</v>
      </c>
      <c r="BQ73" s="381" cm="1">
        <f t="array" ref="BQ73">SUM(BQ$6:BQ$64*($D$6:$D$64=$D73))</f>
        <v>0</v>
      </c>
      <c r="BR73" s="381" cm="1">
        <f t="array" ref="BR73">SUM(BR$6:BR$64*($D$6:$D$64=$D73))</f>
        <v>0</v>
      </c>
      <c r="BS73" s="381" cm="1">
        <f t="array" ref="BS73">SUM(BS$6:BS$64*($D$6:$D$64=$D73))</f>
        <v>0</v>
      </c>
    </row>
    <row r="74" spans="3:71" x14ac:dyDescent="0.25">
      <c r="D74" s="321" t="str">
        <v>Mahesh Vemegal</v>
      </c>
      <c r="F74" s="321" t="str">
        <f>_xlfn.XLOOKUP(D74,D14:D72,F14:F72)</f>
        <v>Lead ServiceNow Developer</v>
      </c>
      <c r="I74" s="379">
        <f t="shared" ca="1" si="139"/>
        <v>207.39999999999998</v>
      </c>
      <c r="Y74" s="381" cm="1">
        <f t="array" ref="Y74">SUM(Y$6:Y$64*($D$6:$D$64=$D74))</f>
        <v>0</v>
      </c>
      <c r="Z74" s="381" cm="1">
        <f t="array" ref="Z74">SUM(Z$6:Z$64*($D$6:$D$64=$D74))</f>
        <v>0</v>
      </c>
      <c r="AA74" s="381" cm="1">
        <f t="array" ref="AA74">SUM(AA$6:AA$64*($D$6:$D$64=$D74))</f>
        <v>0.25</v>
      </c>
      <c r="AB74" s="381" cm="1">
        <f t="array" ref="AB74">SUM(AB$6:AB$64*($D$6:$D$64=$D74))</f>
        <v>0.5</v>
      </c>
      <c r="AC74" s="381" cm="1">
        <f t="array" ref="AC74">SUM(AC$6:AC$64*($D$6:$D$64=$D74))</f>
        <v>1</v>
      </c>
      <c r="AD74" s="381" cm="1">
        <f t="array" ref="AD74">SUM(AD$6:AD$64*($D$6:$D$64=$D74))</f>
        <v>1</v>
      </c>
      <c r="AE74" s="381" cm="1">
        <f t="array" ref="AE74">SUM(AE$6:AE$64*($D$6:$D$64=$D74))</f>
        <v>1</v>
      </c>
      <c r="AF74" s="381" cm="1">
        <f t="array" ref="AF74">SUM(AF$6:AF$64*($D$6:$D$64=$D74))</f>
        <v>1</v>
      </c>
      <c r="AG74" s="381" cm="1">
        <f t="array" ref="AG74">SUM(AG$6:AG$64*($D$6:$D$64=$D74))</f>
        <v>1</v>
      </c>
      <c r="AH74" s="381" cm="1">
        <f t="array" ref="AH74">SUM(AH$6:AH$64*($D$6:$D$64=$D74))</f>
        <v>1</v>
      </c>
      <c r="AI74" s="381" cm="1">
        <f t="array" ref="AI74">SUM(AI$6:AI$64*($D$6:$D$64=$D74))</f>
        <v>1</v>
      </c>
      <c r="AJ74" s="381" cm="1">
        <f t="array" ref="AJ74">SUM(AJ$6:AJ$64*($D$6:$D$64=$D74))</f>
        <v>1</v>
      </c>
      <c r="AK74" s="381" cm="1">
        <f t="array" ref="AK74">SUM(AK$6:AK$64*($D$6:$D$64=$D74))</f>
        <v>1</v>
      </c>
      <c r="AL74" s="381" cm="1">
        <f t="array" ref="AL74">SUM(AL$6:AL$64*($D$6:$D$64=$D74))</f>
        <v>1</v>
      </c>
      <c r="AM74" s="381" cm="1">
        <f t="array" ref="AM74">SUM(AM$6:AM$64*($D$6:$D$64=$D74))</f>
        <v>1</v>
      </c>
      <c r="AN74" s="381" cm="1">
        <f t="array" ref="AN74">SUM(AN$6:AN$64*($D$6:$D$64=$D74))</f>
        <v>0</v>
      </c>
      <c r="AO74" s="381" cm="1">
        <f t="array" ref="AO74">SUM(AO$6:AO$64*($D$6:$D$64=$D74))</f>
        <v>0</v>
      </c>
      <c r="AP74" s="381" cm="1">
        <f t="array" ref="AP74">SUM(AP$6:AP$64*($D$6:$D$64=$D74))</f>
        <v>0</v>
      </c>
      <c r="AQ74" s="381" cm="1">
        <f t="array" ref="AQ74">SUM(AQ$6:AQ$64*($D$6:$D$64=$D74))</f>
        <v>0</v>
      </c>
      <c r="AR74" s="381" cm="1">
        <f t="array" ref="AR74">SUM(AR$6:AR$64*($D$6:$D$64=$D74))</f>
        <v>0</v>
      </c>
      <c r="AS74" s="381" cm="1">
        <f t="array" ref="AS74">SUM(AS$6:AS$64*($D$6:$D$64=$D74))</f>
        <v>0</v>
      </c>
      <c r="AT74" s="381" cm="1">
        <f t="array" ref="AT74">SUM(AT$6:AT$64*($D$6:$D$64=$D74))</f>
        <v>0</v>
      </c>
      <c r="AU74" s="381" cm="1">
        <f t="array" ref="AU74">SUM(AU$6:AU$64*($D$6:$D$64=$D74))</f>
        <v>0</v>
      </c>
      <c r="AV74" s="381" cm="1">
        <f t="array" ref="AV74">SUM(AV$6:AV$64*($D$6:$D$64=$D74))</f>
        <v>0</v>
      </c>
      <c r="AW74" s="381" cm="1">
        <f t="array" ref="AW74">SUM(AW$6:AW$64*($D$6:$D$64=$D74))</f>
        <v>0</v>
      </c>
      <c r="AX74" s="381" cm="1">
        <f t="array" ref="AX74">SUM(AX$6:AX$64*($D$6:$D$64=$D74))</f>
        <v>0</v>
      </c>
      <c r="AY74" s="381" cm="1">
        <f t="array" ref="AY74">SUM(AY$6:AY$64*($D$6:$D$64=$D74))</f>
        <v>0</v>
      </c>
      <c r="AZ74" s="381" cm="1">
        <f t="array" ref="AZ74">SUM(AZ$6:AZ$64*($D$6:$D$64=$D74))</f>
        <v>0</v>
      </c>
      <c r="BA74" s="381" cm="1">
        <f t="array" ref="BA74">SUM(BA$6:BA$64*($D$6:$D$64=$D74))</f>
        <v>0</v>
      </c>
      <c r="BB74" s="381" cm="1">
        <f t="array" ref="BB74">SUM(BB$6:BB$64*($D$6:$D$64=$D74))</f>
        <v>0</v>
      </c>
      <c r="BC74" s="381" cm="1">
        <f t="array" ref="BC74">SUM(BC$6:BC$64*($D$6:$D$64=$D74))</f>
        <v>0</v>
      </c>
      <c r="BD74" s="381" cm="1">
        <f t="array" ref="BD74">SUM(BD$6:BD$64*($D$6:$D$64=$D74))</f>
        <v>0</v>
      </c>
      <c r="BE74" s="381" cm="1">
        <f t="array" ref="BE74">SUM(BE$6:BE$64*($D$6:$D$64=$D74))</f>
        <v>0</v>
      </c>
      <c r="BF74" s="381" cm="1">
        <f t="array" ref="BF74">SUM(BF$6:BF$64*($D$6:$D$64=$D74))</f>
        <v>0</v>
      </c>
      <c r="BG74" s="381" cm="1">
        <f t="array" ref="BG74">SUM(BG$6:BG$64*($D$6:$D$64=$D74))</f>
        <v>0</v>
      </c>
      <c r="BH74" s="381" cm="1">
        <f t="array" ref="BH74">SUM(BH$6:BH$64*($D$6:$D$64=$D74))</f>
        <v>0</v>
      </c>
      <c r="BI74" s="381" cm="1">
        <f t="array" ref="BI74">SUM(BI$6:BI$64*($D$6:$D$64=$D74))</f>
        <v>0</v>
      </c>
      <c r="BJ74" s="381" cm="1">
        <f t="array" ref="BJ74">SUM(BJ$6:BJ$64*($D$6:$D$64=$D74))</f>
        <v>0</v>
      </c>
      <c r="BK74" s="381" cm="1">
        <f t="array" ref="BK74">SUM(BK$6:BK$64*($D$6:$D$64=$D74))</f>
        <v>0</v>
      </c>
      <c r="BL74" s="381" cm="1">
        <f t="array" ref="BL74">SUM(BL$6:BL$64*($D$6:$D$64=$D74))</f>
        <v>0</v>
      </c>
      <c r="BM74" s="381" cm="1">
        <f t="array" ref="BM74">SUM(BM$6:BM$64*($D$6:$D$64=$D74))</f>
        <v>0</v>
      </c>
      <c r="BN74" s="381" cm="1">
        <f t="array" ref="BN74">SUM(BN$6:BN$64*($D$6:$D$64=$D74))</f>
        <v>0</v>
      </c>
      <c r="BO74" s="381" cm="1">
        <f t="array" ref="BO74">SUM(BO$6:BO$64*($D$6:$D$64=$D74))</f>
        <v>0</v>
      </c>
      <c r="BP74" s="381" cm="1">
        <f t="array" ref="BP74">SUM(BP$6:BP$64*($D$6:$D$64=$D74))</f>
        <v>0</v>
      </c>
      <c r="BQ74" s="381" cm="1">
        <f t="array" ref="BQ74">SUM(BQ$6:BQ$64*($D$6:$D$64=$D74))</f>
        <v>0</v>
      </c>
      <c r="BR74" s="381" cm="1">
        <f t="array" ref="BR74">SUM(BR$6:BR$64*($D$6:$D$64=$D74))</f>
        <v>0</v>
      </c>
      <c r="BS74" s="381" cm="1">
        <f t="array" ref="BS74">SUM(BS$6:BS$64*($D$6:$D$64=$D74))</f>
        <v>0</v>
      </c>
    </row>
    <row r="75" spans="3:71" x14ac:dyDescent="0.25">
      <c r="D75" s="321" t="str">
        <v>Kosta Walker-Laskos</v>
      </c>
      <c r="F75" s="321" t="str">
        <f>_xlfn.XLOOKUP(D75,D15:D73,F15:F73)</f>
        <v>ServiceNow Developer</v>
      </c>
      <c r="I75" s="379">
        <f t="shared" ca="1" si="139"/>
        <v>151.9</v>
      </c>
      <c r="Y75" s="381" cm="1">
        <f t="array" ref="Y75">SUM(Y$6:Y$64*($D$6:$D$64=$D75))</f>
        <v>0</v>
      </c>
      <c r="Z75" s="381" cm="1">
        <f t="array" ref="Z75">SUM(Z$6:Z$64*($D$6:$D$64=$D75))</f>
        <v>0</v>
      </c>
      <c r="AA75" s="381" cm="1">
        <f t="array" ref="AA75">SUM(AA$6:AA$64*($D$6:$D$64=$D75))</f>
        <v>0</v>
      </c>
      <c r="AB75" s="381" cm="1">
        <f t="array" ref="AB75">SUM(AB$6:AB$64*($D$6:$D$64=$D75))</f>
        <v>1</v>
      </c>
      <c r="AC75" s="381" cm="1">
        <f t="array" ref="AC75">SUM(AC$6:AC$64*($D$6:$D$64=$D75))</f>
        <v>1</v>
      </c>
      <c r="AD75" s="381" cm="1">
        <f t="array" ref="AD75">SUM(AD$6:AD$64*($D$6:$D$64=$D75))</f>
        <v>1</v>
      </c>
      <c r="AE75" s="381" cm="1">
        <f t="array" ref="AE75">SUM(AE$6:AE$64*($D$6:$D$64=$D75))</f>
        <v>1</v>
      </c>
      <c r="AF75" s="381" cm="1">
        <f t="array" ref="AF75">SUM(AF$6:AF$64*($D$6:$D$64=$D75))</f>
        <v>1</v>
      </c>
      <c r="AG75" s="381" cm="1">
        <f t="array" ref="AG75">SUM(AG$6:AG$64*($D$6:$D$64=$D75))</f>
        <v>1</v>
      </c>
      <c r="AH75" s="381" cm="1">
        <f t="array" ref="AH75">SUM(AH$6:AH$64*($D$6:$D$64=$D75))</f>
        <v>1</v>
      </c>
      <c r="AI75" s="381" cm="1">
        <f t="array" ref="AI75">SUM(AI$6:AI$64*($D$6:$D$64=$D75))</f>
        <v>1</v>
      </c>
      <c r="AJ75" s="381" cm="1">
        <f t="array" ref="AJ75">SUM(AJ$6:AJ$64*($D$6:$D$64=$D75))</f>
        <v>1</v>
      </c>
      <c r="AK75" s="381" cm="1">
        <f t="array" ref="AK75">SUM(AK$6:AK$64*($D$6:$D$64=$D75))</f>
        <v>1</v>
      </c>
      <c r="AL75" s="381" cm="1">
        <f t="array" ref="AL75">SUM(AL$6:AL$64*($D$6:$D$64=$D75))</f>
        <v>1</v>
      </c>
      <c r="AM75" s="381" cm="1">
        <f t="array" ref="AM75">SUM(AM$6:AM$64*($D$6:$D$64=$D75))</f>
        <v>1</v>
      </c>
      <c r="AN75" s="381" cm="1">
        <f t="array" ref="AN75">SUM(AN$6:AN$64*($D$6:$D$64=$D75))</f>
        <v>0.5</v>
      </c>
      <c r="AO75" s="381" cm="1">
        <f t="array" ref="AO75">SUM(AO$6:AO$64*($D$6:$D$64=$D75))</f>
        <v>0.5</v>
      </c>
      <c r="AP75" s="381" cm="1">
        <f t="array" ref="AP75">SUM(AP$6:AP$64*($D$6:$D$64=$D75))</f>
        <v>0.5</v>
      </c>
      <c r="AQ75" s="381" cm="1">
        <f t="array" ref="AQ75">SUM(AQ$6:AQ$64*($D$6:$D$64=$D75))</f>
        <v>0.5</v>
      </c>
      <c r="AR75" s="381" cm="1">
        <f t="array" ref="AR75">SUM(AR$6:AR$64*($D$6:$D$64=$D75))</f>
        <v>0.5</v>
      </c>
      <c r="AS75" s="381" cm="1">
        <f t="array" ref="AS75">SUM(AS$6:AS$64*($D$6:$D$64=$D75))</f>
        <v>0.5</v>
      </c>
      <c r="AT75" s="381" cm="1">
        <f t="array" ref="AT75">SUM(AT$6:AT$64*($D$6:$D$64=$D75))</f>
        <v>0</v>
      </c>
      <c r="AU75" s="381" cm="1">
        <f t="array" ref="AU75">SUM(AU$6:AU$64*($D$6:$D$64=$D75))</f>
        <v>0</v>
      </c>
      <c r="AV75" s="381" cm="1">
        <f t="array" ref="AV75">SUM(AV$6:AV$64*($D$6:$D$64=$D75))</f>
        <v>0</v>
      </c>
      <c r="AW75" s="381" cm="1">
        <f t="array" ref="AW75">SUM(AW$6:AW$64*($D$6:$D$64=$D75))</f>
        <v>0</v>
      </c>
      <c r="AX75" s="381" cm="1">
        <f t="array" ref="AX75">SUM(AX$6:AX$64*($D$6:$D$64=$D75))</f>
        <v>0</v>
      </c>
      <c r="AY75" s="381" cm="1">
        <f t="array" ref="AY75">SUM(AY$6:AY$64*($D$6:$D$64=$D75))</f>
        <v>0</v>
      </c>
      <c r="AZ75" s="381" cm="1">
        <f t="array" ref="AZ75">SUM(AZ$6:AZ$64*($D$6:$D$64=$D75))</f>
        <v>0</v>
      </c>
      <c r="BA75" s="381" cm="1">
        <f t="array" ref="BA75">SUM(BA$6:BA$64*($D$6:$D$64=$D75))</f>
        <v>0</v>
      </c>
      <c r="BB75" s="381" cm="1">
        <f t="array" ref="BB75">SUM(BB$6:BB$64*($D$6:$D$64=$D75))</f>
        <v>0</v>
      </c>
      <c r="BC75" s="381" cm="1">
        <f t="array" ref="BC75">SUM(BC$6:BC$64*($D$6:$D$64=$D75))</f>
        <v>0</v>
      </c>
      <c r="BD75" s="381" cm="1">
        <f t="array" ref="BD75">SUM(BD$6:BD$64*($D$6:$D$64=$D75))</f>
        <v>0</v>
      </c>
      <c r="BE75" s="381" cm="1">
        <f t="array" ref="BE75">SUM(BE$6:BE$64*($D$6:$D$64=$D75))</f>
        <v>0</v>
      </c>
      <c r="BF75" s="381" cm="1">
        <f t="array" ref="BF75">SUM(BF$6:BF$64*($D$6:$D$64=$D75))</f>
        <v>0</v>
      </c>
      <c r="BG75" s="381" cm="1">
        <f t="array" ref="BG75">SUM(BG$6:BG$64*($D$6:$D$64=$D75))</f>
        <v>0</v>
      </c>
      <c r="BH75" s="381" cm="1">
        <f t="array" ref="BH75">SUM(BH$6:BH$64*($D$6:$D$64=$D75))</f>
        <v>0</v>
      </c>
      <c r="BI75" s="381" cm="1">
        <f t="array" ref="BI75">SUM(BI$6:BI$64*($D$6:$D$64=$D75))</f>
        <v>0</v>
      </c>
      <c r="BJ75" s="381" cm="1">
        <f t="array" ref="BJ75">SUM(BJ$6:BJ$64*($D$6:$D$64=$D75))</f>
        <v>0</v>
      </c>
      <c r="BK75" s="381" cm="1">
        <f t="array" ref="BK75">SUM(BK$6:BK$64*($D$6:$D$64=$D75))</f>
        <v>0</v>
      </c>
      <c r="BL75" s="381" cm="1">
        <f t="array" ref="BL75">SUM(BL$6:BL$64*($D$6:$D$64=$D75))</f>
        <v>0</v>
      </c>
      <c r="BM75" s="381" cm="1">
        <f t="array" ref="BM75">SUM(BM$6:BM$64*($D$6:$D$64=$D75))</f>
        <v>0</v>
      </c>
      <c r="BN75" s="381" cm="1">
        <f t="array" ref="BN75">SUM(BN$6:BN$64*($D$6:$D$64=$D75))</f>
        <v>0</v>
      </c>
      <c r="BO75" s="381" cm="1">
        <f t="array" ref="BO75">SUM(BO$6:BO$64*($D$6:$D$64=$D75))</f>
        <v>0</v>
      </c>
      <c r="BP75" s="381" cm="1">
        <f t="array" ref="BP75">SUM(BP$6:BP$64*($D$6:$D$64=$D75))</f>
        <v>0</v>
      </c>
      <c r="BQ75" s="381" cm="1">
        <f t="array" ref="BQ75">SUM(BQ$6:BQ$64*($D$6:$D$64=$D75))</f>
        <v>0</v>
      </c>
      <c r="BR75" s="381" cm="1">
        <f t="array" ref="BR75">SUM(BR$6:BR$64*($D$6:$D$64=$D75))</f>
        <v>0</v>
      </c>
      <c r="BS75" s="381" cm="1">
        <f t="array" ref="BS75">SUM(BS$6:BS$64*($D$6:$D$64=$D75))</f>
        <v>0</v>
      </c>
    </row>
    <row r="76" spans="3:71" x14ac:dyDescent="0.25">
      <c r="D76" s="321" t="str">
        <v>Contractor-Tester-Manager</v>
      </c>
      <c r="F76" s="321" t="str">
        <f>_xlfn.XLOOKUP(D76,D16:D74,F16:F74)</f>
        <v>Senior Tester</v>
      </c>
      <c r="I76" s="379">
        <f t="shared" ca="1" si="139"/>
        <v>151.9</v>
      </c>
      <c r="Y76" s="381" cm="1">
        <f t="array" ref="Y76">SUM(Y$6:Y$64*($D$6:$D$64=$D76))</f>
        <v>0</v>
      </c>
      <c r="Z76" s="381" cm="1">
        <f t="array" ref="Z76">SUM(Z$6:Z$64*($D$6:$D$64=$D76))</f>
        <v>0</v>
      </c>
      <c r="AA76" s="381" cm="1">
        <f t="array" ref="AA76">SUM(AA$6:AA$64*($D$6:$D$64=$D76))</f>
        <v>0</v>
      </c>
      <c r="AB76" s="381" cm="1">
        <f t="array" ref="AB76">SUM(AB$6:AB$64*($D$6:$D$64=$D76))</f>
        <v>0</v>
      </c>
      <c r="AC76" s="381" cm="1">
        <f t="array" ref="AC76">SUM(AC$6:AC$64*($D$6:$D$64=$D76))</f>
        <v>0</v>
      </c>
      <c r="AD76" s="381" cm="1">
        <f t="array" ref="AD76">SUM(AD$6:AD$64*($D$6:$D$64=$D76))</f>
        <v>0</v>
      </c>
      <c r="AE76" s="381" cm="1">
        <f t="array" ref="AE76">SUM(AE$6:AE$64*($D$6:$D$64=$D76))</f>
        <v>0</v>
      </c>
      <c r="AF76" s="381" cm="1">
        <f t="array" ref="AF76">SUM(AF$6:AF$64*($D$6:$D$64=$D76))</f>
        <v>0</v>
      </c>
      <c r="AG76" s="381" cm="1">
        <f t="array" ref="AG76">SUM(AG$6:AG$64*($D$6:$D$64=$D76))</f>
        <v>0</v>
      </c>
      <c r="AH76" s="381" cm="1">
        <f t="array" ref="AH76">SUM(AH$6:AH$64*($D$6:$D$64=$D76))</f>
        <v>1</v>
      </c>
      <c r="AI76" s="381" cm="1">
        <f t="array" ref="AI76">SUM(AI$6:AI$64*($D$6:$D$64=$D76))</f>
        <v>1</v>
      </c>
      <c r="AJ76" s="381" cm="1">
        <f t="array" ref="AJ76">SUM(AJ$6:AJ$64*($D$6:$D$64=$D76))</f>
        <v>1</v>
      </c>
      <c r="AK76" s="381" cm="1">
        <f t="array" ref="AK76">SUM(AK$6:AK$64*($D$6:$D$64=$D76))</f>
        <v>1</v>
      </c>
      <c r="AL76" s="381" cm="1">
        <f t="array" ref="AL76">SUM(AL$6:AL$64*($D$6:$D$64=$D76))</f>
        <v>1</v>
      </c>
      <c r="AM76" s="381" cm="1">
        <f t="array" ref="AM76">SUM(AM$6:AM$64*($D$6:$D$64=$D76))</f>
        <v>1</v>
      </c>
      <c r="AN76" s="381" cm="1">
        <f t="array" ref="AN76">SUM(AN$6:AN$64*($D$6:$D$64=$D76))</f>
        <v>1</v>
      </c>
      <c r="AO76" s="381" cm="1">
        <f t="array" ref="AO76">SUM(AO$6:AO$64*($D$6:$D$64=$D76))</f>
        <v>1</v>
      </c>
      <c r="AP76" s="381" cm="1">
        <f t="array" ref="AP76">SUM(AP$6:AP$64*($D$6:$D$64=$D76))</f>
        <v>1</v>
      </c>
      <c r="AQ76" s="381" cm="1">
        <f t="array" ref="AQ76">SUM(AQ$6:AQ$64*($D$6:$D$64=$D76))</f>
        <v>1</v>
      </c>
      <c r="AR76" s="381" cm="1">
        <f t="array" ref="AR76">SUM(AR$6:AR$64*($D$6:$D$64=$D76))</f>
        <v>0</v>
      </c>
      <c r="AS76" s="381" cm="1">
        <f t="array" ref="AS76">SUM(AS$6:AS$64*($D$6:$D$64=$D76))</f>
        <v>0</v>
      </c>
      <c r="AT76" s="381" cm="1">
        <f t="array" ref="AT76">SUM(AT$6:AT$64*($D$6:$D$64=$D76))</f>
        <v>0</v>
      </c>
      <c r="AU76" s="381" cm="1">
        <f t="array" ref="AU76">SUM(AU$6:AU$64*($D$6:$D$64=$D76))</f>
        <v>0</v>
      </c>
      <c r="AV76" s="381" cm="1">
        <f t="array" ref="AV76">SUM(AV$6:AV$64*($D$6:$D$64=$D76))</f>
        <v>0</v>
      </c>
      <c r="AW76" s="381" cm="1">
        <f t="array" ref="AW76">SUM(AW$6:AW$64*($D$6:$D$64=$D76))</f>
        <v>0</v>
      </c>
      <c r="AX76" s="381" cm="1">
        <f t="array" ref="AX76">SUM(AX$6:AX$64*($D$6:$D$64=$D76))</f>
        <v>0</v>
      </c>
      <c r="AY76" s="381" cm="1">
        <f t="array" ref="AY76">SUM(AY$6:AY$64*($D$6:$D$64=$D76))</f>
        <v>0</v>
      </c>
      <c r="AZ76" s="381" cm="1">
        <f t="array" ref="AZ76">SUM(AZ$6:AZ$64*($D$6:$D$64=$D76))</f>
        <v>0</v>
      </c>
      <c r="BA76" s="381" cm="1">
        <f t="array" ref="BA76">SUM(BA$6:BA$64*($D$6:$D$64=$D76))</f>
        <v>0</v>
      </c>
      <c r="BB76" s="381" cm="1">
        <f t="array" ref="BB76">SUM(BB$6:BB$64*($D$6:$D$64=$D76))</f>
        <v>0</v>
      </c>
      <c r="BC76" s="381" cm="1">
        <f t="array" ref="BC76">SUM(BC$6:BC$64*($D$6:$D$64=$D76))</f>
        <v>0</v>
      </c>
      <c r="BD76" s="381" cm="1">
        <f t="array" ref="BD76">SUM(BD$6:BD$64*($D$6:$D$64=$D76))</f>
        <v>0</v>
      </c>
      <c r="BE76" s="381" cm="1">
        <f t="array" ref="BE76">SUM(BE$6:BE$64*($D$6:$D$64=$D76))</f>
        <v>0</v>
      </c>
      <c r="BF76" s="381" cm="1">
        <f t="array" ref="BF76">SUM(BF$6:BF$64*($D$6:$D$64=$D76))</f>
        <v>0</v>
      </c>
      <c r="BG76" s="381" cm="1">
        <f t="array" ref="BG76">SUM(BG$6:BG$64*($D$6:$D$64=$D76))</f>
        <v>0</v>
      </c>
      <c r="BH76" s="381" cm="1">
        <f t="array" ref="BH76">SUM(BH$6:BH$64*($D$6:$D$64=$D76))</f>
        <v>0</v>
      </c>
      <c r="BI76" s="381" cm="1">
        <f t="array" ref="BI76">SUM(BI$6:BI$64*($D$6:$D$64=$D76))</f>
        <v>0</v>
      </c>
      <c r="BJ76" s="381" cm="1">
        <f t="array" ref="BJ76">SUM(BJ$6:BJ$64*($D$6:$D$64=$D76))</f>
        <v>0</v>
      </c>
      <c r="BK76" s="381" cm="1">
        <f t="array" ref="BK76">SUM(BK$6:BK$64*($D$6:$D$64=$D76))</f>
        <v>0</v>
      </c>
      <c r="BL76" s="381" cm="1">
        <f t="array" ref="BL76">SUM(BL$6:BL$64*($D$6:$D$64=$D76))</f>
        <v>0</v>
      </c>
      <c r="BM76" s="381" cm="1">
        <f t="array" ref="BM76">SUM(BM$6:BM$64*($D$6:$D$64=$D76))</f>
        <v>0</v>
      </c>
      <c r="BN76" s="381" cm="1">
        <f t="array" ref="BN76">SUM(BN$6:BN$64*($D$6:$D$64=$D76))</f>
        <v>0</v>
      </c>
      <c r="BO76" s="381" cm="1">
        <f t="array" ref="BO76">SUM(BO$6:BO$64*($D$6:$D$64=$D76))</f>
        <v>0</v>
      </c>
      <c r="BP76" s="381" cm="1">
        <f t="array" ref="BP76">SUM(BP$6:BP$64*($D$6:$D$64=$D76))</f>
        <v>0</v>
      </c>
      <c r="BQ76" s="381" cm="1">
        <f t="array" ref="BQ76">SUM(BQ$6:BQ$64*($D$6:$D$64=$D76))</f>
        <v>0</v>
      </c>
      <c r="BR76" s="381" cm="1">
        <f t="array" ref="BR76">SUM(BR$6:BR$64*($D$6:$D$64=$D76))</f>
        <v>0</v>
      </c>
      <c r="BS76" s="381" cm="1">
        <f t="array" ref="BS76">SUM(BS$6:BS$64*($D$6:$D$64=$D76))</f>
        <v>0</v>
      </c>
    </row>
  </sheetData>
  <autoFilter ref="A3:WQ64" xr:uid="{1F166F39-C20C-47E5-A884-A2B0F6628BB9}"/>
  <mergeCells count="1">
    <mergeCell ref="L2:Q2"/>
  </mergeCells>
  <conditionalFormatting sqref="Y66:BS74">
    <cfRule type="colorScale" priority="2">
      <colorScale>
        <cfvo type="min"/>
        <cfvo type="max"/>
        <color rgb="FFFCFCFF"/>
        <color rgb="FF63BE7B"/>
      </colorScale>
    </cfRule>
  </conditionalFormatting>
  <conditionalFormatting sqref="Y75:BS76">
    <cfRule type="colorScale" priority="1">
      <colorScale>
        <cfvo type="min"/>
        <cfvo type="max"/>
        <color rgb="FFFCFCFF"/>
        <color rgb="FF63BE7B"/>
      </colorScale>
    </cfRule>
  </conditionalFormatting>
  <dataValidations count="2">
    <dataValidation type="list" allowBlank="1" showInputMessage="1" showErrorMessage="1" sqref="F4" xr:uid="{1DD591FD-867D-4536-80C0-7FC0D36E0DB4}">
      <formula1>INDIRECT("Panel_List")</formula1>
    </dataValidation>
    <dataValidation type="list" allowBlank="1" showInputMessage="1" showErrorMessage="1" sqref="D4:D5" xr:uid="{1725933D-3056-4174-94C9-A6C0E55356D7}">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93CC02E-D6B6-42D4-BE82-638999B68724}">
          <x14:formula1>
            <xm:f>Variable!$H$2:$H$572</xm:f>
          </x14:formula1>
          <xm:sqref>D6:D64</xm:sqref>
        </x14:dataValidation>
        <x14:dataValidation type="list" allowBlank="1" showInputMessage="1" showErrorMessage="1" xr:uid="{0E94D18D-029B-44E6-976A-EA99A1914166}">
          <x14:formula1>
            <xm:f>Variable!$AZ$2:$AZ$100</xm:f>
          </x14:formula1>
          <xm:sqref>E6:E64</xm:sqref>
        </x14:dataValidation>
        <x14:dataValidation type="list" allowBlank="1" showInputMessage="1" showErrorMessage="1" xr:uid="{80468EB5-329E-4DC6-816E-9EC8036A27F5}">
          <x14:formula1>
            <xm:f>Variable!$AX$2:$AX$500</xm:f>
          </x14:formula1>
          <xm:sqref>F5</xm:sqref>
        </x14:dataValidation>
        <x14:dataValidation type="list" allowBlank="1" showInputMessage="1" showErrorMessage="1" xr:uid="{CF1168D4-DF5F-44DB-9E02-63A76C71D066}">
          <x14:formula1>
            <xm:f>Variable!$AS$2:$AS$246</xm:f>
          </x14:formula1>
          <xm:sqref>Y3 C1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6F39-C20C-47E5-A884-A2B0F6628BB9}">
  <sheetPr>
    <tabColor rgb="FF205860"/>
  </sheetPr>
  <dimension ref="A1:WQ76"/>
  <sheetViews>
    <sheetView zoomScale="85" zoomScaleNormal="85" workbookViewId="0">
      <pane xSplit="6" ySplit="5" topLeftCell="T6" activePane="bottomRight" state="frozen"/>
      <selection pane="topRight" activeCell="G1" sqref="G1"/>
      <selection pane="bottomLeft" activeCell="A6" sqref="A6"/>
      <selection pane="bottomRight" activeCell="E2" sqref="E2"/>
    </sheetView>
  </sheetViews>
  <sheetFormatPr defaultColWidth="9" defaultRowHeight="14.25" x14ac:dyDescent="0.25"/>
  <cols>
    <col min="1" max="1" width="2.140625" style="321" customWidth="1"/>
    <col min="2" max="2" width="27.85546875" style="321" customWidth="1"/>
    <col min="3" max="3" width="75.140625" style="321" customWidth="1"/>
    <col min="4" max="4" width="22.7109375" style="321" bestFit="1" customWidth="1"/>
    <col min="5" max="5" width="21.7109375" style="321" customWidth="1"/>
    <col min="6" max="6" width="42.140625" style="321" customWidth="1"/>
    <col min="7" max="7" width="12.5703125" style="321" customWidth="1"/>
    <col min="8" max="8" width="8.42578125" style="321" customWidth="1"/>
    <col min="9" max="9" width="13.7109375" style="321" customWidth="1"/>
    <col min="10" max="10" width="18.140625" style="399" customWidth="1"/>
    <col min="11" max="11" width="14.85546875" style="399" customWidth="1"/>
    <col min="12" max="12" width="12.140625" style="405" customWidth="1"/>
    <col min="13" max="13" width="14.140625" style="321" customWidth="1"/>
    <col min="14" max="14" width="17" style="321" customWidth="1"/>
    <col min="15" max="15" width="13.5703125" style="321" customWidth="1"/>
    <col min="16" max="16" width="20.7109375" style="321" customWidth="1"/>
    <col min="17" max="17" width="14.85546875" style="324" customWidth="1"/>
    <col min="18" max="18" width="12.140625" style="380" customWidth="1"/>
    <col min="19" max="20" width="12.5703125" style="380" customWidth="1"/>
    <col min="21" max="21" width="14.7109375" style="321" customWidth="1"/>
    <col min="22" max="22" width="15.140625" style="321" customWidth="1"/>
    <col min="23" max="23" width="14.140625" style="321" customWidth="1"/>
    <col min="24" max="24" width="19.140625" style="321" customWidth="1"/>
    <col min="25" max="36" width="10.42578125" style="321" customWidth="1"/>
    <col min="37" max="37" width="11.28515625" style="321" customWidth="1"/>
    <col min="38" max="39" width="10.42578125" style="321" customWidth="1"/>
    <col min="40" max="40" width="11" style="321" customWidth="1"/>
    <col min="41" max="53" width="10.42578125" style="321" customWidth="1"/>
    <col min="54" max="54" width="12.7109375" style="321" customWidth="1"/>
    <col min="55" max="314" width="10.42578125" style="321" customWidth="1"/>
    <col min="315" max="315" width="15.5703125" style="321" bestFit="1" customWidth="1"/>
    <col min="316" max="317" width="14.85546875" style="321" bestFit="1" customWidth="1"/>
    <col min="318" max="318" width="14.5703125" style="321" bestFit="1" customWidth="1"/>
    <col min="319" max="320" width="14.85546875" style="321" bestFit="1" customWidth="1"/>
    <col min="321" max="321" width="14.140625" style="321" bestFit="1" customWidth="1"/>
    <col min="322" max="323" width="14" style="321" bestFit="1" customWidth="1"/>
    <col min="324" max="324" width="14.140625" style="321" bestFit="1" customWidth="1"/>
    <col min="325" max="325" width="15.42578125" style="321" bestFit="1" customWidth="1"/>
    <col min="326" max="326" width="14.7109375" style="321" bestFit="1" customWidth="1"/>
    <col min="327" max="327" width="15" style="321" bestFit="1" customWidth="1"/>
    <col min="328" max="328" width="15.42578125" style="321" bestFit="1" customWidth="1"/>
    <col min="329" max="329" width="14.7109375" style="321" bestFit="1" customWidth="1"/>
    <col min="330" max="330" width="15" style="321" bestFit="1" customWidth="1"/>
    <col min="331" max="331" width="14.7109375" style="321" bestFit="1" customWidth="1"/>
    <col min="332" max="333" width="15" style="321" bestFit="1" customWidth="1"/>
    <col min="334" max="334" width="14.85546875" style="321" bestFit="1" customWidth="1"/>
    <col min="335" max="335" width="14.5703125" style="321" bestFit="1" customWidth="1"/>
    <col min="336" max="336" width="14.85546875" style="321" bestFit="1" customWidth="1"/>
    <col min="337" max="337" width="14.7109375" style="321" bestFit="1" customWidth="1"/>
    <col min="338" max="338" width="15.42578125" style="321" bestFit="1" customWidth="1"/>
    <col min="339" max="339" width="15" style="321" bestFit="1" customWidth="1"/>
    <col min="340" max="340" width="14.85546875" style="321" bestFit="1" customWidth="1"/>
    <col min="341" max="341" width="15.42578125" style="321" bestFit="1" customWidth="1"/>
    <col min="342" max="342" width="14.85546875" style="321" bestFit="1" customWidth="1"/>
    <col min="343" max="343" width="15.140625" style="321" bestFit="1" customWidth="1"/>
    <col min="344" max="344" width="14.85546875" style="321" bestFit="1" customWidth="1"/>
    <col min="345" max="346" width="15.140625" style="321" bestFit="1" customWidth="1"/>
    <col min="347" max="347" width="15" style="321" bestFit="1" customWidth="1"/>
    <col min="348" max="349" width="14.7109375" style="321" bestFit="1" customWidth="1"/>
    <col min="350" max="350" width="15" style="321" bestFit="1" customWidth="1"/>
    <col min="351" max="352" width="15.140625" style="321" bestFit="1" customWidth="1"/>
    <col min="353" max="353" width="14.85546875" style="321" bestFit="1" customWidth="1"/>
    <col min="354" max="355" width="15.140625" style="321" bestFit="1" customWidth="1"/>
    <col min="356" max="356" width="15.5703125" style="321" bestFit="1" customWidth="1"/>
    <col min="357" max="357" width="15.140625" style="321" bestFit="1" customWidth="1"/>
    <col min="358" max="359" width="15.5703125" style="321" bestFit="1" customWidth="1"/>
    <col min="360" max="360" width="15.140625" style="321" bestFit="1" customWidth="1"/>
    <col min="361" max="362" width="14.85546875" style="321" bestFit="1" customWidth="1"/>
    <col min="363" max="363" width="15.140625" style="321" bestFit="1" customWidth="1"/>
    <col min="364" max="364" width="15.85546875" style="321" bestFit="1" customWidth="1"/>
    <col min="365" max="365" width="15.5703125" style="321" bestFit="1" customWidth="1"/>
    <col min="366" max="366" width="15.42578125" style="321" bestFit="1" customWidth="1"/>
    <col min="367" max="367" width="15.85546875" style="321" bestFit="1" customWidth="1"/>
    <col min="368" max="368" width="15.5703125" style="321" bestFit="1" customWidth="1"/>
    <col min="369" max="369" width="15" style="321" bestFit="1" customWidth="1"/>
    <col min="370" max="371" width="14.85546875" style="321" bestFit="1" customWidth="1"/>
    <col min="372" max="372" width="15.140625" style="321" bestFit="1" customWidth="1"/>
    <col min="373" max="373" width="14.5703125" style="321" bestFit="1" customWidth="1"/>
    <col min="374" max="375" width="14.140625" style="321" bestFit="1" customWidth="1"/>
    <col min="376" max="376" width="14.5703125" style="321" bestFit="1" customWidth="1"/>
    <col min="377" max="378" width="15.7109375" style="321" bestFit="1" customWidth="1"/>
    <col min="379" max="379" width="15.42578125" style="321" bestFit="1" customWidth="1"/>
    <col min="380" max="381" width="15.7109375" style="321" bestFit="1" customWidth="1"/>
    <col min="382" max="382" width="15.42578125" style="321" bestFit="1" customWidth="1"/>
    <col min="383" max="383" width="15" style="321" bestFit="1" customWidth="1"/>
    <col min="384" max="384" width="15.42578125" style="321" bestFit="1" customWidth="1"/>
    <col min="385" max="386" width="15.140625" style="321" bestFit="1" customWidth="1"/>
    <col min="387" max="387" width="14.5703125" style="321" bestFit="1" customWidth="1"/>
    <col min="388" max="388" width="14.85546875" style="321" bestFit="1" customWidth="1"/>
    <col min="389" max="389" width="15.140625" style="321" bestFit="1" customWidth="1"/>
    <col min="390" max="390" width="15.42578125" style="321" bestFit="1" customWidth="1"/>
    <col min="391" max="391" width="15.7109375" style="321" bestFit="1" customWidth="1"/>
    <col min="392" max="392" width="15.42578125" style="321" bestFit="1" customWidth="1"/>
    <col min="393" max="394" width="15.7109375" style="321" bestFit="1" customWidth="1"/>
    <col min="395" max="395" width="15.5703125" style="321" bestFit="1" customWidth="1"/>
    <col min="396" max="396" width="15.140625" style="321" bestFit="1" customWidth="1"/>
    <col min="397" max="397" width="15.5703125" style="321" bestFit="1" customWidth="1"/>
    <col min="398" max="398" width="15.42578125" style="321" bestFit="1" customWidth="1"/>
    <col min="399" max="399" width="15" style="321" bestFit="1" customWidth="1"/>
    <col min="400" max="400" width="14.7109375" style="321" bestFit="1" customWidth="1"/>
    <col min="401" max="401" width="14.5703125" style="321" bestFit="1" customWidth="1"/>
    <col min="402" max="402" width="15" style="321" bestFit="1" customWidth="1"/>
    <col min="403" max="403" width="14.7109375" style="321" bestFit="1" customWidth="1"/>
    <col min="404" max="404" width="15" style="321" bestFit="1" customWidth="1"/>
    <col min="405" max="406" width="14.85546875" style="321" bestFit="1" customWidth="1"/>
    <col min="407" max="407" width="15.140625" style="321" bestFit="1" customWidth="1"/>
    <col min="408" max="408" width="15.42578125" style="321" bestFit="1" customWidth="1"/>
    <col min="409" max="410" width="15.140625" style="321" bestFit="1" customWidth="1"/>
    <col min="411" max="411" width="15.5703125" style="321" bestFit="1" customWidth="1"/>
    <col min="412" max="412" width="15.140625" style="321" bestFit="1" customWidth="1"/>
    <col min="413" max="413" width="14.5703125" style="321" bestFit="1" customWidth="1"/>
    <col min="414" max="414" width="14.85546875" style="321" bestFit="1" customWidth="1"/>
    <col min="415" max="415" width="15.140625" style="321" bestFit="1" customWidth="1"/>
    <col min="416" max="417" width="15.85546875" style="321" bestFit="1" customWidth="1"/>
    <col min="418" max="418" width="15.5703125" style="321" bestFit="1" customWidth="1"/>
    <col min="419" max="420" width="15.85546875" style="321" bestFit="1" customWidth="1"/>
    <col min="421" max="421" width="15.140625" style="321" bestFit="1" customWidth="1"/>
    <col min="422" max="422" width="14.85546875" style="321" bestFit="1" customWidth="1"/>
    <col min="423" max="423" width="15.140625" style="321" bestFit="1" customWidth="1"/>
    <col min="424" max="424" width="15" style="321" bestFit="1" customWidth="1"/>
    <col min="425" max="425" width="14.5703125" style="321" bestFit="1" customWidth="1"/>
    <col min="426" max="426" width="14" style="321" bestFit="1" customWidth="1"/>
    <col min="427" max="427" width="14.140625" style="321" bestFit="1" customWidth="1"/>
    <col min="428" max="428" width="14.5703125" style="321" bestFit="1" customWidth="1"/>
    <col min="429" max="429" width="15.42578125" style="321" bestFit="1" customWidth="1"/>
    <col min="430" max="430" width="15.7109375" style="321" bestFit="1" customWidth="1"/>
    <col min="431" max="431" width="15.42578125" style="321" bestFit="1" customWidth="1"/>
    <col min="432" max="433" width="15.7109375" style="321" bestFit="1" customWidth="1"/>
    <col min="434" max="434" width="15.42578125" style="321" bestFit="1" customWidth="1"/>
    <col min="435" max="436" width="15" style="321" bestFit="1" customWidth="1"/>
    <col min="437" max="437" width="15.42578125" style="321" bestFit="1" customWidth="1"/>
    <col min="438" max="438" width="15.140625" style="321" bestFit="1" customWidth="1"/>
    <col min="439" max="439" width="14.85546875" style="321" bestFit="1" customWidth="1"/>
    <col min="440" max="440" width="14.7109375" style="321" bestFit="1" customWidth="1"/>
    <col min="441" max="441" width="15.140625" style="321" bestFit="1" customWidth="1"/>
    <col min="442" max="442" width="14.85546875" style="321" bestFit="1" customWidth="1"/>
    <col min="443" max="443" width="15.5703125" style="321" bestFit="1" customWidth="1"/>
    <col min="444" max="445" width="15.42578125" style="321" bestFit="1" customWidth="1"/>
    <col min="446" max="446" width="15.7109375" style="321" bestFit="1" customWidth="1"/>
    <col min="447" max="447" width="15.5703125" style="321" bestFit="1" customWidth="1"/>
    <col min="448" max="449" width="15.140625" style="321" bestFit="1" customWidth="1"/>
    <col min="450" max="450" width="15.5703125" style="321" bestFit="1" customWidth="1"/>
    <col min="451" max="452" width="15" style="321" bestFit="1" customWidth="1"/>
    <col min="453" max="453" width="14.7109375" style="321" bestFit="1" customWidth="1"/>
    <col min="454" max="455" width="15" style="321" bestFit="1" customWidth="1"/>
    <col min="456" max="456" width="15.140625" style="321" bestFit="1" customWidth="1"/>
    <col min="457" max="457" width="14.85546875" style="321" bestFit="1" customWidth="1"/>
    <col min="458" max="458" width="15.140625" style="321" bestFit="1" customWidth="1"/>
    <col min="459" max="459" width="15" style="321" bestFit="1" customWidth="1"/>
    <col min="460" max="460" width="15.5703125" style="321" bestFit="1" customWidth="1"/>
    <col min="461" max="461" width="15.140625" style="321" bestFit="1" customWidth="1"/>
    <col min="462" max="462" width="15.5703125" style="321" bestFit="1" customWidth="1"/>
    <col min="463" max="463" width="15.42578125" style="321" bestFit="1" customWidth="1"/>
    <col min="464" max="464" width="15.140625" style="321" bestFit="1" customWidth="1"/>
    <col min="465" max="465" width="14.85546875" style="321" bestFit="1" customWidth="1"/>
    <col min="466" max="466" width="14.7109375" style="321" bestFit="1" customWidth="1"/>
    <col min="467" max="467" width="15.140625" style="321" bestFit="1" customWidth="1"/>
    <col min="468" max="468" width="15.5703125" style="321" bestFit="1" customWidth="1"/>
    <col min="469" max="469" width="15.85546875" style="321" bestFit="1" customWidth="1"/>
    <col min="470" max="470" width="15.5703125" style="321" bestFit="1" customWidth="1"/>
    <col min="471" max="472" width="15.85546875" style="321" bestFit="1" customWidth="1"/>
    <col min="473" max="473" width="15.140625" style="321" bestFit="1" customWidth="1"/>
    <col min="474" max="475" width="14.85546875" style="321" bestFit="1" customWidth="1"/>
    <col min="476" max="476" width="15.140625" style="321" bestFit="1" customWidth="1"/>
    <col min="477" max="477" width="14.5703125" style="321" bestFit="1" customWidth="1"/>
    <col min="478" max="479" width="14.140625" style="321" bestFit="1" customWidth="1"/>
    <col min="480" max="480" width="14.5703125" style="321" bestFit="1" customWidth="1"/>
    <col min="481" max="481" width="14.140625" style="321" bestFit="1" customWidth="1"/>
    <col min="482" max="482" width="15.5703125" style="321" bestFit="1" customWidth="1"/>
    <col min="483" max="484" width="15.42578125" style="321" bestFit="1" customWidth="1"/>
    <col min="485" max="485" width="15.7109375" style="321" bestFit="1" customWidth="1"/>
    <col min="486" max="486" width="15.42578125" style="321" bestFit="1" customWidth="1"/>
    <col min="487" max="487" width="14.7109375" style="321" bestFit="1" customWidth="1"/>
    <col min="488" max="488" width="15" style="321" bestFit="1" customWidth="1"/>
    <col min="489" max="489" width="15.42578125" style="321" bestFit="1" customWidth="1"/>
    <col min="490" max="491" width="15.140625" style="321" bestFit="1" customWidth="1"/>
    <col min="492" max="492" width="14.85546875" style="321" bestFit="1" customWidth="1"/>
    <col min="493" max="494" width="15.140625" style="321" bestFit="1" customWidth="1"/>
    <col min="495" max="495" width="15.7109375" style="321" bestFit="1" customWidth="1"/>
    <col min="496" max="496" width="15.42578125" style="321" bestFit="1" customWidth="1"/>
    <col min="497" max="497" width="15.7109375" style="321" bestFit="1" customWidth="1"/>
    <col min="498" max="499" width="15.5703125" style="321" bestFit="1" customWidth="1"/>
    <col min="500" max="500" width="14.85546875" style="321" bestFit="1" customWidth="1"/>
    <col min="501" max="501" width="15.140625" style="321" bestFit="1" customWidth="1"/>
    <col min="502" max="502" width="15.5703125" style="321" bestFit="1" customWidth="1"/>
    <col min="503" max="503" width="14.7109375" style="321" bestFit="1" customWidth="1"/>
    <col min="504" max="504" width="15" style="321" bestFit="1" customWidth="1"/>
    <col min="505" max="505" width="14.7109375" style="321" bestFit="1" customWidth="1"/>
    <col min="506" max="507" width="15" style="321" bestFit="1" customWidth="1"/>
    <col min="508" max="508" width="15.140625" style="321" bestFit="1" customWidth="1"/>
    <col min="509" max="510" width="14.85546875" style="321" bestFit="1" customWidth="1"/>
    <col min="511" max="511" width="15.140625" style="321" bestFit="1" customWidth="1"/>
    <col min="512" max="512" width="15.5703125" style="321" bestFit="1" customWidth="1"/>
    <col min="513" max="514" width="15.140625" style="321" bestFit="1" customWidth="1"/>
    <col min="515" max="515" width="15.5703125" style="321" bestFit="1" customWidth="1"/>
    <col min="516" max="517" width="15.140625" style="321" bestFit="1" customWidth="1"/>
    <col min="518" max="518" width="14.85546875" style="321" bestFit="1" customWidth="1"/>
    <col min="519" max="520" width="15.140625" style="321" bestFit="1" customWidth="1"/>
    <col min="521" max="521" width="15.7109375" style="321" bestFit="1" customWidth="1"/>
    <col min="522" max="523" width="15.5703125" style="321" bestFit="1" customWidth="1"/>
    <col min="524" max="524" width="15.85546875" style="321" bestFit="1" customWidth="1"/>
    <col min="525" max="525" width="15.140625" style="321" bestFit="1" customWidth="1"/>
    <col min="526" max="526" width="14.5703125" style="321" bestFit="1" customWidth="1"/>
    <col min="527" max="527" width="14.85546875" style="321" bestFit="1" customWidth="1"/>
    <col min="528" max="528" width="15.140625" style="321" bestFit="1" customWidth="1"/>
    <col min="529" max="530" width="14.5703125" style="321" bestFit="1" customWidth="1"/>
    <col min="531" max="531" width="14.140625" style="321" bestFit="1" customWidth="1"/>
    <col min="532" max="533" width="14.5703125" style="321" bestFit="1" customWidth="1"/>
    <col min="534" max="534" width="15.7109375" style="321" bestFit="1" customWidth="1"/>
    <col min="535" max="535" width="15.42578125" style="321" bestFit="1" customWidth="1"/>
    <col min="536" max="536" width="15.7109375" style="321" bestFit="1" customWidth="1"/>
    <col min="537" max="537" width="15.5703125" style="321" bestFit="1" customWidth="1"/>
    <col min="538" max="538" width="15.42578125" style="321" bestFit="1" customWidth="1"/>
    <col min="539" max="539" width="15" style="321" bestFit="1" customWidth="1"/>
    <col min="540" max="540" width="14.85546875" style="321" bestFit="1" customWidth="1"/>
    <col min="541" max="541" width="15.42578125" style="321" bestFit="1" customWidth="1"/>
    <col min="542" max="542" width="14.85546875" style="321" bestFit="1" customWidth="1"/>
    <col min="543" max="543" width="15.140625" style="321" bestFit="1" customWidth="1"/>
    <col min="544" max="544" width="14.85546875" style="321" bestFit="1" customWidth="1"/>
    <col min="545" max="546" width="15.140625" style="321" bestFit="1" customWidth="1"/>
    <col min="547" max="547" width="15.7109375" style="321" bestFit="1" customWidth="1"/>
    <col min="548" max="549" width="15.42578125" style="321" bestFit="1" customWidth="1"/>
    <col min="550" max="550" width="15.7109375" style="321" bestFit="1" customWidth="1"/>
    <col min="551" max="551" width="15.5703125" style="321" bestFit="1" customWidth="1"/>
    <col min="552" max="552" width="15.140625" style="321" bestFit="1" customWidth="1"/>
    <col min="553" max="553" width="15" style="321" bestFit="1" customWidth="1"/>
    <col min="554" max="554" width="15.5703125" style="321" bestFit="1" customWidth="1"/>
    <col min="555" max="555" width="15.140625" style="321" bestFit="1" customWidth="1"/>
    <col min="556" max="556" width="14.85546875" style="321" bestFit="1" customWidth="1"/>
    <col min="557" max="558" width="14.7109375" style="321" bestFit="1" customWidth="1"/>
    <col min="559" max="559" width="15" style="321" bestFit="1" customWidth="1"/>
    <col min="560" max="560" width="15.140625" style="321" bestFit="1" customWidth="1"/>
    <col min="561" max="561" width="14.5703125" style="321" bestFit="1" customWidth="1"/>
    <col min="562" max="562" width="14.85546875" style="321" bestFit="1" customWidth="1"/>
    <col min="563" max="563" width="15.140625" style="321" bestFit="1" customWidth="1"/>
    <col min="564" max="564" width="15.5703125" style="321" bestFit="1" customWidth="1"/>
    <col min="565" max="565" width="15.140625" style="321" bestFit="1" customWidth="1"/>
    <col min="566" max="566" width="15" style="321" bestFit="1" customWidth="1"/>
    <col min="567" max="567" width="15.5703125" style="321" bestFit="1" customWidth="1"/>
    <col min="568" max="568" width="15.140625" style="321" bestFit="1" customWidth="1"/>
    <col min="569" max="569" width="15" style="321" bestFit="1" customWidth="1"/>
    <col min="570" max="571" width="14.85546875" style="321" bestFit="1" customWidth="1"/>
    <col min="572" max="572" width="15.140625" style="321" bestFit="1" customWidth="1"/>
    <col min="573" max="573" width="15.85546875" style="321" bestFit="1" customWidth="1"/>
    <col min="574" max="575" width="15.5703125" style="321" bestFit="1" customWidth="1"/>
    <col min="576" max="576" width="15.85546875" style="321" bestFit="1" customWidth="1"/>
    <col min="577" max="578" width="15.140625" style="321" bestFit="1" customWidth="1"/>
    <col min="579" max="579" width="14.85546875" style="321" bestFit="1" customWidth="1"/>
    <col min="580" max="581" width="15.140625" style="321" bestFit="1" customWidth="1"/>
    <col min="582" max="582" width="14.42578125" style="321" bestFit="1" customWidth="1"/>
    <col min="583" max="584" width="14.140625" style="321" bestFit="1" customWidth="1"/>
    <col min="585" max="585" width="14.5703125" style="321" bestFit="1" customWidth="1"/>
    <col min="586" max="586" width="15.7109375" style="321" bestFit="1" customWidth="1"/>
    <col min="587" max="587" width="15" style="321" bestFit="1" customWidth="1"/>
    <col min="588" max="588" width="15.42578125" style="321" bestFit="1" customWidth="1"/>
    <col min="589" max="589" width="15.7109375" style="321" bestFit="1" customWidth="1"/>
    <col min="590" max="590" width="15" style="321" bestFit="1" customWidth="1"/>
    <col min="591" max="591" width="15.42578125" style="321" bestFit="1" customWidth="1"/>
    <col min="592" max="592" width="15" style="321" bestFit="1" customWidth="1"/>
    <col min="593" max="594" width="15.42578125" style="321" bestFit="1" customWidth="1"/>
    <col min="595" max="595" width="15.140625" style="321" bestFit="1" customWidth="1"/>
    <col min="596" max="596" width="14.85546875" style="321" bestFit="1" customWidth="1"/>
    <col min="597" max="597" width="15.140625" style="321" bestFit="1" customWidth="1"/>
    <col min="598" max="598" width="15" style="321" bestFit="1" customWidth="1"/>
    <col min="599" max="599" width="15.7109375" style="321" bestFit="1" customWidth="1"/>
    <col min="600" max="600" width="15.42578125" style="321" bestFit="1" customWidth="1"/>
    <col min="601" max="601" width="15.140625" style="321" bestFit="1" customWidth="1"/>
    <col min="602" max="602" width="15.7109375" style="321" bestFit="1" customWidth="1"/>
    <col min="603" max="603" width="15.140625" style="321" bestFit="1" customWidth="1"/>
    <col min="604" max="604" width="15.5703125" style="321" bestFit="1" customWidth="1"/>
    <col min="605" max="605" width="15.140625" style="321" bestFit="1" customWidth="1"/>
    <col min="606" max="607" width="15.5703125" style="321" bestFit="1" customWidth="1"/>
    <col min="608" max="608" width="14.85546875" style="321" bestFit="1" customWidth="1"/>
    <col min="609" max="610" width="14.5703125" style="321" bestFit="1" customWidth="1"/>
    <col min="611" max="611" width="14.85546875" style="321" bestFit="1" customWidth="1"/>
    <col min="612" max="613" width="15" style="321" bestFit="1" customWidth="1"/>
    <col min="614" max="614" width="14.7109375" style="321" bestFit="1" customWidth="1"/>
    <col min="615" max="615" width="15" style="321" bestFit="1" customWidth="1"/>
    <col min="616" max="16384" width="9" style="321"/>
  </cols>
  <sheetData>
    <row r="1" spans="1:615" s="270" customFormat="1" ht="20.25" customHeight="1" x14ac:dyDescent="0.25">
      <c r="B1" s="271" t="s">
        <v>76</v>
      </c>
      <c r="C1" s="272">
        <v>46083</v>
      </c>
      <c r="D1" s="432">
        <v>887523.63</v>
      </c>
      <c r="E1" s="275">
        <f ca="1">V5</f>
        <v>827429.6</v>
      </c>
      <c r="F1" s="275">
        <f ca="1">W5</f>
        <v>-887528.89</v>
      </c>
      <c r="G1" s="273"/>
      <c r="H1" s="273"/>
      <c r="I1" s="273">
        <v>907273.5</v>
      </c>
      <c r="J1" s="397"/>
      <c r="K1" s="397"/>
      <c r="L1" s="401"/>
      <c r="M1" s="273"/>
      <c r="N1" s="273"/>
      <c r="O1" s="273"/>
      <c r="P1" s="273"/>
      <c r="Q1" s="402"/>
      <c r="R1" s="386">
        <f ca="1">R5</f>
        <v>-6.2997622533729536E-2</v>
      </c>
      <c r="S1" s="274"/>
      <c r="T1" s="274"/>
      <c r="U1" s="273"/>
      <c r="V1" s="275"/>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25">
      <c r="B2" s="271" t="s">
        <v>78</v>
      </c>
      <c r="C2" s="272">
        <v>46062</v>
      </c>
      <c r="D2" s="433">
        <f ca="1">R5</f>
        <v>-6.2997622533729536E-2</v>
      </c>
      <c r="E2" s="434"/>
      <c r="F2" s="273"/>
      <c r="G2" s="273"/>
      <c r="H2" s="273"/>
      <c r="I2" s="273"/>
      <c r="J2" s="397"/>
      <c r="K2" s="397"/>
      <c r="L2" s="429" t="s">
        <v>79</v>
      </c>
      <c r="M2" s="430"/>
      <c r="N2" s="430"/>
      <c r="O2" s="430"/>
      <c r="P2" s="430"/>
      <c r="Q2" s="431"/>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25">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
      <c r="A5" s="270"/>
      <c r="B5" s="311"/>
      <c r="C5" s="312" t="s">
        <v>105</v>
      </c>
      <c r="D5" s="313" t="s">
        <v>317</v>
      </c>
      <c r="E5" s="312" t="s">
        <v>46</v>
      </c>
      <c r="F5" s="314" t="s">
        <v>812</v>
      </c>
      <c r="G5" s="297"/>
      <c r="H5" s="298"/>
      <c r="I5" s="298"/>
      <c r="J5" s="300"/>
      <c r="K5" s="300"/>
      <c r="L5" s="297">
        <f t="shared" ref="L5:Q5" si="20">SUM(L6:L64)</f>
        <v>0</v>
      </c>
      <c r="M5" s="301">
        <f t="shared" ca="1" si="20"/>
        <v>0</v>
      </c>
      <c r="N5" s="302">
        <f t="shared" si="20"/>
        <v>716.25</v>
      </c>
      <c r="O5" s="301">
        <f t="shared" ca="1" si="20"/>
        <v>112758.45</v>
      </c>
      <c r="P5" s="301">
        <f t="shared" ca="1" si="20"/>
        <v>-112758.45</v>
      </c>
      <c r="Q5" s="303">
        <f t="shared" si="20"/>
        <v>116011.5</v>
      </c>
      <c r="R5" s="400">
        <f ca="1">IFERROR(((U5+O5)-(V5+Q5))/(U5+O5),"")</f>
        <v>-6.2997622533729536E-2</v>
      </c>
      <c r="S5" s="298">
        <f ca="1">SUM(S6:S64)</f>
        <v>4889</v>
      </c>
      <c r="T5" s="316">
        <f ca="1">SUM(T6:T64)</f>
        <v>611.125</v>
      </c>
      <c r="U5" s="317">
        <f ca="1">SUM(U6:U64)</f>
        <v>774770.44000000006</v>
      </c>
      <c r="V5" s="306">
        <f ca="1">SUM(V6:V64)</f>
        <v>827429.6</v>
      </c>
      <c r="W5" s="454">
        <f ca="1">SUM(W6:W64)</f>
        <v>-887528.89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25">
      <c r="B6" s="322" t="s">
        <v>926</v>
      </c>
      <c r="C6" s="323" t="s">
        <v>927</v>
      </c>
      <c r="D6" s="321" t="s">
        <v>306</v>
      </c>
      <c r="E6" s="321" t="s">
        <v>753</v>
      </c>
      <c r="F6" s="324" t="s">
        <v>928</v>
      </c>
      <c r="G6" s="325" cm="1">
        <f t="array" aca="1" ref="G6" ca="1">IFERROR(INDEX(Panel_Rates[[1]:[12]],MATCH(Panel_New&amp;Category_New,Panel_Rates[Panel]&amp;Panel_Rates[Category],0),MATCH('Time Plan (Single Release)'!E6,OFFSET(Variable!$AF$2,MATCH(Panel_New&amp;Category_New,Panel_Rates[Panel]&amp;Panel_Rates[Category],0)-1,0,1,12),0))/8,"")</f>
        <v>305</v>
      </c>
      <c r="H6" s="326">
        <v>0.32</v>
      </c>
      <c r="I6" s="328">
        <f t="shared" ref="I6:I24" ca="1" si="21">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24" ca="1" si="22">IFERROR(M6-O6,"")</f>
        <v>-24887.999999999996</v>
      </c>
      <c r="Q6" s="333">
        <f t="shared" ref="Q6:Q24" si="23">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25">
      <c r="B7" s="322" t="s">
        <v>926</v>
      </c>
      <c r="C7" s="323" t="s">
        <v>927</v>
      </c>
      <c r="D7" s="321" t="s">
        <v>327</v>
      </c>
      <c r="E7" s="321" t="s">
        <v>752</v>
      </c>
      <c r="F7" s="324" t="s">
        <v>155</v>
      </c>
      <c r="G7" s="325" cm="1">
        <f t="array" aca="1" ref="G7" ca="1">IFERROR(INDEX(Panel_Rates[[1]:[12]],MATCH(Panel_New&amp;Category_New,Panel_Rates[Panel]&amp;Panel_Rates[Category],0),MATCH('Time Plan (Single Release)'!E7,OFFSET(Variable!$AF$2,MATCH(Panel_New&amp;Category_New,Panel_Rates[Panel]&amp;Panel_Rates[Category],0)-1,0,1,12),0))/8,"")</f>
        <v>245</v>
      </c>
      <c r="H7" s="326">
        <v>0.38</v>
      </c>
      <c r="I7" s="328">
        <f t="shared" ref="I7" ca="1" si="24">IFERROR(G7*(1-H7),"")</f>
        <v>151.9</v>
      </c>
      <c r="J7" s="329">
        <f ca="1">IFERROR(I7*8,"")</f>
        <v>1215.2</v>
      </c>
      <c r="K7" s="329">
        <f>IFERROR(_xlfn.XLOOKUP(D7,CostTableLookup[Name],CostTableLookup[Gross Cost]),"")</f>
        <v>146</v>
      </c>
      <c r="L7" s="330"/>
      <c r="M7" s="331">
        <f ca="1">IFERROR(L7*I7,"")</f>
        <v>0</v>
      </c>
      <c r="N7" s="332">
        <v>144.5</v>
      </c>
      <c r="O7" s="331">
        <f ca="1">IFERROR(N7*I7,"")</f>
        <v>21949.55</v>
      </c>
      <c r="P7" s="331">
        <f t="shared" ref="P7" ca="1" si="25">IFERROR(M7-O7,"")</f>
        <v>-21949.55</v>
      </c>
      <c r="Q7" s="333">
        <f t="shared" ref="Q7" si="26">IFERROR(N7*K7,"")</f>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64" ca="1" si="27">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25">
      <c r="B8" s="322" t="s">
        <v>926</v>
      </c>
      <c r="C8" s="323" t="s">
        <v>927</v>
      </c>
      <c r="D8" s="321" t="s">
        <v>746</v>
      </c>
      <c r="E8" s="321" t="s">
        <v>752</v>
      </c>
      <c r="F8" s="324" t="s">
        <v>155</v>
      </c>
      <c r="G8" s="325" cm="1">
        <f t="array" aca="1" ref="G8" ca="1">IFERROR(INDEX(Panel_Rates[[1]:[12]],MATCH(Panel_New&amp;Category_New,Panel_Rates[Panel]&amp;Panel_Rates[Category],0),MATCH('Time Plan (Single Release)'!E8,OFFSET(Variable!$AF$2,MATCH(Panel_New&amp;Category_New,Panel_Rates[Panel]&amp;Panel_Rates[Category],0)-1,0,1,12),0))/8,"")</f>
        <v>245</v>
      </c>
      <c r="H8" s="326">
        <v>0.38</v>
      </c>
      <c r="I8" s="328">
        <f t="shared" ref="I8" ca="1" si="28">IFERROR(G8*(1-H8),"")</f>
        <v>151.9</v>
      </c>
      <c r="J8" s="329">
        <f ca="1">IFERROR(I8*8,"")</f>
        <v>1215.2</v>
      </c>
      <c r="K8" s="329">
        <f>IFERROR(_xlfn.XLOOKUP(D8,CostTableLookup[Name],CostTableLookup[Gross Cost]),"")</f>
        <v>90</v>
      </c>
      <c r="L8" s="330"/>
      <c r="M8" s="331">
        <f ca="1">IFERROR(L8*I8,"")</f>
        <v>0</v>
      </c>
      <c r="N8" s="332">
        <v>120</v>
      </c>
      <c r="O8" s="331">
        <f ca="1">IFERROR(N8*I8,"")</f>
        <v>18228</v>
      </c>
      <c r="P8" s="331">
        <f t="shared" ref="P8" ca="1" si="29">IFERROR(M8-O8,"")</f>
        <v>-18228</v>
      </c>
      <c r="Q8" s="333">
        <f t="shared" ref="Q8" si="30">IFERROR(N8*K8,"")</f>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7"/>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25">
      <c r="B9" s="322" t="s">
        <v>926</v>
      </c>
      <c r="C9" s="323" t="s">
        <v>927</v>
      </c>
      <c r="D9" s="321" t="s">
        <v>317</v>
      </c>
      <c r="E9" s="321" t="s">
        <v>754</v>
      </c>
      <c r="F9" s="324" t="s">
        <v>929</v>
      </c>
      <c r="G9" s="325" cm="1">
        <f t="array" aca="1" ref="G9" ca="1">IFERROR(INDEX(Panel_Rates[[1]:[12]],MATCH(Panel_New&amp;Category_New,Panel_Rates[Panel]&amp;Panel_Rates[Category],0),MATCH('Time Plan (Single Release)'!E9,OFFSET(Variable!$AF$2,MATCH(Panel_New&amp;Category_New,Panel_Rates[Panel]&amp;Panel_Rates[Category],0)-1,0,1,12),0))/8,"")</f>
        <v>395</v>
      </c>
      <c r="H9" s="326">
        <v>0.4</v>
      </c>
      <c r="I9" s="328">
        <f t="shared" ref="I9" ca="1" si="31">IFERROR(G9*(1-H9),"")</f>
        <v>237</v>
      </c>
      <c r="J9" s="329">
        <f t="shared" ref="J9:J13" ca="1" si="32">IFERROR(I9*8,"")</f>
        <v>1896</v>
      </c>
      <c r="K9" s="329">
        <f>IFERROR(_xlfn.XLOOKUP(D9,CostTableLookup[Name],CostTableLookup[Gross Cost]),"")</f>
        <v>198</v>
      </c>
      <c r="L9" s="330"/>
      <c r="M9" s="331">
        <f t="shared" ref="M9:M11" ca="1" si="33">IFERROR(L9*I9,"")</f>
        <v>0</v>
      </c>
      <c r="N9" s="332">
        <v>66</v>
      </c>
      <c r="O9" s="331">
        <f t="shared" ref="O9:O11" ca="1" si="34">IFERROR(N9*I9,"")</f>
        <v>15642</v>
      </c>
      <c r="P9" s="331">
        <f t="shared" ref="P9:P11" ca="1" si="35">IFERROR(M9-O9,"")</f>
        <v>-15642</v>
      </c>
      <c r="Q9" s="333">
        <f t="shared" ref="Q9:Q11" si="36">IFERROR(N9*K9,"")</f>
        <v>13068</v>
      </c>
      <c r="R9" s="343">
        <f t="shared" ref="R9:R11" ca="1" si="37">IFERROR(((U9+O9)-(V9+Q9))/(U9+O9),"")</f>
        <v>0.16455696202531644</v>
      </c>
      <c r="S9" s="335">
        <f t="shared" ref="S9:S11" ca="1" si="38">IFERROR(SUM(OFFSET(Y9,0,MATCH(Forecast_New,$Y$3:$WQ$3,0)-1,1,500))*40,"")</f>
        <v>30</v>
      </c>
      <c r="T9" s="336">
        <f t="shared" ref="T9:T24" ca="1" si="39">IFERROR(S9/8,"")</f>
        <v>3.75</v>
      </c>
      <c r="U9" s="337">
        <f t="shared" ref="U9:U11" ca="1" si="40">IFERROR($S9*I9,"")</f>
        <v>7110</v>
      </c>
      <c r="V9" s="338">
        <f t="shared" ref="V9:V11" ca="1" si="41">IFERROR($S9*K9,"")</f>
        <v>5940</v>
      </c>
      <c r="W9" s="339">
        <f t="shared" ca="1" si="27"/>
        <v>-22752</v>
      </c>
      <c r="X9" s="340" t="str">
        <f t="shared" ref="X9:X11" ca="1" si="42">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25">
      <c r="B10" s="322" t="s">
        <v>926</v>
      </c>
      <c r="C10" s="323" t="s">
        <v>927</v>
      </c>
      <c r="D10" s="321" t="s">
        <v>447</v>
      </c>
      <c r="E10" s="321" t="s">
        <v>753</v>
      </c>
      <c r="F10" s="324" t="s">
        <v>930</v>
      </c>
      <c r="G10" s="325" cm="1">
        <f t="array" aca="1" ref="G10" ca="1">IFERROR(INDEX(Panel_Rates[[1]:[12]],MATCH(Panel_New&amp;Category_New,Panel_Rates[Panel]&amp;Panel_Rates[Category],0),MATCH('Time Plan (Single Release)'!E10,OFFSET(Variable!$AF$2,MATCH(Panel_New&amp;Category_New,Panel_Rates[Panel]&amp;Panel_Rates[Category],0)-1,0,1,12),0))/8,"")</f>
        <v>305</v>
      </c>
      <c r="H10" s="326">
        <v>0.32</v>
      </c>
      <c r="I10" s="328">
        <f ca="1">IFERROR(G10*(1-H10),"")</f>
        <v>207.39999999999998</v>
      </c>
      <c r="J10" s="329">
        <f t="shared" ref="J10:J11" ca="1" si="43">IFERROR(I10*8,"")</f>
        <v>1659.1999999999998</v>
      </c>
      <c r="K10" s="329">
        <f>IFERROR(_xlfn.XLOOKUP(D10,CostTableLookup[Name],CostTableLookup[Gross Cost]),"")</f>
        <v>151</v>
      </c>
      <c r="L10" s="330"/>
      <c r="M10" s="331">
        <f t="shared" ca="1" si="33"/>
        <v>0</v>
      </c>
      <c r="N10" s="332"/>
      <c r="O10" s="331">
        <f t="shared" ca="1" si="34"/>
        <v>0</v>
      </c>
      <c r="P10" s="331">
        <f t="shared" ca="1" si="35"/>
        <v>0</v>
      </c>
      <c r="Q10" s="333">
        <f t="shared" si="36"/>
        <v>0</v>
      </c>
      <c r="R10" s="343">
        <f t="shared" ca="1" si="37"/>
        <v>0.27193828351012539</v>
      </c>
      <c r="S10" s="335">
        <f t="shared" ca="1" si="38"/>
        <v>20</v>
      </c>
      <c r="T10" s="336">
        <f t="shared" ref="T10:T11" ca="1" si="44">IFERROR(S10/8,"")</f>
        <v>2.5</v>
      </c>
      <c r="U10" s="337">
        <f t="shared" ca="1" si="40"/>
        <v>4148</v>
      </c>
      <c r="V10" s="338">
        <f t="shared" ca="1" si="41"/>
        <v>3020</v>
      </c>
      <c r="W10" s="339">
        <f t="shared" ca="1" si="27"/>
        <v>-4148</v>
      </c>
      <c r="X10" s="340" t="str">
        <f t="shared" ca="1" si="42"/>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25">
      <c r="B11" s="322" t="s">
        <v>926</v>
      </c>
      <c r="C11" s="323" t="s">
        <v>927</v>
      </c>
      <c r="D11" s="321" t="s">
        <v>126</v>
      </c>
      <c r="E11" s="321" t="s">
        <v>752</v>
      </c>
      <c r="F11" s="324" t="s">
        <v>852</v>
      </c>
      <c r="G11" s="325" cm="1">
        <f t="array" aca="1" ref="G11" ca="1">IFERROR(INDEX(Panel_Rates[[1]:[12]],MATCH(Panel_New&amp;Category_New,Panel_Rates[Panel]&amp;Panel_Rates[Category],0),MATCH('Time Plan (Single Release)'!E11,OFFSET(Variable!$AF$2,MATCH(Panel_New&amp;Category_New,Panel_Rates[Panel]&amp;Panel_Rates[Category],0)-1,0,1,12),0))/8,"")</f>
        <v>245</v>
      </c>
      <c r="H11" s="326">
        <v>0.38</v>
      </c>
      <c r="I11" s="328">
        <f t="shared" ref="I11" ca="1" si="45">IFERROR(G11*(1-H11),"")</f>
        <v>151.9</v>
      </c>
      <c r="J11" s="329">
        <f t="shared" ca="1" si="43"/>
        <v>1215.2</v>
      </c>
      <c r="K11" s="329">
        <f>IFERROR(_xlfn.XLOOKUP(D11,CostTableLookup[Name],CostTableLookup[Gross Cost]),"")</f>
        <v>146</v>
      </c>
      <c r="L11" s="330"/>
      <c r="M11" s="331">
        <f t="shared" ca="1" si="33"/>
        <v>0</v>
      </c>
      <c r="N11" s="332">
        <v>66.5</v>
      </c>
      <c r="O11" s="331">
        <f t="shared" ca="1" si="34"/>
        <v>10101.35</v>
      </c>
      <c r="P11" s="331">
        <f t="shared" ca="1" si="35"/>
        <v>-10101.35</v>
      </c>
      <c r="Q11" s="333">
        <f t="shared" si="36"/>
        <v>9709</v>
      </c>
      <c r="R11" s="343">
        <f t="shared" ca="1" si="37"/>
        <v>3.8841342988808522E-2</v>
      </c>
      <c r="S11" s="335">
        <f t="shared" ca="1" si="38"/>
        <v>8</v>
      </c>
      <c r="T11" s="336">
        <f t="shared" ca="1" si="44"/>
        <v>1</v>
      </c>
      <c r="U11" s="337">
        <f t="shared" ca="1" si="40"/>
        <v>1215.2</v>
      </c>
      <c r="V11" s="338">
        <f t="shared" ca="1" si="41"/>
        <v>1168</v>
      </c>
      <c r="W11" s="339">
        <f t="shared" ca="1" si="27"/>
        <v>-11316.550000000001</v>
      </c>
      <c r="X11" s="340" t="str">
        <f t="shared" ca="1" si="42"/>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25">
      <c r="B12" s="384" t="s">
        <v>926</v>
      </c>
      <c r="C12" s="384" t="s">
        <v>927</v>
      </c>
      <c r="D12" s="385" t="s">
        <v>122</v>
      </c>
      <c r="E12" s="321" t="s">
        <v>752</v>
      </c>
      <c r="F12" s="324" t="s">
        <v>931</v>
      </c>
      <c r="G12" s="325" cm="1">
        <f t="array" aca="1" ref="G12" ca="1">IFERROR(INDEX(Panel_Rates[[1]:[12]],MATCH(Panel_New&amp;Category_New,Panel_Rates[Panel]&amp;Panel_Rates[Category],0),MATCH('Time Plan (Single Release)'!E12,OFFSET(Variable!$AF$2,MATCH(Panel_New&amp;Category_New,Panel_Rates[Panel]&amp;Panel_Rates[Category],0)-1,0,1,12),0))/8,"")</f>
        <v>245</v>
      </c>
      <c r="H12" s="326">
        <v>1</v>
      </c>
      <c r="I12" s="328">
        <f ca="1">IFERROR(G12*(1-H12),"")</f>
        <v>0</v>
      </c>
      <c r="J12" s="329">
        <f t="shared" ca="1" si="32"/>
        <v>0</v>
      </c>
      <c r="K12" s="329">
        <f>IFERROR(_xlfn.XLOOKUP(D12,CostTableLookup[Name],CostTableLookup[Gross Cost]),"")</f>
        <v>198</v>
      </c>
      <c r="L12" s="330"/>
      <c r="M12" s="331">
        <f t="shared" ref="M12:M24" ca="1" si="46">IFERROR(L12*I12,"")</f>
        <v>0</v>
      </c>
      <c r="N12" s="332">
        <v>54.75</v>
      </c>
      <c r="O12" s="331">
        <f t="shared" ref="O12:O24" ca="1" si="47">IFERROR(N12*I12,"")</f>
        <v>0</v>
      </c>
      <c r="P12" s="331">
        <f t="shared" ca="1" si="22"/>
        <v>0</v>
      </c>
      <c r="Q12" s="333">
        <f t="shared" si="23"/>
        <v>10840.5</v>
      </c>
      <c r="R12" s="343">
        <v>1</v>
      </c>
      <c r="S12" s="335">
        <f t="shared" ref="S12:S20" ca="1" si="48">IFERROR(SUM(OFFSET(Y12,0,MATCH(Forecast_New,$Y$3:$WQ$3,0)-1,1,500))*40,"")</f>
        <v>20</v>
      </c>
      <c r="T12" s="336">
        <f t="shared" ca="1" si="39"/>
        <v>2.5</v>
      </c>
      <c r="U12" s="337">
        <f t="shared" ref="U12:U24" ca="1" si="49">IFERROR($S12*I12,"")</f>
        <v>0</v>
      </c>
      <c r="V12" s="338">
        <f t="shared" ref="V12:V24" ca="1" si="50">IFERROR($S12*K12,"")</f>
        <v>3960</v>
      </c>
      <c r="W12" s="339">
        <f t="shared" ca="1" si="27"/>
        <v>0</v>
      </c>
      <c r="X12" s="340" t="str">
        <f t="shared" ref="X12:X24" ca="1" si="51">IFERROR(W12/M12,"")</f>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25">
      <c r="B13" s="322" t="s">
        <v>926</v>
      </c>
      <c r="C13" s="323" t="s">
        <v>932</v>
      </c>
      <c r="D13" s="321" t="s">
        <v>306</v>
      </c>
      <c r="E13" s="321" t="s">
        <v>753</v>
      </c>
      <c r="F13" s="324" t="s">
        <v>928</v>
      </c>
      <c r="G13" s="325" cm="1">
        <f t="array" aca="1" ref="G13" ca="1">IFERROR(INDEX(Panel_Rates[[1]:[12]],MATCH(Panel_New&amp;Category_New,Panel_Rates[Panel]&amp;Panel_Rates[Category],0),MATCH('Time Plan (Single Release)'!E13,OFFSET(Variable!$AF$2,MATCH(Panel_New&amp;Category_New,Panel_Rates[Panel]&amp;Panel_Rates[Category],0)-1,0,1,12),0))/8,"")</f>
        <v>305</v>
      </c>
      <c r="H13" s="326">
        <v>0.32</v>
      </c>
      <c r="I13" s="328">
        <f t="shared" ca="1" si="21"/>
        <v>207.39999999999998</v>
      </c>
      <c r="J13" s="329">
        <f t="shared" ca="1" si="32"/>
        <v>1659.1999999999998</v>
      </c>
      <c r="K13" s="329">
        <f>IFERROR(_xlfn.XLOOKUP(D13,CostTableLookup[Name],CostTableLookup[Gross Cost]),"")</f>
        <v>245</v>
      </c>
      <c r="L13" s="330"/>
      <c r="M13" s="331">
        <f t="shared" ca="1" si="46"/>
        <v>0</v>
      </c>
      <c r="N13" s="332"/>
      <c r="O13" s="331">
        <f t="shared" ca="1" si="47"/>
        <v>0</v>
      </c>
      <c r="P13" s="331">
        <f t="shared" ca="1" si="22"/>
        <v>0</v>
      </c>
      <c r="Q13" s="333">
        <f t="shared" si="23"/>
        <v>0</v>
      </c>
      <c r="R13" s="343" t="str">
        <f t="shared" ref="R13:R24" ca="1" si="52">IFERROR(((U13+O13)-(V13+Q13))/(U13+O13),"")</f>
        <v/>
      </c>
      <c r="S13" s="335">
        <f t="shared" ca="1" si="48"/>
        <v>0</v>
      </c>
      <c r="T13" s="336">
        <f t="shared" ca="1" si="39"/>
        <v>0</v>
      </c>
      <c r="U13" s="337">
        <f t="shared" ca="1" si="49"/>
        <v>0</v>
      </c>
      <c r="V13" s="338">
        <f t="shared" ca="1" si="50"/>
        <v>0</v>
      </c>
      <c r="W13" s="339">
        <f t="shared" ca="1" si="27"/>
        <v>0</v>
      </c>
      <c r="X13" s="340" t="str">
        <f t="shared" ca="1" si="51"/>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25">
      <c r="B14" s="322" t="s">
        <v>926</v>
      </c>
      <c r="C14" s="323" t="s">
        <v>933</v>
      </c>
      <c r="D14" s="321" t="s">
        <v>306</v>
      </c>
      <c r="E14" s="321" t="s">
        <v>753</v>
      </c>
      <c r="F14" s="321" t="s">
        <v>928</v>
      </c>
      <c r="G14" s="328" cm="1">
        <f t="array" aca="1" ref="G14" ca="1">IFERROR(INDEX(Panel_Rates[[1]:[12]],MATCH(Panel_New&amp;Category_New,Panel_Rates[Panel]&amp;Panel_Rates[Category],0),MATCH('Time Plan (Single Release)'!E14,OFFSET(Variable!$AF$2,MATCH(Panel_New&amp;Category_New,Panel_Rates[Panel]&amp;Panel_Rates[Category],0)-1,0,1,12),0))/8,"")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7"/>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25">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7"/>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25">
      <c r="B16" s="360" t="s">
        <v>934</v>
      </c>
      <c r="C16" s="323" t="s">
        <v>935</v>
      </c>
      <c r="D16" s="321" t="s">
        <v>306</v>
      </c>
      <c r="E16" s="321" t="s">
        <v>753</v>
      </c>
      <c r="F16" s="324" t="s">
        <v>928</v>
      </c>
      <c r="G16" s="325" cm="1">
        <f t="array" aca="1" ref="G16" ca="1">IFERROR(INDEX(Panel_Rates[[1]:[12]],MATCH(Panel_New&amp;Category_New,Panel_Rates[Panel]&amp;Panel_Rates[Category],0),MATCH('Time Plan (Single Release)'!E16,OFFSET(Variable!$AF$2,MATCH(Panel_New&amp;Category_New,Panel_Rates[Panel]&amp;Panel_Rates[Category],0)-1,0,1,12),0))/8,"")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7"/>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25">
      <c r="B17" s="360" t="s">
        <v>934</v>
      </c>
      <c r="C17" s="323" t="s">
        <v>935</v>
      </c>
      <c r="D17" s="321" t="s">
        <v>746</v>
      </c>
      <c r="E17" s="321" t="s">
        <v>752</v>
      </c>
      <c r="F17" s="324" t="s">
        <v>155</v>
      </c>
      <c r="G17" s="325" cm="1">
        <f t="array" aca="1" ref="G17" ca="1">IFERROR(INDEX(Panel_Rates[[1]:[12]],MATCH(Panel_New&amp;Category_New,Panel_Rates[Panel]&amp;Panel_Rates[Category],0),MATCH('Time Plan (Single Release)'!E17,OFFSET(Variable!$AF$2,MATCH(Panel_New&amp;Category_New,Panel_Rates[Panel]&amp;Panel_Rates[Category],0)-1,0,1,12),0))/8,"")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7"/>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25">
      <c r="B18" s="360" t="s">
        <v>934</v>
      </c>
      <c r="C18" s="323" t="s">
        <v>935</v>
      </c>
      <c r="D18" s="321" t="s">
        <v>327</v>
      </c>
      <c r="E18" s="321" t="s">
        <v>752</v>
      </c>
      <c r="F18" s="324" t="s">
        <v>155</v>
      </c>
      <c r="G18" s="325" cm="1">
        <f t="array" aca="1" ref="G18" ca="1">IFERROR(INDEX(Panel_Rates[[1]:[12]],MATCH(Panel_New&amp;Category_New,Panel_Rates[Panel]&amp;Panel_Rates[Category],0),MATCH('Time Plan (Single Release)'!E18,OFFSET(Variable!$AF$2,MATCH(Panel_New&amp;Category_New,Panel_Rates[Panel]&amp;Panel_Rates[Category],0)-1,0,1,12),0))/8,"")</f>
        <v>245</v>
      </c>
      <c r="H18" s="326">
        <v>0.38</v>
      </c>
      <c r="I18" s="328">
        <f t="shared" ref="I18" ca="1" si="53">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 ca="1" si="54">IFERROR(M18-O18,"")</f>
        <v>-21949.55</v>
      </c>
      <c r="Q18" s="333">
        <f t="shared" ref="Q18" si="55">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ref="W18" ca="1" si="56">IFERROR(M18-(O18+U18),"")</f>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25">
      <c r="B19" s="360" t="s">
        <v>934</v>
      </c>
      <c r="C19" s="323" t="s">
        <v>936</v>
      </c>
      <c r="D19" s="321" t="s">
        <v>317</v>
      </c>
      <c r="E19" s="321" t="s">
        <v>754</v>
      </c>
      <c r="F19" s="324" t="s">
        <v>929</v>
      </c>
      <c r="G19" s="325" cm="1">
        <f t="array" aca="1" ref="G19" ca="1">IFERROR(INDEX(Panel_Rates[[1]:[12]],MATCH(Panel_New&amp;Category_New,Panel_Rates[Panel]&amp;Panel_Rates[Category],0),MATCH('Time Plan (Single Release)'!E19,OFFSET(Variable!$AF$2,MATCH(Panel_New&amp;Category_New,Panel_Rates[Panel]&amp;Panel_Rates[Category],0)-1,0,1,12),0))/8,"")</f>
        <v>395</v>
      </c>
      <c r="H19" s="326">
        <v>0.4</v>
      </c>
      <c r="I19" s="328">
        <f t="shared" ca="1" si="21"/>
        <v>237</v>
      </c>
      <c r="J19" s="329">
        <f ca="1">IFERROR(I19*8,"")</f>
        <v>1896</v>
      </c>
      <c r="K19" s="329">
        <f>IFERROR(_xlfn.XLOOKUP(D19,CostTableLookup[Name],CostTableLookup[Gross Cost]),"")</f>
        <v>198</v>
      </c>
      <c r="L19" s="330"/>
      <c r="M19" s="331">
        <f t="shared" ca="1" si="46"/>
        <v>0</v>
      </c>
      <c r="N19" s="332"/>
      <c r="O19" s="331">
        <f t="shared" ca="1" si="47"/>
        <v>0</v>
      </c>
      <c r="P19" s="331">
        <f t="shared" ca="1" si="22"/>
        <v>0</v>
      </c>
      <c r="Q19" s="333">
        <f t="shared" si="23"/>
        <v>0</v>
      </c>
      <c r="R19" s="343">
        <f t="shared" ca="1" si="52"/>
        <v>0.16455696202531644</v>
      </c>
      <c r="S19" s="335">
        <f t="shared" ca="1" si="48"/>
        <v>40</v>
      </c>
      <c r="T19" s="336">
        <f t="shared" ca="1" si="39"/>
        <v>5</v>
      </c>
      <c r="U19" s="337">
        <f t="shared" ca="1" si="49"/>
        <v>9480</v>
      </c>
      <c r="V19" s="338">
        <f t="shared" ca="1" si="50"/>
        <v>7920</v>
      </c>
      <c r="W19" s="339">
        <f t="shared" ca="1" si="27"/>
        <v>-9480</v>
      </c>
      <c r="X19" s="340" t="str">
        <f t="shared" ca="1" si="51"/>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25">
      <c r="B20" s="360" t="s">
        <v>934</v>
      </c>
      <c r="C20" s="323" t="s">
        <v>936</v>
      </c>
      <c r="D20" s="321" t="s">
        <v>126</v>
      </c>
      <c r="E20" s="321" t="s">
        <v>752</v>
      </c>
      <c r="F20" s="324" t="s">
        <v>852</v>
      </c>
      <c r="G20" s="325" cm="1">
        <f t="array" aca="1" ref="G20" ca="1">IFERROR(INDEX(Panel_Rates[[1]:[12]],MATCH(Panel_New&amp;Category_New,Panel_Rates[Panel]&amp;Panel_Rates[Category],0),MATCH('Time Plan (Single Release)'!E20,OFFSET(Variable!$AF$2,MATCH(Panel_New&amp;Category_New,Panel_Rates[Panel]&amp;Panel_Rates[Category],0)-1,0,1,12),0))/8,"")</f>
        <v>245</v>
      </c>
      <c r="H20" s="326">
        <v>0.38</v>
      </c>
      <c r="I20" s="328">
        <f t="shared" ca="1" si="21"/>
        <v>151.9</v>
      </c>
      <c r="J20" s="329">
        <f t="shared" ref="J20:J24" ca="1" si="57">IFERROR(I20*8,"")</f>
        <v>1215.2</v>
      </c>
      <c r="K20" s="329">
        <f>IFERROR(_xlfn.XLOOKUP(D20,CostTableLookup[Name],CostTableLookup[Gross Cost]),"")</f>
        <v>146</v>
      </c>
      <c r="L20" s="330"/>
      <c r="M20" s="331">
        <f t="shared" ca="1" si="46"/>
        <v>0</v>
      </c>
      <c r="N20" s="332"/>
      <c r="O20" s="331">
        <f t="shared" ca="1" si="47"/>
        <v>0</v>
      </c>
      <c r="P20" s="331">
        <f t="shared" ca="1" si="22"/>
        <v>0</v>
      </c>
      <c r="Q20" s="333">
        <f t="shared" si="23"/>
        <v>0</v>
      </c>
      <c r="R20" s="343" t="str">
        <f t="shared" ca="1" si="52"/>
        <v/>
      </c>
      <c r="S20" s="335">
        <f t="shared" ca="1" si="48"/>
        <v>0</v>
      </c>
      <c r="T20" s="336">
        <f t="shared" ca="1" si="39"/>
        <v>0</v>
      </c>
      <c r="U20" s="337">
        <f t="shared" ca="1" si="49"/>
        <v>0</v>
      </c>
      <c r="V20" s="338">
        <f t="shared" ca="1" si="50"/>
        <v>0</v>
      </c>
      <c r="W20" s="339">
        <f t="shared" ca="1" si="27"/>
        <v>0</v>
      </c>
      <c r="X20" s="340" t="str">
        <f t="shared" ca="1" si="51"/>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25">
      <c r="B21" s="360" t="s">
        <v>934</v>
      </c>
      <c r="C21" s="323" t="s">
        <v>936</v>
      </c>
      <c r="D21" s="321" t="s">
        <v>756</v>
      </c>
      <c r="E21" s="321" t="s">
        <v>753</v>
      </c>
      <c r="F21" s="324" t="s">
        <v>930</v>
      </c>
      <c r="G21" s="325" cm="1">
        <f t="array" aca="1" ref="G21" ca="1">IFERROR(INDEX(Panel_Rates[[1]:[12]],MATCH(Panel_New&amp;Category_New,Panel_Rates[Panel]&amp;Panel_Rates[Category],0),MATCH('Time Plan (Single Release)'!E21,OFFSET(Variable!$AF$2,MATCH(Panel_New&amp;Category_New,Panel_Rates[Panel]&amp;Panel_Rates[Category],0)-1,0,1,12),0))/8,"")</f>
        <v>305</v>
      </c>
      <c r="H21" s="326">
        <v>0.32</v>
      </c>
      <c r="I21" s="328">
        <f t="shared" ca="1" si="21"/>
        <v>207.39999999999998</v>
      </c>
      <c r="J21" s="329">
        <f t="shared" ca="1" si="57"/>
        <v>1659.1999999999998</v>
      </c>
      <c r="K21" s="329">
        <f>IFERROR(_xlfn.XLOOKUP(D21,CostTableLookup[Name],CostTableLookup[Gross Cost]),"")</f>
        <v>170.96</v>
      </c>
      <c r="L21" s="330"/>
      <c r="M21" s="331">
        <f t="shared" ca="1" si="46"/>
        <v>0</v>
      </c>
      <c r="N21" s="332"/>
      <c r="O21" s="331">
        <f t="shared" ca="1" si="47"/>
        <v>0</v>
      </c>
      <c r="P21" s="331">
        <f t="shared" ca="1" si="22"/>
        <v>0</v>
      </c>
      <c r="Q21" s="333">
        <f t="shared" si="23"/>
        <v>0</v>
      </c>
      <c r="R21" s="343">
        <f t="shared" ca="1" si="52"/>
        <v>0.17569913211186097</v>
      </c>
      <c r="S21" s="335">
        <f t="shared" ref="S21:S24" ca="1" si="58">IFERROR(SUM(OFFSET(Y21,0,MATCH(Forecast_New,$Y$3:$WQ$3,0)-1,1,500))*40,"")</f>
        <v>140</v>
      </c>
      <c r="T21" s="336">
        <f t="shared" ca="1" si="39"/>
        <v>17.5</v>
      </c>
      <c r="U21" s="337">
        <f t="shared" ca="1" si="49"/>
        <v>29035.999999999996</v>
      </c>
      <c r="V21" s="338">
        <f t="shared" ca="1" si="50"/>
        <v>23934.400000000001</v>
      </c>
      <c r="W21" s="339">
        <f t="shared" ca="1" si="27"/>
        <v>-29035.999999999996</v>
      </c>
      <c r="X21" s="340" t="str">
        <f t="shared" ca="1" si="51"/>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25">
      <c r="B22" s="360" t="s">
        <v>934</v>
      </c>
      <c r="C22" s="323" t="s">
        <v>936</v>
      </c>
      <c r="D22" s="321" t="s">
        <v>447</v>
      </c>
      <c r="E22" s="321" t="s">
        <v>753</v>
      </c>
      <c r="F22" s="324" t="s">
        <v>931</v>
      </c>
      <c r="G22" s="325" cm="1">
        <f t="array" aca="1" ref="G22" ca="1">IFERROR(INDEX(Panel_Rates[[1]:[12]],MATCH(Panel_New&amp;Category_New,Panel_Rates[Panel]&amp;Panel_Rates[Category],0),MATCH('Time Plan (Single Release)'!E22,OFFSET(Variable!$AF$2,MATCH(Panel_New&amp;Category_New,Panel_Rates[Panel]&amp;Panel_Rates[Category],0)-1,0,1,12),0))/8,"")</f>
        <v>305</v>
      </c>
      <c r="H22" s="326">
        <v>0.38</v>
      </c>
      <c r="I22" s="328">
        <f t="shared" ca="1" si="21"/>
        <v>189.1</v>
      </c>
      <c r="J22" s="329">
        <f t="shared" ca="1" si="57"/>
        <v>1512.8</v>
      </c>
      <c r="K22" s="329">
        <f>IFERROR(_xlfn.XLOOKUP(D22,CostTableLookup[Name],CostTableLookup[Gross Cost]),"")</f>
        <v>151</v>
      </c>
      <c r="L22" s="330"/>
      <c r="M22" s="331">
        <f t="shared" ca="1" si="46"/>
        <v>0</v>
      </c>
      <c r="N22" s="332"/>
      <c r="O22" s="331">
        <f t="shared" ca="1" si="47"/>
        <v>0</v>
      </c>
      <c r="P22" s="331">
        <f t="shared" ca="1" si="22"/>
        <v>0</v>
      </c>
      <c r="Q22" s="333">
        <f t="shared" si="23"/>
        <v>0</v>
      </c>
      <c r="R22" s="343">
        <f t="shared" ca="1" si="52"/>
        <v>0.2014806980433633</v>
      </c>
      <c r="S22" s="335">
        <f t="shared" ca="1" si="58"/>
        <v>160</v>
      </c>
      <c r="T22" s="336">
        <f t="shared" ca="1" si="39"/>
        <v>20</v>
      </c>
      <c r="U22" s="337">
        <f t="shared" ca="1" si="49"/>
        <v>30256</v>
      </c>
      <c r="V22" s="338">
        <f t="shared" ca="1" si="50"/>
        <v>24160</v>
      </c>
      <c r="W22" s="339">
        <f t="shared" ca="1" si="27"/>
        <v>-30256</v>
      </c>
      <c r="X22" s="340" t="str">
        <f t="shared" ca="1" si="51"/>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25">
      <c r="B23" s="360" t="s">
        <v>934</v>
      </c>
      <c r="C23" s="384" t="s">
        <v>936</v>
      </c>
      <c r="D23" s="385" t="s">
        <v>122</v>
      </c>
      <c r="E23" s="321" t="s">
        <v>752</v>
      </c>
      <c r="F23" s="324" t="s">
        <v>931</v>
      </c>
      <c r="G23" s="325" cm="1">
        <f t="array" aca="1" ref="G23" ca="1">IFERROR(INDEX(Panel_Rates[[1]:[12]],MATCH(Panel_New&amp;Category_New,Panel_Rates[Panel]&amp;Panel_Rates[Category],0),MATCH('Time Plan (Single Release)'!E23,OFFSET(Variable!$AF$2,MATCH(Panel_New&amp;Category_New,Panel_Rates[Panel]&amp;Panel_Rates[Category],0)-1,0,1,12),0))/8,"")</f>
        <v>245</v>
      </c>
      <c r="H23" s="326">
        <v>1</v>
      </c>
      <c r="I23" s="328">
        <f t="shared" ref="I23" ca="1" si="59">IFERROR(G23*(1-H23),"")</f>
        <v>0</v>
      </c>
      <c r="J23" s="329">
        <f t="shared" ref="J23" ca="1" si="60">IFERROR(I23*8,"")</f>
        <v>0</v>
      </c>
      <c r="K23" s="329">
        <f>IFERROR(_xlfn.XLOOKUP(D23,CostTableLookup[Name],CostTableLookup[Gross Cost]),"")</f>
        <v>198</v>
      </c>
      <c r="L23" s="330"/>
      <c r="M23" s="331">
        <f t="shared" ref="M23" ca="1" si="61">IFERROR(L23*I23,"")</f>
        <v>0</v>
      </c>
      <c r="N23" s="332"/>
      <c r="O23" s="331">
        <f t="shared" ref="O23" ca="1" si="62">IFERROR(N23*I23,"")</f>
        <v>0</v>
      </c>
      <c r="P23" s="331">
        <f t="shared" ref="P23" ca="1" si="63">IFERROR(M23-O23,"")</f>
        <v>0</v>
      </c>
      <c r="Q23" s="333">
        <f t="shared" ref="Q23" si="64">IFERROR(N23*K23,"")</f>
        <v>0</v>
      </c>
      <c r="R23" s="343" t="str">
        <f t="shared" ref="R23" ca="1" si="65">IFERROR(((U23+O23)-(V23+Q23))/(U23+O23),"")</f>
        <v/>
      </c>
      <c r="S23" s="335">
        <f t="shared" ref="S23" ca="1" si="66">IFERROR(SUM(OFFSET(Y23,0,MATCH(Forecast_New,$Y$3:$WQ$3,0)-1,1,500))*40,"")</f>
        <v>160</v>
      </c>
      <c r="T23" s="336">
        <f t="shared" ref="T23" ca="1" si="67">IFERROR(S23/8,"")</f>
        <v>20</v>
      </c>
      <c r="U23" s="337">
        <f t="shared" ref="U23" ca="1" si="68">IFERROR($S23*I23,"")</f>
        <v>0</v>
      </c>
      <c r="V23" s="338">
        <f t="shared" ref="V23" ca="1" si="69">IFERROR($S23*K23,"")</f>
        <v>31680</v>
      </c>
      <c r="W23" s="339">
        <f t="shared" ca="1" si="27"/>
        <v>0</v>
      </c>
      <c r="X23" s="340" t="str">
        <f t="shared" ref="X23" ca="1" si="70">IFERROR(W23/M23,"")</f>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25">
      <c r="B24" s="360" t="s">
        <v>934</v>
      </c>
      <c r="C24" s="323" t="s">
        <v>936</v>
      </c>
      <c r="D24" s="321" t="s">
        <v>731</v>
      </c>
      <c r="E24" s="321" t="s">
        <v>752</v>
      </c>
      <c r="F24" s="324" t="s">
        <v>931</v>
      </c>
      <c r="G24" s="325" cm="1">
        <f t="array" aca="1" ref="G24" ca="1">IFERROR(INDEX(Panel_Rates[[1]:[12]],MATCH(Panel_New&amp;Category_New,Panel_Rates[Panel]&amp;Panel_Rates[Category],0),MATCH('Time Plan (Single Release)'!E24,OFFSET(Variable!$AF$2,MATCH(Panel_New&amp;Category_New,Panel_Rates[Panel]&amp;Panel_Rates[Category],0)-1,0,1,12),0))/8,"")</f>
        <v>245</v>
      </c>
      <c r="H24" s="326">
        <v>0.38</v>
      </c>
      <c r="I24" s="328">
        <f t="shared" ca="1" si="21"/>
        <v>151.9</v>
      </c>
      <c r="J24" s="329">
        <f t="shared" ca="1" si="57"/>
        <v>1215.2</v>
      </c>
      <c r="K24" s="329">
        <f>IFERROR(_xlfn.XLOOKUP(D24,CostTableLookup[Name],CostTableLookup[Gross Cost]),"")</f>
        <v>151</v>
      </c>
      <c r="L24" s="330"/>
      <c r="M24" s="331">
        <f t="shared" ca="1" si="46"/>
        <v>0</v>
      </c>
      <c r="N24" s="332"/>
      <c r="O24" s="331">
        <f t="shared" ca="1" si="47"/>
        <v>0</v>
      </c>
      <c r="P24" s="331">
        <f t="shared" ca="1" si="22"/>
        <v>0</v>
      </c>
      <c r="Q24" s="333">
        <f t="shared" si="23"/>
        <v>0</v>
      </c>
      <c r="R24" s="343">
        <f t="shared" ca="1" si="52"/>
        <v>5.9249506254114553E-3</v>
      </c>
      <c r="S24" s="335">
        <f t="shared" ca="1" si="58"/>
        <v>160</v>
      </c>
      <c r="T24" s="336">
        <f t="shared" ca="1" si="39"/>
        <v>20</v>
      </c>
      <c r="U24" s="337">
        <f t="shared" ca="1" si="49"/>
        <v>24304</v>
      </c>
      <c r="V24" s="338">
        <f t="shared" ca="1" si="50"/>
        <v>24160</v>
      </c>
      <c r="W24" s="339">
        <f t="shared" ca="1" si="27"/>
        <v>-24304</v>
      </c>
      <c r="X24" s="340" t="str">
        <f t="shared" ca="1" si="51"/>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25">
      <c r="B25" s="360" t="s">
        <v>934</v>
      </c>
      <c r="C25" s="323" t="s">
        <v>936</v>
      </c>
      <c r="D25" s="321" t="s">
        <v>606</v>
      </c>
      <c r="E25" s="321" t="s">
        <v>752</v>
      </c>
      <c r="F25" s="321" t="s">
        <v>937</v>
      </c>
      <c r="G25" s="328" cm="1">
        <f t="array" aca="1" ref="G25" ca="1">IFERROR(INDEX(Panel_Rates[[1]:[12]],MATCH(Panel_New&amp;Category_New,Panel_Rates[Panel]&amp;Panel_Rates[Category],0),MATCH('Time Plan (Single Release)'!E25,OFFSET(Variable!$AF$2,MATCH(Panel_New&amp;Category_New,Panel_Rates[Panel]&amp;Panel_Rates[Category],0)-1,0,1,12),0))/8,"")</f>
        <v>245</v>
      </c>
      <c r="H25" s="326">
        <v>0.38</v>
      </c>
      <c r="I25" s="328">
        <f t="shared" ref="I25" ca="1" si="71">IFERROR(G25*(1-H25),"")</f>
        <v>151.9</v>
      </c>
      <c r="J25" s="329">
        <f ca="1">IFERROR(I25*8,"")</f>
        <v>1215.2</v>
      </c>
      <c r="K25" s="329">
        <f>IFERROR(_xlfn.XLOOKUP(D25,CostTableLookup[Name],CostTableLookup[Gross Cost]),"")</f>
        <v>161</v>
      </c>
      <c r="L25" s="330"/>
      <c r="M25" s="331">
        <f t="shared" ref="M25" ca="1" si="72">IFERROR(L25*I25,"")</f>
        <v>0</v>
      </c>
      <c r="N25" s="406"/>
      <c r="O25" s="331">
        <f t="shared" ref="O25" ca="1" si="73">IFERROR(N25*I25,"")</f>
        <v>0</v>
      </c>
      <c r="P25" s="331">
        <f t="shared" ref="P25" ca="1" si="74">IFERROR(M25-O25,"")</f>
        <v>0</v>
      </c>
      <c r="Q25" s="333">
        <f t="shared" ref="Q25" si="75">IFERROR(N25*K25,"")</f>
        <v>0</v>
      </c>
      <c r="R25" s="343" t="str">
        <f t="shared" ref="R25" ca="1" si="76">IFERROR(((U25+O25)-(V25+Q25))/(U25+O25),"")</f>
        <v/>
      </c>
      <c r="S25" s="335">
        <f ca="1">IFERROR(SUM(OFFSET(Y25,0,MATCH(Forecast_New,$Y$3:$WQ$3,0)-1,1,500))*40,"")</f>
        <v>0</v>
      </c>
      <c r="T25" s="336">
        <f t="shared" ref="T25" ca="1" si="77">IFERROR(S25/8,"")</f>
        <v>0</v>
      </c>
      <c r="U25" s="339">
        <f ca="1">IFERROR($S25*I25,"")</f>
        <v>0</v>
      </c>
      <c r="V25" s="338">
        <f ca="1">IFERROR($S25*K25,"")</f>
        <v>0</v>
      </c>
      <c r="W25" s="339">
        <f ca="1">IFERROR(M25-(O25+U25),"")</f>
        <v>0</v>
      </c>
      <c r="X25" s="343" t="str">
        <f t="shared" ref="X25" ca="1" si="78">IFERROR(W25/M25,"")</f>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25">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ca="1" si="27"/>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25">
      <c r="B27" s="387" t="s">
        <v>980</v>
      </c>
      <c r="C27" s="323" t="s">
        <v>935</v>
      </c>
      <c r="D27" s="321" t="s">
        <v>306</v>
      </c>
      <c r="E27" s="321" t="s">
        <v>753</v>
      </c>
      <c r="F27" s="324" t="s">
        <v>928</v>
      </c>
      <c r="G27" s="325" cm="1">
        <f t="array" aca="1" ref="G27" ca="1">IFERROR(INDEX(Panel_Rates[[1]:[12]],MATCH(Panel_New&amp;Category_New,Panel_Rates[Panel]&amp;Panel_Rates[Category],0),MATCH('Time Plan (Single Release)'!E27,OFFSET(Variable!$AF$2,MATCH(Panel_New&amp;Category_New,Panel_Rates[Panel]&amp;Panel_Rates[Category],0)-1,0,1,12),0))/8,"")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27"/>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25">
      <c r="B28" s="360" t="s">
        <v>980</v>
      </c>
      <c r="C28" s="323" t="s">
        <v>935</v>
      </c>
      <c r="D28" s="321" t="s">
        <v>746</v>
      </c>
      <c r="E28" s="321" t="s">
        <v>752</v>
      </c>
      <c r="F28" s="324" t="s">
        <v>155</v>
      </c>
      <c r="G28" s="325" cm="1">
        <f t="array" aca="1" ref="G28" ca="1">IFERROR(INDEX(Panel_Rates[[1]:[12]],MATCH(Panel_New&amp;Category_New,Panel_Rates[Panel]&amp;Panel_Rates[Category],0),MATCH('Time Plan (Single Release)'!E28,OFFSET(Variable!$AF$2,MATCH(Panel_New&amp;Category_New,Panel_Rates[Panel]&amp;Panel_Rates[Category],0)-1,0,1,12),0))/8,"")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27"/>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25">
      <c r="B29" s="360" t="s">
        <v>980</v>
      </c>
      <c r="C29" s="323" t="s">
        <v>936</v>
      </c>
      <c r="D29" s="321" t="s">
        <v>317</v>
      </c>
      <c r="E29" s="321" t="s">
        <v>754</v>
      </c>
      <c r="F29" s="324" t="s">
        <v>929</v>
      </c>
      <c r="G29" s="325" cm="1">
        <f t="array" aca="1" ref="G29" ca="1">IFERROR(INDEX(Panel_Rates[[1]:[12]],MATCH(Panel_New&amp;Category_New,Panel_Rates[Panel]&amp;Panel_Rates[Category],0),MATCH('Time Plan (Single Release)'!E29,OFFSET(Variable!$AF$2,MATCH(Panel_New&amp;Category_New,Panel_Rates[Panel]&amp;Panel_Rates[Category],0)-1,0,1,12),0))/8,"")</f>
        <v>395</v>
      </c>
      <c r="H29" s="326">
        <v>0.4</v>
      </c>
      <c r="I29" s="328">
        <f t="shared" ref="I29:I34" ca="1" si="79">IFERROR(G29*(1-H29),"")</f>
        <v>237</v>
      </c>
      <c r="J29" s="329">
        <f ca="1">IFERROR(I29*8,"")</f>
        <v>1896</v>
      </c>
      <c r="K29" s="329">
        <f>IFERROR(_xlfn.XLOOKUP(D29,CostTableLookup[Name],CostTableLookup[Gross Cost]),"")</f>
        <v>198</v>
      </c>
      <c r="L29" s="330"/>
      <c r="M29" s="331">
        <f t="shared" ref="M29:M34" ca="1" si="80">IFERROR(L29*I29,"")</f>
        <v>0</v>
      </c>
      <c r="N29" s="332"/>
      <c r="O29" s="331">
        <f t="shared" ref="O29:O34" ca="1" si="81">IFERROR(N29*I29,"")</f>
        <v>0</v>
      </c>
      <c r="P29" s="331">
        <f t="shared" ref="P29:P34" ca="1" si="82">IFERROR(M29-O29,"")</f>
        <v>0</v>
      </c>
      <c r="Q29" s="333">
        <f t="shared" ref="Q29:Q34" si="83">IFERROR(N29*K29,"")</f>
        <v>0</v>
      </c>
      <c r="R29" s="343">
        <f t="shared" ref="R29:R34" ca="1" si="84">IFERROR(((U29+O29)-(V29+Q29))/(U29+O29),"")</f>
        <v>0.16455696202531644</v>
      </c>
      <c r="S29" s="335">
        <f t="shared" ref="S29:S30" ca="1" si="85">IFERROR(SUM(OFFSET(Y29,0,MATCH(Forecast_New,$Y$3:$WQ$3,0)-1,1,500))*40,"")</f>
        <v>80</v>
      </c>
      <c r="T29" s="336">
        <f t="shared" ref="T29:T34" ca="1" si="86">IFERROR(S29/8,"")</f>
        <v>10</v>
      </c>
      <c r="U29" s="337">
        <f t="shared" ref="U29:U34" ca="1" si="87">IFERROR($S29*I29,"")</f>
        <v>18960</v>
      </c>
      <c r="V29" s="338">
        <f t="shared" ref="V29:V34" ca="1" si="88">IFERROR($S29*K29,"")</f>
        <v>15840</v>
      </c>
      <c r="W29" s="339">
        <f t="shared" ca="1" si="27"/>
        <v>-18960</v>
      </c>
      <c r="X29" s="340" t="str">
        <f t="shared" ref="X29:X34" ca="1" si="89">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25">
      <c r="B30" s="360" t="s">
        <v>980</v>
      </c>
      <c r="C30" s="323" t="s">
        <v>936</v>
      </c>
      <c r="D30" s="321" t="s">
        <v>126</v>
      </c>
      <c r="E30" s="321" t="s">
        <v>752</v>
      </c>
      <c r="F30" s="324" t="s">
        <v>852</v>
      </c>
      <c r="G30" s="325" cm="1">
        <f t="array" aca="1" ref="G30" ca="1">IFERROR(INDEX(Panel_Rates[[1]:[12]],MATCH(Panel_New&amp;Category_New,Panel_Rates[Panel]&amp;Panel_Rates[Category],0),MATCH('Time Plan (Single Release)'!E30,OFFSET(Variable!$AF$2,MATCH(Panel_New&amp;Category_New,Panel_Rates[Panel]&amp;Panel_Rates[Category],0)-1,0,1,12),0))/8,"")</f>
        <v>245</v>
      </c>
      <c r="H30" s="326">
        <v>0.38</v>
      </c>
      <c r="I30" s="328">
        <f t="shared" ca="1" si="79"/>
        <v>151.9</v>
      </c>
      <c r="J30" s="329">
        <f t="shared" ref="J30:J34" ca="1" si="90">IFERROR(I30*8,"")</f>
        <v>1215.2</v>
      </c>
      <c r="K30" s="329">
        <f>IFERROR(_xlfn.XLOOKUP(D30,CostTableLookup[Name],CostTableLookup[Gross Cost]),"")</f>
        <v>146</v>
      </c>
      <c r="L30" s="330"/>
      <c r="M30" s="331">
        <f t="shared" ca="1" si="80"/>
        <v>0</v>
      </c>
      <c r="N30" s="332"/>
      <c r="O30" s="331">
        <f t="shared" ca="1" si="81"/>
        <v>0</v>
      </c>
      <c r="P30" s="331">
        <f t="shared" ca="1" si="82"/>
        <v>0</v>
      </c>
      <c r="Q30" s="333">
        <f t="shared" si="83"/>
        <v>0</v>
      </c>
      <c r="R30" s="343">
        <f t="shared" ca="1" si="84"/>
        <v>3.8841342988808425E-2</v>
      </c>
      <c r="S30" s="335">
        <f t="shared" ca="1" si="85"/>
        <v>120</v>
      </c>
      <c r="T30" s="336">
        <f t="shared" ca="1" si="86"/>
        <v>15</v>
      </c>
      <c r="U30" s="337">
        <f t="shared" ca="1" si="87"/>
        <v>18228</v>
      </c>
      <c r="V30" s="338">
        <f t="shared" ca="1" si="88"/>
        <v>17520</v>
      </c>
      <c r="W30" s="339">
        <f t="shared" ca="1" si="27"/>
        <v>-18228</v>
      </c>
      <c r="X30" s="340" t="str">
        <f t="shared" ca="1" si="89"/>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25">
      <c r="B31" s="360" t="s">
        <v>980</v>
      </c>
      <c r="C31" s="323" t="s">
        <v>936</v>
      </c>
      <c r="D31" s="321" t="s">
        <v>756</v>
      </c>
      <c r="E31" s="321" t="s">
        <v>753</v>
      </c>
      <c r="F31" s="324" t="s">
        <v>930</v>
      </c>
      <c r="G31" s="325" cm="1">
        <f t="array" aca="1" ref="G31" ca="1">IFERROR(INDEX(Panel_Rates[[1]:[12]],MATCH(Panel_New&amp;Category_New,Panel_Rates[Panel]&amp;Panel_Rates[Category],0),MATCH('Time Plan (Single Release)'!E31,OFFSET(Variable!$AF$2,MATCH(Panel_New&amp;Category_New,Panel_Rates[Panel]&amp;Panel_Rates[Category],0)-1,0,1,12),0))/8,"")</f>
        <v>305</v>
      </c>
      <c r="H31" s="326">
        <v>0.32</v>
      </c>
      <c r="I31" s="328">
        <f t="shared" ca="1" si="79"/>
        <v>207.39999999999998</v>
      </c>
      <c r="J31" s="329">
        <f t="shared" ca="1" si="90"/>
        <v>1659.1999999999998</v>
      </c>
      <c r="K31" s="329">
        <f>IFERROR(_xlfn.XLOOKUP(D31,CostTableLookup[Name],CostTableLookup[Gross Cost]),"")</f>
        <v>170.96</v>
      </c>
      <c r="L31" s="330"/>
      <c r="M31" s="331">
        <f t="shared" ca="1" si="80"/>
        <v>0</v>
      </c>
      <c r="N31" s="332"/>
      <c r="O31" s="331">
        <f t="shared" ca="1" si="81"/>
        <v>0</v>
      </c>
      <c r="P31" s="331">
        <f t="shared" ca="1" si="82"/>
        <v>0</v>
      </c>
      <c r="Q31" s="333">
        <f t="shared" si="83"/>
        <v>0</v>
      </c>
      <c r="R31" s="343">
        <f t="shared" ca="1" si="84"/>
        <v>0.17569913211186108</v>
      </c>
      <c r="S31" s="335">
        <f t="shared" ref="S31:S32" ca="1" si="91">IFERROR(SUM(OFFSET(Y31,0,MATCH(Forecast_New,$Y$3:$WQ$3,0)-1,1,500))*40,"")</f>
        <v>160</v>
      </c>
      <c r="T31" s="336">
        <f t="shared" ca="1" si="86"/>
        <v>20</v>
      </c>
      <c r="U31" s="337">
        <f t="shared" ca="1" si="87"/>
        <v>33184</v>
      </c>
      <c r="V31" s="338">
        <f t="shared" ca="1" si="88"/>
        <v>27353.600000000002</v>
      </c>
      <c r="W31" s="339">
        <f t="shared" ca="1" si="27"/>
        <v>-33184</v>
      </c>
      <c r="X31" s="340" t="str">
        <f t="shared" ca="1" si="89"/>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25">
      <c r="B32" s="360" t="s">
        <v>980</v>
      </c>
      <c r="C32" s="323" t="s">
        <v>936</v>
      </c>
      <c r="D32" s="321" t="s">
        <v>447</v>
      </c>
      <c r="E32" s="321" t="s">
        <v>753</v>
      </c>
      <c r="F32" s="324" t="s">
        <v>931</v>
      </c>
      <c r="G32" s="325" cm="1">
        <f t="array" aca="1" ref="G32" ca="1">IFERROR(INDEX(Panel_Rates[[1]:[12]],MATCH(Panel_New&amp;Category_New,Panel_Rates[Panel]&amp;Panel_Rates[Category],0),MATCH('Time Plan (Single Release)'!E32,OFFSET(Variable!$AF$2,MATCH(Panel_New&amp;Category_New,Panel_Rates[Panel]&amp;Panel_Rates[Category],0)-1,0,1,12),0))/8,"")</f>
        <v>305</v>
      </c>
      <c r="H32" s="326">
        <v>0.38</v>
      </c>
      <c r="I32" s="328">
        <f t="shared" ca="1" si="79"/>
        <v>189.1</v>
      </c>
      <c r="J32" s="329">
        <f t="shared" ca="1" si="90"/>
        <v>1512.8</v>
      </c>
      <c r="K32" s="329">
        <f>IFERROR(_xlfn.XLOOKUP(D32,CostTableLookup[Name],CostTableLookup[Gross Cost]),"")</f>
        <v>151</v>
      </c>
      <c r="L32" s="330"/>
      <c r="M32" s="331">
        <f t="shared" ca="1" si="80"/>
        <v>0</v>
      </c>
      <c r="N32" s="332"/>
      <c r="O32" s="331">
        <f t="shared" ca="1" si="81"/>
        <v>0</v>
      </c>
      <c r="P32" s="331">
        <f t="shared" ca="1" si="82"/>
        <v>0</v>
      </c>
      <c r="Q32" s="333">
        <f t="shared" si="83"/>
        <v>0</v>
      </c>
      <c r="R32" s="343">
        <f t="shared" ca="1" si="84"/>
        <v>0.2014806980433633</v>
      </c>
      <c r="S32" s="335">
        <f t="shared" ca="1" si="91"/>
        <v>160</v>
      </c>
      <c r="T32" s="336">
        <f t="shared" ca="1" si="86"/>
        <v>20</v>
      </c>
      <c r="U32" s="337">
        <f t="shared" ca="1" si="87"/>
        <v>30256</v>
      </c>
      <c r="V32" s="338">
        <f t="shared" ca="1" si="88"/>
        <v>24160</v>
      </c>
      <c r="W32" s="339">
        <f t="shared" ca="1" si="27"/>
        <v>-30256</v>
      </c>
      <c r="X32" s="340" t="str">
        <f t="shared" ca="1" si="89"/>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25">
      <c r="B33" s="360" t="s">
        <v>980</v>
      </c>
      <c r="C33" s="384" t="s">
        <v>936</v>
      </c>
      <c r="D33" s="385" t="s">
        <v>122</v>
      </c>
      <c r="E33" s="321" t="s">
        <v>752</v>
      </c>
      <c r="F33" s="324" t="s">
        <v>931</v>
      </c>
      <c r="G33" s="325" cm="1">
        <f t="array" aca="1" ref="G33" ca="1">IFERROR(INDEX(Panel_Rates[[1]:[12]],MATCH(Panel_New&amp;Category_New,Panel_Rates[Panel]&amp;Panel_Rates[Category],0),MATCH('Time Plan (Single Release)'!E33,OFFSET(Variable!$AF$2,MATCH(Panel_New&amp;Category_New,Panel_Rates[Panel]&amp;Panel_Rates[Category],0)-1,0,1,12),0))/8,"")</f>
        <v>245</v>
      </c>
      <c r="H33" s="326">
        <v>1</v>
      </c>
      <c r="I33" s="328">
        <f t="shared" ca="1" si="79"/>
        <v>0</v>
      </c>
      <c r="J33" s="329">
        <f t="shared" ca="1" si="90"/>
        <v>0</v>
      </c>
      <c r="K33" s="329">
        <f>IFERROR(_xlfn.XLOOKUP(D33,CostTableLookup[Name],CostTableLookup[Gross Cost]),"")</f>
        <v>198</v>
      </c>
      <c r="L33" s="330"/>
      <c r="M33" s="331">
        <f t="shared" ca="1" si="80"/>
        <v>0</v>
      </c>
      <c r="N33" s="332"/>
      <c r="O33" s="331">
        <f t="shared" ca="1" si="81"/>
        <v>0</v>
      </c>
      <c r="P33" s="331">
        <f t="shared" ca="1" si="82"/>
        <v>0</v>
      </c>
      <c r="Q33" s="333">
        <f t="shared" si="83"/>
        <v>0</v>
      </c>
      <c r="R33" s="343" t="str">
        <f t="shared" ca="1" si="84"/>
        <v/>
      </c>
      <c r="S33" s="335">
        <f t="shared" ref="S33" ca="1" si="92">IFERROR(SUM(OFFSET(Y33,0,MATCH(Forecast_New,$Y$3:$WQ$3,0)-1,1,500))*40,"")</f>
        <v>160</v>
      </c>
      <c r="T33" s="336">
        <f t="shared" ca="1" si="86"/>
        <v>20</v>
      </c>
      <c r="U33" s="337">
        <f t="shared" ca="1" si="87"/>
        <v>0</v>
      </c>
      <c r="V33" s="338">
        <f t="shared" ca="1" si="88"/>
        <v>31680</v>
      </c>
      <c r="W33" s="339">
        <f t="shared" ca="1" si="27"/>
        <v>0</v>
      </c>
      <c r="X33" s="340" t="str">
        <f t="shared" ca="1" si="89"/>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25">
      <c r="B34" s="360" t="s">
        <v>980</v>
      </c>
      <c r="C34" s="323" t="s">
        <v>936</v>
      </c>
      <c r="D34" s="321" t="s">
        <v>731</v>
      </c>
      <c r="E34" s="321" t="s">
        <v>752</v>
      </c>
      <c r="F34" s="324" t="s">
        <v>931</v>
      </c>
      <c r="G34" s="325" cm="1">
        <f t="array" aca="1" ref="G34" ca="1">IFERROR(INDEX(Panel_Rates[[1]:[12]],MATCH(Panel_New&amp;Category_New,Panel_Rates[Panel]&amp;Panel_Rates[Category],0),MATCH('Time Plan (Single Release)'!E34,OFFSET(Variable!$AF$2,MATCH(Panel_New&amp;Category_New,Panel_Rates[Panel]&amp;Panel_Rates[Category],0)-1,0,1,12),0))/8,"")</f>
        <v>245</v>
      </c>
      <c r="H34" s="326">
        <v>0.38</v>
      </c>
      <c r="I34" s="328">
        <f t="shared" ca="1" si="79"/>
        <v>151.9</v>
      </c>
      <c r="J34" s="329">
        <f t="shared" ca="1" si="90"/>
        <v>1215.2</v>
      </c>
      <c r="K34" s="329">
        <f>IFERROR(_xlfn.XLOOKUP(D34,CostTableLookup[Name],CostTableLookup[Gross Cost]),"")</f>
        <v>151</v>
      </c>
      <c r="L34" s="330"/>
      <c r="M34" s="331">
        <f t="shared" ca="1" si="80"/>
        <v>0</v>
      </c>
      <c r="N34" s="332"/>
      <c r="O34" s="331">
        <f t="shared" ca="1" si="81"/>
        <v>0</v>
      </c>
      <c r="P34" s="331">
        <f t="shared" ca="1" si="82"/>
        <v>0</v>
      </c>
      <c r="Q34" s="333">
        <f t="shared" si="83"/>
        <v>0</v>
      </c>
      <c r="R34" s="343">
        <f t="shared" ca="1" si="84"/>
        <v>5.9249506254114553E-3</v>
      </c>
      <c r="S34" s="335">
        <f t="shared" ref="S34" ca="1" si="93">IFERROR(SUM(OFFSET(Y34,0,MATCH(Forecast_New,$Y$3:$WQ$3,0)-1,1,500))*40,"")</f>
        <v>160</v>
      </c>
      <c r="T34" s="336">
        <f t="shared" ca="1" si="86"/>
        <v>20</v>
      </c>
      <c r="U34" s="337">
        <f t="shared" ca="1" si="87"/>
        <v>24304</v>
      </c>
      <c r="V34" s="338">
        <f t="shared" ca="1" si="88"/>
        <v>24160</v>
      </c>
      <c r="W34" s="339">
        <f t="shared" ca="1" si="27"/>
        <v>-24304</v>
      </c>
      <c r="X34" s="340" t="str">
        <f t="shared" ca="1" si="89"/>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25">
      <c r="B35" s="360" t="s">
        <v>980</v>
      </c>
      <c r="C35" s="323" t="s">
        <v>936</v>
      </c>
      <c r="D35" s="321" t="s">
        <v>606</v>
      </c>
      <c r="E35" s="321" t="s">
        <v>752</v>
      </c>
      <c r="F35" s="321" t="s">
        <v>937</v>
      </c>
      <c r="G35" s="328" cm="1">
        <f t="array" aca="1" ref="G35" ca="1">IFERROR(INDEX(Panel_Rates[[1]:[12]],MATCH(Panel_New&amp;Category_New,Panel_Rates[Panel]&amp;Panel_Rates[Category],0),MATCH('Time Plan (Single Release)'!E35,OFFSET(Variable!$AF$2,MATCH(Panel_New&amp;Category_New,Panel_Rates[Panel]&amp;Panel_Rates[Category],0)-1,0,1,12),0))/8,"")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25">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ca="1" si="27"/>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25">
      <c r="B37" s="387" t="s">
        <v>939</v>
      </c>
      <c r="C37" s="323" t="s">
        <v>935</v>
      </c>
      <c r="D37" s="321" t="s">
        <v>306</v>
      </c>
      <c r="E37" s="321" t="s">
        <v>753</v>
      </c>
      <c r="F37" s="324" t="s">
        <v>928</v>
      </c>
      <c r="G37" s="325" cm="1">
        <f t="array" aca="1" ref="G37" ca="1">IFERROR(INDEX(Panel_Rates[[1]:[12]],MATCH(Panel_New&amp;Category_New,Panel_Rates[Panel]&amp;Panel_Rates[Category],0),MATCH('Time Plan (Single Release)'!E37,OFFSET(Variable!$AF$2,MATCH(Panel_New&amp;Category_New,Panel_Rates[Panel]&amp;Panel_Rates[Category],0)-1,0,1,12),0))/8,"")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27"/>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25">
      <c r="B38" s="360" t="s">
        <v>939</v>
      </c>
      <c r="C38" s="323" t="s">
        <v>935</v>
      </c>
      <c r="D38" s="321" t="s">
        <v>746</v>
      </c>
      <c r="E38" s="321" t="s">
        <v>752</v>
      </c>
      <c r="F38" s="324" t="s">
        <v>155</v>
      </c>
      <c r="G38" s="325" cm="1">
        <f t="array" aca="1" ref="G38" ca="1">IFERROR(INDEX(Panel_Rates[[1]:[12]],MATCH(Panel_New&amp;Category_New,Panel_Rates[Panel]&amp;Panel_Rates[Category],0),MATCH('Time Plan (Single Release)'!E38,OFFSET(Variable!$AF$2,MATCH(Panel_New&amp;Category_New,Panel_Rates[Panel]&amp;Panel_Rates[Category],0)-1,0,1,12),0))/8,"")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27"/>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25">
      <c r="B39" s="360" t="s">
        <v>939</v>
      </c>
      <c r="C39" s="323" t="s">
        <v>936</v>
      </c>
      <c r="D39" s="321" t="s">
        <v>317</v>
      </c>
      <c r="E39" s="321" t="s">
        <v>754</v>
      </c>
      <c r="F39" s="324" t="s">
        <v>929</v>
      </c>
      <c r="G39" s="325" cm="1">
        <f t="array" aca="1" ref="G39" ca="1">IFERROR(INDEX(Panel_Rates[[1]:[12]],MATCH(Panel_New&amp;Category_New,Panel_Rates[Panel]&amp;Panel_Rates[Category],0),MATCH('Time Plan (Single Release)'!E39,OFFSET(Variable!$AF$2,MATCH(Panel_New&amp;Category_New,Panel_Rates[Panel]&amp;Panel_Rates[Category],0)-1,0,1,12),0))/8,"")</f>
        <v>395</v>
      </c>
      <c r="H39" s="326">
        <v>0.4</v>
      </c>
      <c r="I39" s="328">
        <f t="shared" ref="I39:I46" ca="1" si="94">IFERROR(G39*(1-H39),"")</f>
        <v>237</v>
      </c>
      <c r="J39" s="329">
        <f ca="1">IFERROR(I39*8,"")</f>
        <v>1896</v>
      </c>
      <c r="K39" s="329">
        <f>IFERROR(_xlfn.XLOOKUP(D39,CostTableLookup[Name],CostTableLookup[Gross Cost]),"")</f>
        <v>198</v>
      </c>
      <c r="L39" s="330"/>
      <c r="M39" s="331">
        <f t="shared" ref="M39:M46" ca="1" si="95">IFERROR(L39*I39,"")</f>
        <v>0</v>
      </c>
      <c r="N39" s="332"/>
      <c r="O39" s="331">
        <f t="shared" ref="O39:O46" ca="1" si="96">IFERROR(N39*I39,"")</f>
        <v>0</v>
      </c>
      <c r="P39" s="331">
        <f t="shared" ref="P39:P46" ca="1" si="97">IFERROR(M39-O39,"")</f>
        <v>0</v>
      </c>
      <c r="Q39" s="333">
        <f t="shared" ref="Q39:Q46" si="98">IFERROR(N39*K39,"")</f>
        <v>0</v>
      </c>
      <c r="R39" s="343">
        <f t="shared" ref="R39:R46" ca="1" si="99">IFERROR(((U39+O39)-(V39+Q39))/(U39+O39),"")</f>
        <v>0.16455696202531644</v>
      </c>
      <c r="S39" s="335">
        <f t="shared" ref="S39:S40" ca="1" si="100">IFERROR(SUM(OFFSET(Y39,0,MATCH(Forecast_New,$Y$3:$WQ$3,0)-1,1,500))*40,"")</f>
        <v>80</v>
      </c>
      <c r="T39" s="336">
        <f t="shared" ref="T39:T46" ca="1" si="101">IFERROR(S39/8,"")</f>
        <v>10</v>
      </c>
      <c r="U39" s="337">
        <f t="shared" ref="U39:U46" ca="1" si="102">IFERROR($S39*I39,"")</f>
        <v>18960</v>
      </c>
      <c r="V39" s="338">
        <f t="shared" ref="V39:V46" ca="1" si="103">IFERROR($S39*K39,"")</f>
        <v>15840</v>
      </c>
      <c r="W39" s="339">
        <f t="shared" ca="1" si="27"/>
        <v>-18960</v>
      </c>
      <c r="X39" s="340" t="str">
        <f t="shared" ref="X39:X46" ca="1" si="104">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25">
      <c r="B40" s="360" t="s">
        <v>939</v>
      </c>
      <c r="C40" s="323" t="s">
        <v>936</v>
      </c>
      <c r="D40" s="321" t="s">
        <v>126</v>
      </c>
      <c r="E40" s="321" t="s">
        <v>752</v>
      </c>
      <c r="F40" s="324" t="s">
        <v>852</v>
      </c>
      <c r="G40" s="325" cm="1">
        <f t="array" aca="1" ref="G40" ca="1">IFERROR(INDEX(Panel_Rates[[1]:[12]],MATCH(Panel_New&amp;Category_New,Panel_Rates[Panel]&amp;Panel_Rates[Category],0),MATCH('Time Plan (Single Release)'!E40,OFFSET(Variable!$AF$2,MATCH(Panel_New&amp;Category_New,Panel_Rates[Panel]&amp;Panel_Rates[Category],0)-1,0,1,12),0))/8,"")</f>
        <v>245</v>
      </c>
      <c r="H40" s="326">
        <v>0.38</v>
      </c>
      <c r="I40" s="328">
        <f t="shared" ca="1" si="94"/>
        <v>151.9</v>
      </c>
      <c r="J40" s="329">
        <f t="shared" ref="J40:J46" ca="1" si="105">IFERROR(I40*8,"")</f>
        <v>1215.2</v>
      </c>
      <c r="K40" s="329">
        <f>IFERROR(_xlfn.XLOOKUP(D40,CostTableLookup[Name],CostTableLookup[Gross Cost]),"")</f>
        <v>146</v>
      </c>
      <c r="L40" s="330"/>
      <c r="M40" s="331">
        <f t="shared" ca="1" si="95"/>
        <v>0</v>
      </c>
      <c r="N40" s="332"/>
      <c r="O40" s="331">
        <f t="shared" ca="1" si="96"/>
        <v>0</v>
      </c>
      <c r="P40" s="331">
        <f t="shared" ca="1" si="97"/>
        <v>0</v>
      </c>
      <c r="Q40" s="333">
        <f t="shared" si="98"/>
        <v>0</v>
      </c>
      <c r="R40" s="343">
        <f t="shared" ca="1" si="99"/>
        <v>3.8841342988808425E-2</v>
      </c>
      <c r="S40" s="335">
        <f t="shared" ca="1" si="100"/>
        <v>160</v>
      </c>
      <c r="T40" s="336">
        <f t="shared" ca="1" si="101"/>
        <v>20</v>
      </c>
      <c r="U40" s="337">
        <f t="shared" ca="1" si="102"/>
        <v>24304</v>
      </c>
      <c r="V40" s="338">
        <f t="shared" ca="1" si="103"/>
        <v>23360</v>
      </c>
      <c r="W40" s="339">
        <f t="shared" ca="1" si="27"/>
        <v>-24304</v>
      </c>
      <c r="X40" s="340" t="str">
        <f t="shared" ca="1" si="104"/>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25">
      <c r="B41" s="360" t="s">
        <v>939</v>
      </c>
      <c r="C41" s="323" t="s">
        <v>936</v>
      </c>
      <c r="D41" s="321" t="s">
        <v>756</v>
      </c>
      <c r="E41" s="321" t="s">
        <v>753</v>
      </c>
      <c r="F41" s="324" t="s">
        <v>930</v>
      </c>
      <c r="G41" s="325" cm="1">
        <f t="array" aca="1" ref="G41" ca="1">IFERROR(INDEX(Panel_Rates[[1]:[12]],MATCH(Panel_New&amp;Category_New,Panel_Rates[Panel]&amp;Panel_Rates[Category],0),MATCH('Time Plan (Single Release)'!E41,OFFSET(Variable!$AF$2,MATCH(Panel_New&amp;Category_New,Panel_Rates[Panel]&amp;Panel_Rates[Category],0)-1,0,1,12),0))/8,"")</f>
        <v>305</v>
      </c>
      <c r="H41" s="326">
        <v>0.32</v>
      </c>
      <c r="I41" s="328">
        <f t="shared" ca="1" si="94"/>
        <v>207.39999999999998</v>
      </c>
      <c r="J41" s="329">
        <f t="shared" ca="1" si="105"/>
        <v>1659.1999999999998</v>
      </c>
      <c r="K41" s="329">
        <f>IFERROR(_xlfn.XLOOKUP(D41,CostTableLookup[Name],CostTableLookup[Gross Cost]),"")</f>
        <v>170.96</v>
      </c>
      <c r="L41" s="330"/>
      <c r="M41" s="331">
        <f t="shared" ca="1" si="95"/>
        <v>0</v>
      </c>
      <c r="N41" s="332"/>
      <c r="O41" s="331">
        <f t="shared" ca="1" si="96"/>
        <v>0</v>
      </c>
      <c r="P41" s="331">
        <f t="shared" ca="1" si="97"/>
        <v>0</v>
      </c>
      <c r="Q41" s="333">
        <f t="shared" si="98"/>
        <v>0</v>
      </c>
      <c r="R41" s="343">
        <f t="shared" ca="1" si="99"/>
        <v>0.17569913211186108</v>
      </c>
      <c r="S41" s="335">
        <f t="shared" ref="S41:S42" ca="1" si="106">IFERROR(SUM(OFFSET(Y41,0,MATCH(Forecast_New,$Y$3:$WQ$3,0)-1,1,500))*40,"")</f>
        <v>160</v>
      </c>
      <c r="T41" s="336">
        <f t="shared" ca="1" si="101"/>
        <v>20</v>
      </c>
      <c r="U41" s="337">
        <f t="shared" ca="1" si="102"/>
        <v>33184</v>
      </c>
      <c r="V41" s="338">
        <f t="shared" ca="1" si="103"/>
        <v>27353.600000000002</v>
      </c>
      <c r="W41" s="339">
        <f t="shared" ca="1" si="27"/>
        <v>-33184</v>
      </c>
      <c r="X41" s="340" t="str">
        <f t="shared" ca="1" si="104"/>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25">
      <c r="B42" s="360" t="s">
        <v>939</v>
      </c>
      <c r="C42" s="323" t="s">
        <v>936</v>
      </c>
      <c r="D42" s="321" t="s">
        <v>447</v>
      </c>
      <c r="E42" s="321" t="s">
        <v>753</v>
      </c>
      <c r="F42" s="324" t="s">
        <v>931</v>
      </c>
      <c r="G42" s="325" cm="1">
        <f t="array" aca="1" ref="G42" ca="1">IFERROR(INDEX(Panel_Rates[[1]:[12]],MATCH(Panel_New&amp;Category_New,Panel_Rates[Panel]&amp;Panel_Rates[Category],0),MATCH('Time Plan (Single Release)'!E42,OFFSET(Variable!$AF$2,MATCH(Panel_New&amp;Category_New,Panel_Rates[Panel]&amp;Panel_Rates[Category],0)-1,0,1,12),0))/8,"")</f>
        <v>305</v>
      </c>
      <c r="H42" s="326">
        <v>0.38</v>
      </c>
      <c r="I42" s="328">
        <f t="shared" ca="1" si="94"/>
        <v>189.1</v>
      </c>
      <c r="J42" s="329">
        <f t="shared" ca="1" si="105"/>
        <v>1512.8</v>
      </c>
      <c r="K42" s="329">
        <f>IFERROR(_xlfn.XLOOKUP(D42,CostTableLookup[Name],CostTableLookup[Gross Cost]),"")</f>
        <v>151</v>
      </c>
      <c r="L42" s="330"/>
      <c r="M42" s="331">
        <f t="shared" ca="1" si="95"/>
        <v>0</v>
      </c>
      <c r="N42" s="332"/>
      <c r="O42" s="331">
        <f t="shared" ca="1" si="96"/>
        <v>0</v>
      </c>
      <c r="P42" s="331">
        <f t="shared" ca="1" si="97"/>
        <v>0</v>
      </c>
      <c r="Q42" s="333">
        <f t="shared" si="98"/>
        <v>0</v>
      </c>
      <c r="R42" s="343">
        <f t="shared" ca="1" si="99"/>
        <v>0.2014806980433633</v>
      </c>
      <c r="S42" s="335">
        <f t="shared" ca="1" si="106"/>
        <v>160</v>
      </c>
      <c r="T42" s="336">
        <f t="shared" ca="1" si="101"/>
        <v>20</v>
      </c>
      <c r="U42" s="337">
        <f t="shared" ca="1" si="102"/>
        <v>30256</v>
      </c>
      <c r="V42" s="338">
        <f t="shared" ca="1" si="103"/>
        <v>24160</v>
      </c>
      <c r="W42" s="339">
        <f t="shared" ca="1" si="27"/>
        <v>-30256</v>
      </c>
      <c r="X42" s="340" t="str">
        <f t="shared" ca="1" si="104"/>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25">
      <c r="B43" s="360" t="s">
        <v>939</v>
      </c>
      <c r="C43" s="384" t="s">
        <v>936</v>
      </c>
      <c r="D43" s="385" t="s">
        <v>122</v>
      </c>
      <c r="E43" s="321" t="s">
        <v>752</v>
      </c>
      <c r="F43" s="324" t="s">
        <v>931</v>
      </c>
      <c r="G43" s="325" cm="1">
        <f t="array" aca="1" ref="G43" ca="1">IFERROR(INDEX(Panel_Rates[[1]:[12]],MATCH(Panel_New&amp;Category_New,Panel_Rates[Panel]&amp;Panel_Rates[Category],0),MATCH('Time Plan (Single Release)'!E43,OFFSET(Variable!$AF$2,MATCH(Panel_New&amp;Category_New,Panel_Rates[Panel]&amp;Panel_Rates[Category],0)-1,0,1,12),0))/8,"")</f>
        <v>245</v>
      </c>
      <c r="H43" s="326">
        <v>1</v>
      </c>
      <c r="I43" s="328">
        <f t="shared" ca="1" si="94"/>
        <v>0</v>
      </c>
      <c r="J43" s="329">
        <f t="shared" ca="1" si="105"/>
        <v>0</v>
      </c>
      <c r="K43" s="329">
        <f>IFERROR(_xlfn.XLOOKUP(D43,CostTableLookup[Name],CostTableLookup[Gross Cost]),"")</f>
        <v>198</v>
      </c>
      <c r="L43" s="330"/>
      <c r="M43" s="331">
        <f t="shared" ca="1" si="95"/>
        <v>0</v>
      </c>
      <c r="N43" s="332"/>
      <c r="O43" s="331">
        <f t="shared" ca="1" si="96"/>
        <v>0</v>
      </c>
      <c r="P43" s="331">
        <f t="shared" ca="1" si="97"/>
        <v>0</v>
      </c>
      <c r="Q43" s="333">
        <f t="shared" si="98"/>
        <v>0</v>
      </c>
      <c r="R43" s="343" t="str">
        <f t="shared" ca="1" si="99"/>
        <v/>
      </c>
      <c r="S43" s="335">
        <f t="shared" ref="S43" ca="1" si="107">IFERROR(SUM(OFFSET(Y43,0,MATCH(Forecast_New,$Y$3:$WQ$3,0)-1,1,500))*40,"")</f>
        <v>160</v>
      </c>
      <c r="T43" s="336">
        <f t="shared" ca="1" si="101"/>
        <v>20</v>
      </c>
      <c r="U43" s="337">
        <f t="shared" ca="1" si="102"/>
        <v>0</v>
      </c>
      <c r="V43" s="338">
        <f t="shared" ca="1" si="103"/>
        <v>31680</v>
      </c>
      <c r="W43" s="339">
        <f t="shared" ca="1" si="27"/>
        <v>0</v>
      </c>
      <c r="X43" s="340" t="str">
        <f t="shared" ca="1" si="104"/>
        <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25">
      <c r="B44" s="360" t="s">
        <v>939</v>
      </c>
      <c r="C44" s="323" t="s">
        <v>936</v>
      </c>
      <c r="D44" s="321" t="s">
        <v>731</v>
      </c>
      <c r="E44" s="321" t="s">
        <v>752</v>
      </c>
      <c r="F44" s="324" t="s">
        <v>931</v>
      </c>
      <c r="G44" s="325" cm="1">
        <f t="array" aca="1" ref="G44" ca="1">IFERROR(INDEX(Panel_Rates[[1]:[12]],MATCH(Panel_New&amp;Category_New,Panel_Rates[Panel]&amp;Panel_Rates[Category],0),MATCH('Time Plan (Single Release)'!E44,OFFSET(Variable!$AF$2,MATCH(Panel_New&amp;Category_New,Panel_Rates[Panel]&amp;Panel_Rates[Category],0)-1,0,1,12),0))/8,"")</f>
        <v>245</v>
      </c>
      <c r="H44" s="326">
        <v>0.38</v>
      </c>
      <c r="I44" s="328">
        <f t="shared" ca="1" si="94"/>
        <v>151.9</v>
      </c>
      <c r="J44" s="329">
        <f t="shared" ca="1" si="105"/>
        <v>1215.2</v>
      </c>
      <c r="K44" s="329">
        <f>IFERROR(_xlfn.XLOOKUP(D44,CostTableLookup[Name],CostTableLookup[Gross Cost]),"")</f>
        <v>151</v>
      </c>
      <c r="L44" s="330"/>
      <c r="M44" s="331">
        <f t="shared" ca="1" si="95"/>
        <v>0</v>
      </c>
      <c r="N44" s="332"/>
      <c r="O44" s="331">
        <f t="shared" ca="1" si="96"/>
        <v>0</v>
      </c>
      <c r="P44" s="331">
        <f t="shared" ca="1" si="97"/>
        <v>0</v>
      </c>
      <c r="Q44" s="333">
        <f t="shared" si="98"/>
        <v>0</v>
      </c>
      <c r="R44" s="343">
        <f t="shared" ca="1" si="99"/>
        <v>5.9249506254114553E-3</v>
      </c>
      <c r="S44" s="335">
        <f t="shared" ref="S44" ca="1" si="108">IFERROR(SUM(OFFSET(Y44,0,MATCH(Forecast_New,$Y$3:$WQ$3,0)-1,1,500))*40,"")</f>
        <v>160</v>
      </c>
      <c r="T44" s="336">
        <f t="shared" ca="1" si="101"/>
        <v>20</v>
      </c>
      <c r="U44" s="337">
        <f t="shared" ca="1" si="102"/>
        <v>24304</v>
      </c>
      <c r="V44" s="338">
        <f t="shared" ca="1" si="103"/>
        <v>24160</v>
      </c>
      <c r="W44" s="339">
        <f t="shared" ca="1" si="27"/>
        <v>-24304</v>
      </c>
      <c r="X44" s="340" t="str">
        <f t="shared" ca="1" si="104"/>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20.25" customHeight="1" x14ac:dyDescent="0.25">
      <c r="B45" s="361" t="s">
        <v>980</v>
      </c>
      <c r="C45" s="362" t="s">
        <v>936</v>
      </c>
      <c r="D45" s="392" t="s">
        <v>465</v>
      </c>
      <c r="E45" s="393"/>
      <c r="F45" s="393"/>
      <c r="G45" s="391"/>
      <c r="H45" s="394">
        <v>0.05</v>
      </c>
      <c r="I45" s="391">
        <f ca="1">H45*SUM(U36:U44)</f>
        <v>9907.0820000000022</v>
      </c>
      <c r="J45" s="366"/>
      <c r="K45" s="366">
        <f>IFERROR(_xlfn.XLOOKUP(D45,CostTableLookup[Name],CostTableLookup[Gross Cost]),"")</f>
        <v>0</v>
      </c>
      <c r="L45" s="367"/>
      <c r="M45" s="368">
        <f ca="1">IFERROR(L45*I45,"")</f>
        <v>0</v>
      </c>
      <c r="N45" s="369"/>
      <c r="O45" s="368">
        <f ca="1">IFERROR(N45*I45,"")</f>
        <v>0</v>
      </c>
      <c r="P45" s="368">
        <f ca="1">IFERROR(M45-O45,"")</f>
        <v>0</v>
      </c>
      <c r="Q45" s="370">
        <f>IFERROR(N45*K45,"")</f>
        <v>0</v>
      </c>
      <c r="R45" s="396" t="str">
        <f ca="1">IFERROR(((U45+O45)-(V45+Q45))/(U45+O45),"")</f>
        <v/>
      </c>
      <c r="S45" s="395">
        <f ca="1">IFERROR(SUM(OFFSET(Y45,0,MATCH(Forecast_New,$Y$3:$WQ$3,0)-1,1,500))*40,"")</f>
        <v>1</v>
      </c>
      <c r="T45" s="372">
        <f ca="1">IFERROR(S45/8,"")</f>
        <v>0.125</v>
      </c>
      <c r="U45" s="374">
        <v>0</v>
      </c>
      <c r="V45" s="358">
        <f ca="1">IFERROR($S45*K45,"")</f>
        <v>0</v>
      </c>
      <c r="W45" s="374">
        <f t="shared" ref="W45" ca="1" si="109">IFERROR(M45-(O45+U45),"")</f>
        <v>0</v>
      </c>
      <c r="X45" s="396"/>
      <c r="Y45" s="376"/>
      <c r="Z45" s="376"/>
      <c r="AA45" s="376"/>
      <c r="AB45" s="376"/>
      <c r="AC45" s="376"/>
      <c r="AD45" s="376"/>
      <c r="AE45" s="376"/>
      <c r="AF45" s="376"/>
      <c r="AG45" s="376"/>
      <c r="AH45" s="376"/>
      <c r="AI45" s="376">
        <v>2.5000000000000001E-2</v>
      </c>
      <c r="AJ45" s="376"/>
      <c r="AK45" s="376"/>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s="345" customFormat="1" ht="19.5" customHeight="1" x14ac:dyDescent="0.25">
      <c r="B46" s="360" t="s">
        <v>939</v>
      </c>
      <c r="C46" s="362" t="s">
        <v>936</v>
      </c>
      <c r="D46" s="345" t="s">
        <v>606</v>
      </c>
      <c r="E46" s="345" t="s">
        <v>752</v>
      </c>
      <c r="F46" s="363" t="s">
        <v>937</v>
      </c>
      <c r="G46" s="364" cm="1">
        <f t="array" aca="1" ref="G46" ca="1">IFERROR(INDEX(Panel_Rates[[1]:[12]],MATCH(Panel_New&amp;Category_New,Panel_Rates[Panel]&amp;Panel_Rates[Category],0),MATCH('Time Plan (Single Release)'!E46,OFFSET(Variable!$AF$2,MATCH(Panel_New&amp;Category_New,Panel_Rates[Panel]&amp;Panel_Rates[Category],0)-1,0,1,12),0))/8,"")</f>
        <v>245</v>
      </c>
      <c r="H46" s="326">
        <v>0.38</v>
      </c>
      <c r="I46" s="391">
        <f t="shared" ca="1" si="94"/>
        <v>151.9</v>
      </c>
      <c r="J46" s="398">
        <f t="shared" ca="1" si="105"/>
        <v>1215.2</v>
      </c>
      <c r="K46" s="366">
        <f>IFERROR(_xlfn.XLOOKUP(D46,CostTableLookup[Name],CostTableLookup[Gross Cost]),"")</f>
        <v>161</v>
      </c>
      <c r="L46" s="367"/>
      <c r="M46" s="368">
        <f t="shared" ca="1" si="95"/>
        <v>0</v>
      </c>
      <c r="N46" s="369"/>
      <c r="O46" s="368">
        <f t="shared" ca="1" si="96"/>
        <v>0</v>
      </c>
      <c r="P46" s="368">
        <f t="shared" ca="1" si="97"/>
        <v>0</v>
      </c>
      <c r="Q46" s="370">
        <f t="shared" si="98"/>
        <v>0</v>
      </c>
      <c r="R46" s="396">
        <f t="shared" ca="1" si="99"/>
        <v>-5.9907834101382486E-2</v>
      </c>
      <c r="S46" s="335">
        <f ca="1">IFERROR(SUM(OFFSET(Y46,0,MATCH(Forecast_New,$Y$3:$WQ$3,0)-1,1,500))*40,"")</f>
        <v>160</v>
      </c>
      <c r="T46" s="372">
        <f t="shared" ca="1" si="101"/>
        <v>20</v>
      </c>
      <c r="U46" s="373">
        <f t="shared" ca="1" si="102"/>
        <v>24304</v>
      </c>
      <c r="V46" s="358">
        <f t="shared" ca="1" si="103"/>
        <v>25760</v>
      </c>
      <c r="W46" s="339">
        <f t="shared" ca="1" si="27"/>
        <v>-24304</v>
      </c>
      <c r="X46" s="375" t="str">
        <f t="shared" ca="1" si="104"/>
        <v/>
      </c>
      <c r="Y46" s="376"/>
      <c r="Z46" s="376"/>
      <c r="AA46" s="376"/>
      <c r="AB46" s="376"/>
      <c r="AC46" s="376"/>
      <c r="AD46" s="376"/>
      <c r="AE46" s="376"/>
      <c r="AF46" s="376"/>
      <c r="AG46" s="376"/>
      <c r="AH46" s="376"/>
      <c r="AI46" s="376"/>
      <c r="AJ46" s="376">
        <v>1</v>
      </c>
      <c r="AK46" s="376">
        <v>1</v>
      </c>
      <c r="AL46" s="376">
        <v>1</v>
      </c>
      <c r="AM46" s="376">
        <v>1</v>
      </c>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376"/>
      <c r="BM46" s="376"/>
      <c r="BN46" s="376"/>
      <c r="BO46" s="376"/>
      <c r="BP46" s="376"/>
      <c r="BQ46" s="376"/>
      <c r="BR46" s="376"/>
      <c r="BS46" s="376"/>
      <c r="BT46" s="376"/>
      <c r="BU46" s="376"/>
      <c r="BV46" s="37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6"/>
      <c r="DV46" s="376"/>
      <c r="DW46" s="376"/>
      <c r="DX46" s="376"/>
      <c r="DY46" s="376"/>
      <c r="DZ46" s="376"/>
      <c r="EA46" s="376"/>
      <c r="EB46" s="376"/>
      <c r="EC46" s="376"/>
      <c r="ED46" s="376"/>
      <c r="EE46" s="376"/>
      <c r="EF46" s="376"/>
      <c r="EG46" s="376"/>
      <c r="EH46" s="376"/>
      <c r="EI46" s="376"/>
      <c r="EJ46" s="376"/>
      <c r="EK46" s="376"/>
      <c r="EL46" s="376"/>
      <c r="EM46" s="376"/>
      <c r="EN46" s="376"/>
      <c r="EO46" s="376"/>
      <c r="EP46" s="376"/>
      <c r="EQ46" s="376"/>
      <c r="ER46" s="376"/>
      <c r="ES46" s="376"/>
      <c r="ET46" s="376"/>
      <c r="EU46" s="376"/>
      <c r="EV46" s="376"/>
      <c r="EW46" s="376"/>
      <c r="EX46" s="376"/>
      <c r="EY46" s="376"/>
      <c r="EZ46" s="376"/>
      <c r="FA46" s="376"/>
      <c r="FB46" s="376"/>
      <c r="FC46" s="376"/>
      <c r="FD46" s="376"/>
      <c r="FE46" s="376"/>
      <c r="FF46" s="376"/>
      <c r="FG46" s="376"/>
      <c r="FH46" s="376"/>
      <c r="FI46" s="376"/>
      <c r="FJ46" s="376"/>
      <c r="FK46" s="376"/>
      <c r="FL46" s="376"/>
      <c r="FM46" s="376"/>
      <c r="FN46" s="376"/>
      <c r="FO46" s="376"/>
      <c r="FP46" s="376"/>
      <c r="FQ46" s="376"/>
      <c r="FR46" s="376"/>
      <c r="FS46" s="376"/>
      <c r="FT46" s="376"/>
      <c r="FU46" s="376"/>
      <c r="FV46" s="376"/>
      <c r="FW46" s="376"/>
      <c r="FX46" s="376"/>
      <c r="FY46" s="376"/>
      <c r="FZ46" s="376"/>
      <c r="GA46" s="376"/>
      <c r="GB46" s="376"/>
      <c r="GC46" s="376"/>
      <c r="GD46" s="376"/>
      <c r="GE46" s="376"/>
      <c r="GF46" s="376"/>
      <c r="GG46" s="376"/>
      <c r="GH46" s="376"/>
      <c r="GI46" s="376"/>
      <c r="GJ46" s="376"/>
      <c r="GK46" s="376"/>
      <c r="GL46" s="376"/>
      <c r="GM46" s="376"/>
      <c r="GN46" s="376"/>
      <c r="GO46" s="376"/>
      <c r="GP46" s="376"/>
      <c r="GQ46" s="376"/>
      <c r="GR46" s="376"/>
      <c r="GS46" s="376"/>
      <c r="GT46" s="376"/>
      <c r="GU46" s="376"/>
      <c r="GV46" s="376"/>
      <c r="GW46" s="376"/>
      <c r="GX46" s="376"/>
      <c r="GY46" s="376"/>
      <c r="GZ46" s="376"/>
      <c r="HA46" s="376"/>
      <c r="HB46" s="376"/>
      <c r="HC46" s="376"/>
      <c r="HD46" s="376"/>
      <c r="HE46" s="376"/>
      <c r="HF46" s="376"/>
      <c r="HG46" s="376"/>
      <c r="HH46" s="376"/>
      <c r="HI46" s="376"/>
      <c r="HJ46" s="376"/>
      <c r="HK46" s="376"/>
      <c r="HL46" s="376"/>
      <c r="HM46" s="376"/>
      <c r="HN46" s="376"/>
      <c r="HO46" s="376"/>
      <c r="HP46" s="376"/>
      <c r="HQ46" s="376"/>
      <c r="HR46" s="376"/>
      <c r="HS46" s="376"/>
      <c r="HT46" s="376"/>
      <c r="HU46" s="376"/>
      <c r="HV46" s="376"/>
      <c r="HW46" s="376"/>
      <c r="HX46" s="376"/>
      <c r="HY46" s="376"/>
      <c r="HZ46" s="376"/>
      <c r="IA46" s="376"/>
      <c r="IB46" s="376"/>
      <c r="IC46" s="376"/>
      <c r="ID46" s="376"/>
      <c r="IE46" s="376"/>
      <c r="IF46" s="376"/>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c r="JL46" s="376"/>
      <c r="JM46" s="376"/>
      <c r="JN46" s="376"/>
    </row>
    <row r="47" spans="2:274" ht="19.5" customHeight="1" x14ac:dyDescent="0.25">
      <c r="B47" s="387" t="s">
        <v>940</v>
      </c>
      <c r="C47" s="323" t="s">
        <v>935</v>
      </c>
      <c r="D47" s="321" t="s">
        <v>306</v>
      </c>
      <c r="E47" s="321" t="s">
        <v>753</v>
      </c>
      <c r="F47" s="324" t="s">
        <v>928</v>
      </c>
      <c r="G47" s="325" cm="1">
        <f t="array" aca="1" ref="G47" ca="1">IFERROR(INDEX(Panel_Rates[[1]:[12]],MATCH(Panel_New&amp;Category_New,Panel_Rates[Panel]&amp;Panel_Rates[Category],0),MATCH('Time Plan (Single Release)'!E47,OFFSET(Variable!$AF$2,MATCH(Panel_New&amp;Category_New,Panel_Rates[Panel]&amp;Panel_Rates[Category],0)-1,0,1,12),0))/8,"")</f>
        <v>305</v>
      </c>
      <c r="H47" s="326">
        <v>0.32</v>
      </c>
      <c r="I47" s="328">
        <f ca="1">IFERROR(G47*(1-H47),"")</f>
        <v>207.39999999999998</v>
      </c>
      <c r="J47" s="329">
        <f ca="1">IFERROR(I47*8,"")</f>
        <v>1659.1999999999998</v>
      </c>
      <c r="K47" s="329">
        <f>IFERROR(_xlfn.XLOOKUP(D47,CostTableLookup[Name],CostTableLookup[Gross Cost]),"")</f>
        <v>245</v>
      </c>
      <c r="L47" s="330"/>
      <c r="M47" s="331">
        <f ca="1">IFERROR(L47*I47,"")</f>
        <v>0</v>
      </c>
      <c r="N47" s="332"/>
      <c r="O47" s="331">
        <f ca="1">IFERROR(N47*I47,"")</f>
        <v>0</v>
      </c>
      <c r="P47" s="331">
        <f ca="1">IFERROR(M47-O47,"")</f>
        <v>0</v>
      </c>
      <c r="Q47" s="333">
        <f>IFERROR(N47*K47,"")</f>
        <v>0</v>
      </c>
      <c r="R47" s="343">
        <f ca="1">IFERROR(((U47+O47)-(V47+Q47))/(U47+O47),"")</f>
        <v>-0.18129218900675023</v>
      </c>
      <c r="S47" s="335">
        <f ca="1">IFERROR(SUM(OFFSET(Y47,0,MATCH(Forecast_New,$Y$3:$WQ$3,0)-1,1,500))*40,"")</f>
        <v>160</v>
      </c>
      <c r="T47" s="336">
        <f ca="1">IFERROR(S47/8,"")</f>
        <v>20</v>
      </c>
      <c r="U47" s="337">
        <f ca="1">IFERROR($S47*I47,"")</f>
        <v>33184</v>
      </c>
      <c r="V47" s="338">
        <f ca="1">IFERROR($S47*K47,"")</f>
        <v>39200</v>
      </c>
      <c r="W47" s="339">
        <f t="shared" ca="1" si="27"/>
        <v>-33184</v>
      </c>
      <c r="X47" s="343"/>
      <c r="Y47" s="344"/>
      <c r="Z47" s="344"/>
      <c r="AA47" s="344"/>
      <c r="AB47" s="344"/>
      <c r="AC47" s="344"/>
      <c r="AD47" s="344"/>
      <c r="AE47" s="344"/>
      <c r="AF47" s="344"/>
      <c r="AG47" s="344"/>
      <c r="AH47" s="344"/>
      <c r="AI47" s="344"/>
      <c r="AJ47" s="344"/>
      <c r="AK47" s="344"/>
      <c r="AL47" s="344"/>
      <c r="AM47" s="344"/>
      <c r="AN47" s="344">
        <v>1</v>
      </c>
      <c r="AO47" s="344">
        <v>1</v>
      </c>
      <c r="AP47" s="344">
        <v>1</v>
      </c>
      <c r="AQ47" s="344">
        <v>1</v>
      </c>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25">
      <c r="B48" s="360" t="s">
        <v>940</v>
      </c>
      <c r="C48" s="323" t="s">
        <v>935</v>
      </c>
      <c r="D48" s="321" t="s">
        <v>746</v>
      </c>
      <c r="E48" s="321" t="s">
        <v>752</v>
      </c>
      <c r="F48" s="324" t="s">
        <v>155</v>
      </c>
      <c r="G48" s="325" cm="1">
        <f t="array" aca="1" ref="G48" ca="1">IFERROR(INDEX(Panel_Rates[[1]:[12]],MATCH(Panel_New&amp;Category_New,Panel_Rates[Panel]&amp;Panel_Rates[Category],0),MATCH('Time Plan (Single Release)'!E48,OFFSET(Variable!$AF$2,MATCH(Panel_New&amp;Category_New,Panel_Rates[Panel]&amp;Panel_Rates[Category],0)-1,0,1,12),0))/8,"")</f>
        <v>245</v>
      </c>
      <c r="H48" s="326">
        <v>0.38</v>
      </c>
      <c r="I48" s="328">
        <f ca="1">IFERROR(G48*(1-H48),"")</f>
        <v>151.9</v>
      </c>
      <c r="J48" s="329">
        <f ca="1">IFERROR(I48*8,"")</f>
        <v>1215.2</v>
      </c>
      <c r="K48" s="329">
        <f>IFERROR(_xlfn.XLOOKUP(D48,CostTableLookup[Name],CostTableLookup[Gross Cost]),"")</f>
        <v>90</v>
      </c>
      <c r="L48" s="330"/>
      <c r="M48" s="331">
        <f ca="1">IFERROR(L48*I48,"")</f>
        <v>0</v>
      </c>
      <c r="N48" s="332"/>
      <c r="O48" s="331">
        <f ca="1">IFERROR(N48*I48,"")</f>
        <v>0</v>
      </c>
      <c r="P48" s="331">
        <f ca="1">IFERROR(M48-O48,"")</f>
        <v>0</v>
      </c>
      <c r="Q48" s="333">
        <f>IFERROR(N48*K48,"")</f>
        <v>0</v>
      </c>
      <c r="R48" s="343" t="str">
        <f ca="1">IFERROR(((U48+O48)-(V48+Q48))/(U48+O48),"")</f>
        <v/>
      </c>
      <c r="S48" s="335">
        <f ca="1">IFERROR(SUM(OFFSET(Y48,0,MATCH(Forecast_New,$Y$3:$WQ$3,0)-1,1,500))*40,"")</f>
        <v>0</v>
      </c>
      <c r="T48" s="336">
        <f ca="1">IFERROR(S48/8,"")</f>
        <v>0</v>
      </c>
      <c r="U48" s="337">
        <f ca="1">IFERROR($S48*I48,"")</f>
        <v>0</v>
      </c>
      <c r="V48" s="338">
        <f ca="1">IFERROR($S48*K48,"")</f>
        <v>0</v>
      </c>
      <c r="W48" s="339">
        <f t="shared" ca="1" si="27"/>
        <v>0</v>
      </c>
      <c r="X48" s="343"/>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4"/>
      <c r="BC48" s="344"/>
      <c r="BD48" s="344"/>
      <c r="BE48" s="344"/>
      <c r="BF48" s="344"/>
      <c r="BG48" s="344"/>
      <c r="BH48" s="344"/>
      <c r="BI48" s="344"/>
      <c r="BJ48" s="344"/>
      <c r="BK48" s="344"/>
      <c r="BL48" s="344"/>
      <c r="BM48" s="344"/>
      <c r="BN48" s="344"/>
      <c r="BO48" s="344"/>
      <c r="BP48" s="344"/>
      <c r="BQ48" s="344"/>
      <c r="BR48" s="344"/>
      <c r="BS48" s="344"/>
      <c r="BT48" s="344"/>
      <c r="BU48" s="344"/>
      <c r="BV48" s="344"/>
      <c r="BW48" s="344"/>
      <c r="BX48" s="344"/>
      <c r="BY48" s="344"/>
      <c r="BZ48" s="344"/>
      <c r="CA48" s="344"/>
      <c r="CB48" s="344"/>
      <c r="CC48" s="344"/>
      <c r="CD48" s="344"/>
      <c r="CE48" s="344"/>
      <c r="CF48" s="344"/>
      <c r="CG48" s="344"/>
      <c r="CH48" s="344"/>
      <c r="CI48" s="344"/>
      <c r="CJ48" s="344"/>
      <c r="CK48" s="344"/>
      <c r="CL48" s="344"/>
      <c r="CM48" s="344"/>
      <c r="CN48" s="344"/>
      <c r="CO48" s="344"/>
      <c r="CP48" s="344"/>
      <c r="CQ48" s="344"/>
      <c r="CR48" s="344"/>
      <c r="CS48" s="344"/>
      <c r="CT48" s="344"/>
      <c r="CU48" s="344"/>
      <c r="CV48" s="344"/>
      <c r="CW48" s="344"/>
      <c r="CX48" s="344"/>
      <c r="CY48" s="344"/>
      <c r="CZ48" s="344"/>
      <c r="DA48" s="344"/>
      <c r="DB48" s="344"/>
      <c r="DC48" s="344"/>
      <c r="DD48" s="344"/>
      <c r="DE48" s="344"/>
      <c r="DF48" s="344"/>
      <c r="DG48" s="344"/>
      <c r="DH48" s="344"/>
      <c r="DI48" s="344"/>
      <c r="DJ48" s="344"/>
      <c r="DK48" s="344"/>
      <c r="DL48" s="344"/>
      <c r="DM48" s="344"/>
      <c r="DN48" s="344"/>
      <c r="DO48" s="344"/>
      <c r="DP48" s="344"/>
      <c r="DQ48" s="344"/>
      <c r="DR48" s="344"/>
      <c r="DS48" s="344"/>
      <c r="DT48" s="344"/>
      <c r="DU48" s="344"/>
      <c r="DV48" s="344"/>
      <c r="DW48" s="344"/>
      <c r="DX48" s="344"/>
      <c r="DY48" s="344"/>
      <c r="DZ48" s="344"/>
      <c r="EA48" s="344"/>
      <c r="EB48" s="344"/>
      <c r="EC48" s="344"/>
      <c r="ED48" s="344"/>
      <c r="EE48" s="344"/>
      <c r="EF48" s="344"/>
      <c r="EG48" s="344"/>
      <c r="EH48" s="344"/>
      <c r="EI48" s="344"/>
      <c r="EJ48" s="344"/>
      <c r="EK48" s="344"/>
      <c r="EL48" s="344"/>
      <c r="EM48" s="344"/>
      <c r="EN48" s="344"/>
      <c r="EO48" s="344"/>
      <c r="EP48" s="344"/>
      <c r="EQ48" s="344"/>
      <c r="ER48" s="344"/>
      <c r="ES48" s="344"/>
      <c r="ET48" s="344"/>
      <c r="EU48" s="344"/>
      <c r="EV48" s="344"/>
      <c r="EW48" s="344"/>
      <c r="EX48" s="344"/>
      <c r="EY48" s="344"/>
      <c r="EZ48" s="344"/>
      <c r="FA48" s="344"/>
      <c r="FB48" s="344"/>
      <c r="FC48" s="344"/>
      <c r="FD48" s="344"/>
      <c r="FE48" s="344"/>
      <c r="FF48" s="344"/>
      <c r="FG48" s="344"/>
      <c r="FH48" s="344"/>
      <c r="FI48" s="344"/>
      <c r="FJ48" s="344"/>
      <c r="FK48" s="344"/>
      <c r="FL48" s="344"/>
      <c r="FM48" s="344"/>
      <c r="FN48" s="344"/>
      <c r="FO48" s="344"/>
      <c r="FP48" s="344"/>
      <c r="FQ48" s="344"/>
      <c r="FR48" s="344"/>
      <c r="FS48" s="344"/>
      <c r="FT48" s="344"/>
      <c r="FU48" s="344"/>
      <c r="FV48" s="344"/>
      <c r="FW48" s="344"/>
      <c r="FX48" s="344"/>
      <c r="FY48" s="344"/>
      <c r="FZ48" s="344"/>
      <c r="GA48" s="344"/>
      <c r="GB48" s="344"/>
      <c r="GC48" s="344"/>
      <c r="GD48" s="344"/>
      <c r="GE48" s="344"/>
      <c r="GF48" s="344"/>
      <c r="GG48" s="344"/>
      <c r="GH48" s="344"/>
      <c r="GI48" s="344"/>
      <c r="GJ48" s="344"/>
      <c r="GK48" s="344"/>
      <c r="GL48" s="344"/>
      <c r="GM48" s="344"/>
      <c r="GN48" s="344"/>
      <c r="GO48" s="344"/>
      <c r="GP48" s="344"/>
      <c r="GQ48" s="344"/>
      <c r="GR48" s="344"/>
      <c r="GS48" s="344"/>
      <c r="GT48" s="344"/>
      <c r="GU48" s="344"/>
      <c r="GV48" s="344"/>
      <c r="GW48" s="344"/>
      <c r="GX48" s="344"/>
      <c r="GY48" s="344"/>
      <c r="GZ48" s="344"/>
      <c r="HA48" s="344"/>
      <c r="HB48" s="344"/>
      <c r="HC48" s="344"/>
      <c r="HD48" s="344"/>
      <c r="HE48" s="344"/>
      <c r="HF48" s="344"/>
      <c r="HG48" s="344"/>
      <c r="HH48" s="344"/>
      <c r="HI48" s="344"/>
      <c r="HJ48" s="344"/>
      <c r="HK48" s="344"/>
      <c r="HL48" s="344"/>
      <c r="HM48" s="344"/>
      <c r="HN48" s="344"/>
      <c r="HO48" s="344"/>
      <c r="HP48" s="344"/>
      <c r="HQ48" s="344"/>
      <c r="HR48" s="344"/>
      <c r="HS48" s="344"/>
      <c r="HT48" s="344"/>
      <c r="HU48" s="344"/>
      <c r="HV48" s="344"/>
      <c r="HW48" s="344"/>
      <c r="HX48" s="344"/>
      <c r="HY48" s="344"/>
      <c r="HZ48" s="344"/>
      <c r="IA48" s="344"/>
      <c r="IB48" s="344"/>
      <c r="IC48" s="344"/>
      <c r="ID48" s="344"/>
      <c r="IE48" s="344"/>
      <c r="IF48" s="344"/>
      <c r="IG48" s="344"/>
      <c r="IH48" s="344"/>
      <c r="II48" s="344"/>
      <c r="IJ48" s="344"/>
      <c r="IK48" s="344"/>
      <c r="IL48" s="344"/>
      <c r="IM48" s="344"/>
      <c r="IN48" s="344"/>
      <c r="IO48" s="344"/>
      <c r="IP48" s="344"/>
      <c r="IQ48" s="344"/>
      <c r="IR48" s="344"/>
      <c r="IS48" s="344"/>
      <c r="IT48" s="344"/>
      <c r="IU48" s="344"/>
      <c r="IV48" s="344"/>
      <c r="IW48" s="344"/>
      <c r="IX48" s="344"/>
      <c r="IY48" s="344"/>
      <c r="IZ48" s="344"/>
      <c r="JA48" s="344"/>
      <c r="JB48" s="344"/>
      <c r="JC48" s="344"/>
      <c r="JD48" s="344"/>
      <c r="JE48" s="344"/>
      <c r="JF48" s="344"/>
      <c r="JG48" s="344"/>
      <c r="JH48" s="344"/>
      <c r="JI48" s="344"/>
      <c r="JJ48" s="344"/>
      <c r="JK48" s="344"/>
      <c r="JL48" s="344"/>
      <c r="JM48" s="344"/>
      <c r="JN48" s="344"/>
    </row>
    <row r="49" spans="2:274" ht="19.5" customHeight="1" x14ac:dyDescent="0.25">
      <c r="B49" s="360" t="s">
        <v>940</v>
      </c>
      <c r="C49" s="323" t="s">
        <v>936</v>
      </c>
      <c r="D49" s="321" t="s">
        <v>317</v>
      </c>
      <c r="E49" s="321" t="s">
        <v>754</v>
      </c>
      <c r="F49" s="324" t="s">
        <v>929</v>
      </c>
      <c r="G49" s="325" cm="1">
        <f t="array" aca="1" ref="G49" ca="1">IFERROR(INDEX(Panel_Rates[[1]:[12]],MATCH(Panel_New&amp;Category_New,Panel_Rates[Panel]&amp;Panel_Rates[Category],0),MATCH('Time Plan (Single Release)'!E49,OFFSET(Variable!$AF$2,MATCH(Panel_New&amp;Category_New,Panel_Rates[Panel]&amp;Panel_Rates[Category],0)-1,0,1,12),0))/8,"")</f>
        <v>395</v>
      </c>
      <c r="H49" s="326">
        <v>0.4</v>
      </c>
      <c r="I49" s="328">
        <f t="shared" ref="I49:I55" ca="1" si="110">IFERROR(G49*(1-H49),"")</f>
        <v>237</v>
      </c>
      <c r="J49" s="329">
        <f ca="1">IFERROR(I49*8,"")</f>
        <v>1896</v>
      </c>
      <c r="K49" s="329">
        <f>IFERROR(_xlfn.XLOOKUP(D49,CostTableLookup[Name],CostTableLookup[Gross Cost]),"")</f>
        <v>198</v>
      </c>
      <c r="L49" s="330"/>
      <c r="M49" s="331">
        <f t="shared" ref="M49:M55" ca="1" si="111">IFERROR(L49*I49,"")</f>
        <v>0</v>
      </c>
      <c r="N49" s="332"/>
      <c r="O49" s="331">
        <f t="shared" ref="O49:O55" ca="1" si="112">IFERROR(N49*I49,"")</f>
        <v>0</v>
      </c>
      <c r="P49" s="331">
        <f t="shared" ref="P49:P55" ca="1" si="113">IFERROR(M49-O49,"")</f>
        <v>0</v>
      </c>
      <c r="Q49" s="333">
        <f t="shared" ref="Q49:Q55" si="114">IFERROR(N49*K49,"")</f>
        <v>0</v>
      </c>
      <c r="R49" s="343" t="str">
        <f t="shared" ref="R49:R55" ca="1" si="115">IFERROR(((U49+O49)-(V49+Q49))/(U49+O49),"")</f>
        <v/>
      </c>
      <c r="S49" s="335">
        <f t="shared" ref="S49:S50" ca="1" si="116">IFERROR(SUM(OFFSET(Y49,0,MATCH(Forecast_New,$Y$3:$WQ$3,0)-1,1,500))*40,"")</f>
        <v>0</v>
      </c>
      <c r="T49" s="336">
        <f t="shared" ref="T49:T55" ca="1" si="117">IFERROR(S49/8,"")</f>
        <v>0</v>
      </c>
      <c r="U49" s="337">
        <f t="shared" ref="U49:U55" ca="1" si="118">IFERROR($S49*I49,"")</f>
        <v>0</v>
      </c>
      <c r="V49" s="338">
        <f t="shared" ref="V49:V55" ca="1" si="119">IFERROR($S49*K49,"")</f>
        <v>0</v>
      </c>
      <c r="W49" s="339">
        <f t="shared" ca="1" si="27"/>
        <v>0</v>
      </c>
      <c r="X49" s="340" t="str">
        <f t="shared" ref="X49:X55" ca="1" si="120">IFERROR(W49/M49,"")</f>
        <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25">
      <c r="B50" s="360" t="s">
        <v>940</v>
      </c>
      <c r="C50" s="323" t="s">
        <v>936</v>
      </c>
      <c r="D50" s="321" t="s">
        <v>126</v>
      </c>
      <c r="E50" s="321" t="s">
        <v>752</v>
      </c>
      <c r="F50" s="324" t="s">
        <v>852</v>
      </c>
      <c r="G50" s="325" cm="1">
        <f t="array" aca="1" ref="G50" ca="1">IFERROR(INDEX(Panel_Rates[[1]:[12]],MATCH(Panel_New&amp;Category_New,Panel_Rates[Panel]&amp;Panel_Rates[Category],0),MATCH('Time Plan (Single Release)'!E50,OFFSET(Variable!$AF$2,MATCH(Panel_New&amp;Category_New,Panel_Rates[Panel]&amp;Panel_Rates[Category],0)-1,0,1,12),0))/8,"")</f>
        <v>245</v>
      </c>
      <c r="H50" s="326">
        <v>0.38</v>
      </c>
      <c r="I50" s="328">
        <f t="shared" ca="1" si="110"/>
        <v>151.9</v>
      </c>
      <c r="J50" s="329">
        <f t="shared" ref="J50:J55" ca="1" si="121">IFERROR(I50*8,"")</f>
        <v>1215.2</v>
      </c>
      <c r="K50" s="329">
        <f>IFERROR(_xlfn.XLOOKUP(D50,CostTableLookup[Name],CostTableLookup[Gross Cost]),"")</f>
        <v>146</v>
      </c>
      <c r="L50" s="330"/>
      <c r="M50" s="331">
        <f t="shared" ca="1" si="111"/>
        <v>0</v>
      </c>
      <c r="N50" s="332"/>
      <c r="O50" s="331">
        <f t="shared" ca="1" si="112"/>
        <v>0</v>
      </c>
      <c r="P50" s="331">
        <f t="shared" ca="1" si="113"/>
        <v>0</v>
      </c>
      <c r="Q50" s="333">
        <f t="shared" si="114"/>
        <v>0</v>
      </c>
      <c r="R50" s="343">
        <f t="shared" ca="1" si="115"/>
        <v>3.8841342988808425E-2</v>
      </c>
      <c r="S50" s="335">
        <f t="shared" ca="1" si="116"/>
        <v>80</v>
      </c>
      <c r="T50" s="336">
        <f t="shared" ca="1" si="117"/>
        <v>10</v>
      </c>
      <c r="U50" s="337">
        <f t="shared" ca="1" si="118"/>
        <v>12152</v>
      </c>
      <c r="V50" s="338">
        <f t="shared" ca="1" si="119"/>
        <v>11680</v>
      </c>
      <c r="W50" s="339">
        <f t="shared" ca="1" si="27"/>
        <v>-12152</v>
      </c>
      <c r="X50" s="340" t="str">
        <f t="shared" ca="1" si="120"/>
        <v/>
      </c>
      <c r="Y50" s="341"/>
      <c r="Z50" s="341"/>
      <c r="AA50" s="341"/>
      <c r="AB50" s="341"/>
      <c r="AC50" s="341"/>
      <c r="AD50" s="341"/>
      <c r="AE50" s="341"/>
      <c r="AF50" s="341"/>
      <c r="AG50" s="341"/>
      <c r="AH50" s="341"/>
      <c r="AI50" s="341"/>
      <c r="AJ50" s="341"/>
      <c r="AK50" s="341"/>
      <c r="AL50" s="341"/>
      <c r="AM50" s="341"/>
      <c r="AN50" s="341">
        <v>0.5</v>
      </c>
      <c r="AO50" s="341">
        <v>0.5</v>
      </c>
      <c r="AP50" s="341">
        <v>0.5</v>
      </c>
      <c r="AQ50" s="341">
        <v>0.5</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25">
      <c r="B51" s="360" t="s">
        <v>940</v>
      </c>
      <c r="C51" s="323" t="s">
        <v>936</v>
      </c>
      <c r="D51" s="321" t="s">
        <v>756</v>
      </c>
      <c r="E51" s="321" t="s">
        <v>753</v>
      </c>
      <c r="F51" s="324" t="s">
        <v>930</v>
      </c>
      <c r="G51" s="325" cm="1">
        <f t="array" aca="1" ref="G51" ca="1">IFERROR(INDEX(Panel_Rates[[1]:[12]],MATCH(Panel_New&amp;Category_New,Panel_Rates[Panel]&amp;Panel_Rates[Category],0),MATCH('Time Plan (Single Release)'!E51,OFFSET(Variable!$AF$2,MATCH(Panel_New&amp;Category_New,Panel_Rates[Panel]&amp;Panel_Rates[Category],0)-1,0,1,12),0))/8,"")</f>
        <v>305</v>
      </c>
      <c r="H51" s="326">
        <v>0.32</v>
      </c>
      <c r="I51" s="328">
        <f t="shared" ca="1" si="110"/>
        <v>207.39999999999998</v>
      </c>
      <c r="J51" s="329">
        <f t="shared" ca="1" si="121"/>
        <v>1659.1999999999998</v>
      </c>
      <c r="K51" s="329">
        <f>IFERROR(_xlfn.XLOOKUP(D51,CostTableLookup[Name],CostTableLookup[Gross Cost]),"")</f>
        <v>170.96</v>
      </c>
      <c r="L51" s="330"/>
      <c r="M51" s="331">
        <f t="shared" ca="1" si="111"/>
        <v>0</v>
      </c>
      <c r="N51" s="332"/>
      <c r="O51" s="331">
        <f t="shared" ca="1" si="112"/>
        <v>0</v>
      </c>
      <c r="P51" s="331">
        <f t="shared" ca="1" si="113"/>
        <v>0</v>
      </c>
      <c r="Q51" s="333">
        <f t="shared" si="114"/>
        <v>0</v>
      </c>
      <c r="R51" s="343" t="str">
        <f t="shared" ca="1" si="115"/>
        <v/>
      </c>
      <c r="S51" s="335">
        <f t="shared" ref="S51:S52" ca="1" si="122">IFERROR(SUM(OFFSET(Y51,0,MATCH(Forecast_New,$Y$3:$WQ$3,0)-1,1,500))*40,"")</f>
        <v>0</v>
      </c>
      <c r="T51" s="336">
        <f t="shared" ca="1" si="117"/>
        <v>0</v>
      </c>
      <c r="U51" s="337">
        <f t="shared" ca="1" si="118"/>
        <v>0</v>
      </c>
      <c r="V51" s="338">
        <f t="shared" ca="1" si="119"/>
        <v>0</v>
      </c>
      <c r="W51" s="339">
        <f t="shared" ca="1" si="27"/>
        <v>0</v>
      </c>
      <c r="X51" s="340" t="str">
        <f t="shared" ca="1" si="120"/>
        <v/>
      </c>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25">
      <c r="B52" s="360" t="s">
        <v>940</v>
      </c>
      <c r="C52" s="323" t="s">
        <v>936</v>
      </c>
      <c r="D52" s="321" t="s">
        <v>447</v>
      </c>
      <c r="E52" s="321" t="s">
        <v>753</v>
      </c>
      <c r="F52" s="324" t="s">
        <v>931</v>
      </c>
      <c r="G52" s="325" cm="1">
        <f t="array" aca="1" ref="G52" ca="1">IFERROR(INDEX(Panel_Rates[[1]:[12]],MATCH(Panel_New&amp;Category_New,Panel_Rates[Panel]&amp;Panel_Rates[Category],0),MATCH('Time Plan (Single Release)'!E52,OFFSET(Variable!$AF$2,MATCH(Panel_New&amp;Category_New,Panel_Rates[Panel]&amp;Panel_Rates[Category],0)-1,0,1,12),0))/8,"")</f>
        <v>305</v>
      </c>
      <c r="H52" s="326">
        <v>0.38</v>
      </c>
      <c r="I52" s="328">
        <f t="shared" ca="1" si="110"/>
        <v>189.1</v>
      </c>
      <c r="J52" s="329">
        <f t="shared" ca="1" si="121"/>
        <v>1512.8</v>
      </c>
      <c r="K52" s="329">
        <f>IFERROR(_xlfn.XLOOKUP(D52,CostTableLookup[Name],CostTableLookup[Gross Cost]),"")</f>
        <v>151</v>
      </c>
      <c r="L52" s="330"/>
      <c r="M52" s="331">
        <f t="shared" ca="1" si="111"/>
        <v>0</v>
      </c>
      <c r="N52" s="332"/>
      <c r="O52" s="331">
        <f t="shared" ca="1" si="112"/>
        <v>0</v>
      </c>
      <c r="P52" s="331">
        <f t="shared" ca="1" si="113"/>
        <v>0</v>
      </c>
      <c r="Q52" s="333">
        <f t="shared" si="114"/>
        <v>0</v>
      </c>
      <c r="R52" s="343">
        <f t="shared" ca="1" si="115"/>
        <v>0.2014806980433633</v>
      </c>
      <c r="S52" s="335">
        <f t="shared" ca="1" si="122"/>
        <v>160</v>
      </c>
      <c r="T52" s="336">
        <f t="shared" ca="1" si="117"/>
        <v>20</v>
      </c>
      <c r="U52" s="337">
        <f t="shared" ca="1" si="118"/>
        <v>30256</v>
      </c>
      <c r="V52" s="338">
        <f t="shared" ca="1" si="119"/>
        <v>24160</v>
      </c>
      <c r="W52" s="339">
        <f t="shared" ca="1" si="27"/>
        <v>-30256</v>
      </c>
      <c r="X52" s="340" t="str">
        <f t="shared" ca="1" si="120"/>
        <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25">
      <c r="B53" s="360" t="s">
        <v>940</v>
      </c>
      <c r="C53" s="384" t="s">
        <v>936</v>
      </c>
      <c r="D53" s="385" t="s">
        <v>122</v>
      </c>
      <c r="E53" s="321" t="s">
        <v>752</v>
      </c>
      <c r="F53" s="324" t="s">
        <v>931</v>
      </c>
      <c r="G53" s="325" cm="1">
        <f t="array" aca="1" ref="G53" ca="1">IFERROR(INDEX(Panel_Rates[[1]:[12]],MATCH(Panel_New&amp;Category_New,Panel_Rates[Panel]&amp;Panel_Rates[Category],0),MATCH('Time Plan (Single Release)'!E53,OFFSET(Variable!$AF$2,MATCH(Panel_New&amp;Category_New,Panel_Rates[Panel]&amp;Panel_Rates[Category],0)-1,0,1,12),0))/8,"")</f>
        <v>245</v>
      </c>
      <c r="H53" s="326">
        <v>1</v>
      </c>
      <c r="I53" s="328">
        <f t="shared" ca="1" si="110"/>
        <v>0</v>
      </c>
      <c r="J53" s="329">
        <f t="shared" ca="1" si="121"/>
        <v>0</v>
      </c>
      <c r="K53" s="329">
        <f>IFERROR(_xlfn.XLOOKUP(D53,CostTableLookup[Name],CostTableLookup[Gross Cost]),"")</f>
        <v>198</v>
      </c>
      <c r="L53" s="330"/>
      <c r="M53" s="331">
        <f t="shared" ca="1" si="111"/>
        <v>0</v>
      </c>
      <c r="N53" s="332"/>
      <c r="O53" s="331">
        <f t="shared" ca="1" si="112"/>
        <v>0</v>
      </c>
      <c r="P53" s="331">
        <f t="shared" ca="1" si="113"/>
        <v>0</v>
      </c>
      <c r="Q53" s="333">
        <f t="shared" si="114"/>
        <v>0</v>
      </c>
      <c r="R53" s="343" t="str">
        <f t="shared" ca="1" si="115"/>
        <v/>
      </c>
      <c r="S53" s="335">
        <f t="shared" ref="S53" ca="1" si="123">IFERROR(SUM(OFFSET(Y53,0,MATCH(Forecast_New,$Y$3:$WQ$3,0)-1,1,500))*40,"")</f>
        <v>120</v>
      </c>
      <c r="T53" s="336">
        <f t="shared" ca="1" si="117"/>
        <v>15</v>
      </c>
      <c r="U53" s="337">
        <f t="shared" ca="1" si="118"/>
        <v>0</v>
      </c>
      <c r="V53" s="338">
        <f t="shared" ca="1" si="119"/>
        <v>23760</v>
      </c>
      <c r="W53" s="339">
        <f t="shared" ca="1" si="27"/>
        <v>0</v>
      </c>
      <c r="X53" s="340" t="str">
        <f t="shared" ca="1" si="120"/>
        <v/>
      </c>
      <c r="Y53" s="341"/>
      <c r="Z53" s="341"/>
      <c r="AA53" s="341"/>
      <c r="AB53" s="341"/>
      <c r="AC53" s="341"/>
      <c r="AD53" s="341"/>
      <c r="AE53" s="341"/>
      <c r="AF53" s="341"/>
      <c r="AG53" s="341"/>
      <c r="AH53" s="341"/>
      <c r="AI53" s="341"/>
      <c r="AJ53" s="341"/>
      <c r="AK53" s="341"/>
      <c r="AL53" s="341"/>
      <c r="AM53" s="341"/>
      <c r="AN53" s="341">
        <v>0.5</v>
      </c>
      <c r="AO53" s="341">
        <v>0.5</v>
      </c>
      <c r="AP53" s="341">
        <v>1</v>
      </c>
      <c r="AQ53" s="341">
        <v>1</v>
      </c>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ht="19.5" customHeight="1" x14ac:dyDescent="0.25">
      <c r="B54" s="360" t="s">
        <v>940</v>
      </c>
      <c r="C54" s="323" t="s">
        <v>936</v>
      </c>
      <c r="D54" s="321" t="s">
        <v>731</v>
      </c>
      <c r="E54" s="321" t="s">
        <v>752</v>
      </c>
      <c r="F54" s="324" t="s">
        <v>931</v>
      </c>
      <c r="G54" s="325" cm="1">
        <f t="array" aca="1" ref="G54" ca="1">IFERROR(INDEX(Panel_Rates[[1]:[12]],MATCH(Panel_New&amp;Category_New,Panel_Rates[Panel]&amp;Panel_Rates[Category],0),MATCH('Time Plan (Single Release)'!E54,OFFSET(Variable!$AF$2,MATCH(Panel_New&amp;Category_New,Panel_Rates[Panel]&amp;Panel_Rates[Category],0)-1,0,1,12),0))/8,"")</f>
        <v>245</v>
      </c>
      <c r="H54" s="326">
        <v>0.38</v>
      </c>
      <c r="I54" s="328">
        <f t="shared" ca="1" si="110"/>
        <v>151.9</v>
      </c>
      <c r="J54" s="329">
        <f t="shared" ca="1" si="121"/>
        <v>1215.2</v>
      </c>
      <c r="K54" s="329">
        <f>IFERROR(_xlfn.XLOOKUP(D54,CostTableLookup[Name],CostTableLookup[Gross Cost]),"")</f>
        <v>151</v>
      </c>
      <c r="L54" s="330"/>
      <c r="M54" s="331">
        <f t="shared" ca="1" si="111"/>
        <v>0</v>
      </c>
      <c r="N54" s="332"/>
      <c r="O54" s="331">
        <f t="shared" ca="1" si="112"/>
        <v>0</v>
      </c>
      <c r="P54" s="331">
        <f t="shared" ca="1" si="113"/>
        <v>0</v>
      </c>
      <c r="Q54" s="333">
        <f t="shared" si="114"/>
        <v>0</v>
      </c>
      <c r="R54" s="343">
        <f t="shared" ca="1" si="115"/>
        <v>5.9249506254114553E-3</v>
      </c>
      <c r="S54" s="335">
        <f t="shared" ref="S54" ca="1" si="124">IFERROR(SUM(OFFSET(Y54,0,MATCH(Forecast_New,$Y$3:$WQ$3,0)-1,1,500))*40,"")</f>
        <v>80</v>
      </c>
      <c r="T54" s="336">
        <f t="shared" ca="1" si="117"/>
        <v>10</v>
      </c>
      <c r="U54" s="337">
        <f t="shared" ca="1" si="118"/>
        <v>12152</v>
      </c>
      <c r="V54" s="338">
        <f t="shared" ca="1" si="119"/>
        <v>12080</v>
      </c>
      <c r="W54" s="339">
        <f t="shared" ca="1" si="27"/>
        <v>-12152</v>
      </c>
      <c r="X54" s="340" t="str">
        <f t="shared" ca="1" si="120"/>
        <v/>
      </c>
      <c r="Y54" s="341"/>
      <c r="Z54" s="341"/>
      <c r="AA54" s="341"/>
      <c r="AB54" s="341"/>
      <c r="AC54" s="341"/>
      <c r="AD54" s="341"/>
      <c r="AE54" s="341"/>
      <c r="AF54" s="341"/>
      <c r="AG54" s="341"/>
      <c r="AH54" s="341"/>
      <c r="AI54" s="341"/>
      <c r="AJ54" s="341"/>
      <c r="AK54" s="341"/>
      <c r="AL54" s="341"/>
      <c r="AM54" s="341"/>
      <c r="AN54" s="341">
        <v>0.5</v>
      </c>
      <c r="AO54" s="341">
        <v>0.5</v>
      </c>
      <c r="AP54" s="341">
        <v>0.5</v>
      </c>
      <c r="AQ54" s="341">
        <v>0.5</v>
      </c>
      <c r="AR54" s="341"/>
      <c r="AS54" s="341"/>
      <c r="AT54" s="341"/>
      <c r="AU54" s="341"/>
      <c r="AV54" s="341"/>
      <c r="AW54" s="341"/>
      <c r="AX54" s="341"/>
      <c r="AY54" s="341"/>
      <c r="AZ54" s="341"/>
      <c r="BA54" s="341"/>
      <c r="BB54" s="341"/>
      <c r="BC54" s="341"/>
      <c r="BD54" s="341"/>
      <c r="BE54" s="341"/>
      <c r="BF54" s="341"/>
      <c r="BG54" s="341"/>
      <c r="BH54" s="341"/>
      <c r="BI54" s="341"/>
      <c r="BJ54" s="341"/>
      <c r="BK54" s="341"/>
      <c r="BL54" s="341"/>
      <c r="BM54" s="341"/>
      <c r="BN54" s="341"/>
      <c r="BO54" s="341"/>
      <c r="BP54" s="341"/>
      <c r="BQ54" s="341"/>
      <c r="BR54" s="341"/>
      <c r="BS54" s="341"/>
      <c r="BT54" s="341"/>
      <c r="BU54" s="341"/>
      <c r="BV54" s="341"/>
      <c r="BW54" s="341"/>
      <c r="BX54" s="341"/>
      <c r="BY54" s="341"/>
      <c r="BZ54" s="341"/>
      <c r="CA54" s="341"/>
      <c r="CB54" s="341"/>
      <c r="CC54" s="341"/>
      <c r="CD54" s="341"/>
      <c r="CE54" s="341"/>
      <c r="CF54" s="341"/>
      <c r="CG54" s="341"/>
      <c r="CH54" s="341"/>
      <c r="CI54" s="341"/>
      <c r="CJ54" s="341"/>
      <c r="CK54" s="341"/>
      <c r="CL54" s="341"/>
      <c r="CM54" s="341"/>
      <c r="CN54" s="341"/>
      <c r="CO54" s="341"/>
      <c r="CP54" s="341"/>
      <c r="CQ54" s="341"/>
      <c r="CR54" s="341"/>
      <c r="CS54" s="341"/>
      <c r="CT54" s="341"/>
      <c r="CU54" s="341"/>
      <c r="CV54" s="341"/>
      <c r="CW54" s="341"/>
      <c r="CX54" s="341"/>
      <c r="CY54" s="341"/>
      <c r="CZ54" s="341"/>
      <c r="DA54" s="341"/>
      <c r="DB54" s="341"/>
      <c r="DC54" s="341"/>
      <c r="DD54" s="341"/>
      <c r="DE54" s="341"/>
      <c r="DF54" s="341"/>
      <c r="DG54" s="341"/>
      <c r="DH54" s="341"/>
      <c r="DI54" s="341"/>
      <c r="DJ54" s="341"/>
      <c r="DK54" s="341"/>
      <c r="DL54" s="341"/>
      <c r="DM54" s="341"/>
      <c r="DN54" s="341"/>
      <c r="DO54" s="341"/>
      <c r="DP54" s="341"/>
      <c r="DQ54" s="341"/>
      <c r="DR54" s="341"/>
      <c r="DS54" s="341"/>
      <c r="DT54" s="341"/>
      <c r="DU54" s="341"/>
      <c r="DV54" s="341"/>
      <c r="DW54" s="341"/>
      <c r="DX54" s="341"/>
      <c r="DY54" s="341"/>
      <c r="DZ54" s="341"/>
      <c r="EA54" s="341"/>
      <c r="EB54" s="341"/>
      <c r="EC54" s="341"/>
      <c r="ED54" s="341"/>
      <c r="EE54" s="341"/>
      <c r="EF54" s="341"/>
      <c r="EG54" s="341"/>
      <c r="EH54" s="341"/>
      <c r="EI54" s="341"/>
      <c r="EJ54" s="341"/>
      <c r="EK54" s="341"/>
      <c r="EL54" s="341"/>
      <c r="EM54" s="341"/>
      <c r="EN54" s="341"/>
      <c r="EO54" s="341"/>
      <c r="EP54" s="341"/>
      <c r="EQ54" s="341"/>
      <c r="ER54" s="341"/>
      <c r="ES54" s="341"/>
      <c r="ET54" s="341"/>
      <c r="EU54" s="341"/>
      <c r="EV54" s="341"/>
      <c r="EW54" s="341"/>
      <c r="EX54" s="341"/>
      <c r="EY54" s="341"/>
      <c r="EZ54" s="341"/>
      <c r="FA54" s="341"/>
      <c r="FB54" s="341"/>
      <c r="FC54" s="341"/>
      <c r="FD54" s="341"/>
      <c r="FE54" s="341"/>
      <c r="FF54" s="341"/>
      <c r="FG54" s="341"/>
      <c r="FH54" s="341"/>
      <c r="FI54" s="341"/>
      <c r="FJ54" s="341"/>
      <c r="FK54" s="341"/>
      <c r="FL54" s="341"/>
      <c r="FM54" s="341"/>
      <c r="FN54" s="341"/>
      <c r="FO54" s="341"/>
      <c r="FP54" s="341"/>
      <c r="FQ54" s="341"/>
      <c r="FR54" s="341"/>
      <c r="FS54" s="341"/>
      <c r="FT54" s="341"/>
      <c r="FU54" s="341"/>
      <c r="FV54" s="341"/>
      <c r="FW54" s="341"/>
      <c r="FX54" s="341"/>
      <c r="FY54" s="341"/>
      <c r="FZ54" s="341"/>
      <c r="GA54" s="341"/>
      <c r="GB54" s="341"/>
      <c r="GC54" s="341"/>
      <c r="GD54" s="341"/>
      <c r="GE54" s="341"/>
      <c r="GF54" s="341"/>
      <c r="GG54" s="341"/>
      <c r="GH54" s="341"/>
      <c r="GI54" s="341"/>
      <c r="GJ54" s="341"/>
      <c r="GK54" s="341"/>
      <c r="GL54" s="341"/>
      <c r="GM54" s="341"/>
      <c r="GN54" s="341"/>
      <c r="GO54" s="341"/>
      <c r="GP54" s="341"/>
      <c r="GQ54" s="341"/>
      <c r="GR54" s="341"/>
      <c r="GS54" s="341"/>
      <c r="GT54" s="341"/>
      <c r="GU54" s="341"/>
      <c r="GV54" s="341"/>
      <c r="GW54" s="341"/>
      <c r="GX54" s="341"/>
      <c r="GY54" s="341"/>
      <c r="GZ54" s="341"/>
      <c r="HA54" s="341"/>
      <c r="HB54" s="341"/>
      <c r="HC54" s="341"/>
      <c r="HD54" s="341"/>
      <c r="HE54" s="341"/>
      <c r="HF54" s="341"/>
      <c r="HG54" s="341"/>
      <c r="HH54" s="341"/>
      <c r="HI54" s="341"/>
      <c r="HJ54" s="341"/>
      <c r="HK54" s="341"/>
      <c r="HL54" s="341"/>
      <c r="HM54" s="341"/>
      <c r="HN54" s="341"/>
      <c r="HO54" s="341"/>
      <c r="HP54" s="341"/>
      <c r="HQ54" s="341"/>
      <c r="HR54" s="341"/>
      <c r="HS54" s="341"/>
      <c r="HT54" s="341"/>
      <c r="HU54" s="341"/>
      <c r="HV54" s="341"/>
      <c r="HW54" s="341"/>
      <c r="HX54" s="341"/>
      <c r="HY54" s="341"/>
      <c r="HZ54" s="341"/>
      <c r="IA54" s="341"/>
      <c r="IB54" s="341"/>
      <c r="IC54" s="341"/>
      <c r="ID54" s="341"/>
      <c r="IE54" s="341"/>
      <c r="IF54" s="341"/>
      <c r="IG54" s="341"/>
      <c r="IH54" s="341"/>
      <c r="II54" s="341"/>
      <c r="IJ54" s="341"/>
      <c r="IK54" s="341"/>
      <c r="IL54" s="341"/>
      <c r="IM54" s="341"/>
      <c r="IN54" s="341"/>
      <c r="IO54" s="341"/>
      <c r="IP54" s="341"/>
      <c r="IQ54" s="341"/>
      <c r="IR54" s="341"/>
      <c r="IS54" s="341"/>
      <c r="IT54" s="341"/>
      <c r="IU54" s="341"/>
      <c r="IV54" s="341"/>
      <c r="IW54" s="341"/>
      <c r="IX54" s="341"/>
      <c r="IY54" s="341"/>
      <c r="IZ54" s="341"/>
      <c r="JA54" s="341"/>
      <c r="JB54" s="341"/>
      <c r="JC54" s="341"/>
      <c r="JD54" s="341"/>
      <c r="JE54" s="341"/>
      <c r="JF54" s="341"/>
      <c r="JG54" s="341"/>
      <c r="JH54" s="341"/>
      <c r="JI54" s="341"/>
      <c r="JJ54" s="341"/>
      <c r="JK54" s="341"/>
      <c r="JL54" s="341"/>
      <c r="JM54" s="341"/>
      <c r="JN54" s="341"/>
    </row>
    <row r="55" spans="2:274" s="345" customFormat="1" ht="19.5" customHeight="1" x14ac:dyDescent="0.25">
      <c r="B55" s="360" t="s">
        <v>940</v>
      </c>
      <c r="C55" s="362" t="s">
        <v>936</v>
      </c>
      <c r="D55" s="345" t="s">
        <v>606</v>
      </c>
      <c r="E55" s="345" t="s">
        <v>752</v>
      </c>
      <c r="F55" s="363" t="s">
        <v>937</v>
      </c>
      <c r="G55" s="364" cm="1">
        <f t="array" aca="1" ref="G55" ca="1">IFERROR(INDEX(Panel_Rates[[1]:[12]],MATCH(Panel_New&amp;Category_New,Panel_Rates[Panel]&amp;Panel_Rates[Category],0),MATCH('Time Plan (Single Release)'!E55,OFFSET(Variable!$AF$2,MATCH(Panel_New&amp;Category_New,Panel_Rates[Panel]&amp;Panel_Rates[Category],0)-1,0,1,12),0))/8,"")</f>
        <v>245</v>
      </c>
      <c r="H55" s="326">
        <v>0.38</v>
      </c>
      <c r="I55" s="391">
        <f t="shared" ca="1" si="110"/>
        <v>151.9</v>
      </c>
      <c r="J55" s="398">
        <f t="shared" ca="1" si="121"/>
        <v>1215.2</v>
      </c>
      <c r="K55" s="366">
        <f>IFERROR(_xlfn.XLOOKUP(D55,CostTableLookup[Name],CostTableLookup[Gross Cost]),"")</f>
        <v>161</v>
      </c>
      <c r="L55" s="367"/>
      <c r="M55" s="368">
        <f t="shared" ca="1" si="111"/>
        <v>0</v>
      </c>
      <c r="N55" s="369"/>
      <c r="O55" s="368">
        <f t="shared" ca="1" si="112"/>
        <v>0</v>
      </c>
      <c r="P55" s="368">
        <f t="shared" ca="1" si="113"/>
        <v>0</v>
      </c>
      <c r="Q55" s="370">
        <f t="shared" si="114"/>
        <v>0</v>
      </c>
      <c r="R55" s="396">
        <f t="shared" ca="1" si="115"/>
        <v>-5.9907834101382486E-2</v>
      </c>
      <c r="S55" s="335">
        <f ca="1">IFERROR(SUM(OFFSET(Y55,0,MATCH(Forecast_New,$Y$3:$WQ$3,0)-1,1,500))*40,"")</f>
        <v>160</v>
      </c>
      <c r="T55" s="372">
        <f t="shared" ca="1" si="117"/>
        <v>20</v>
      </c>
      <c r="U55" s="373">
        <f t="shared" ca="1" si="118"/>
        <v>24304</v>
      </c>
      <c r="V55" s="358">
        <f t="shared" ca="1" si="119"/>
        <v>25760</v>
      </c>
      <c r="W55" s="339">
        <f t="shared" ca="1" si="27"/>
        <v>-24304</v>
      </c>
      <c r="X55" s="375" t="str">
        <f t="shared" ca="1" si="120"/>
        <v/>
      </c>
      <c r="Y55" s="376"/>
      <c r="Z55" s="376"/>
      <c r="AA55" s="376"/>
      <c r="AB55" s="376"/>
      <c r="AC55" s="376"/>
      <c r="AD55" s="376"/>
      <c r="AE55" s="376"/>
      <c r="AF55" s="376"/>
      <c r="AG55" s="376"/>
      <c r="AH55" s="376"/>
      <c r="AI55" s="376"/>
      <c r="AJ55" s="376"/>
      <c r="AK55" s="376"/>
      <c r="AL55" s="376"/>
      <c r="AM55" s="376"/>
      <c r="AN55" s="376">
        <v>1</v>
      </c>
      <c r="AO55" s="376">
        <v>1</v>
      </c>
      <c r="AP55" s="376">
        <v>1</v>
      </c>
      <c r="AQ55" s="376">
        <v>1</v>
      </c>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76"/>
      <c r="BW55" s="376"/>
      <c r="BX55" s="376"/>
      <c r="BY55" s="376"/>
      <c r="BZ55" s="376"/>
      <c r="CA55" s="376"/>
      <c r="CB55" s="376"/>
      <c r="CC55" s="376"/>
      <c r="CD55" s="376"/>
      <c r="CE55" s="376"/>
      <c r="CF55" s="376"/>
      <c r="CG55" s="376"/>
      <c r="CH55" s="376"/>
      <c r="CI55" s="376"/>
      <c r="CJ55" s="376"/>
      <c r="CK55" s="376"/>
      <c r="CL55" s="376"/>
      <c r="CM55" s="376"/>
      <c r="CN55" s="376"/>
      <c r="CO55" s="376"/>
      <c r="CP55" s="376"/>
      <c r="CQ55" s="376"/>
      <c r="CR55" s="376"/>
      <c r="CS55" s="376"/>
      <c r="CT55" s="376"/>
      <c r="CU55" s="376"/>
      <c r="CV55" s="376"/>
      <c r="CW55" s="376"/>
      <c r="CX55" s="376"/>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c r="DU55" s="376"/>
      <c r="DV55" s="376"/>
      <c r="DW55" s="376"/>
      <c r="DX55" s="376"/>
      <c r="DY55" s="376"/>
      <c r="DZ55" s="376"/>
      <c r="EA55" s="376"/>
      <c r="EB55" s="376"/>
      <c r="EC55" s="376"/>
      <c r="ED55" s="376"/>
      <c r="EE55" s="376"/>
      <c r="EF55" s="376"/>
      <c r="EG55" s="376"/>
      <c r="EH55" s="376"/>
      <c r="EI55" s="376"/>
      <c r="EJ55" s="376"/>
      <c r="EK55" s="376"/>
      <c r="EL55" s="376"/>
      <c r="EM55" s="376"/>
      <c r="EN55" s="376"/>
      <c r="EO55" s="376"/>
      <c r="EP55" s="376"/>
      <c r="EQ55" s="376"/>
      <c r="ER55" s="376"/>
      <c r="ES55" s="376"/>
      <c r="ET55" s="376"/>
      <c r="EU55" s="376"/>
      <c r="EV55" s="376"/>
      <c r="EW55" s="376"/>
      <c r="EX55" s="376"/>
      <c r="EY55" s="376"/>
      <c r="EZ55" s="376"/>
      <c r="FA55" s="376"/>
      <c r="FB55" s="376"/>
      <c r="FC55" s="376"/>
      <c r="FD55" s="376"/>
      <c r="FE55" s="376"/>
      <c r="FF55" s="376"/>
      <c r="FG55" s="376"/>
      <c r="FH55" s="376"/>
      <c r="FI55" s="376"/>
      <c r="FJ55" s="376"/>
      <c r="FK55" s="376"/>
      <c r="FL55" s="376"/>
      <c r="FM55" s="376"/>
      <c r="FN55" s="376"/>
      <c r="FO55" s="376"/>
      <c r="FP55" s="376"/>
      <c r="FQ55" s="376"/>
      <c r="FR55" s="376"/>
      <c r="FS55" s="376"/>
      <c r="FT55" s="376"/>
      <c r="FU55" s="376"/>
      <c r="FV55" s="376"/>
      <c r="FW55" s="376"/>
      <c r="FX55" s="376"/>
      <c r="FY55" s="376"/>
      <c r="FZ55" s="376"/>
      <c r="GA55" s="376"/>
      <c r="GB55" s="376"/>
      <c r="GC55" s="376"/>
      <c r="GD55" s="376"/>
      <c r="GE55" s="376"/>
      <c r="GF55" s="376"/>
      <c r="GG55" s="376"/>
      <c r="GH55" s="376"/>
      <c r="GI55" s="376"/>
      <c r="GJ55" s="376"/>
      <c r="GK55" s="376"/>
      <c r="GL55" s="376"/>
      <c r="GM55" s="376"/>
      <c r="GN55" s="376"/>
      <c r="GO55" s="376"/>
      <c r="GP55" s="376"/>
      <c r="GQ55" s="376"/>
      <c r="GR55" s="376"/>
      <c r="GS55" s="376"/>
      <c r="GT55" s="376"/>
      <c r="GU55" s="376"/>
      <c r="GV55" s="376"/>
      <c r="GW55" s="376"/>
      <c r="GX55" s="376"/>
      <c r="GY55" s="376"/>
      <c r="GZ55" s="376"/>
      <c r="HA55" s="376"/>
      <c r="HB55" s="376"/>
      <c r="HC55" s="376"/>
      <c r="HD55" s="376"/>
      <c r="HE55" s="376"/>
      <c r="HF55" s="376"/>
      <c r="HG55" s="376"/>
      <c r="HH55" s="376"/>
      <c r="HI55" s="376"/>
      <c r="HJ55" s="376"/>
      <c r="HK55" s="376"/>
      <c r="HL55" s="376"/>
      <c r="HM55" s="376"/>
      <c r="HN55" s="376"/>
      <c r="HO55" s="376"/>
      <c r="HP55" s="376"/>
      <c r="HQ55" s="376"/>
      <c r="HR55" s="376"/>
      <c r="HS55" s="376"/>
      <c r="HT55" s="376"/>
      <c r="HU55" s="376"/>
      <c r="HV55" s="376"/>
      <c r="HW55" s="376"/>
      <c r="HX55" s="376"/>
      <c r="HY55" s="376"/>
      <c r="HZ55" s="376"/>
      <c r="IA55" s="376"/>
      <c r="IB55" s="376"/>
      <c r="IC55" s="376"/>
      <c r="ID55" s="376"/>
      <c r="IE55" s="376"/>
      <c r="IF55" s="376"/>
      <c r="IG55" s="376"/>
      <c r="IH55" s="376"/>
      <c r="II55" s="376"/>
      <c r="IJ55" s="376"/>
      <c r="IK55" s="376"/>
      <c r="IL55" s="376"/>
      <c r="IM55" s="376"/>
      <c r="IN55" s="376"/>
      <c r="IO55" s="376"/>
      <c r="IP55" s="376"/>
      <c r="IQ55" s="376"/>
      <c r="IR55" s="376"/>
      <c r="IS55" s="376"/>
      <c r="IT55" s="376"/>
      <c r="IU55" s="376"/>
      <c r="IV55" s="376"/>
      <c r="IW55" s="376"/>
      <c r="IX55" s="376"/>
      <c r="IY55" s="376"/>
      <c r="IZ55" s="376"/>
      <c r="JA55" s="376"/>
      <c r="JB55" s="376"/>
      <c r="JC55" s="376"/>
      <c r="JD55" s="376"/>
      <c r="JE55" s="376"/>
      <c r="JF55" s="376"/>
      <c r="JG55" s="376"/>
      <c r="JH55" s="376"/>
      <c r="JI55" s="376"/>
      <c r="JJ55" s="376"/>
      <c r="JK55" s="376"/>
      <c r="JL55" s="376"/>
      <c r="JM55" s="376"/>
      <c r="JN55" s="376"/>
    </row>
    <row r="56" spans="2:274" ht="19.5" customHeight="1" x14ac:dyDescent="0.25">
      <c r="B56" s="387" t="s">
        <v>941</v>
      </c>
      <c r="C56" s="323" t="s">
        <v>935</v>
      </c>
      <c r="D56" s="321" t="s">
        <v>306</v>
      </c>
      <c r="E56" s="321" t="s">
        <v>753</v>
      </c>
      <c r="F56" s="324" t="s">
        <v>928</v>
      </c>
      <c r="G56" s="325" cm="1">
        <f t="array" aca="1" ref="G56" ca="1">IFERROR(INDEX(Panel_Rates[[1]:[12]],MATCH(Panel_New&amp;Category_New,Panel_Rates[Panel]&amp;Panel_Rates[Category],0),MATCH('Time Plan (Single Release)'!E56,OFFSET(Variable!$AF$2,MATCH(Panel_New&amp;Category_New,Panel_Rates[Panel]&amp;Panel_Rates[Category],0)-1,0,1,12),0))/8,"")</f>
        <v>305</v>
      </c>
      <c r="H56" s="326">
        <v>0.32</v>
      </c>
      <c r="I56" s="328">
        <f ca="1">IFERROR(G56*(1-H56),"")</f>
        <v>207.39999999999998</v>
      </c>
      <c r="J56" s="329">
        <f ca="1">IFERROR(I56*8,"")</f>
        <v>1659.1999999999998</v>
      </c>
      <c r="K56" s="329">
        <f>IFERROR(_xlfn.XLOOKUP(D56,CostTableLookup[Name],CostTableLookup[Gross Cost]),"")</f>
        <v>245</v>
      </c>
      <c r="L56" s="330"/>
      <c r="M56" s="331">
        <f ca="1">IFERROR(L56*I56,"")</f>
        <v>0</v>
      </c>
      <c r="N56" s="332"/>
      <c r="O56" s="331">
        <f ca="1">IFERROR(N56*I56,"")</f>
        <v>0</v>
      </c>
      <c r="P56" s="331">
        <f ca="1">IFERROR(M56-O56,"")</f>
        <v>0</v>
      </c>
      <c r="Q56" s="333">
        <f>IFERROR(N56*K56,"")</f>
        <v>0</v>
      </c>
      <c r="R56" s="343">
        <f ca="1">IFERROR(((U56+O56)-(V56+Q56))/(U56+O56),"")</f>
        <v>-0.1812921890067504</v>
      </c>
      <c r="S56" s="335">
        <f ca="1">IFERROR(SUM(OFFSET(Y56,0,MATCH(Forecast_New,$Y$3:$WQ$3,0)-1,1,500))*40,"")</f>
        <v>76</v>
      </c>
      <c r="T56" s="336">
        <f ca="1">IFERROR(S56/8,"")</f>
        <v>9.5</v>
      </c>
      <c r="U56" s="337">
        <f ca="1">IFERROR($S56*I56,"")</f>
        <v>15762.399999999998</v>
      </c>
      <c r="V56" s="338">
        <f ca="1">IFERROR($S56*K56,"")</f>
        <v>18620</v>
      </c>
      <c r="W56" s="339">
        <f t="shared" ca="1" si="27"/>
        <v>-15762.399999999998</v>
      </c>
      <c r="X56" s="343"/>
      <c r="Y56" s="344"/>
      <c r="Z56" s="344"/>
      <c r="AA56" s="344"/>
      <c r="AB56" s="344"/>
      <c r="AC56" s="344"/>
      <c r="AD56" s="344"/>
      <c r="AE56" s="344"/>
      <c r="AF56" s="344"/>
      <c r="AG56" s="344"/>
      <c r="AH56" s="344"/>
      <c r="AI56" s="344"/>
      <c r="AJ56" s="344"/>
      <c r="AK56" s="344"/>
      <c r="AL56" s="344"/>
      <c r="AM56" s="344"/>
      <c r="AN56" s="344"/>
      <c r="AO56" s="344"/>
      <c r="AP56" s="344"/>
      <c r="AQ56" s="344"/>
      <c r="AR56" s="344">
        <v>0.5</v>
      </c>
      <c r="AS56" s="344">
        <v>0.5</v>
      </c>
      <c r="AT56" s="344">
        <v>0.5</v>
      </c>
      <c r="AU56" s="344">
        <v>0.4</v>
      </c>
      <c r="AV56" s="440"/>
      <c r="AW56" s="440"/>
      <c r="AX56" s="440"/>
      <c r="AY56" s="440"/>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25">
      <c r="B57" s="360" t="s">
        <v>941</v>
      </c>
      <c r="C57" s="323" t="s">
        <v>935</v>
      </c>
      <c r="D57" s="321" t="s">
        <v>746</v>
      </c>
      <c r="E57" s="321" t="s">
        <v>752</v>
      </c>
      <c r="F57" s="324" t="s">
        <v>155</v>
      </c>
      <c r="G57" s="325" cm="1">
        <f t="array" aca="1" ref="G57" ca="1">IFERROR(INDEX(Panel_Rates[[1]:[12]],MATCH(Panel_New&amp;Category_New,Panel_Rates[Panel]&amp;Panel_Rates[Category],0),MATCH('Time Plan (Single Release)'!E57,OFFSET(Variable!$AF$2,MATCH(Panel_New&amp;Category_New,Panel_Rates[Panel]&amp;Panel_Rates[Category],0)-1,0,1,12),0))/8,"")</f>
        <v>245</v>
      </c>
      <c r="H57" s="326">
        <v>0.38</v>
      </c>
      <c r="I57" s="328">
        <f ca="1">IFERROR(G57*(1-H57),"")</f>
        <v>151.9</v>
      </c>
      <c r="J57" s="329">
        <f ca="1">IFERROR(I57*8,"")</f>
        <v>1215.2</v>
      </c>
      <c r="K57" s="329">
        <f>IFERROR(_xlfn.XLOOKUP(D57,CostTableLookup[Name],CostTableLookup[Gross Cost]),"")</f>
        <v>90</v>
      </c>
      <c r="L57" s="330"/>
      <c r="M57" s="331">
        <f ca="1">IFERROR(L57*I57,"")</f>
        <v>0</v>
      </c>
      <c r="N57" s="332"/>
      <c r="O57" s="331">
        <f ca="1">IFERROR(N57*I57,"")</f>
        <v>0</v>
      </c>
      <c r="P57" s="331">
        <f ca="1">IFERROR(M57-O57,"")</f>
        <v>0</v>
      </c>
      <c r="Q57" s="333">
        <f>IFERROR(N57*K57,"")</f>
        <v>0</v>
      </c>
      <c r="R57" s="343" t="str">
        <f ca="1">IFERROR(((U57+O57)-(V57+Q57))/(U57+O57),"")</f>
        <v/>
      </c>
      <c r="S57" s="335">
        <f ca="1">IFERROR(SUM(OFFSET(Y57,0,MATCH(Forecast_New,$Y$3:$WQ$3,0)-1,1,500))*40,"")</f>
        <v>0</v>
      </c>
      <c r="T57" s="336">
        <f ca="1">IFERROR(S57/8,"")</f>
        <v>0</v>
      </c>
      <c r="U57" s="337">
        <f ca="1">IFERROR($S57*I57,"")</f>
        <v>0</v>
      </c>
      <c r="V57" s="338">
        <f ca="1">IFERROR($S57*K57,"")</f>
        <v>0</v>
      </c>
      <c r="W57" s="339">
        <f t="shared" ca="1" si="27"/>
        <v>0</v>
      </c>
      <c r="X57" s="343"/>
      <c r="Y57" s="344"/>
      <c r="Z57" s="344"/>
      <c r="AA57" s="344"/>
      <c r="AB57" s="344"/>
      <c r="AC57" s="344"/>
      <c r="AD57" s="344"/>
      <c r="AE57" s="344"/>
      <c r="AF57" s="344"/>
      <c r="AG57" s="344"/>
      <c r="AH57" s="344"/>
      <c r="AI57" s="344"/>
      <c r="AJ57" s="344"/>
      <c r="AK57" s="344"/>
      <c r="AL57" s="344"/>
      <c r="AM57" s="344"/>
      <c r="AN57" s="344"/>
      <c r="AO57" s="344"/>
      <c r="AP57" s="344"/>
      <c r="AQ57" s="344"/>
      <c r="AR57" s="344"/>
      <c r="AS57" s="344"/>
      <c r="AT57" s="344"/>
      <c r="AU57" s="344"/>
      <c r="AV57" s="440"/>
      <c r="AW57" s="440"/>
      <c r="AX57" s="440"/>
      <c r="AY57" s="440"/>
      <c r="AZ57" s="344"/>
      <c r="BA57" s="344"/>
      <c r="BB57" s="344"/>
      <c r="BC57" s="344"/>
      <c r="BD57" s="344"/>
      <c r="BE57" s="344"/>
      <c r="BF57" s="344"/>
      <c r="BG57" s="344"/>
      <c r="BH57" s="344"/>
      <c r="BI57" s="344"/>
      <c r="BJ57" s="344"/>
      <c r="BK57" s="344"/>
      <c r="BL57" s="344"/>
      <c r="BM57" s="344"/>
      <c r="BN57" s="344"/>
      <c r="BO57" s="344"/>
      <c r="BP57" s="344"/>
      <c r="BQ57" s="344"/>
      <c r="BR57" s="344"/>
      <c r="BS57" s="344"/>
      <c r="BT57" s="344"/>
      <c r="BU57" s="344"/>
      <c r="BV57" s="344"/>
      <c r="BW57" s="344"/>
      <c r="BX57" s="344"/>
      <c r="BY57" s="344"/>
      <c r="BZ57" s="344"/>
      <c r="CA57" s="344"/>
      <c r="CB57" s="344"/>
      <c r="CC57" s="344"/>
      <c r="CD57" s="344"/>
      <c r="CE57" s="344"/>
      <c r="CF57" s="344"/>
      <c r="CG57" s="344"/>
      <c r="CH57" s="344"/>
      <c r="CI57" s="344"/>
      <c r="CJ57" s="344"/>
      <c r="CK57" s="344"/>
      <c r="CL57" s="344"/>
      <c r="CM57" s="344"/>
      <c r="CN57" s="344"/>
      <c r="CO57" s="344"/>
      <c r="CP57" s="344"/>
      <c r="CQ57" s="344"/>
      <c r="CR57" s="344"/>
      <c r="CS57" s="344"/>
      <c r="CT57" s="344"/>
      <c r="CU57" s="344"/>
      <c r="CV57" s="344"/>
      <c r="CW57" s="344"/>
      <c r="CX57" s="344"/>
      <c r="CY57" s="344"/>
      <c r="CZ57" s="344"/>
      <c r="DA57" s="344"/>
      <c r="DB57" s="344"/>
      <c r="DC57" s="344"/>
      <c r="DD57" s="344"/>
      <c r="DE57" s="344"/>
      <c r="DF57" s="344"/>
      <c r="DG57" s="344"/>
      <c r="DH57" s="344"/>
      <c r="DI57" s="344"/>
      <c r="DJ57" s="344"/>
      <c r="DK57" s="344"/>
      <c r="DL57" s="344"/>
      <c r="DM57" s="344"/>
      <c r="DN57" s="344"/>
      <c r="DO57" s="344"/>
      <c r="DP57" s="344"/>
      <c r="DQ57" s="344"/>
      <c r="DR57" s="344"/>
      <c r="DS57" s="344"/>
      <c r="DT57" s="344"/>
      <c r="DU57" s="344"/>
      <c r="DV57" s="344"/>
      <c r="DW57" s="344"/>
      <c r="DX57" s="344"/>
      <c r="DY57" s="344"/>
      <c r="DZ57" s="344"/>
      <c r="EA57" s="344"/>
      <c r="EB57" s="344"/>
      <c r="EC57" s="344"/>
      <c r="ED57" s="344"/>
      <c r="EE57" s="344"/>
      <c r="EF57" s="344"/>
      <c r="EG57" s="344"/>
      <c r="EH57" s="344"/>
      <c r="EI57" s="344"/>
      <c r="EJ57" s="344"/>
      <c r="EK57" s="344"/>
      <c r="EL57" s="344"/>
      <c r="EM57" s="344"/>
      <c r="EN57" s="344"/>
      <c r="EO57" s="344"/>
      <c r="EP57" s="344"/>
      <c r="EQ57" s="344"/>
      <c r="ER57" s="344"/>
      <c r="ES57" s="344"/>
      <c r="ET57" s="344"/>
      <c r="EU57" s="344"/>
      <c r="EV57" s="344"/>
      <c r="EW57" s="344"/>
      <c r="EX57" s="344"/>
      <c r="EY57" s="344"/>
      <c r="EZ57" s="344"/>
      <c r="FA57" s="344"/>
      <c r="FB57" s="344"/>
      <c r="FC57" s="344"/>
      <c r="FD57" s="344"/>
      <c r="FE57" s="344"/>
      <c r="FF57" s="344"/>
      <c r="FG57" s="344"/>
      <c r="FH57" s="344"/>
      <c r="FI57" s="344"/>
      <c r="FJ57" s="344"/>
      <c r="FK57" s="344"/>
      <c r="FL57" s="344"/>
      <c r="FM57" s="344"/>
      <c r="FN57" s="344"/>
      <c r="FO57" s="344"/>
      <c r="FP57" s="344"/>
      <c r="FQ57" s="344"/>
      <c r="FR57" s="344"/>
      <c r="FS57" s="344"/>
      <c r="FT57" s="344"/>
      <c r="FU57" s="344"/>
      <c r="FV57" s="344"/>
      <c r="FW57" s="344"/>
      <c r="FX57" s="344"/>
      <c r="FY57" s="344"/>
      <c r="FZ57" s="344"/>
      <c r="GA57" s="344"/>
      <c r="GB57" s="344"/>
      <c r="GC57" s="344"/>
      <c r="GD57" s="344"/>
      <c r="GE57" s="344"/>
      <c r="GF57" s="344"/>
      <c r="GG57" s="344"/>
      <c r="GH57" s="344"/>
      <c r="GI57" s="344"/>
      <c r="GJ57" s="344"/>
      <c r="GK57" s="344"/>
      <c r="GL57" s="344"/>
      <c r="GM57" s="344"/>
      <c r="GN57" s="344"/>
      <c r="GO57" s="344"/>
      <c r="GP57" s="344"/>
      <c r="GQ57" s="344"/>
      <c r="GR57" s="344"/>
      <c r="GS57" s="344"/>
      <c r="GT57" s="344"/>
      <c r="GU57" s="344"/>
      <c r="GV57" s="344"/>
      <c r="GW57" s="344"/>
      <c r="GX57" s="344"/>
      <c r="GY57" s="344"/>
      <c r="GZ57" s="344"/>
      <c r="HA57" s="344"/>
      <c r="HB57" s="344"/>
      <c r="HC57" s="344"/>
      <c r="HD57" s="344"/>
      <c r="HE57" s="344"/>
      <c r="HF57" s="344"/>
      <c r="HG57" s="344"/>
      <c r="HH57" s="344"/>
      <c r="HI57" s="344"/>
      <c r="HJ57" s="344"/>
      <c r="HK57" s="344"/>
      <c r="HL57" s="344"/>
      <c r="HM57" s="344"/>
      <c r="HN57" s="344"/>
      <c r="HO57" s="344"/>
      <c r="HP57" s="344"/>
      <c r="HQ57" s="344"/>
      <c r="HR57" s="344"/>
      <c r="HS57" s="344"/>
      <c r="HT57" s="344"/>
      <c r="HU57" s="344"/>
      <c r="HV57" s="344"/>
      <c r="HW57" s="344"/>
      <c r="HX57" s="344"/>
      <c r="HY57" s="344"/>
      <c r="HZ57" s="344"/>
      <c r="IA57" s="344"/>
      <c r="IB57" s="344"/>
      <c r="IC57" s="344"/>
      <c r="ID57" s="344"/>
      <c r="IE57" s="344"/>
      <c r="IF57" s="344"/>
      <c r="IG57" s="344"/>
      <c r="IH57" s="344"/>
      <c r="II57" s="344"/>
      <c r="IJ57" s="344"/>
      <c r="IK57" s="344"/>
      <c r="IL57" s="344"/>
      <c r="IM57" s="344"/>
      <c r="IN57" s="344"/>
      <c r="IO57" s="344"/>
      <c r="IP57" s="344"/>
      <c r="IQ57" s="344"/>
      <c r="IR57" s="344"/>
      <c r="IS57" s="344"/>
      <c r="IT57" s="344"/>
      <c r="IU57" s="344"/>
      <c r="IV57" s="344"/>
      <c r="IW57" s="344"/>
      <c r="IX57" s="344"/>
      <c r="IY57" s="344"/>
      <c r="IZ57" s="344"/>
      <c r="JA57" s="344"/>
      <c r="JB57" s="344"/>
      <c r="JC57" s="344"/>
      <c r="JD57" s="344"/>
      <c r="JE57" s="344"/>
      <c r="JF57" s="344"/>
      <c r="JG57" s="344"/>
      <c r="JH57" s="344"/>
      <c r="JI57" s="344"/>
      <c r="JJ57" s="344"/>
      <c r="JK57" s="344"/>
      <c r="JL57" s="344"/>
      <c r="JM57" s="344"/>
      <c r="JN57" s="344"/>
    </row>
    <row r="58" spans="2:274" ht="19.5" customHeight="1" x14ac:dyDescent="0.25">
      <c r="B58" s="360" t="s">
        <v>941</v>
      </c>
      <c r="C58" s="323" t="s">
        <v>936</v>
      </c>
      <c r="D58" s="321" t="s">
        <v>317</v>
      </c>
      <c r="E58" s="321" t="s">
        <v>754</v>
      </c>
      <c r="F58" s="324" t="s">
        <v>929</v>
      </c>
      <c r="G58" s="325" cm="1">
        <f t="array" aca="1" ref="G58" ca="1">IFERROR(INDEX(Panel_Rates[[1]:[12]],MATCH(Panel_New&amp;Category_New,Panel_Rates[Panel]&amp;Panel_Rates[Category],0),MATCH('Time Plan (Single Release)'!E58,OFFSET(Variable!$AF$2,MATCH(Panel_New&amp;Category_New,Panel_Rates[Panel]&amp;Panel_Rates[Category],0)-1,0,1,12),0))/8,"")</f>
        <v>395</v>
      </c>
      <c r="H58" s="326">
        <v>0.4</v>
      </c>
      <c r="I58" s="328">
        <f t="shared" ref="I58:I64" ca="1" si="125">IFERROR(G58*(1-H58),"")</f>
        <v>237</v>
      </c>
      <c r="J58" s="329">
        <f ca="1">IFERROR(I58*8,"")</f>
        <v>1896</v>
      </c>
      <c r="K58" s="329">
        <f>IFERROR(_xlfn.XLOOKUP(D58,CostTableLookup[Name],CostTableLookup[Gross Cost]),"")</f>
        <v>198</v>
      </c>
      <c r="L58" s="330"/>
      <c r="M58" s="331">
        <f t="shared" ref="M58:M64" ca="1" si="126">IFERROR(L58*I58,"")</f>
        <v>0</v>
      </c>
      <c r="N58" s="332"/>
      <c r="O58" s="331">
        <f t="shared" ref="O58:O64" ca="1" si="127">IFERROR(N58*I58,"")</f>
        <v>0</v>
      </c>
      <c r="P58" s="331">
        <f t="shared" ref="P58:P64" ca="1" si="128">IFERROR(M58-O58,"")</f>
        <v>0</v>
      </c>
      <c r="Q58" s="333">
        <f t="shared" ref="Q58:Q64" si="129">IFERROR(N58*K58,"")</f>
        <v>0</v>
      </c>
      <c r="R58" s="343" t="str">
        <f t="shared" ref="R58:R64" ca="1" si="130">IFERROR(((U58+O58)-(V58+Q58))/(U58+O58),"")</f>
        <v/>
      </c>
      <c r="S58" s="335">
        <f t="shared" ref="S58:S59" ca="1" si="131">IFERROR(SUM(OFFSET(Y58,0,MATCH(Forecast_New,$Y$3:$WQ$3,0)-1,1,500))*40,"")</f>
        <v>0</v>
      </c>
      <c r="T58" s="336">
        <f t="shared" ref="T58:T64" ca="1" si="132">IFERROR(S58/8,"")</f>
        <v>0</v>
      </c>
      <c r="U58" s="337">
        <f t="shared" ref="U58:U64" ca="1" si="133">IFERROR($S58*I58,"")</f>
        <v>0</v>
      </c>
      <c r="V58" s="338">
        <f t="shared" ref="V58:V64" ca="1" si="134">IFERROR($S58*K58,"")</f>
        <v>0</v>
      </c>
      <c r="W58" s="339">
        <f t="shared" ca="1" si="27"/>
        <v>0</v>
      </c>
      <c r="X58" s="340" t="str">
        <f t="shared" ref="X58:X64" ca="1" si="135">IFERROR(W58/M58,"")</f>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441"/>
      <c r="AW58" s="441"/>
      <c r="AX58" s="441"/>
      <c r="AY58" s="4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25">
      <c r="B59" s="360" t="s">
        <v>941</v>
      </c>
      <c r="C59" s="323" t="s">
        <v>936</v>
      </c>
      <c r="D59" s="321" t="s">
        <v>126</v>
      </c>
      <c r="E59" s="321" t="s">
        <v>752</v>
      </c>
      <c r="F59" s="324" t="s">
        <v>852</v>
      </c>
      <c r="G59" s="325" cm="1">
        <f t="array" aca="1" ref="G59" ca="1">IFERROR(INDEX(Panel_Rates[[1]:[12]],MATCH(Panel_New&amp;Category_New,Panel_Rates[Panel]&amp;Panel_Rates[Category],0),MATCH('Time Plan (Single Release)'!E59,OFFSET(Variable!$AF$2,MATCH(Panel_New&amp;Category_New,Panel_Rates[Panel]&amp;Panel_Rates[Category],0)-1,0,1,12),0))/8,"")</f>
        <v>245</v>
      </c>
      <c r="H59" s="326">
        <v>0.38</v>
      </c>
      <c r="I59" s="328">
        <f t="shared" ca="1" si="125"/>
        <v>151.9</v>
      </c>
      <c r="J59" s="329">
        <f t="shared" ref="J59:J64" ca="1" si="136">IFERROR(I59*8,"")</f>
        <v>1215.2</v>
      </c>
      <c r="K59" s="329">
        <f>IFERROR(_xlfn.XLOOKUP(D59,CostTableLookup[Name],CostTableLookup[Gross Cost]),"")</f>
        <v>146</v>
      </c>
      <c r="L59" s="330"/>
      <c r="M59" s="331">
        <f t="shared" ca="1" si="126"/>
        <v>0</v>
      </c>
      <c r="N59" s="332"/>
      <c r="O59" s="331">
        <f t="shared" ca="1" si="127"/>
        <v>0</v>
      </c>
      <c r="P59" s="331">
        <f t="shared" ca="1" si="128"/>
        <v>0</v>
      </c>
      <c r="Q59" s="333">
        <f t="shared" si="129"/>
        <v>0</v>
      </c>
      <c r="R59" s="343" t="str">
        <f t="shared" ca="1" si="130"/>
        <v/>
      </c>
      <c r="S59" s="335">
        <f t="shared" ca="1" si="131"/>
        <v>0</v>
      </c>
      <c r="T59" s="336">
        <f t="shared" ca="1" si="132"/>
        <v>0</v>
      </c>
      <c r="U59" s="337">
        <f t="shared" ca="1" si="133"/>
        <v>0</v>
      </c>
      <c r="V59" s="338">
        <f t="shared" ca="1" si="134"/>
        <v>0</v>
      </c>
      <c r="W59" s="339">
        <f t="shared" ca="1" si="27"/>
        <v>0</v>
      </c>
      <c r="X59" s="340" t="str">
        <f t="shared" ca="1" si="135"/>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441"/>
      <c r="AW59" s="441"/>
      <c r="AX59" s="441"/>
      <c r="AY59" s="4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25">
      <c r="B60" s="360" t="s">
        <v>941</v>
      </c>
      <c r="C60" s="323" t="s">
        <v>936</v>
      </c>
      <c r="D60" s="321" t="s">
        <v>756</v>
      </c>
      <c r="E60" s="321" t="s">
        <v>753</v>
      </c>
      <c r="F60" s="324" t="s">
        <v>930</v>
      </c>
      <c r="G60" s="325" cm="1">
        <f t="array" aca="1" ref="G60" ca="1">IFERROR(INDEX(Panel_Rates[[1]:[12]],MATCH(Panel_New&amp;Category_New,Panel_Rates[Panel]&amp;Panel_Rates[Category],0),MATCH('Time Plan (Single Release)'!E60,OFFSET(Variable!$AF$2,MATCH(Panel_New&amp;Category_New,Panel_Rates[Panel]&amp;Panel_Rates[Category],0)-1,0,1,12),0))/8,"")</f>
        <v>305</v>
      </c>
      <c r="H60" s="326">
        <v>0.32</v>
      </c>
      <c r="I60" s="328">
        <f t="shared" ca="1" si="125"/>
        <v>207.39999999999998</v>
      </c>
      <c r="J60" s="329">
        <f t="shared" ca="1" si="136"/>
        <v>1659.1999999999998</v>
      </c>
      <c r="K60" s="329">
        <f>IFERROR(_xlfn.XLOOKUP(D60,CostTableLookup[Name],CostTableLookup[Gross Cost]),"")</f>
        <v>170.96</v>
      </c>
      <c r="L60" s="330"/>
      <c r="M60" s="331">
        <f t="shared" ca="1" si="126"/>
        <v>0</v>
      </c>
      <c r="N60" s="332"/>
      <c r="O60" s="331">
        <f t="shared" ca="1" si="127"/>
        <v>0</v>
      </c>
      <c r="P60" s="331">
        <f t="shared" ca="1" si="128"/>
        <v>0</v>
      </c>
      <c r="Q60" s="333">
        <f t="shared" si="129"/>
        <v>0</v>
      </c>
      <c r="R60" s="343" t="str">
        <f t="shared" ca="1" si="130"/>
        <v/>
      </c>
      <c r="S60" s="335">
        <f t="shared" ref="S60:S61" ca="1" si="137">IFERROR(SUM(OFFSET(Y60,0,MATCH(Forecast_New,$Y$3:$WQ$3,0)-1,1,500))*40,"")</f>
        <v>0</v>
      </c>
      <c r="T60" s="336">
        <f t="shared" ca="1" si="132"/>
        <v>0</v>
      </c>
      <c r="U60" s="337">
        <f t="shared" ca="1" si="133"/>
        <v>0</v>
      </c>
      <c r="V60" s="338">
        <f t="shared" ca="1" si="134"/>
        <v>0</v>
      </c>
      <c r="W60" s="339">
        <f t="shared" ca="1" si="27"/>
        <v>0</v>
      </c>
      <c r="X60" s="340" t="str">
        <f t="shared" ca="1" si="135"/>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441"/>
      <c r="AW60" s="441"/>
      <c r="AX60" s="441"/>
      <c r="AY60" s="4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25">
      <c r="B61" s="360" t="s">
        <v>941</v>
      </c>
      <c r="C61" s="323" t="s">
        <v>936</v>
      </c>
      <c r="D61" s="321" t="s">
        <v>447</v>
      </c>
      <c r="E61" s="321" t="s">
        <v>753</v>
      </c>
      <c r="F61" s="324" t="s">
        <v>931</v>
      </c>
      <c r="G61" s="325" cm="1">
        <f t="array" aca="1" ref="G61" ca="1">IFERROR(INDEX(Panel_Rates[[1]:[12]],MATCH(Panel_New&amp;Category_New,Panel_Rates[Panel]&amp;Panel_Rates[Category],0),MATCH('Time Plan (Single Release)'!E61,OFFSET(Variable!$AF$2,MATCH(Panel_New&amp;Category_New,Panel_Rates[Panel]&amp;Panel_Rates[Category],0)-1,0,1,12),0))/8,"")</f>
        <v>305</v>
      </c>
      <c r="H61" s="326">
        <v>0.38</v>
      </c>
      <c r="I61" s="328">
        <f t="shared" ca="1" si="125"/>
        <v>189.1</v>
      </c>
      <c r="J61" s="329">
        <f t="shared" ca="1" si="136"/>
        <v>1512.8</v>
      </c>
      <c r="K61" s="329">
        <f>IFERROR(_xlfn.XLOOKUP(D61,CostTableLookup[Name],CostTableLookup[Gross Cost]),"")</f>
        <v>151</v>
      </c>
      <c r="L61" s="330"/>
      <c r="M61" s="331">
        <f t="shared" ca="1" si="126"/>
        <v>0</v>
      </c>
      <c r="N61" s="332"/>
      <c r="O61" s="331">
        <f t="shared" ca="1" si="127"/>
        <v>0</v>
      </c>
      <c r="P61" s="331">
        <f t="shared" ca="1" si="128"/>
        <v>0</v>
      </c>
      <c r="Q61" s="333">
        <f t="shared" si="129"/>
        <v>0</v>
      </c>
      <c r="R61" s="343">
        <f t="shared" ca="1" si="130"/>
        <v>0.2014806980433633</v>
      </c>
      <c r="S61" s="335">
        <f t="shared" ca="1" si="137"/>
        <v>160</v>
      </c>
      <c r="T61" s="336">
        <f t="shared" ca="1" si="132"/>
        <v>20</v>
      </c>
      <c r="U61" s="337">
        <f t="shared" ca="1" si="133"/>
        <v>30256</v>
      </c>
      <c r="V61" s="338">
        <f t="shared" ca="1" si="134"/>
        <v>24160</v>
      </c>
      <c r="W61" s="339">
        <f t="shared" ca="1" si="27"/>
        <v>-30256</v>
      </c>
      <c r="X61" s="340" t="str">
        <f t="shared" ca="1" si="135"/>
        <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440"/>
      <c r="AW61" s="440"/>
      <c r="AX61" s="440"/>
      <c r="AY61" s="440"/>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25">
      <c r="B62" s="360" t="s">
        <v>941</v>
      </c>
      <c r="C62" s="384" t="s">
        <v>936</v>
      </c>
      <c r="D62" s="385" t="s">
        <v>122</v>
      </c>
      <c r="E62" s="321" t="s">
        <v>752</v>
      </c>
      <c r="F62" s="324" t="s">
        <v>931</v>
      </c>
      <c r="G62" s="325" cm="1">
        <f t="array" aca="1" ref="G62" ca="1">IFERROR(INDEX(Panel_Rates[[1]:[12]],MATCH(Panel_New&amp;Category_New,Panel_Rates[Panel]&amp;Panel_Rates[Category],0),MATCH('Time Plan (Single Release)'!E62,OFFSET(Variable!$AF$2,MATCH(Panel_New&amp;Category_New,Panel_Rates[Panel]&amp;Panel_Rates[Category],0)-1,0,1,12),0))/8,"")</f>
        <v>245</v>
      </c>
      <c r="H62" s="326">
        <v>1</v>
      </c>
      <c r="I62" s="328">
        <f t="shared" ca="1" si="125"/>
        <v>0</v>
      </c>
      <c r="J62" s="329">
        <f t="shared" ca="1" si="136"/>
        <v>0</v>
      </c>
      <c r="K62" s="329">
        <f>IFERROR(_xlfn.XLOOKUP(D62,CostTableLookup[Name],CostTableLookup[Gross Cost]),"")</f>
        <v>198</v>
      </c>
      <c r="L62" s="330"/>
      <c r="M62" s="331">
        <f t="shared" ca="1" si="126"/>
        <v>0</v>
      </c>
      <c r="N62" s="332"/>
      <c r="O62" s="331">
        <f t="shared" ca="1" si="127"/>
        <v>0</v>
      </c>
      <c r="P62" s="331">
        <f t="shared" ca="1" si="128"/>
        <v>0</v>
      </c>
      <c r="Q62" s="333">
        <f t="shared" si="129"/>
        <v>0</v>
      </c>
      <c r="R62" s="343" t="str">
        <f t="shared" ca="1" si="130"/>
        <v/>
      </c>
      <c r="S62" s="335">
        <f t="shared" ref="S62" ca="1" si="138">IFERROR(SUM(OFFSET(Y62,0,MATCH(Forecast_New,$Y$3:$WQ$3,0)-1,1,500))*40,"")</f>
        <v>40</v>
      </c>
      <c r="T62" s="336">
        <f t="shared" ca="1" si="132"/>
        <v>5</v>
      </c>
      <c r="U62" s="337">
        <f t="shared" ca="1" si="133"/>
        <v>0</v>
      </c>
      <c r="V62" s="338">
        <f t="shared" ca="1" si="134"/>
        <v>7920</v>
      </c>
      <c r="W62" s="339">
        <f t="shared" ca="1" si="27"/>
        <v>0</v>
      </c>
      <c r="X62" s="340" t="str">
        <f t="shared" ca="1" si="135"/>
        <v/>
      </c>
      <c r="Y62" s="341"/>
      <c r="Z62" s="341"/>
      <c r="AA62" s="341"/>
      <c r="AB62" s="341"/>
      <c r="AC62" s="341"/>
      <c r="AD62" s="341"/>
      <c r="AE62" s="341"/>
      <c r="AF62" s="341"/>
      <c r="AG62" s="341"/>
      <c r="AH62" s="341"/>
      <c r="AI62" s="341"/>
      <c r="AJ62" s="341"/>
      <c r="AK62" s="341"/>
      <c r="AL62" s="341"/>
      <c r="AM62" s="341"/>
      <c r="AN62" s="341"/>
      <c r="AO62" s="341"/>
      <c r="AP62" s="341"/>
      <c r="AQ62" s="341"/>
      <c r="AR62" s="341">
        <v>0.5</v>
      </c>
      <c r="AS62" s="341">
        <v>0.5</v>
      </c>
      <c r="AT62" s="341"/>
      <c r="AU62" s="341"/>
      <c r="AV62" s="440"/>
      <c r="AW62" s="440"/>
      <c r="AX62" s="440"/>
      <c r="AY62" s="441"/>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ht="19.5" customHeight="1" x14ac:dyDescent="0.25">
      <c r="B63" s="360" t="s">
        <v>941</v>
      </c>
      <c r="C63" s="323" t="s">
        <v>936</v>
      </c>
      <c r="D63" s="321" t="s">
        <v>731</v>
      </c>
      <c r="E63" s="321" t="s">
        <v>752</v>
      </c>
      <c r="F63" s="324" t="s">
        <v>931</v>
      </c>
      <c r="G63" s="325" cm="1">
        <f t="array" aca="1" ref="G63" ca="1">IFERROR(INDEX(Panel_Rates[[1]:[12]],MATCH(Panel_New&amp;Category_New,Panel_Rates[Panel]&amp;Panel_Rates[Category],0),MATCH('Time Plan (Single Release)'!E63,OFFSET(Variable!$AF$2,MATCH(Panel_New&amp;Category_New,Panel_Rates[Panel]&amp;Panel_Rates[Category],0)-1,0,1,12),0))/8,"")</f>
        <v>245</v>
      </c>
      <c r="H63" s="326">
        <v>0.38</v>
      </c>
      <c r="I63" s="328">
        <f t="shared" ca="1" si="125"/>
        <v>151.9</v>
      </c>
      <c r="J63" s="329">
        <f t="shared" ca="1" si="136"/>
        <v>1215.2</v>
      </c>
      <c r="K63" s="329">
        <f>IFERROR(_xlfn.XLOOKUP(D63,CostTableLookup[Name],CostTableLookup[Gross Cost]),"")</f>
        <v>151</v>
      </c>
      <c r="L63" s="330"/>
      <c r="M63" s="331">
        <f t="shared" ca="1" si="126"/>
        <v>0</v>
      </c>
      <c r="N63" s="332"/>
      <c r="O63" s="331">
        <f t="shared" ca="1" si="127"/>
        <v>0</v>
      </c>
      <c r="P63" s="331">
        <f t="shared" ca="1" si="128"/>
        <v>0</v>
      </c>
      <c r="Q63" s="333">
        <f t="shared" si="129"/>
        <v>0</v>
      </c>
      <c r="R63" s="343">
        <f t="shared" ca="1" si="130"/>
        <v>5.9249506254114553E-3</v>
      </c>
      <c r="S63" s="335">
        <f t="shared" ref="S63" ca="1" si="139">IFERROR(SUM(OFFSET(Y63,0,MATCH(Forecast_New,$Y$3:$WQ$3,0)-1,1,500))*40,"")</f>
        <v>40</v>
      </c>
      <c r="T63" s="336">
        <f t="shared" ca="1" si="132"/>
        <v>5</v>
      </c>
      <c r="U63" s="337">
        <f t="shared" ca="1" si="133"/>
        <v>6076</v>
      </c>
      <c r="V63" s="338">
        <f t="shared" ca="1" si="134"/>
        <v>6040</v>
      </c>
      <c r="W63" s="339">
        <f t="shared" ca="1" si="27"/>
        <v>-6076</v>
      </c>
      <c r="X63" s="340" t="str">
        <f t="shared" ca="1" si="135"/>
        <v/>
      </c>
      <c r="Y63" s="341"/>
      <c r="Z63" s="341"/>
      <c r="AA63" s="341"/>
      <c r="AB63" s="341"/>
      <c r="AC63" s="341"/>
      <c r="AD63" s="341"/>
      <c r="AE63" s="341"/>
      <c r="AF63" s="341"/>
      <c r="AG63" s="341"/>
      <c r="AH63" s="341"/>
      <c r="AI63" s="341"/>
      <c r="AJ63" s="341"/>
      <c r="AK63" s="341"/>
      <c r="AL63" s="341"/>
      <c r="AM63" s="341"/>
      <c r="AN63" s="341"/>
      <c r="AO63" s="341"/>
      <c r="AP63" s="341"/>
      <c r="AQ63" s="341"/>
      <c r="AR63" s="341">
        <v>0.5</v>
      </c>
      <c r="AS63" s="341">
        <v>0.5</v>
      </c>
      <c r="AT63" s="341"/>
      <c r="AU63" s="341"/>
      <c r="AV63" s="440"/>
      <c r="AW63" s="440"/>
      <c r="AX63" s="440"/>
      <c r="AY63" s="440"/>
      <c r="AZ63" s="341"/>
      <c r="BA63" s="341"/>
      <c r="BB63" s="341"/>
      <c r="BC63" s="341"/>
      <c r="BD63" s="341"/>
      <c r="BE63" s="341"/>
      <c r="BF63" s="341"/>
      <c r="BG63" s="341"/>
      <c r="BH63" s="341"/>
      <c r="BI63" s="341"/>
      <c r="BJ63" s="341"/>
      <c r="BK63" s="341"/>
      <c r="BL63" s="341"/>
      <c r="BM63" s="341"/>
      <c r="BN63" s="341"/>
      <c r="BO63" s="341"/>
      <c r="BP63" s="341"/>
      <c r="BQ63" s="341"/>
      <c r="BR63" s="341"/>
      <c r="BS63" s="341"/>
      <c r="BT63" s="341"/>
      <c r="BU63" s="341"/>
      <c r="BV63" s="341"/>
      <c r="BW63" s="341"/>
      <c r="BX63" s="341"/>
      <c r="BY63" s="341"/>
      <c r="BZ63" s="341"/>
      <c r="CA63" s="341"/>
      <c r="CB63" s="341"/>
      <c r="CC63" s="341"/>
      <c r="CD63" s="341"/>
      <c r="CE63" s="341"/>
      <c r="CF63" s="341"/>
      <c r="CG63" s="341"/>
      <c r="CH63" s="341"/>
      <c r="CI63" s="341"/>
      <c r="CJ63" s="341"/>
      <c r="CK63" s="341"/>
      <c r="CL63" s="341"/>
      <c r="CM63" s="341"/>
      <c r="CN63" s="341"/>
      <c r="CO63" s="341"/>
      <c r="CP63" s="341"/>
      <c r="CQ63" s="341"/>
      <c r="CR63" s="341"/>
      <c r="CS63" s="341"/>
      <c r="CT63" s="341"/>
      <c r="CU63" s="341"/>
      <c r="CV63" s="341"/>
      <c r="CW63" s="341"/>
      <c r="CX63" s="341"/>
      <c r="CY63" s="341"/>
      <c r="CZ63" s="341"/>
      <c r="DA63" s="341"/>
      <c r="DB63" s="341"/>
      <c r="DC63" s="341"/>
      <c r="DD63" s="341"/>
      <c r="DE63" s="341"/>
      <c r="DF63" s="341"/>
      <c r="DG63" s="341"/>
      <c r="DH63" s="341"/>
      <c r="DI63" s="341"/>
      <c r="DJ63" s="341"/>
      <c r="DK63" s="341"/>
      <c r="DL63" s="341"/>
      <c r="DM63" s="341"/>
      <c r="DN63" s="341"/>
      <c r="DO63" s="341"/>
      <c r="DP63" s="341"/>
      <c r="DQ63" s="341"/>
      <c r="DR63" s="341"/>
      <c r="DS63" s="341"/>
      <c r="DT63" s="341"/>
      <c r="DU63" s="341"/>
      <c r="DV63" s="341"/>
      <c r="DW63" s="341"/>
      <c r="DX63" s="341"/>
      <c r="DY63" s="341"/>
      <c r="DZ63" s="341"/>
      <c r="EA63" s="341"/>
      <c r="EB63" s="341"/>
      <c r="EC63" s="341"/>
      <c r="ED63" s="341"/>
      <c r="EE63" s="341"/>
      <c r="EF63" s="341"/>
      <c r="EG63" s="341"/>
      <c r="EH63" s="341"/>
      <c r="EI63" s="341"/>
      <c r="EJ63" s="341"/>
      <c r="EK63" s="341"/>
      <c r="EL63" s="341"/>
      <c r="EM63" s="341"/>
      <c r="EN63" s="341"/>
      <c r="EO63" s="341"/>
      <c r="EP63" s="341"/>
      <c r="EQ63" s="341"/>
      <c r="ER63" s="341"/>
      <c r="ES63" s="341"/>
      <c r="ET63" s="341"/>
      <c r="EU63" s="341"/>
      <c r="EV63" s="341"/>
      <c r="EW63" s="341"/>
      <c r="EX63" s="341"/>
      <c r="EY63" s="341"/>
      <c r="EZ63" s="341"/>
      <c r="FA63" s="341"/>
      <c r="FB63" s="341"/>
      <c r="FC63" s="341"/>
      <c r="FD63" s="341"/>
      <c r="FE63" s="341"/>
      <c r="FF63" s="341"/>
      <c r="FG63" s="341"/>
      <c r="FH63" s="341"/>
      <c r="FI63" s="341"/>
      <c r="FJ63" s="341"/>
      <c r="FK63" s="341"/>
      <c r="FL63" s="341"/>
      <c r="FM63" s="341"/>
      <c r="FN63" s="341"/>
      <c r="FO63" s="341"/>
      <c r="FP63" s="341"/>
      <c r="FQ63" s="341"/>
      <c r="FR63" s="341"/>
      <c r="FS63" s="341"/>
      <c r="FT63" s="341"/>
      <c r="FU63" s="341"/>
      <c r="FV63" s="341"/>
      <c r="FW63" s="341"/>
      <c r="FX63" s="341"/>
      <c r="FY63" s="341"/>
      <c r="FZ63" s="341"/>
      <c r="GA63" s="341"/>
      <c r="GB63" s="341"/>
      <c r="GC63" s="341"/>
      <c r="GD63" s="341"/>
      <c r="GE63" s="341"/>
      <c r="GF63" s="341"/>
      <c r="GG63" s="341"/>
      <c r="GH63" s="341"/>
      <c r="GI63" s="341"/>
      <c r="GJ63" s="341"/>
      <c r="GK63" s="341"/>
      <c r="GL63" s="341"/>
      <c r="GM63" s="341"/>
      <c r="GN63" s="341"/>
      <c r="GO63" s="341"/>
      <c r="GP63" s="341"/>
      <c r="GQ63" s="341"/>
      <c r="GR63" s="341"/>
      <c r="GS63" s="341"/>
      <c r="GT63" s="341"/>
      <c r="GU63" s="341"/>
      <c r="GV63" s="341"/>
      <c r="GW63" s="341"/>
      <c r="GX63" s="341"/>
      <c r="GY63" s="341"/>
      <c r="GZ63" s="341"/>
      <c r="HA63" s="341"/>
      <c r="HB63" s="341"/>
      <c r="HC63" s="341"/>
      <c r="HD63" s="341"/>
      <c r="HE63" s="341"/>
      <c r="HF63" s="341"/>
      <c r="HG63" s="341"/>
      <c r="HH63" s="341"/>
      <c r="HI63" s="341"/>
      <c r="HJ63" s="341"/>
      <c r="HK63" s="341"/>
      <c r="HL63" s="341"/>
      <c r="HM63" s="341"/>
      <c r="HN63" s="341"/>
      <c r="HO63" s="341"/>
      <c r="HP63" s="341"/>
      <c r="HQ63" s="341"/>
      <c r="HR63" s="341"/>
      <c r="HS63" s="341"/>
      <c r="HT63" s="341"/>
      <c r="HU63" s="341"/>
      <c r="HV63" s="341"/>
      <c r="HW63" s="341"/>
      <c r="HX63" s="341"/>
      <c r="HY63" s="341"/>
      <c r="HZ63" s="341"/>
      <c r="IA63" s="341"/>
      <c r="IB63" s="341"/>
      <c r="IC63" s="341"/>
      <c r="ID63" s="341"/>
      <c r="IE63" s="341"/>
      <c r="IF63" s="341"/>
      <c r="IG63" s="341"/>
      <c r="IH63" s="341"/>
      <c r="II63" s="341"/>
      <c r="IJ63" s="341"/>
      <c r="IK63" s="341"/>
      <c r="IL63" s="341"/>
      <c r="IM63" s="341"/>
      <c r="IN63" s="341"/>
      <c r="IO63" s="341"/>
      <c r="IP63" s="341"/>
      <c r="IQ63" s="341"/>
      <c r="IR63" s="341"/>
      <c r="IS63" s="341"/>
      <c r="IT63" s="341"/>
      <c r="IU63" s="341"/>
      <c r="IV63" s="341"/>
      <c r="IW63" s="341"/>
      <c r="IX63" s="341"/>
      <c r="IY63" s="341"/>
      <c r="IZ63" s="341"/>
      <c r="JA63" s="341"/>
      <c r="JB63" s="341"/>
      <c r="JC63" s="341"/>
      <c r="JD63" s="341"/>
      <c r="JE63" s="341"/>
      <c r="JF63" s="341"/>
      <c r="JG63" s="341"/>
      <c r="JH63" s="341"/>
      <c r="JI63" s="341"/>
      <c r="JJ63" s="341"/>
      <c r="JK63" s="341"/>
      <c r="JL63" s="341"/>
      <c r="JM63" s="341"/>
      <c r="JN63" s="341"/>
    </row>
    <row r="64" spans="2:274" s="345" customFormat="1" ht="19.5" customHeight="1" x14ac:dyDescent="0.25">
      <c r="B64" s="361" t="s">
        <v>941</v>
      </c>
      <c r="C64" s="362" t="s">
        <v>936</v>
      </c>
      <c r="D64" s="345" t="s">
        <v>606</v>
      </c>
      <c r="E64" s="345" t="s">
        <v>752</v>
      </c>
      <c r="F64" s="363" t="s">
        <v>937</v>
      </c>
      <c r="G64" s="364" cm="1">
        <f t="array" aca="1" ref="G64" ca="1">IFERROR(INDEX(Panel_Rates[[1]:[12]],MATCH(Panel_New&amp;Category_New,Panel_Rates[Panel]&amp;Panel_Rates[Category],0),MATCH('Time Plan (Single Release)'!E64,OFFSET(Variable!$AF$2,MATCH(Panel_New&amp;Category_New,Panel_Rates[Panel]&amp;Panel_Rates[Category],0)-1,0,1,12),0))/8,"")</f>
        <v>245</v>
      </c>
      <c r="H64" s="326">
        <v>0.38</v>
      </c>
      <c r="I64" s="391">
        <f t="shared" ca="1" si="125"/>
        <v>151.9</v>
      </c>
      <c r="J64" s="398">
        <f t="shared" ca="1" si="136"/>
        <v>1215.2</v>
      </c>
      <c r="K64" s="366">
        <f>IFERROR(_xlfn.XLOOKUP(D64,CostTableLookup[Name],CostTableLookup[Gross Cost]),"")</f>
        <v>161</v>
      </c>
      <c r="L64" s="367"/>
      <c r="M64" s="368">
        <f t="shared" ca="1" si="126"/>
        <v>0</v>
      </c>
      <c r="N64" s="369"/>
      <c r="O64" s="368">
        <f t="shared" ca="1" si="127"/>
        <v>0</v>
      </c>
      <c r="P64" s="368">
        <f t="shared" ca="1" si="128"/>
        <v>0</v>
      </c>
      <c r="Q64" s="370">
        <f t="shared" si="129"/>
        <v>0</v>
      </c>
      <c r="R64" s="396" t="str">
        <f t="shared" ca="1" si="130"/>
        <v/>
      </c>
      <c r="S64" s="335">
        <f ca="1">IFERROR(SUM(OFFSET(Y64,0,MATCH(Forecast_New,$Y$3:$WQ$3,0)-1,1,500))*40,"")</f>
        <v>0</v>
      </c>
      <c r="T64" s="372">
        <f t="shared" ca="1" si="132"/>
        <v>0</v>
      </c>
      <c r="U64" s="373">
        <f t="shared" ca="1" si="133"/>
        <v>0</v>
      </c>
      <c r="V64" s="358">
        <f t="shared" ca="1" si="134"/>
        <v>0</v>
      </c>
      <c r="W64" s="339">
        <f t="shared" ca="1" si="27"/>
        <v>0</v>
      </c>
      <c r="X64" s="375" t="str">
        <f t="shared" ca="1" si="135"/>
        <v/>
      </c>
      <c r="Y64" s="376"/>
      <c r="Z64" s="376"/>
      <c r="AA64" s="376"/>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6"/>
      <c r="BB64" s="376"/>
      <c r="BC64" s="376"/>
      <c r="BD64" s="376"/>
      <c r="BE64" s="376"/>
      <c r="BF64" s="376"/>
      <c r="BG64" s="376"/>
      <c r="BH64" s="376"/>
      <c r="BI64" s="376"/>
      <c r="BJ64" s="376"/>
      <c r="BK64" s="376"/>
      <c r="BL64" s="376"/>
      <c r="BM64" s="376"/>
      <c r="BN64" s="376"/>
      <c r="BO64" s="376"/>
      <c r="BP64" s="376"/>
      <c r="BQ64" s="376"/>
      <c r="BR64" s="376"/>
      <c r="BS64" s="376"/>
      <c r="BT64" s="376"/>
      <c r="BU64" s="376"/>
      <c r="BV64" s="376"/>
      <c r="BW64" s="376"/>
      <c r="BX64" s="376"/>
      <c r="BY64" s="376"/>
      <c r="BZ64" s="376"/>
      <c r="CA64" s="376"/>
      <c r="CB64" s="376"/>
      <c r="CC64" s="376"/>
      <c r="CD64" s="376"/>
      <c r="CE64" s="376"/>
      <c r="CF64" s="376"/>
      <c r="CG64" s="376"/>
      <c r="CH64" s="376"/>
      <c r="CI64" s="376"/>
      <c r="CJ64" s="376"/>
      <c r="CK64" s="376"/>
      <c r="CL64" s="376"/>
      <c r="CM64" s="376"/>
      <c r="CN64" s="376"/>
      <c r="CO64" s="376"/>
      <c r="CP64" s="376"/>
      <c r="CQ64" s="376"/>
      <c r="CR64" s="376"/>
      <c r="CS64" s="376"/>
      <c r="CT64" s="376"/>
      <c r="CU64" s="376"/>
      <c r="CV64" s="376"/>
      <c r="CW64" s="376"/>
      <c r="CX64" s="376"/>
      <c r="CY64" s="376"/>
      <c r="CZ64" s="376"/>
      <c r="DA64" s="376"/>
      <c r="DB64" s="376"/>
      <c r="DC64" s="376"/>
      <c r="DD64" s="376"/>
      <c r="DE64" s="376"/>
      <c r="DF64" s="376"/>
      <c r="DG64" s="376"/>
      <c r="DH64" s="376"/>
      <c r="DI64" s="376"/>
      <c r="DJ64" s="376"/>
      <c r="DK64" s="376"/>
      <c r="DL64" s="376"/>
      <c r="DM64" s="376"/>
      <c r="DN64" s="376"/>
      <c r="DO64" s="376"/>
      <c r="DP64" s="376"/>
      <c r="DQ64" s="376"/>
      <c r="DR64" s="376"/>
      <c r="DS64" s="376"/>
      <c r="DT64" s="376"/>
      <c r="DU64" s="376"/>
      <c r="DV64" s="376"/>
      <c r="DW64" s="376"/>
      <c r="DX64" s="376"/>
      <c r="DY64" s="376"/>
      <c r="DZ64" s="376"/>
      <c r="EA64" s="376"/>
      <c r="EB64" s="376"/>
      <c r="EC64" s="376"/>
      <c r="ED64" s="376"/>
      <c r="EE64" s="376"/>
      <c r="EF64" s="376"/>
      <c r="EG64" s="376"/>
      <c r="EH64" s="376"/>
      <c r="EI64" s="376"/>
      <c r="EJ64" s="376"/>
      <c r="EK64" s="376"/>
      <c r="EL64" s="376"/>
      <c r="EM64" s="376"/>
      <c r="EN64" s="376"/>
      <c r="EO64" s="376"/>
      <c r="EP64" s="376"/>
      <c r="EQ64" s="376"/>
      <c r="ER64" s="376"/>
      <c r="ES64" s="376"/>
      <c r="ET64" s="376"/>
      <c r="EU64" s="376"/>
      <c r="EV64" s="376"/>
      <c r="EW64" s="376"/>
      <c r="EX64" s="376"/>
      <c r="EY64" s="376"/>
      <c r="EZ64" s="376"/>
      <c r="FA64" s="376"/>
      <c r="FB64" s="376"/>
      <c r="FC64" s="376"/>
      <c r="FD64" s="376"/>
      <c r="FE64" s="376"/>
      <c r="FF64" s="376"/>
      <c r="FG64" s="376"/>
      <c r="FH64" s="376"/>
      <c r="FI64" s="376"/>
      <c r="FJ64" s="376"/>
      <c r="FK64" s="376"/>
      <c r="FL64" s="376"/>
      <c r="FM64" s="376"/>
      <c r="FN64" s="376"/>
      <c r="FO64" s="376"/>
      <c r="FP64" s="376"/>
      <c r="FQ64" s="376"/>
      <c r="FR64" s="376"/>
      <c r="FS64" s="376"/>
      <c r="FT64" s="376"/>
      <c r="FU64" s="376"/>
      <c r="FV64" s="376"/>
      <c r="FW64" s="376"/>
      <c r="FX64" s="376"/>
      <c r="FY64" s="376"/>
      <c r="FZ64" s="376"/>
      <c r="GA64" s="376"/>
      <c r="GB64" s="376"/>
      <c r="GC64" s="376"/>
      <c r="GD64" s="376"/>
      <c r="GE64" s="376"/>
      <c r="GF64" s="376"/>
      <c r="GG64" s="376"/>
      <c r="GH64" s="376"/>
      <c r="GI64" s="376"/>
      <c r="GJ64" s="376"/>
      <c r="GK64" s="376"/>
      <c r="GL64" s="376"/>
      <c r="GM64" s="376"/>
      <c r="GN64" s="376"/>
      <c r="GO64" s="376"/>
      <c r="GP64" s="376"/>
      <c r="GQ64" s="376"/>
      <c r="GR64" s="376"/>
      <c r="GS64" s="376"/>
      <c r="GT64" s="376"/>
      <c r="GU64" s="376"/>
      <c r="GV64" s="376"/>
      <c r="GW64" s="376"/>
      <c r="GX64" s="376"/>
      <c r="GY64" s="376"/>
      <c r="GZ64" s="376"/>
      <c r="HA64" s="376"/>
      <c r="HB64" s="376"/>
      <c r="HC64" s="376"/>
      <c r="HD64" s="376"/>
      <c r="HE64" s="376"/>
      <c r="HF64" s="376"/>
      <c r="HG64" s="376"/>
      <c r="HH64" s="376"/>
      <c r="HI64" s="376"/>
      <c r="HJ64" s="376"/>
      <c r="HK64" s="376"/>
      <c r="HL64" s="376"/>
      <c r="HM64" s="376"/>
      <c r="HN64" s="376"/>
      <c r="HO64" s="376"/>
      <c r="HP64" s="376"/>
      <c r="HQ64" s="376"/>
      <c r="HR64" s="376"/>
      <c r="HS64" s="376"/>
      <c r="HT64" s="376"/>
      <c r="HU64" s="376"/>
      <c r="HV64" s="376"/>
      <c r="HW64" s="376"/>
      <c r="HX64" s="376"/>
      <c r="HY64" s="376"/>
      <c r="HZ64" s="376"/>
      <c r="IA64" s="376"/>
      <c r="IB64" s="376"/>
      <c r="IC64" s="376"/>
      <c r="ID64" s="376"/>
      <c r="IE64" s="376"/>
      <c r="IF64" s="376"/>
      <c r="IG64" s="376"/>
      <c r="IH64" s="376"/>
      <c r="II64" s="376"/>
      <c r="IJ64" s="376"/>
      <c r="IK64" s="376"/>
      <c r="IL64" s="376"/>
      <c r="IM64" s="376"/>
      <c r="IN64" s="376"/>
      <c r="IO64" s="376"/>
      <c r="IP64" s="376"/>
      <c r="IQ64" s="376"/>
      <c r="IR64" s="376"/>
      <c r="IS64" s="376"/>
      <c r="IT64" s="376"/>
      <c r="IU64" s="376"/>
      <c r="IV64" s="376"/>
      <c r="IW64" s="376"/>
      <c r="IX64" s="376"/>
      <c r="IY64" s="376"/>
      <c r="IZ64" s="376"/>
      <c r="JA64" s="376"/>
      <c r="JB64" s="376"/>
      <c r="JC64" s="376"/>
      <c r="JD64" s="376"/>
      <c r="JE64" s="376"/>
      <c r="JF64" s="376"/>
      <c r="JG64" s="376"/>
      <c r="JH64" s="376"/>
      <c r="JI64" s="376"/>
      <c r="JJ64" s="376"/>
      <c r="JK64" s="376"/>
      <c r="JL64" s="376"/>
      <c r="JM64" s="376"/>
      <c r="JN64" s="376"/>
    </row>
    <row r="66" spans="3:71" x14ac:dyDescent="0.25">
      <c r="C66" s="377" t="s">
        <v>942</v>
      </c>
      <c r="D66" s="378" t="str" cm="1">
        <f t="array" ref="D66:D76">_xlfn._xlws.FILTER(_xlfn.UNIQUE(D6:D64),_xlfn.UNIQUE(D6:D64)&lt;&gt;"")</f>
        <v>Anil Kinagi</v>
      </c>
      <c r="F66" s="321" t="str">
        <f>_xlfn.XLOOKUP(D66,D6:D64,F6:F64)</f>
        <v>Project Manager</v>
      </c>
      <c r="I66" s="379">
        <f t="shared" ref="I66:I76" ca="1" si="140">_xlfn.XLOOKUP($D66,$D$6:$D$64,$I$6:$I$64)</f>
        <v>207.39999999999998</v>
      </c>
      <c r="Y66" s="381" cm="1">
        <f t="array" ref="Y66">SUM(Y$6:Y$64*($D$6:$D$64=$D66))</f>
        <v>1</v>
      </c>
      <c r="Z66" s="381" cm="1">
        <f t="array" ref="Z66">SUM(Z$6:Z$64*($D$6:$D$64=$D66))</f>
        <v>1</v>
      </c>
      <c r="AA66" s="381" cm="1">
        <f t="array" ref="AA66">SUM(AA$6:AA$64*($D$6:$D$64=$D66))</f>
        <v>1</v>
      </c>
      <c r="AB66" s="381" cm="1">
        <f t="array" ref="AB66">SUM(AB$6:AB$64*($D$6:$D$64=$D66))</f>
        <v>1</v>
      </c>
      <c r="AC66" s="381" cm="1">
        <f t="array" ref="AC66">SUM(AC$6:AC$64*($D$6:$D$64=$D66))</f>
        <v>1</v>
      </c>
      <c r="AD66" s="381" cm="1">
        <f t="array" ref="AD66">SUM(AD$6:AD$64*($D$6:$D$64=$D66))</f>
        <v>1</v>
      </c>
      <c r="AE66" s="381" cm="1">
        <f t="array" ref="AE66">SUM(AE$6:AE$64*($D$6:$D$64=$D66))</f>
        <v>1</v>
      </c>
      <c r="AF66" s="381" cm="1">
        <f t="array" ref="AF66">SUM(AF$6:AF$64*($D$6:$D$64=$D66))</f>
        <v>0.8</v>
      </c>
      <c r="AG66" s="381" cm="1">
        <f t="array" ref="AG66">SUM(AG$6:AG$64*($D$6:$D$64=$D66))</f>
        <v>1</v>
      </c>
      <c r="AH66" s="381" cm="1">
        <f t="array" ref="AH66">SUM(AH$6:AH$64*($D$6:$D$64=$D66))</f>
        <v>1</v>
      </c>
      <c r="AI66" s="381" cm="1">
        <f t="array" ref="AI66">SUM(AI$6:AI$64*($D$6:$D$64=$D66))</f>
        <v>1</v>
      </c>
      <c r="AJ66" s="381" cm="1">
        <f t="array" ref="AJ66">SUM(AJ$6:AJ$64*($D$6:$D$64=$D66))</f>
        <v>1</v>
      </c>
      <c r="AK66" s="381" cm="1">
        <f t="array" ref="AK66">SUM(AK$6:AK$64*($D$6:$D$64=$D66))</f>
        <v>1</v>
      </c>
      <c r="AL66" s="381" cm="1">
        <f t="array" ref="AL66">SUM(AL$6:AL$64*($D$6:$D$64=$D66))</f>
        <v>1</v>
      </c>
      <c r="AM66" s="381" cm="1">
        <f t="array" ref="AM66">SUM(AM$6:AM$64*($D$6:$D$64=$D66))</f>
        <v>1</v>
      </c>
      <c r="AN66" s="381" cm="1">
        <f t="array" ref="AN66">SUM(AN$6:AN$64*($D$6:$D$64=$D66))</f>
        <v>1</v>
      </c>
      <c r="AO66" s="381" cm="1">
        <f t="array" ref="AO66">SUM(AO$6:AO$64*($D$6:$D$64=$D66))</f>
        <v>1</v>
      </c>
      <c r="AP66" s="381" cm="1">
        <f t="array" ref="AP66">SUM(AP$6:AP$64*($D$6:$D$64=$D66))</f>
        <v>1</v>
      </c>
      <c r="AQ66" s="381" cm="1">
        <f t="array" ref="AQ66">SUM(AQ$6:AQ$64*($D$6:$D$64=$D66))</f>
        <v>1</v>
      </c>
      <c r="AR66" s="381" cm="1">
        <f t="array" ref="AR66">SUM(AR$6:AR$64*($D$6:$D$64=$D66))</f>
        <v>0.5</v>
      </c>
      <c r="AS66" s="381" cm="1">
        <f t="array" ref="AS66">SUM(AS$6:AS$64*($D$6:$D$64=$D66))</f>
        <v>0.5</v>
      </c>
      <c r="AT66" s="381" cm="1">
        <f t="array" ref="AT66">SUM(AT$6:AT$64*($D$6:$D$64=$D66))</f>
        <v>0.5</v>
      </c>
      <c r="AU66" s="381" cm="1">
        <f t="array" ref="AU66">SUM(AU$6:AU$64*($D$6:$D$64=$D66))</f>
        <v>0.4</v>
      </c>
      <c r="AV66" s="381" cm="1">
        <f t="array" ref="AV66">SUM(AV$6:AV$64*($D$6:$D$64=$D66))</f>
        <v>0</v>
      </c>
      <c r="AW66" s="381" cm="1">
        <f t="array" ref="AW66">SUM(AW$6:AW$64*($D$6:$D$64=$D66))</f>
        <v>0</v>
      </c>
      <c r="AX66" s="381" cm="1">
        <f t="array" ref="AX66">SUM(AX$6:AX$64*($D$6:$D$64=$D66))</f>
        <v>0</v>
      </c>
      <c r="AY66" s="381" cm="1">
        <f t="array" ref="AY66">SUM(AY$6:AY$64*($D$6:$D$64=$D66))</f>
        <v>0</v>
      </c>
      <c r="AZ66" s="381" cm="1">
        <f t="array" ref="AZ66">SUM(AZ$6:AZ$64*($D$6:$D$64=$D66))</f>
        <v>0</v>
      </c>
      <c r="BA66" s="381" cm="1">
        <f t="array" ref="BA66">SUM(BA$6:BA$64*($D$6:$D$64=$D66))</f>
        <v>0</v>
      </c>
      <c r="BB66" s="381" cm="1">
        <f t="array" ref="BB66">SUM(BB$6:BB$64*($D$6:$D$64=$D66))</f>
        <v>0</v>
      </c>
      <c r="BC66" s="381" cm="1">
        <f t="array" ref="BC66">SUM(BC$6:BC$64*($D$6:$D$64=$D66))</f>
        <v>0</v>
      </c>
      <c r="BD66" s="381" cm="1">
        <f t="array" ref="BD66">SUM(BD$6:BD$64*($D$6:$D$64=$D66))</f>
        <v>0</v>
      </c>
      <c r="BE66" s="381" cm="1">
        <f t="array" ref="BE66">SUM(BE$6:BE$64*($D$6:$D$64=$D66))</f>
        <v>0</v>
      </c>
      <c r="BF66" s="381" cm="1">
        <f t="array" ref="BF66">SUM(BF$6:BF$64*($D$6:$D$64=$D66))</f>
        <v>0</v>
      </c>
      <c r="BG66" s="381" cm="1">
        <f t="array" ref="BG66">SUM(BG$6:BG$64*($D$6:$D$64=$D66))</f>
        <v>0</v>
      </c>
      <c r="BH66" s="381" cm="1">
        <f t="array" ref="BH66">SUM(BH$6:BH$64*($D$6:$D$64=$D66))</f>
        <v>0</v>
      </c>
      <c r="BI66" s="381" cm="1">
        <f t="array" ref="BI66">SUM(BI$6:BI$64*($D$6:$D$64=$D66))</f>
        <v>0</v>
      </c>
      <c r="BJ66" s="381" cm="1">
        <f t="array" ref="BJ66">SUM(BJ$6:BJ$64*($D$6:$D$64=$D66))</f>
        <v>0</v>
      </c>
      <c r="BK66" s="381" cm="1">
        <f t="array" ref="BK66">SUM(BK$6:BK$64*($D$6:$D$64=$D66))</f>
        <v>0</v>
      </c>
      <c r="BL66" s="381" cm="1">
        <f t="array" ref="BL66">SUM(BL$6:BL$64*($D$6:$D$64=$D66))</f>
        <v>0</v>
      </c>
      <c r="BM66" s="381" cm="1">
        <f t="array" ref="BM66">SUM(BM$6:BM$64*($D$6:$D$64=$D66))</f>
        <v>0</v>
      </c>
      <c r="BN66" s="381" cm="1">
        <f t="array" ref="BN66">SUM(BN$6:BN$64*($D$6:$D$64=$D66))</f>
        <v>0</v>
      </c>
      <c r="BO66" s="381" cm="1">
        <f t="array" ref="BO66">SUM(BO$6:BO$64*($D$6:$D$64=$D66))</f>
        <v>0</v>
      </c>
      <c r="BP66" s="381" cm="1">
        <f t="array" ref="BP66">SUM(BP$6:BP$64*($D$6:$D$64=$D66))</f>
        <v>0</v>
      </c>
      <c r="BQ66" s="381" cm="1">
        <f t="array" ref="BQ66">SUM(BQ$6:BQ$64*($D$6:$D$64=$D66))</f>
        <v>0</v>
      </c>
      <c r="BR66" s="381" cm="1">
        <f t="array" ref="BR66">SUM(BR$6:BR$64*($D$6:$D$64=$D66))</f>
        <v>0</v>
      </c>
      <c r="BS66" s="381" cm="1">
        <f t="array" ref="BS66">SUM(BS$6:BS$64*($D$6:$D$64=$D66))</f>
        <v>0</v>
      </c>
    </row>
    <row r="67" spans="3:71" x14ac:dyDescent="0.25">
      <c r="C67" s="378"/>
      <c r="D67" s="378" t="str">
        <v>Lacy Pejcinovic</v>
      </c>
      <c r="F67" s="321" t="str">
        <f>_xlfn.XLOOKUP(D67,D7:D65,F7:F65)</f>
        <v>Business Analyst</v>
      </c>
      <c r="I67" s="379">
        <f t="shared" ca="1" si="140"/>
        <v>151.9</v>
      </c>
      <c r="Y67" s="381" cm="1">
        <f t="array" ref="Y67">SUM(Y$6:Y$64*($D$6:$D$64=$D67))</f>
        <v>1.7</v>
      </c>
      <c r="Z67" s="381" cm="1">
        <f t="array" ref="Z67">SUM(Z$6:Z$64*($D$6:$D$64=$D67))</f>
        <v>1.1000000000000001</v>
      </c>
      <c r="AA67" s="381" cm="1">
        <f t="array" ref="AA67">SUM(AA$6:AA$64*($D$6:$D$64=$D67))</f>
        <v>0.7</v>
      </c>
      <c r="AB67" s="381" cm="1">
        <f t="array" ref="AB67">SUM(AB$6:AB$64*($D$6:$D$64=$D67))</f>
        <v>1</v>
      </c>
      <c r="AC67" s="381" cm="1">
        <f t="array" ref="AC67">SUM(AC$6:AC$64*($D$6:$D$64=$D67))</f>
        <v>1</v>
      </c>
      <c r="AD67" s="381" cm="1">
        <f t="array" ref="AD67">SUM(AD$6:AD$64*($D$6:$D$64=$D67))</f>
        <v>1</v>
      </c>
      <c r="AE67" s="381" cm="1">
        <f t="array" ref="AE67">SUM(AE$6:AE$64*($D$6:$D$64=$D67))</f>
        <v>1</v>
      </c>
      <c r="AF67" s="381" cm="1">
        <f t="array" ref="AF67">SUM(AF$6:AF$64*($D$6:$D$64=$D67))</f>
        <v>0</v>
      </c>
      <c r="AG67" s="381" cm="1">
        <f t="array" ref="AG67">SUM(AG$6:AG$64*($D$6:$D$64=$D67))</f>
        <v>0</v>
      </c>
      <c r="AH67" s="381" cm="1">
        <f t="array" ref="AH67">SUM(AH$6:AH$64*($D$6:$D$64=$D67))</f>
        <v>0</v>
      </c>
      <c r="AI67" s="381" cm="1">
        <f t="array" ref="AI67">SUM(AI$6:AI$64*($D$6:$D$64=$D67))</f>
        <v>0</v>
      </c>
      <c r="AJ67" s="381" cm="1">
        <f t="array" ref="AJ67">SUM(AJ$6:AJ$64*($D$6:$D$64=$D67))</f>
        <v>0</v>
      </c>
      <c r="AK67" s="381" cm="1">
        <f t="array" ref="AK67">SUM(AK$6:AK$64*($D$6:$D$64=$D67))</f>
        <v>0</v>
      </c>
      <c r="AL67" s="381" cm="1">
        <f t="array" ref="AL67">SUM(AL$6:AL$64*($D$6:$D$64=$D67))</f>
        <v>0</v>
      </c>
      <c r="AM67" s="381" cm="1">
        <f t="array" ref="AM67">SUM(AM$6:AM$64*($D$6:$D$64=$D67))</f>
        <v>0</v>
      </c>
      <c r="AN67" s="381" cm="1">
        <f t="array" ref="AN67">SUM(AN$6:AN$64*($D$6:$D$64=$D67))</f>
        <v>0</v>
      </c>
      <c r="AO67" s="381" cm="1">
        <f t="array" ref="AO67">SUM(AO$6:AO$64*($D$6:$D$64=$D67))</f>
        <v>0</v>
      </c>
      <c r="AP67" s="381" cm="1">
        <f t="array" ref="AP67">SUM(AP$6:AP$64*($D$6:$D$64=$D67))</f>
        <v>0</v>
      </c>
      <c r="AQ67" s="381" cm="1">
        <f t="array" ref="AQ67">SUM(AQ$6:AQ$64*($D$6:$D$64=$D67))</f>
        <v>0</v>
      </c>
      <c r="AR67" s="381" cm="1">
        <f t="array" ref="AR67">SUM(AR$6:AR$64*($D$6:$D$64=$D67))</f>
        <v>0</v>
      </c>
      <c r="AS67" s="381" cm="1">
        <f t="array" ref="AS67">SUM(AS$6:AS$64*($D$6:$D$64=$D67))</f>
        <v>0</v>
      </c>
      <c r="AT67" s="381" cm="1">
        <f t="array" ref="AT67">SUM(AT$6:AT$64*($D$6:$D$64=$D67))</f>
        <v>0</v>
      </c>
      <c r="AU67" s="381" cm="1">
        <f t="array" ref="AU67">SUM(AU$6:AU$64*($D$6:$D$64=$D67))</f>
        <v>0</v>
      </c>
      <c r="AV67" s="381" cm="1">
        <f t="array" ref="AV67">SUM(AV$6:AV$64*($D$6:$D$64=$D67))</f>
        <v>0</v>
      </c>
      <c r="AW67" s="381" cm="1">
        <f t="array" ref="AW67">SUM(AW$6:AW$64*($D$6:$D$64=$D67))</f>
        <v>0</v>
      </c>
      <c r="AX67" s="381" cm="1">
        <f t="array" ref="AX67">SUM(AX$6:AX$64*($D$6:$D$64=$D67))</f>
        <v>0</v>
      </c>
      <c r="AY67" s="381" cm="1">
        <f t="array" ref="AY67">SUM(AY$6:AY$64*($D$6:$D$64=$D67))</f>
        <v>0</v>
      </c>
      <c r="AZ67" s="381" cm="1">
        <f t="array" ref="AZ67">SUM(AZ$6:AZ$64*($D$6:$D$64=$D67))</f>
        <v>0</v>
      </c>
      <c r="BA67" s="381" cm="1">
        <f t="array" ref="BA67">SUM(BA$6:BA$64*($D$6:$D$64=$D67))</f>
        <v>0</v>
      </c>
      <c r="BB67" s="381" cm="1">
        <f t="array" ref="BB67">SUM(BB$6:BB$64*($D$6:$D$64=$D67))</f>
        <v>0</v>
      </c>
      <c r="BC67" s="381" cm="1">
        <f t="array" ref="BC67">SUM(BC$6:BC$64*($D$6:$D$64=$D67))</f>
        <v>0</v>
      </c>
      <c r="BD67" s="381" cm="1">
        <f t="array" ref="BD67">SUM(BD$6:BD$64*($D$6:$D$64=$D67))</f>
        <v>0</v>
      </c>
      <c r="BE67" s="381" cm="1">
        <f t="array" ref="BE67">SUM(BE$6:BE$64*($D$6:$D$64=$D67))</f>
        <v>0</v>
      </c>
      <c r="BF67" s="381" cm="1">
        <f t="array" ref="BF67">SUM(BF$6:BF$64*($D$6:$D$64=$D67))</f>
        <v>0</v>
      </c>
      <c r="BG67" s="381" cm="1">
        <f t="array" ref="BG67">SUM(BG$6:BG$64*($D$6:$D$64=$D67))</f>
        <v>0</v>
      </c>
      <c r="BH67" s="381" cm="1">
        <f t="array" ref="BH67">SUM(BH$6:BH$64*($D$6:$D$64=$D67))</f>
        <v>0</v>
      </c>
      <c r="BI67" s="381" cm="1">
        <f t="array" ref="BI67">SUM(BI$6:BI$64*($D$6:$D$64=$D67))</f>
        <v>0</v>
      </c>
      <c r="BJ67" s="381" cm="1">
        <f t="array" ref="BJ67">SUM(BJ$6:BJ$64*($D$6:$D$64=$D67))</f>
        <v>0</v>
      </c>
      <c r="BK67" s="381" cm="1">
        <f t="array" ref="BK67">SUM(BK$6:BK$64*($D$6:$D$64=$D67))</f>
        <v>0</v>
      </c>
      <c r="BL67" s="381" cm="1">
        <f t="array" ref="BL67">SUM(BL$6:BL$64*($D$6:$D$64=$D67))</f>
        <v>0</v>
      </c>
      <c r="BM67" s="381" cm="1">
        <f t="array" ref="BM67">SUM(BM$6:BM$64*($D$6:$D$64=$D67))</f>
        <v>0</v>
      </c>
      <c r="BN67" s="381" cm="1">
        <f t="array" ref="BN67">SUM(BN$6:BN$64*($D$6:$D$64=$D67))</f>
        <v>0</v>
      </c>
      <c r="BO67" s="381" cm="1">
        <f t="array" ref="BO67">SUM(BO$6:BO$64*($D$6:$D$64=$D67))</f>
        <v>0</v>
      </c>
      <c r="BP67" s="381" cm="1">
        <f t="array" ref="BP67">SUM(BP$6:BP$64*($D$6:$D$64=$D67))</f>
        <v>0</v>
      </c>
      <c r="BQ67" s="381" cm="1">
        <f t="array" ref="BQ67">SUM(BQ$6:BQ$64*($D$6:$D$64=$D67))</f>
        <v>0</v>
      </c>
      <c r="BR67" s="381" cm="1">
        <f t="array" ref="BR67">SUM(BR$6:BR$64*($D$6:$D$64=$D67))</f>
        <v>0</v>
      </c>
      <c r="BS67" s="381" cm="1">
        <f t="array" ref="BS67">SUM(BS$6:BS$64*($D$6:$D$64=$D67))</f>
        <v>0</v>
      </c>
    </row>
    <row r="68" spans="3:71" x14ac:dyDescent="0.25">
      <c r="C68" s="378"/>
      <c r="D68" s="378" t="str">
        <v>Lynne Sutherland</v>
      </c>
      <c r="F68" s="321" t="str">
        <f>_xlfn.XLOOKUP(D68,D8:D66,F8:F66)</f>
        <v>Business Analyst</v>
      </c>
      <c r="I68" s="379">
        <f t="shared" ca="1" si="140"/>
        <v>151.9</v>
      </c>
      <c r="Y68" s="381" cm="1">
        <f t="array" ref="Y68">SUM(Y$6:Y$64*($D$6:$D$64=$D68))</f>
        <v>1</v>
      </c>
      <c r="Z68" s="381" cm="1">
        <f t="array" ref="Z68">SUM(Z$6:Z$64*($D$6:$D$64=$D68))</f>
        <v>1</v>
      </c>
      <c r="AA68" s="381" cm="1">
        <f t="array" ref="AA68">SUM(AA$6:AA$64*($D$6:$D$64=$D68))</f>
        <v>1</v>
      </c>
      <c r="AB68" s="381" cm="1">
        <f t="array" ref="AB68">SUM(AB$6:AB$64*($D$6:$D$64=$D68))</f>
        <v>1</v>
      </c>
      <c r="AC68" s="381" cm="1">
        <f t="array" ref="AC68">SUM(AC$6:AC$64*($D$6:$D$64=$D68))</f>
        <v>1</v>
      </c>
      <c r="AD68" s="381" cm="1">
        <f t="array" ref="AD68">SUM(AD$6:AD$64*($D$6:$D$64=$D68))</f>
        <v>1</v>
      </c>
      <c r="AE68" s="381" cm="1">
        <f t="array" ref="AE68">SUM(AE$6:AE$64*($D$6:$D$64=$D68))</f>
        <v>1</v>
      </c>
      <c r="AF68" s="381" cm="1">
        <f t="array" ref="AF68">SUM(AF$6:AF$64*($D$6:$D$64=$D68))</f>
        <v>1</v>
      </c>
      <c r="AG68" s="381" cm="1">
        <f t="array" ref="AG68">SUM(AG$6:AG$64*($D$6:$D$64=$D68))</f>
        <v>1</v>
      </c>
      <c r="AH68" s="381" cm="1">
        <f t="array" ref="AH68">SUM(AH$6:AH$64*($D$6:$D$64=$D68))</f>
        <v>1</v>
      </c>
      <c r="AI68" s="381" cm="1">
        <f t="array" ref="AI68">SUM(AI$6:AI$64*($D$6:$D$64=$D68))</f>
        <v>1</v>
      </c>
      <c r="AJ68" s="381" cm="1">
        <f t="array" ref="AJ68">SUM(AJ$6:AJ$64*($D$6:$D$64=$D68))</f>
        <v>1</v>
      </c>
      <c r="AK68" s="381" cm="1">
        <f t="array" ref="AK68">SUM(AK$6:AK$64*($D$6:$D$64=$D68))</f>
        <v>1</v>
      </c>
      <c r="AL68" s="381" cm="1">
        <f t="array" ref="AL68">SUM(AL$6:AL$64*($D$6:$D$64=$D68))</f>
        <v>1</v>
      </c>
      <c r="AM68" s="381" cm="1">
        <f t="array" ref="AM68">SUM(AM$6:AM$64*($D$6:$D$64=$D68))</f>
        <v>1</v>
      </c>
      <c r="AN68" s="381" cm="1">
        <f t="array" ref="AN68">SUM(AN$6:AN$64*($D$6:$D$64=$D68))</f>
        <v>0</v>
      </c>
      <c r="AO68" s="381" cm="1">
        <f t="array" ref="AO68">SUM(AO$6:AO$64*($D$6:$D$64=$D68))</f>
        <v>0</v>
      </c>
      <c r="AP68" s="381" cm="1">
        <f t="array" ref="AP68">SUM(AP$6:AP$64*($D$6:$D$64=$D68))</f>
        <v>0</v>
      </c>
      <c r="AQ68" s="381" cm="1">
        <f t="array" ref="AQ68">SUM(AQ$6:AQ$64*($D$6:$D$64=$D68))</f>
        <v>0</v>
      </c>
      <c r="AR68" s="381" cm="1">
        <f t="array" ref="AR68">SUM(AR$6:AR$64*($D$6:$D$64=$D68))</f>
        <v>0</v>
      </c>
      <c r="AS68" s="381" cm="1">
        <f t="array" ref="AS68">SUM(AS$6:AS$64*($D$6:$D$64=$D68))</f>
        <v>0</v>
      </c>
      <c r="AT68" s="381" cm="1">
        <f t="array" ref="AT68">SUM(AT$6:AT$64*($D$6:$D$64=$D68))</f>
        <v>0</v>
      </c>
      <c r="AU68" s="381" cm="1">
        <f t="array" ref="AU68">SUM(AU$6:AU$64*($D$6:$D$64=$D68))</f>
        <v>0</v>
      </c>
      <c r="AV68" s="381" cm="1">
        <f t="array" ref="AV68">SUM(AV$6:AV$64*($D$6:$D$64=$D68))</f>
        <v>0</v>
      </c>
      <c r="AW68" s="381" cm="1">
        <f t="array" ref="AW68">SUM(AW$6:AW$64*($D$6:$D$64=$D68))</f>
        <v>0</v>
      </c>
      <c r="AX68" s="381" cm="1">
        <f t="array" ref="AX68">SUM(AX$6:AX$64*($D$6:$D$64=$D68))</f>
        <v>0</v>
      </c>
      <c r="AY68" s="381" cm="1">
        <f t="array" ref="AY68">SUM(AY$6:AY$64*($D$6:$D$64=$D68))</f>
        <v>0</v>
      </c>
      <c r="AZ68" s="381" cm="1">
        <f t="array" ref="AZ68">SUM(AZ$6:AZ$64*($D$6:$D$64=$D68))</f>
        <v>0</v>
      </c>
      <c r="BA68" s="381" cm="1">
        <f t="array" ref="BA68">SUM(BA$6:BA$64*($D$6:$D$64=$D68))</f>
        <v>0</v>
      </c>
      <c r="BB68" s="381" cm="1">
        <f t="array" ref="BB68">SUM(BB$6:BB$64*($D$6:$D$64=$D68))</f>
        <v>0</v>
      </c>
      <c r="BC68" s="381" cm="1">
        <f t="array" ref="BC68">SUM(BC$6:BC$64*($D$6:$D$64=$D68))</f>
        <v>0</v>
      </c>
      <c r="BD68" s="381" cm="1">
        <f t="array" ref="BD68">SUM(BD$6:BD$64*($D$6:$D$64=$D68))</f>
        <v>0</v>
      </c>
      <c r="BE68" s="381" cm="1">
        <f t="array" ref="BE68">SUM(BE$6:BE$64*($D$6:$D$64=$D68))</f>
        <v>0</v>
      </c>
      <c r="BF68" s="381" cm="1">
        <f t="array" ref="BF68">SUM(BF$6:BF$64*($D$6:$D$64=$D68))</f>
        <v>0</v>
      </c>
      <c r="BG68" s="381" cm="1">
        <f t="array" ref="BG68">SUM(BG$6:BG$64*($D$6:$D$64=$D68))</f>
        <v>0</v>
      </c>
      <c r="BH68" s="381" cm="1">
        <f t="array" ref="BH68">SUM(BH$6:BH$64*($D$6:$D$64=$D68))</f>
        <v>0</v>
      </c>
      <c r="BI68" s="381" cm="1">
        <f t="array" ref="BI68">SUM(BI$6:BI$64*($D$6:$D$64=$D68))</f>
        <v>0</v>
      </c>
      <c r="BJ68" s="381" cm="1">
        <f t="array" ref="BJ68">SUM(BJ$6:BJ$64*($D$6:$D$64=$D68))</f>
        <v>0</v>
      </c>
      <c r="BK68" s="381" cm="1">
        <f t="array" ref="BK68">SUM(BK$6:BK$64*($D$6:$D$64=$D68))</f>
        <v>0</v>
      </c>
      <c r="BL68" s="381" cm="1">
        <f t="array" ref="BL68">SUM(BL$6:BL$64*($D$6:$D$64=$D68))</f>
        <v>0</v>
      </c>
      <c r="BM68" s="381" cm="1">
        <f t="array" ref="BM68">SUM(BM$6:BM$64*($D$6:$D$64=$D68))</f>
        <v>0</v>
      </c>
      <c r="BN68" s="381" cm="1">
        <f t="array" ref="BN68">SUM(BN$6:BN$64*($D$6:$D$64=$D68))</f>
        <v>0</v>
      </c>
      <c r="BO68" s="381" cm="1">
        <f t="array" ref="BO68">SUM(BO$6:BO$64*($D$6:$D$64=$D68))</f>
        <v>0</v>
      </c>
      <c r="BP68" s="381" cm="1">
        <f t="array" ref="BP68">SUM(BP$6:BP$64*($D$6:$D$64=$D68))</f>
        <v>0</v>
      </c>
      <c r="BQ68" s="381" cm="1">
        <f t="array" ref="BQ68">SUM(BQ$6:BQ$64*($D$6:$D$64=$D68))</f>
        <v>0</v>
      </c>
      <c r="BR68" s="381" cm="1">
        <f t="array" ref="BR68">SUM(BR$6:BR$64*($D$6:$D$64=$D68))</f>
        <v>0</v>
      </c>
      <c r="BS68" s="381" cm="1">
        <f t="array" ref="BS68">SUM(BS$6:BS$64*($D$6:$D$64=$D68))</f>
        <v>0</v>
      </c>
    </row>
    <row r="69" spans="3:71" x14ac:dyDescent="0.25">
      <c r="C69" s="378"/>
      <c r="D69" s="378" t="str">
        <v>Hadas Yehezkel</v>
      </c>
      <c r="F69" s="321" t="str">
        <f>_xlfn.XLOOKUP(D69,D9:D67,F9:F67)</f>
        <v>ServiceNow Architect</v>
      </c>
      <c r="I69" s="379">
        <f t="shared" ca="1" si="140"/>
        <v>237</v>
      </c>
      <c r="Y69" s="381" cm="1">
        <f t="array" ref="Y69">SUM(Y$6:Y$64*($D$6:$D$64=$D69))</f>
        <v>0.7</v>
      </c>
      <c r="Z69" s="381" cm="1">
        <f t="array" ref="Z69">SUM(Z$6:Z$64*($D$6:$D$64=$D69))</f>
        <v>0.5</v>
      </c>
      <c r="AA69" s="381" cm="1">
        <f t="array" ref="AA69">SUM(AA$6:AA$64*($D$6:$D$64=$D69))</f>
        <v>0.5</v>
      </c>
      <c r="AB69" s="381" cm="1">
        <f t="array" ref="AB69">SUM(AB$6:AB$64*($D$6:$D$64=$D69))</f>
        <v>1</v>
      </c>
      <c r="AC69" s="381" cm="1">
        <f t="array" ref="AC69">SUM(AC$6:AC$64*($D$6:$D$64=$D69))</f>
        <v>0.25</v>
      </c>
      <c r="AD69" s="381" cm="1">
        <f t="array" ref="AD69">SUM(AD$6:AD$64*($D$6:$D$64=$D69))</f>
        <v>0.25</v>
      </c>
      <c r="AE69" s="381" cm="1">
        <f t="array" ref="AE69">SUM(AE$6:AE$64*($D$6:$D$64=$D69))</f>
        <v>0.25</v>
      </c>
      <c r="AF69" s="381" cm="1">
        <f t="array" ref="AF69">SUM(AF$6:AF$64*($D$6:$D$64=$D69))</f>
        <v>0.5</v>
      </c>
      <c r="AG69" s="381" cm="1">
        <f t="array" ref="AG69">SUM(AG$6:AG$64*($D$6:$D$64=$D69))</f>
        <v>0.5</v>
      </c>
      <c r="AH69" s="381" cm="1">
        <f t="array" ref="AH69">SUM(AH$6:AH$64*($D$6:$D$64=$D69))</f>
        <v>0.5</v>
      </c>
      <c r="AI69" s="381" cm="1">
        <f t="array" ref="AI69">SUM(AI$6:AI$64*($D$6:$D$64=$D69))</f>
        <v>0.5</v>
      </c>
      <c r="AJ69" s="381" cm="1">
        <f t="array" ref="AJ69">SUM(AJ$6:AJ$64*($D$6:$D$64=$D69))</f>
        <v>0.5</v>
      </c>
      <c r="AK69" s="381" cm="1">
        <f t="array" ref="AK69">SUM(AK$6:AK$64*($D$6:$D$64=$D69))</f>
        <v>0.5</v>
      </c>
      <c r="AL69" s="381" cm="1">
        <f t="array" ref="AL69">SUM(AL$6:AL$64*($D$6:$D$64=$D69))</f>
        <v>0.5</v>
      </c>
      <c r="AM69" s="381" cm="1">
        <f t="array" ref="AM69">SUM(AM$6:AM$64*($D$6:$D$64=$D69))</f>
        <v>0.5</v>
      </c>
      <c r="AN69" s="381" cm="1">
        <f t="array" ref="AN69">SUM(AN$6:AN$64*($D$6:$D$64=$D69))</f>
        <v>0</v>
      </c>
      <c r="AO69" s="381" cm="1">
        <f t="array" ref="AO69">SUM(AO$6:AO$64*($D$6:$D$64=$D69))</f>
        <v>0</v>
      </c>
      <c r="AP69" s="381" cm="1">
        <f t="array" ref="AP69">SUM(AP$6:AP$64*($D$6:$D$64=$D69))</f>
        <v>0</v>
      </c>
      <c r="AQ69" s="381" cm="1">
        <f t="array" ref="AQ69">SUM(AQ$6:AQ$64*($D$6:$D$64=$D69))</f>
        <v>0</v>
      </c>
      <c r="AR69" s="381" cm="1">
        <f t="array" ref="AR69">SUM(AR$6:AR$64*($D$6:$D$64=$D69))</f>
        <v>0</v>
      </c>
      <c r="AS69" s="381" cm="1">
        <f t="array" ref="AS69">SUM(AS$6:AS$64*($D$6:$D$64=$D69))</f>
        <v>0</v>
      </c>
      <c r="AT69" s="381" cm="1">
        <f t="array" ref="AT69">SUM(AT$6:AT$64*($D$6:$D$64=$D69))</f>
        <v>0</v>
      </c>
      <c r="AU69" s="381" cm="1">
        <f t="array" ref="AU69">SUM(AU$6:AU$64*($D$6:$D$64=$D69))</f>
        <v>0</v>
      </c>
      <c r="AV69" s="381" cm="1">
        <f t="array" ref="AV69">SUM(AV$6:AV$64*($D$6:$D$64=$D69))</f>
        <v>0</v>
      </c>
      <c r="AW69" s="381" cm="1">
        <f t="array" ref="AW69">SUM(AW$6:AW$64*($D$6:$D$64=$D69))</f>
        <v>0</v>
      </c>
      <c r="AX69" s="381" cm="1">
        <f t="array" ref="AX69">SUM(AX$6:AX$64*($D$6:$D$64=$D69))</f>
        <v>0</v>
      </c>
      <c r="AY69" s="381" cm="1">
        <f t="array" ref="AY69">SUM(AY$6:AY$64*($D$6:$D$64=$D69))</f>
        <v>0</v>
      </c>
      <c r="AZ69" s="381" cm="1">
        <f t="array" ref="AZ69">SUM(AZ$6:AZ$64*($D$6:$D$64=$D69))</f>
        <v>0</v>
      </c>
      <c r="BA69" s="381" cm="1">
        <f t="array" ref="BA69">SUM(BA$6:BA$64*($D$6:$D$64=$D69))</f>
        <v>0</v>
      </c>
      <c r="BB69" s="381" cm="1">
        <f t="array" ref="BB69">SUM(BB$6:BB$64*($D$6:$D$64=$D69))</f>
        <v>0</v>
      </c>
      <c r="BC69" s="381" cm="1">
        <f t="array" ref="BC69">SUM(BC$6:BC$64*($D$6:$D$64=$D69))</f>
        <v>0</v>
      </c>
      <c r="BD69" s="381" cm="1">
        <f t="array" ref="BD69">SUM(BD$6:BD$64*($D$6:$D$64=$D69))</f>
        <v>0</v>
      </c>
      <c r="BE69" s="381" cm="1">
        <f t="array" ref="BE69">SUM(BE$6:BE$64*($D$6:$D$64=$D69))</f>
        <v>0</v>
      </c>
      <c r="BF69" s="381" cm="1">
        <f t="array" ref="BF69">SUM(BF$6:BF$64*($D$6:$D$64=$D69))</f>
        <v>0</v>
      </c>
      <c r="BG69" s="381" cm="1">
        <f t="array" ref="BG69">SUM(BG$6:BG$64*($D$6:$D$64=$D69))</f>
        <v>0</v>
      </c>
      <c r="BH69" s="381" cm="1">
        <f t="array" ref="BH69">SUM(BH$6:BH$64*($D$6:$D$64=$D69))</f>
        <v>0</v>
      </c>
      <c r="BI69" s="381" cm="1">
        <f t="array" ref="BI69">SUM(BI$6:BI$64*($D$6:$D$64=$D69))</f>
        <v>0</v>
      </c>
      <c r="BJ69" s="381" cm="1">
        <f t="array" ref="BJ69">SUM(BJ$6:BJ$64*($D$6:$D$64=$D69))</f>
        <v>0</v>
      </c>
      <c r="BK69" s="381" cm="1">
        <f t="array" ref="BK69">SUM(BK$6:BK$64*($D$6:$D$64=$D69))</f>
        <v>0</v>
      </c>
      <c r="BL69" s="381" cm="1">
        <f t="array" ref="BL69">SUM(BL$6:BL$64*($D$6:$D$64=$D69))</f>
        <v>0</v>
      </c>
      <c r="BM69" s="381" cm="1">
        <f t="array" ref="BM69">SUM(BM$6:BM$64*($D$6:$D$64=$D69))</f>
        <v>0</v>
      </c>
      <c r="BN69" s="381" cm="1">
        <f t="array" ref="BN69">SUM(BN$6:BN$64*($D$6:$D$64=$D69))</f>
        <v>0</v>
      </c>
      <c r="BO69" s="381" cm="1">
        <f t="array" ref="BO69">SUM(BO$6:BO$64*($D$6:$D$64=$D69))</f>
        <v>0</v>
      </c>
      <c r="BP69" s="381" cm="1">
        <f t="array" ref="BP69">SUM(BP$6:BP$64*($D$6:$D$64=$D69))</f>
        <v>0</v>
      </c>
      <c r="BQ69" s="381" cm="1">
        <f t="array" ref="BQ69">SUM(BQ$6:BQ$64*($D$6:$D$64=$D69))</f>
        <v>0</v>
      </c>
      <c r="BR69" s="381" cm="1">
        <f t="array" ref="BR69">SUM(BR$6:BR$64*($D$6:$D$64=$D69))</f>
        <v>0</v>
      </c>
      <c r="BS69" s="381" cm="1">
        <f t="array" ref="BS69">SUM(BS$6:BS$64*($D$6:$D$64=$D69))</f>
        <v>0</v>
      </c>
    </row>
    <row r="70" spans="3:71" x14ac:dyDescent="0.25">
      <c r="C70" s="378"/>
      <c r="D70" s="378" t="str">
        <v>Bradley Burge</v>
      </c>
      <c r="F70" s="321" t="str">
        <f>_xlfn.XLOOKUP(D70,D10:D68,F10:F68)</f>
        <v>Lead ServiceNow Developer</v>
      </c>
      <c r="I70" s="379">
        <f t="shared" ca="1" si="140"/>
        <v>207.39999999999998</v>
      </c>
      <c r="Y70" s="381" cm="1">
        <f t="array" ref="Y70">SUM(Y$6:Y$64*($D$6:$D$64=$D70))</f>
        <v>0</v>
      </c>
      <c r="Z70" s="381" cm="1">
        <f t="array" ref="Z70">SUM(Z$6:Z$64*($D$6:$D$64=$D70))</f>
        <v>0</v>
      </c>
      <c r="AA70" s="381" cm="1">
        <f t="array" ref="AA70">SUM(AA$6:AA$64*($D$6:$D$64=$D70))</f>
        <v>0.5</v>
      </c>
      <c r="AB70" s="381" cm="1">
        <f t="array" ref="AB70">SUM(AB$6:AB$64*($D$6:$D$64=$D70))</f>
        <v>1.5</v>
      </c>
      <c r="AC70" s="381" cm="1">
        <f t="array" ref="AC70">SUM(AC$6:AC$64*($D$6:$D$64=$D70))</f>
        <v>1</v>
      </c>
      <c r="AD70" s="381" cm="1">
        <f t="array" ref="AD70">SUM(AD$6:AD$64*($D$6:$D$64=$D70))</f>
        <v>1</v>
      </c>
      <c r="AE70" s="381" cm="1">
        <f t="array" ref="AE70">SUM(AE$6:AE$64*($D$6:$D$64=$D70))</f>
        <v>1</v>
      </c>
      <c r="AF70" s="381" cm="1">
        <f t="array" ref="AF70">SUM(AF$6:AF$64*($D$6:$D$64=$D70))</f>
        <v>1</v>
      </c>
      <c r="AG70" s="381" cm="1">
        <f t="array" ref="AG70">SUM(AG$6:AG$64*($D$6:$D$64=$D70))</f>
        <v>1</v>
      </c>
      <c r="AH70" s="381" cm="1">
        <f t="array" ref="AH70">SUM(AH$6:AH$64*($D$6:$D$64=$D70))</f>
        <v>1</v>
      </c>
      <c r="AI70" s="381" cm="1">
        <f t="array" ref="AI70">SUM(AI$6:AI$64*($D$6:$D$64=$D70))</f>
        <v>1</v>
      </c>
      <c r="AJ70" s="381" cm="1">
        <f t="array" ref="AJ70">SUM(AJ$6:AJ$64*($D$6:$D$64=$D70))</f>
        <v>1</v>
      </c>
      <c r="AK70" s="381" cm="1">
        <f t="array" ref="AK70">SUM(AK$6:AK$64*($D$6:$D$64=$D70))</f>
        <v>1</v>
      </c>
      <c r="AL70" s="381" cm="1">
        <f t="array" ref="AL70">SUM(AL$6:AL$64*($D$6:$D$64=$D70))</f>
        <v>1</v>
      </c>
      <c r="AM70" s="381" cm="1">
        <f t="array" ref="AM70">SUM(AM$6:AM$64*($D$6:$D$64=$D70))</f>
        <v>1</v>
      </c>
      <c r="AN70" s="381" cm="1">
        <f t="array" ref="AN70">SUM(AN$6:AN$64*($D$6:$D$64=$D70))</f>
        <v>1</v>
      </c>
      <c r="AO70" s="381" cm="1">
        <f t="array" ref="AO70">SUM(AO$6:AO$64*($D$6:$D$64=$D70))</f>
        <v>1</v>
      </c>
      <c r="AP70" s="381" cm="1">
        <f t="array" ref="AP70">SUM(AP$6:AP$64*($D$6:$D$64=$D70))</f>
        <v>1</v>
      </c>
      <c r="AQ70" s="381" cm="1">
        <f t="array" ref="AQ70">SUM(AQ$6:AQ$64*($D$6:$D$64=$D70))</f>
        <v>1</v>
      </c>
      <c r="AR70" s="381" cm="1">
        <f t="array" ref="AR70">SUM(AR$6:AR$64*($D$6:$D$64=$D70))</f>
        <v>1</v>
      </c>
      <c r="AS70" s="381" cm="1">
        <f t="array" ref="AS70">SUM(AS$6:AS$64*($D$6:$D$64=$D70))</f>
        <v>1</v>
      </c>
      <c r="AT70" s="381" cm="1">
        <f t="array" ref="AT70">SUM(AT$6:AT$64*($D$6:$D$64=$D70))</f>
        <v>1</v>
      </c>
      <c r="AU70" s="381" cm="1">
        <f t="array" ref="AU70">SUM(AU$6:AU$64*($D$6:$D$64=$D70))</f>
        <v>1</v>
      </c>
      <c r="AV70" s="381" cm="1">
        <f t="array" ref="AV70">SUM(AV$6:AV$64*($D$6:$D$64=$D70))</f>
        <v>0</v>
      </c>
      <c r="AW70" s="381" cm="1">
        <f t="array" ref="AW70">SUM(AW$6:AW$64*($D$6:$D$64=$D70))</f>
        <v>0</v>
      </c>
      <c r="AX70" s="381" cm="1">
        <f t="array" ref="AX70">SUM(AX$6:AX$64*($D$6:$D$64=$D70))</f>
        <v>0</v>
      </c>
      <c r="AY70" s="381" cm="1">
        <f t="array" ref="AY70">SUM(AY$6:AY$64*($D$6:$D$64=$D70))</f>
        <v>0</v>
      </c>
      <c r="AZ70" s="381" cm="1">
        <f t="array" ref="AZ70">SUM(AZ$6:AZ$64*($D$6:$D$64=$D70))</f>
        <v>0</v>
      </c>
      <c r="BA70" s="381" cm="1">
        <f t="array" ref="BA70">SUM(BA$6:BA$64*($D$6:$D$64=$D70))</f>
        <v>0</v>
      </c>
      <c r="BB70" s="381" cm="1">
        <f t="array" ref="BB70">SUM(BB$6:BB$64*($D$6:$D$64=$D70))</f>
        <v>0</v>
      </c>
      <c r="BC70" s="381" cm="1">
        <f t="array" ref="BC70">SUM(BC$6:BC$64*($D$6:$D$64=$D70))</f>
        <v>0</v>
      </c>
      <c r="BD70" s="381" cm="1">
        <f t="array" ref="BD70">SUM(BD$6:BD$64*($D$6:$D$64=$D70))</f>
        <v>0</v>
      </c>
      <c r="BE70" s="381" cm="1">
        <f t="array" ref="BE70">SUM(BE$6:BE$64*($D$6:$D$64=$D70))</f>
        <v>0</v>
      </c>
      <c r="BF70" s="381" cm="1">
        <f t="array" ref="BF70">SUM(BF$6:BF$64*($D$6:$D$64=$D70))</f>
        <v>0</v>
      </c>
      <c r="BG70" s="381" cm="1">
        <f t="array" ref="BG70">SUM(BG$6:BG$64*($D$6:$D$64=$D70))</f>
        <v>0</v>
      </c>
      <c r="BH70" s="381" cm="1">
        <f t="array" ref="BH70">SUM(BH$6:BH$64*($D$6:$D$64=$D70))</f>
        <v>0</v>
      </c>
      <c r="BI70" s="381" cm="1">
        <f t="array" ref="BI70">SUM(BI$6:BI$64*($D$6:$D$64=$D70))</f>
        <v>0</v>
      </c>
      <c r="BJ70" s="381" cm="1">
        <f t="array" ref="BJ70">SUM(BJ$6:BJ$64*($D$6:$D$64=$D70))</f>
        <v>0</v>
      </c>
      <c r="BK70" s="381" cm="1">
        <f t="array" ref="BK70">SUM(BK$6:BK$64*($D$6:$D$64=$D70))</f>
        <v>0</v>
      </c>
      <c r="BL70" s="381" cm="1">
        <f t="array" ref="BL70">SUM(BL$6:BL$64*($D$6:$D$64=$D70))</f>
        <v>0</v>
      </c>
      <c r="BM70" s="381" cm="1">
        <f t="array" ref="BM70">SUM(BM$6:BM$64*($D$6:$D$64=$D70))</f>
        <v>0</v>
      </c>
      <c r="BN70" s="381" cm="1">
        <f t="array" ref="BN70">SUM(BN$6:BN$64*($D$6:$D$64=$D70))</f>
        <v>0</v>
      </c>
      <c r="BO70" s="381" cm="1">
        <f t="array" ref="BO70">SUM(BO$6:BO$64*($D$6:$D$64=$D70))</f>
        <v>0</v>
      </c>
      <c r="BP70" s="381" cm="1">
        <f t="array" ref="BP70">SUM(BP$6:BP$64*($D$6:$D$64=$D70))</f>
        <v>0</v>
      </c>
      <c r="BQ70" s="381" cm="1">
        <f t="array" ref="BQ70">SUM(BQ$6:BQ$64*($D$6:$D$64=$D70))</f>
        <v>0</v>
      </c>
      <c r="BR70" s="381" cm="1">
        <f t="array" ref="BR70">SUM(BR$6:BR$64*($D$6:$D$64=$D70))</f>
        <v>0</v>
      </c>
      <c r="BS70" s="381" cm="1">
        <f t="array" ref="BS70">SUM(BS$6:BS$64*($D$6:$D$64=$D70))</f>
        <v>0</v>
      </c>
    </row>
    <row r="71" spans="3:71" x14ac:dyDescent="0.25">
      <c r="C71" s="378"/>
      <c r="D71" s="378" t="str">
        <v>Michelle Chant</v>
      </c>
      <c r="F71" s="321" t="str">
        <f>_xlfn.XLOOKUP(D71,D11:D69,F11:F69)</f>
        <v>Change Manager</v>
      </c>
      <c r="I71" s="379">
        <f t="shared" ca="1" si="140"/>
        <v>151.9</v>
      </c>
      <c r="Y71" s="381" cm="1">
        <f t="array" ref="Y71">SUM(Y$6:Y$64*($D$6:$D$64=$D71))</f>
        <v>0.2</v>
      </c>
      <c r="Z71" s="381" cm="1">
        <f t="array" ref="Z71">SUM(Z$6:Z$64*($D$6:$D$64=$D71))</f>
        <v>0.3</v>
      </c>
      <c r="AA71" s="381" cm="1">
        <f t="array" ref="AA71">SUM(AA$6:AA$64*($D$6:$D$64=$D71))</f>
        <v>0.85</v>
      </c>
      <c r="AB71" s="381" cm="1">
        <f t="array" ref="AB71">SUM(AB$6:AB$64*($D$6:$D$64=$D71))</f>
        <v>0.2</v>
      </c>
      <c r="AC71" s="381" cm="1">
        <f t="array" ref="AC71">SUM(AC$6:AC$64*($D$6:$D$64=$D71))</f>
        <v>0</v>
      </c>
      <c r="AD71" s="381" cm="1">
        <f t="array" ref="AD71">SUM(AD$6:AD$64*($D$6:$D$64=$D71))</f>
        <v>0</v>
      </c>
      <c r="AE71" s="381" cm="1">
        <f t="array" ref="AE71">SUM(AE$6:AE$64*($D$6:$D$64=$D71))</f>
        <v>0</v>
      </c>
      <c r="AF71" s="381" cm="1">
        <f t="array" ref="AF71">SUM(AF$6:AF$64*($D$6:$D$64=$D71))</f>
        <v>0</v>
      </c>
      <c r="AG71" s="381" cm="1">
        <f t="array" ref="AG71">SUM(AG$6:AG$64*($D$6:$D$64=$D71))</f>
        <v>1</v>
      </c>
      <c r="AH71" s="381" cm="1">
        <f t="array" ref="AH71">SUM(AH$6:AH$64*($D$6:$D$64=$D71))</f>
        <v>1</v>
      </c>
      <c r="AI71" s="381" cm="1">
        <f t="array" ref="AI71">SUM(AI$6:AI$64*($D$6:$D$64=$D71))</f>
        <v>1</v>
      </c>
      <c r="AJ71" s="381" cm="1">
        <f t="array" ref="AJ71">SUM(AJ$6:AJ$64*($D$6:$D$64=$D71))</f>
        <v>1</v>
      </c>
      <c r="AK71" s="381" cm="1">
        <f t="array" ref="AK71">SUM(AK$6:AK$64*($D$6:$D$64=$D71))</f>
        <v>1</v>
      </c>
      <c r="AL71" s="381" cm="1">
        <f t="array" ref="AL71">SUM(AL$6:AL$64*($D$6:$D$64=$D71))</f>
        <v>1</v>
      </c>
      <c r="AM71" s="381" cm="1">
        <f t="array" ref="AM71">SUM(AM$6:AM$64*($D$6:$D$64=$D71))</f>
        <v>1</v>
      </c>
      <c r="AN71" s="381" cm="1">
        <f t="array" ref="AN71">SUM(AN$6:AN$64*($D$6:$D$64=$D71))</f>
        <v>0.5</v>
      </c>
      <c r="AO71" s="381" cm="1">
        <f t="array" ref="AO71">SUM(AO$6:AO$64*($D$6:$D$64=$D71))</f>
        <v>0.5</v>
      </c>
      <c r="AP71" s="381" cm="1">
        <f t="array" ref="AP71">SUM(AP$6:AP$64*($D$6:$D$64=$D71))</f>
        <v>0.5</v>
      </c>
      <c r="AQ71" s="381" cm="1">
        <f t="array" ref="AQ71">SUM(AQ$6:AQ$64*($D$6:$D$64=$D71))</f>
        <v>0.5</v>
      </c>
      <c r="AR71" s="381" cm="1">
        <f t="array" ref="AR71">SUM(AR$6:AR$64*($D$6:$D$64=$D71))</f>
        <v>0</v>
      </c>
      <c r="AS71" s="381" cm="1">
        <f t="array" ref="AS71">SUM(AS$6:AS$64*($D$6:$D$64=$D71))</f>
        <v>0</v>
      </c>
      <c r="AT71" s="381" cm="1">
        <f t="array" ref="AT71">SUM(AT$6:AT$64*($D$6:$D$64=$D71))</f>
        <v>0</v>
      </c>
      <c r="AU71" s="381" cm="1">
        <f t="array" ref="AU71">SUM(AU$6:AU$64*($D$6:$D$64=$D71))</f>
        <v>0</v>
      </c>
      <c r="AV71" s="381" cm="1">
        <f t="array" ref="AV71">SUM(AV$6:AV$64*($D$6:$D$64=$D71))</f>
        <v>0</v>
      </c>
      <c r="AW71" s="381" cm="1">
        <f t="array" ref="AW71">SUM(AW$6:AW$64*($D$6:$D$64=$D71))</f>
        <v>0</v>
      </c>
      <c r="AX71" s="381" cm="1">
        <f t="array" ref="AX71">SUM(AX$6:AX$64*($D$6:$D$64=$D71))</f>
        <v>0</v>
      </c>
      <c r="AY71" s="381" cm="1">
        <f t="array" ref="AY71">SUM(AY$6:AY$64*($D$6:$D$64=$D71))</f>
        <v>0</v>
      </c>
      <c r="AZ71" s="381" cm="1">
        <f t="array" ref="AZ71">SUM(AZ$6:AZ$64*($D$6:$D$64=$D71))</f>
        <v>0</v>
      </c>
      <c r="BA71" s="381" cm="1">
        <f t="array" ref="BA71">SUM(BA$6:BA$64*($D$6:$D$64=$D71))</f>
        <v>0</v>
      </c>
      <c r="BB71" s="381" cm="1">
        <f t="array" ref="BB71">SUM(BB$6:BB$64*($D$6:$D$64=$D71))</f>
        <v>0</v>
      </c>
      <c r="BC71" s="381" cm="1">
        <f t="array" ref="BC71">SUM(BC$6:BC$64*($D$6:$D$64=$D71))</f>
        <v>0</v>
      </c>
      <c r="BD71" s="381" cm="1">
        <f t="array" ref="BD71">SUM(BD$6:BD$64*($D$6:$D$64=$D71))</f>
        <v>0</v>
      </c>
      <c r="BE71" s="381" cm="1">
        <f t="array" ref="BE71">SUM(BE$6:BE$64*($D$6:$D$64=$D71))</f>
        <v>0</v>
      </c>
      <c r="BF71" s="381" cm="1">
        <f t="array" ref="BF71">SUM(BF$6:BF$64*($D$6:$D$64=$D71))</f>
        <v>0</v>
      </c>
      <c r="BG71" s="381" cm="1">
        <f t="array" ref="BG71">SUM(BG$6:BG$64*($D$6:$D$64=$D71))</f>
        <v>0</v>
      </c>
      <c r="BH71" s="381" cm="1">
        <f t="array" ref="BH71">SUM(BH$6:BH$64*($D$6:$D$64=$D71))</f>
        <v>0</v>
      </c>
      <c r="BI71" s="381" cm="1">
        <f t="array" ref="BI71">SUM(BI$6:BI$64*($D$6:$D$64=$D71))</f>
        <v>0</v>
      </c>
      <c r="BJ71" s="381" cm="1">
        <f t="array" ref="BJ71">SUM(BJ$6:BJ$64*($D$6:$D$64=$D71))</f>
        <v>0</v>
      </c>
      <c r="BK71" s="381" cm="1">
        <f t="array" ref="BK71">SUM(BK$6:BK$64*($D$6:$D$64=$D71))</f>
        <v>0</v>
      </c>
      <c r="BL71" s="381" cm="1">
        <f t="array" ref="BL71">SUM(BL$6:BL$64*($D$6:$D$64=$D71))</f>
        <v>0</v>
      </c>
      <c r="BM71" s="381" cm="1">
        <f t="array" ref="BM71">SUM(BM$6:BM$64*($D$6:$D$64=$D71))</f>
        <v>0</v>
      </c>
      <c r="BN71" s="381" cm="1">
        <f t="array" ref="BN71">SUM(BN$6:BN$64*($D$6:$D$64=$D71))</f>
        <v>0</v>
      </c>
      <c r="BO71" s="381" cm="1">
        <f t="array" ref="BO71">SUM(BO$6:BO$64*($D$6:$D$64=$D71))</f>
        <v>0</v>
      </c>
      <c r="BP71" s="381" cm="1">
        <f t="array" ref="BP71">SUM(BP$6:BP$64*($D$6:$D$64=$D71))</f>
        <v>0</v>
      </c>
      <c r="BQ71" s="381" cm="1">
        <f t="array" ref="BQ71">SUM(BQ$6:BQ$64*($D$6:$D$64=$D71))</f>
        <v>0</v>
      </c>
      <c r="BR71" s="381" cm="1">
        <f t="array" ref="BR71">SUM(BR$6:BR$64*($D$6:$D$64=$D71))</f>
        <v>0</v>
      </c>
      <c r="BS71" s="381" cm="1">
        <f t="array" ref="BS71">SUM(BS$6:BS$64*($D$6:$D$64=$D71))</f>
        <v>0</v>
      </c>
    </row>
    <row r="72" spans="3:71" x14ac:dyDescent="0.25">
      <c r="D72" s="321" t="str">
        <v>Phani Gollamudi</v>
      </c>
      <c r="F72" s="321" t="str">
        <f>_xlfn.XLOOKUP(D72,D12:D70,F12:F70)</f>
        <v>ServiceNow Developer</v>
      </c>
      <c r="I72" s="379">
        <f t="shared" ca="1" si="140"/>
        <v>0</v>
      </c>
      <c r="Y72" s="381" cm="1">
        <f t="array" ref="Y72">SUM(Y$6:Y$64*($D$6:$D$64=$D72))</f>
        <v>0.25</v>
      </c>
      <c r="Z72" s="381" cm="1">
        <f t="array" ref="Z72">SUM(Z$6:Z$64*($D$6:$D$64=$D72))</f>
        <v>0.56999999999999995</v>
      </c>
      <c r="AA72" s="381" cm="1">
        <f t="array" ref="AA72">SUM(AA$6:AA$64*($D$6:$D$64=$D72))</f>
        <v>0.5</v>
      </c>
      <c r="AB72" s="381" cm="1">
        <f t="array" ref="AB72">SUM(AB$6:AB$64*($D$6:$D$64=$D72))</f>
        <v>1.5</v>
      </c>
      <c r="AC72" s="381" cm="1">
        <f t="array" ref="AC72">SUM(AC$6:AC$64*($D$6:$D$64=$D72))</f>
        <v>1</v>
      </c>
      <c r="AD72" s="381" cm="1">
        <f t="array" ref="AD72">SUM(AD$6:AD$64*($D$6:$D$64=$D72))</f>
        <v>1</v>
      </c>
      <c r="AE72" s="381" cm="1">
        <f t="array" ref="AE72">SUM(AE$6:AE$64*($D$6:$D$64=$D72))</f>
        <v>1</v>
      </c>
      <c r="AF72" s="381" cm="1">
        <f t="array" ref="AF72">SUM(AF$6:AF$64*($D$6:$D$64=$D72))</f>
        <v>1</v>
      </c>
      <c r="AG72" s="381" cm="1">
        <f t="array" ref="AG72">SUM(AG$6:AG$64*($D$6:$D$64=$D72))</f>
        <v>1</v>
      </c>
      <c r="AH72" s="381" cm="1">
        <f t="array" ref="AH72">SUM(AH$6:AH$64*($D$6:$D$64=$D72))</f>
        <v>1</v>
      </c>
      <c r="AI72" s="381" cm="1">
        <f t="array" ref="AI72">SUM(AI$6:AI$64*($D$6:$D$64=$D72))</f>
        <v>1</v>
      </c>
      <c r="AJ72" s="381" cm="1">
        <f t="array" ref="AJ72">SUM(AJ$6:AJ$64*($D$6:$D$64=$D72))</f>
        <v>1</v>
      </c>
      <c r="AK72" s="381" cm="1">
        <f t="array" ref="AK72">SUM(AK$6:AK$64*($D$6:$D$64=$D72))</f>
        <v>1</v>
      </c>
      <c r="AL72" s="381" cm="1">
        <f t="array" ref="AL72">SUM(AL$6:AL$64*($D$6:$D$64=$D72))</f>
        <v>1</v>
      </c>
      <c r="AM72" s="381" cm="1">
        <f t="array" ref="AM72">SUM(AM$6:AM$64*($D$6:$D$64=$D72))</f>
        <v>1</v>
      </c>
      <c r="AN72" s="381" cm="1">
        <f t="array" ref="AN72">SUM(AN$6:AN$64*($D$6:$D$64=$D72))</f>
        <v>0.5</v>
      </c>
      <c r="AO72" s="381" cm="1">
        <f t="array" ref="AO72">SUM(AO$6:AO$64*($D$6:$D$64=$D72))</f>
        <v>0.5</v>
      </c>
      <c r="AP72" s="381" cm="1">
        <f t="array" ref="AP72">SUM(AP$6:AP$64*($D$6:$D$64=$D72))</f>
        <v>1</v>
      </c>
      <c r="AQ72" s="381" cm="1">
        <f t="array" ref="AQ72">SUM(AQ$6:AQ$64*($D$6:$D$64=$D72))</f>
        <v>1</v>
      </c>
      <c r="AR72" s="381" cm="1">
        <f t="array" ref="AR72">SUM(AR$6:AR$64*($D$6:$D$64=$D72))</f>
        <v>0.5</v>
      </c>
      <c r="AS72" s="381" cm="1">
        <f t="array" ref="AS72">SUM(AS$6:AS$64*($D$6:$D$64=$D72))</f>
        <v>0.5</v>
      </c>
      <c r="AT72" s="381" cm="1">
        <f t="array" ref="AT72">SUM(AT$6:AT$64*($D$6:$D$64=$D72))</f>
        <v>0</v>
      </c>
      <c r="AU72" s="381" cm="1">
        <f t="array" ref="AU72">SUM(AU$6:AU$64*($D$6:$D$64=$D72))</f>
        <v>0</v>
      </c>
      <c r="AV72" s="381" cm="1">
        <f t="array" ref="AV72">SUM(AV$6:AV$64*($D$6:$D$64=$D72))</f>
        <v>0</v>
      </c>
      <c r="AW72" s="381" cm="1">
        <f t="array" ref="AW72">SUM(AW$6:AW$64*($D$6:$D$64=$D72))</f>
        <v>0</v>
      </c>
      <c r="AX72" s="381" cm="1">
        <f t="array" ref="AX72">SUM(AX$6:AX$64*($D$6:$D$64=$D72))</f>
        <v>0</v>
      </c>
      <c r="AY72" s="381" cm="1">
        <f t="array" ref="AY72">SUM(AY$6:AY$64*($D$6:$D$64=$D72))</f>
        <v>0</v>
      </c>
      <c r="AZ72" s="381" cm="1">
        <f t="array" ref="AZ72">SUM(AZ$6:AZ$64*($D$6:$D$64=$D72))</f>
        <v>0</v>
      </c>
      <c r="BA72" s="381" cm="1">
        <f t="array" ref="BA72">SUM(BA$6:BA$64*($D$6:$D$64=$D72))</f>
        <v>0</v>
      </c>
      <c r="BB72" s="381" cm="1">
        <f t="array" ref="BB72">SUM(BB$6:BB$64*($D$6:$D$64=$D72))</f>
        <v>0</v>
      </c>
      <c r="BC72" s="381" cm="1">
        <f t="array" ref="BC72">SUM(BC$6:BC$64*($D$6:$D$64=$D72))</f>
        <v>0</v>
      </c>
      <c r="BD72" s="381" cm="1">
        <f t="array" ref="BD72">SUM(BD$6:BD$64*($D$6:$D$64=$D72))</f>
        <v>0</v>
      </c>
      <c r="BE72" s="381" cm="1">
        <f t="array" ref="BE72">SUM(BE$6:BE$64*($D$6:$D$64=$D72))</f>
        <v>0</v>
      </c>
      <c r="BF72" s="381" cm="1">
        <f t="array" ref="BF72">SUM(BF$6:BF$64*($D$6:$D$64=$D72))</f>
        <v>0</v>
      </c>
      <c r="BG72" s="381" cm="1">
        <f t="array" ref="BG72">SUM(BG$6:BG$64*($D$6:$D$64=$D72))</f>
        <v>0</v>
      </c>
      <c r="BH72" s="381" cm="1">
        <f t="array" ref="BH72">SUM(BH$6:BH$64*($D$6:$D$64=$D72))</f>
        <v>0</v>
      </c>
      <c r="BI72" s="381" cm="1">
        <f t="array" ref="BI72">SUM(BI$6:BI$64*($D$6:$D$64=$D72))</f>
        <v>0</v>
      </c>
      <c r="BJ72" s="381" cm="1">
        <f t="array" ref="BJ72">SUM(BJ$6:BJ$64*($D$6:$D$64=$D72))</f>
        <v>0</v>
      </c>
      <c r="BK72" s="381" cm="1">
        <f t="array" ref="BK72">SUM(BK$6:BK$64*($D$6:$D$64=$D72))</f>
        <v>0</v>
      </c>
      <c r="BL72" s="381" cm="1">
        <f t="array" ref="BL72">SUM(BL$6:BL$64*($D$6:$D$64=$D72))</f>
        <v>0</v>
      </c>
      <c r="BM72" s="381" cm="1">
        <f t="array" ref="BM72">SUM(BM$6:BM$64*($D$6:$D$64=$D72))</f>
        <v>0</v>
      </c>
      <c r="BN72" s="381" cm="1">
        <f t="array" ref="BN72">SUM(BN$6:BN$64*($D$6:$D$64=$D72))</f>
        <v>0</v>
      </c>
      <c r="BO72" s="381" cm="1">
        <f t="array" ref="BO72">SUM(BO$6:BO$64*($D$6:$D$64=$D72))</f>
        <v>0</v>
      </c>
      <c r="BP72" s="381" cm="1">
        <f t="array" ref="BP72">SUM(BP$6:BP$64*($D$6:$D$64=$D72))</f>
        <v>0</v>
      </c>
      <c r="BQ72" s="381" cm="1">
        <f t="array" ref="BQ72">SUM(BQ$6:BQ$64*($D$6:$D$64=$D72))</f>
        <v>0</v>
      </c>
      <c r="BR72" s="381" cm="1">
        <f t="array" ref="BR72">SUM(BR$6:BR$64*($D$6:$D$64=$D72))</f>
        <v>0</v>
      </c>
      <c r="BS72" s="381" cm="1">
        <f t="array" ref="BS72">SUM(BS$6:BS$64*($D$6:$D$64=$D72))</f>
        <v>0</v>
      </c>
    </row>
    <row r="73" spans="3:71" x14ac:dyDescent="0.25">
      <c r="D73" s="321" t="str">
        <v>Contingency</v>
      </c>
      <c r="F73" s="321">
        <f>_xlfn.XLOOKUP(D73,D13:D71,F13:F71)</f>
        <v>0</v>
      </c>
      <c r="I73" s="379">
        <f t="shared" ca="1" si="140"/>
        <v>1438.66</v>
      </c>
      <c r="Y73" s="381" cm="1">
        <f t="array" ref="Y73">SUM(Y$6:Y$64*($D$6:$D$64=$D73))</f>
        <v>0</v>
      </c>
      <c r="Z73" s="381" cm="1">
        <f t="array" ref="Z73">SUM(Z$6:Z$64*($D$6:$D$64=$D73))</f>
        <v>2.5000000000000001E-2</v>
      </c>
      <c r="AA73" s="381" cm="1">
        <f t="array" ref="AA73">SUM(AA$6:AA$64*($D$6:$D$64=$D73))</f>
        <v>0</v>
      </c>
      <c r="AB73" s="381" cm="1">
        <f t="array" ref="AB73">SUM(AB$6:AB$64*($D$6:$D$64=$D73))</f>
        <v>0</v>
      </c>
      <c r="AC73" s="381" cm="1">
        <f t="array" ref="AC73">SUM(AC$6:AC$64*($D$6:$D$64=$D73))</f>
        <v>0</v>
      </c>
      <c r="AD73" s="381" cm="1">
        <f t="array" ref="AD73">SUM(AD$6:AD$64*($D$6:$D$64=$D73))</f>
        <v>0</v>
      </c>
      <c r="AE73" s="381" cm="1">
        <f t="array" ref="AE73">SUM(AE$6:AE$64*($D$6:$D$64=$D73))</f>
        <v>2.5000000000000001E-2</v>
      </c>
      <c r="AF73" s="381" cm="1">
        <f t="array" ref="AF73">SUM(AF$6:AF$64*($D$6:$D$64=$D73))</f>
        <v>0</v>
      </c>
      <c r="AG73" s="381" cm="1">
        <f t="array" ref="AG73">SUM(AG$6:AG$64*($D$6:$D$64=$D73))</f>
        <v>0</v>
      </c>
      <c r="AH73" s="381" cm="1">
        <f t="array" ref="AH73">SUM(AH$6:AH$64*($D$6:$D$64=$D73))</f>
        <v>0</v>
      </c>
      <c r="AI73" s="381" cm="1">
        <f t="array" ref="AI73">SUM(AI$6:AI$64*($D$6:$D$64=$D73))</f>
        <v>0.05</v>
      </c>
      <c r="AJ73" s="381" cm="1">
        <f t="array" ref="AJ73">SUM(AJ$6:AJ$64*($D$6:$D$64=$D73))</f>
        <v>0</v>
      </c>
      <c r="AK73" s="381" cm="1">
        <f t="array" ref="AK73">SUM(AK$6:AK$64*($D$6:$D$64=$D73))</f>
        <v>0</v>
      </c>
      <c r="AL73" s="381" cm="1">
        <f t="array" ref="AL73">SUM(AL$6:AL$64*($D$6:$D$64=$D73))</f>
        <v>0</v>
      </c>
      <c r="AM73" s="381" cm="1">
        <f t="array" ref="AM73">SUM(AM$6:AM$64*($D$6:$D$64=$D73))</f>
        <v>0</v>
      </c>
      <c r="AN73" s="381" cm="1">
        <f t="array" ref="AN73">SUM(AN$6:AN$64*($D$6:$D$64=$D73))</f>
        <v>0</v>
      </c>
      <c r="AO73" s="381" cm="1">
        <f t="array" ref="AO73">SUM(AO$6:AO$64*($D$6:$D$64=$D73))</f>
        <v>0</v>
      </c>
      <c r="AP73" s="381" cm="1">
        <f t="array" ref="AP73">SUM(AP$6:AP$64*($D$6:$D$64=$D73))</f>
        <v>0</v>
      </c>
      <c r="AQ73" s="381" cm="1">
        <f t="array" ref="AQ73">SUM(AQ$6:AQ$64*($D$6:$D$64=$D73))</f>
        <v>0</v>
      </c>
      <c r="AR73" s="381" cm="1">
        <f t="array" ref="AR73">SUM(AR$6:AR$64*($D$6:$D$64=$D73))</f>
        <v>0</v>
      </c>
      <c r="AS73" s="381" cm="1">
        <f t="array" ref="AS73">SUM(AS$6:AS$64*($D$6:$D$64=$D73))</f>
        <v>0</v>
      </c>
      <c r="AT73" s="381" cm="1">
        <f t="array" ref="AT73">SUM(AT$6:AT$64*($D$6:$D$64=$D73))</f>
        <v>0</v>
      </c>
      <c r="AU73" s="381" cm="1">
        <f t="array" ref="AU73">SUM(AU$6:AU$64*($D$6:$D$64=$D73))</f>
        <v>0</v>
      </c>
      <c r="AV73" s="381" cm="1">
        <f t="array" ref="AV73">SUM(AV$6:AV$64*($D$6:$D$64=$D73))</f>
        <v>0</v>
      </c>
      <c r="AW73" s="381" cm="1">
        <f t="array" ref="AW73">SUM(AW$6:AW$64*($D$6:$D$64=$D73))</f>
        <v>0</v>
      </c>
      <c r="AX73" s="381" cm="1">
        <f t="array" ref="AX73">SUM(AX$6:AX$64*($D$6:$D$64=$D73))</f>
        <v>0</v>
      </c>
      <c r="AY73" s="381" cm="1">
        <f t="array" ref="AY73">SUM(AY$6:AY$64*($D$6:$D$64=$D73))</f>
        <v>0</v>
      </c>
      <c r="AZ73" s="381" cm="1">
        <f t="array" ref="AZ73">SUM(AZ$6:AZ$64*($D$6:$D$64=$D73))</f>
        <v>0</v>
      </c>
      <c r="BA73" s="381" cm="1">
        <f t="array" ref="BA73">SUM(BA$6:BA$64*($D$6:$D$64=$D73))</f>
        <v>0</v>
      </c>
      <c r="BB73" s="381" cm="1">
        <f t="array" ref="BB73">SUM(BB$6:BB$64*($D$6:$D$64=$D73))</f>
        <v>0</v>
      </c>
      <c r="BC73" s="381" cm="1">
        <f t="array" ref="BC73">SUM(BC$6:BC$64*($D$6:$D$64=$D73))</f>
        <v>0</v>
      </c>
      <c r="BD73" s="381" cm="1">
        <f t="array" ref="BD73">SUM(BD$6:BD$64*($D$6:$D$64=$D73))</f>
        <v>0</v>
      </c>
      <c r="BE73" s="381" cm="1">
        <f t="array" ref="BE73">SUM(BE$6:BE$64*($D$6:$D$64=$D73))</f>
        <v>0</v>
      </c>
      <c r="BF73" s="381" cm="1">
        <f t="array" ref="BF73">SUM(BF$6:BF$64*($D$6:$D$64=$D73))</f>
        <v>0</v>
      </c>
      <c r="BG73" s="381" cm="1">
        <f t="array" ref="BG73">SUM(BG$6:BG$64*($D$6:$D$64=$D73))</f>
        <v>0</v>
      </c>
      <c r="BH73" s="381" cm="1">
        <f t="array" ref="BH73">SUM(BH$6:BH$64*($D$6:$D$64=$D73))</f>
        <v>0</v>
      </c>
      <c r="BI73" s="381" cm="1">
        <f t="array" ref="BI73">SUM(BI$6:BI$64*($D$6:$D$64=$D73))</f>
        <v>0</v>
      </c>
      <c r="BJ73" s="381" cm="1">
        <f t="array" ref="BJ73">SUM(BJ$6:BJ$64*($D$6:$D$64=$D73))</f>
        <v>0</v>
      </c>
      <c r="BK73" s="381" cm="1">
        <f t="array" ref="BK73">SUM(BK$6:BK$64*($D$6:$D$64=$D73))</f>
        <v>0</v>
      </c>
      <c r="BL73" s="381" cm="1">
        <f t="array" ref="BL73">SUM(BL$6:BL$64*($D$6:$D$64=$D73))</f>
        <v>0</v>
      </c>
      <c r="BM73" s="381" cm="1">
        <f t="array" ref="BM73">SUM(BM$6:BM$64*($D$6:$D$64=$D73))</f>
        <v>0</v>
      </c>
      <c r="BN73" s="381" cm="1">
        <f t="array" ref="BN73">SUM(BN$6:BN$64*($D$6:$D$64=$D73))</f>
        <v>0</v>
      </c>
      <c r="BO73" s="381" cm="1">
        <f t="array" ref="BO73">SUM(BO$6:BO$64*($D$6:$D$64=$D73))</f>
        <v>0</v>
      </c>
      <c r="BP73" s="381" cm="1">
        <f t="array" ref="BP73">SUM(BP$6:BP$64*($D$6:$D$64=$D73))</f>
        <v>0</v>
      </c>
      <c r="BQ73" s="381" cm="1">
        <f t="array" ref="BQ73">SUM(BQ$6:BQ$64*($D$6:$D$64=$D73))</f>
        <v>0</v>
      </c>
      <c r="BR73" s="381" cm="1">
        <f t="array" ref="BR73">SUM(BR$6:BR$64*($D$6:$D$64=$D73))</f>
        <v>0</v>
      </c>
      <c r="BS73" s="381" cm="1">
        <f t="array" ref="BS73">SUM(BS$6:BS$64*($D$6:$D$64=$D73))</f>
        <v>0</v>
      </c>
    </row>
    <row r="74" spans="3:71" x14ac:dyDescent="0.25">
      <c r="D74" s="321" t="str">
        <v>Mahesh Vemegal</v>
      </c>
      <c r="F74" s="321" t="str">
        <f>_xlfn.XLOOKUP(D74,D14:D72,F14:F72)</f>
        <v>Lead ServiceNow Developer</v>
      </c>
      <c r="I74" s="379">
        <f t="shared" ca="1" si="140"/>
        <v>207.39999999999998</v>
      </c>
      <c r="Y74" s="381" cm="1">
        <f t="array" ref="Y74">SUM(Y$6:Y$64*($D$6:$D$64=$D74))</f>
        <v>0</v>
      </c>
      <c r="Z74" s="381" cm="1">
        <f t="array" ref="Z74">SUM(Z$6:Z$64*($D$6:$D$64=$D74))</f>
        <v>0</v>
      </c>
      <c r="AA74" s="381" cm="1">
        <f t="array" ref="AA74">SUM(AA$6:AA$64*($D$6:$D$64=$D74))</f>
        <v>0.25</v>
      </c>
      <c r="AB74" s="381" cm="1">
        <f t="array" ref="AB74">SUM(AB$6:AB$64*($D$6:$D$64=$D74))</f>
        <v>0.5</v>
      </c>
      <c r="AC74" s="381" cm="1">
        <f t="array" ref="AC74">SUM(AC$6:AC$64*($D$6:$D$64=$D74))</f>
        <v>1</v>
      </c>
      <c r="AD74" s="381" cm="1">
        <f t="array" ref="AD74">SUM(AD$6:AD$64*($D$6:$D$64=$D74))</f>
        <v>1</v>
      </c>
      <c r="AE74" s="381" cm="1">
        <f t="array" ref="AE74">SUM(AE$6:AE$64*($D$6:$D$64=$D74))</f>
        <v>1</v>
      </c>
      <c r="AF74" s="381" cm="1">
        <f t="array" ref="AF74">SUM(AF$6:AF$64*($D$6:$D$64=$D74))</f>
        <v>1</v>
      </c>
      <c r="AG74" s="381" cm="1">
        <f t="array" ref="AG74">SUM(AG$6:AG$64*($D$6:$D$64=$D74))</f>
        <v>1</v>
      </c>
      <c r="AH74" s="381" cm="1">
        <f t="array" ref="AH74">SUM(AH$6:AH$64*($D$6:$D$64=$D74))</f>
        <v>1</v>
      </c>
      <c r="AI74" s="381" cm="1">
        <f t="array" ref="AI74">SUM(AI$6:AI$64*($D$6:$D$64=$D74))</f>
        <v>1</v>
      </c>
      <c r="AJ74" s="381" cm="1">
        <f t="array" ref="AJ74">SUM(AJ$6:AJ$64*($D$6:$D$64=$D74))</f>
        <v>1</v>
      </c>
      <c r="AK74" s="381" cm="1">
        <f t="array" ref="AK74">SUM(AK$6:AK$64*($D$6:$D$64=$D74))</f>
        <v>1</v>
      </c>
      <c r="AL74" s="381" cm="1">
        <f t="array" ref="AL74">SUM(AL$6:AL$64*($D$6:$D$64=$D74))</f>
        <v>1</v>
      </c>
      <c r="AM74" s="381" cm="1">
        <f t="array" ref="AM74">SUM(AM$6:AM$64*($D$6:$D$64=$D74))</f>
        <v>1</v>
      </c>
      <c r="AN74" s="381" cm="1">
        <f t="array" ref="AN74">SUM(AN$6:AN$64*($D$6:$D$64=$D74))</f>
        <v>0</v>
      </c>
      <c r="AO74" s="381" cm="1">
        <f t="array" ref="AO74">SUM(AO$6:AO$64*($D$6:$D$64=$D74))</f>
        <v>0</v>
      </c>
      <c r="AP74" s="381" cm="1">
        <f t="array" ref="AP74">SUM(AP$6:AP$64*($D$6:$D$64=$D74))</f>
        <v>0</v>
      </c>
      <c r="AQ74" s="381" cm="1">
        <f t="array" ref="AQ74">SUM(AQ$6:AQ$64*($D$6:$D$64=$D74))</f>
        <v>0</v>
      </c>
      <c r="AR74" s="381" cm="1">
        <f t="array" ref="AR74">SUM(AR$6:AR$64*($D$6:$D$64=$D74))</f>
        <v>0</v>
      </c>
      <c r="AS74" s="381" cm="1">
        <f t="array" ref="AS74">SUM(AS$6:AS$64*($D$6:$D$64=$D74))</f>
        <v>0</v>
      </c>
      <c r="AT74" s="381" cm="1">
        <f t="array" ref="AT74">SUM(AT$6:AT$64*($D$6:$D$64=$D74))</f>
        <v>0</v>
      </c>
      <c r="AU74" s="381" cm="1">
        <f t="array" ref="AU74">SUM(AU$6:AU$64*($D$6:$D$64=$D74))</f>
        <v>0</v>
      </c>
      <c r="AV74" s="381" cm="1">
        <f t="array" ref="AV74">SUM(AV$6:AV$64*($D$6:$D$64=$D74))</f>
        <v>0</v>
      </c>
      <c r="AW74" s="381" cm="1">
        <f t="array" ref="AW74">SUM(AW$6:AW$64*($D$6:$D$64=$D74))</f>
        <v>0</v>
      </c>
      <c r="AX74" s="381" cm="1">
        <f t="array" ref="AX74">SUM(AX$6:AX$64*($D$6:$D$64=$D74))</f>
        <v>0</v>
      </c>
      <c r="AY74" s="381" cm="1">
        <f t="array" ref="AY74">SUM(AY$6:AY$64*($D$6:$D$64=$D74))</f>
        <v>0</v>
      </c>
      <c r="AZ74" s="381" cm="1">
        <f t="array" ref="AZ74">SUM(AZ$6:AZ$64*($D$6:$D$64=$D74))</f>
        <v>0</v>
      </c>
      <c r="BA74" s="381" cm="1">
        <f t="array" ref="BA74">SUM(BA$6:BA$64*($D$6:$D$64=$D74))</f>
        <v>0</v>
      </c>
      <c r="BB74" s="381" cm="1">
        <f t="array" ref="BB74">SUM(BB$6:BB$64*($D$6:$D$64=$D74))</f>
        <v>0</v>
      </c>
      <c r="BC74" s="381" cm="1">
        <f t="array" ref="BC74">SUM(BC$6:BC$64*($D$6:$D$64=$D74))</f>
        <v>0</v>
      </c>
      <c r="BD74" s="381" cm="1">
        <f t="array" ref="BD74">SUM(BD$6:BD$64*($D$6:$D$64=$D74))</f>
        <v>0</v>
      </c>
      <c r="BE74" s="381" cm="1">
        <f t="array" ref="BE74">SUM(BE$6:BE$64*($D$6:$D$64=$D74))</f>
        <v>0</v>
      </c>
      <c r="BF74" s="381" cm="1">
        <f t="array" ref="BF74">SUM(BF$6:BF$64*($D$6:$D$64=$D74))</f>
        <v>0</v>
      </c>
      <c r="BG74" s="381" cm="1">
        <f t="array" ref="BG74">SUM(BG$6:BG$64*($D$6:$D$64=$D74))</f>
        <v>0</v>
      </c>
      <c r="BH74" s="381" cm="1">
        <f t="array" ref="BH74">SUM(BH$6:BH$64*($D$6:$D$64=$D74))</f>
        <v>0</v>
      </c>
      <c r="BI74" s="381" cm="1">
        <f t="array" ref="BI74">SUM(BI$6:BI$64*($D$6:$D$64=$D74))</f>
        <v>0</v>
      </c>
      <c r="BJ74" s="381" cm="1">
        <f t="array" ref="BJ74">SUM(BJ$6:BJ$64*($D$6:$D$64=$D74))</f>
        <v>0</v>
      </c>
      <c r="BK74" s="381" cm="1">
        <f t="array" ref="BK74">SUM(BK$6:BK$64*($D$6:$D$64=$D74))</f>
        <v>0</v>
      </c>
      <c r="BL74" s="381" cm="1">
        <f t="array" ref="BL74">SUM(BL$6:BL$64*($D$6:$D$64=$D74))</f>
        <v>0</v>
      </c>
      <c r="BM74" s="381" cm="1">
        <f t="array" ref="BM74">SUM(BM$6:BM$64*($D$6:$D$64=$D74))</f>
        <v>0</v>
      </c>
      <c r="BN74" s="381" cm="1">
        <f t="array" ref="BN74">SUM(BN$6:BN$64*($D$6:$D$64=$D74))</f>
        <v>0</v>
      </c>
      <c r="BO74" s="381" cm="1">
        <f t="array" ref="BO74">SUM(BO$6:BO$64*($D$6:$D$64=$D74))</f>
        <v>0</v>
      </c>
      <c r="BP74" s="381" cm="1">
        <f t="array" ref="BP74">SUM(BP$6:BP$64*($D$6:$D$64=$D74))</f>
        <v>0</v>
      </c>
      <c r="BQ74" s="381" cm="1">
        <f t="array" ref="BQ74">SUM(BQ$6:BQ$64*($D$6:$D$64=$D74))</f>
        <v>0</v>
      </c>
      <c r="BR74" s="381" cm="1">
        <f t="array" ref="BR74">SUM(BR$6:BR$64*($D$6:$D$64=$D74))</f>
        <v>0</v>
      </c>
      <c r="BS74" s="381" cm="1">
        <f t="array" ref="BS74">SUM(BS$6:BS$64*($D$6:$D$64=$D74))</f>
        <v>0</v>
      </c>
    </row>
    <row r="75" spans="3:71" x14ac:dyDescent="0.25">
      <c r="D75" s="321" t="str">
        <v>Kosta Walker-Laskos</v>
      </c>
      <c r="F75" s="321" t="str">
        <f>_xlfn.XLOOKUP(D75,D15:D73,F15:F73)</f>
        <v>ServiceNow Developer</v>
      </c>
      <c r="I75" s="379">
        <f t="shared" ca="1" si="140"/>
        <v>151.9</v>
      </c>
      <c r="Y75" s="381" cm="1">
        <f t="array" ref="Y75">SUM(Y$6:Y$64*($D$6:$D$64=$D75))</f>
        <v>0</v>
      </c>
      <c r="Z75" s="381" cm="1">
        <f t="array" ref="Z75">SUM(Z$6:Z$64*($D$6:$D$64=$D75))</f>
        <v>0</v>
      </c>
      <c r="AA75" s="381" cm="1">
        <f t="array" ref="AA75">SUM(AA$6:AA$64*($D$6:$D$64=$D75))</f>
        <v>0</v>
      </c>
      <c r="AB75" s="381" cm="1">
        <f t="array" ref="AB75">SUM(AB$6:AB$64*($D$6:$D$64=$D75))</f>
        <v>1</v>
      </c>
      <c r="AC75" s="381" cm="1">
        <f t="array" ref="AC75">SUM(AC$6:AC$64*($D$6:$D$64=$D75))</f>
        <v>1</v>
      </c>
      <c r="AD75" s="381" cm="1">
        <f t="array" ref="AD75">SUM(AD$6:AD$64*($D$6:$D$64=$D75))</f>
        <v>1</v>
      </c>
      <c r="AE75" s="381" cm="1">
        <f t="array" ref="AE75">SUM(AE$6:AE$64*($D$6:$D$64=$D75))</f>
        <v>1</v>
      </c>
      <c r="AF75" s="381" cm="1">
        <f t="array" ref="AF75">SUM(AF$6:AF$64*($D$6:$D$64=$D75))</f>
        <v>1</v>
      </c>
      <c r="AG75" s="381" cm="1">
        <f t="array" ref="AG75">SUM(AG$6:AG$64*($D$6:$D$64=$D75))</f>
        <v>1</v>
      </c>
      <c r="AH75" s="381" cm="1">
        <f t="array" ref="AH75">SUM(AH$6:AH$64*($D$6:$D$64=$D75))</f>
        <v>1</v>
      </c>
      <c r="AI75" s="381" cm="1">
        <f t="array" ref="AI75">SUM(AI$6:AI$64*($D$6:$D$64=$D75))</f>
        <v>1</v>
      </c>
      <c r="AJ75" s="381" cm="1">
        <f t="array" ref="AJ75">SUM(AJ$6:AJ$64*($D$6:$D$64=$D75))</f>
        <v>1</v>
      </c>
      <c r="AK75" s="381" cm="1">
        <f t="array" ref="AK75">SUM(AK$6:AK$64*($D$6:$D$64=$D75))</f>
        <v>1</v>
      </c>
      <c r="AL75" s="381" cm="1">
        <f t="array" ref="AL75">SUM(AL$6:AL$64*($D$6:$D$64=$D75))</f>
        <v>1</v>
      </c>
      <c r="AM75" s="381" cm="1">
        <f t="array" ref="AM75">SUM(AM$6:AM$64*($D$6:$D$64=$D75))</f>
        <v>1</v>
      </c>
      <c r="AN75" s="381" cm="1">
        <f t="array" ref="AN75">SUM(AN$6:AN$64*($D$6:$D$64=$D75))</f>
        <v>0.5</v>
      </c>
      <c r="AO75" s="381" cm="1">
        <f t="array" ref="AO75">SUM(AO$6:AO$64*($D$6:$D$64=$D75))</f>
        <v>0.5</v>
      </c>
      <c r="AP75" s="381" cm="1">
        <f t="array" ref="AP75">SUM(AP$6:AP$64*($D$6:$D$64=$D75))</f>
        <v>0.5</v>
      </c>
      <c r="AQ75" s="381" cm="1">
        <f t="array" ref="AQ75">SUM(AQ$6:AQ$64*($D$6:$D$64=$D75))</f>
        <v>0.5</v>
      </c>
      <c r="AR75" s="381" cm="1">
        <f t="array" ref="AR75">SUM(AR$6:AR$64*($D$6:$D$64=$D75))</f>
        <v>0.5</v>
      </c>
      <c r="AS75" s="381" cm="1">
        <f t="array" ref="AS75">SUM(AS$6:AS$64*($D$6:$D$64=$D75))</f>
        <v>0.5</v>
      </c>
      <c r="AT75" s="381" cm="1">
        <f t="array" ref="AT75">SUM(AT$6:AT$64*($D$6:$D$64=$D75))</f>
        <v>0</v>
      </c>
      <c r="AU75" s="381" cm="1">
        <f t="array" ref="AU75">SUM(AU$6:AU$64*($D$6:$D$64=$D75))</f>
        <v>0</v>
      </c>
      <c r="AV75" s="381" cm="1">
        <f t="array" ref="AV75">SUM(AV$6:AV$64*($D$6:$D$64=$D75))</f>
        <v>0</v>
      </c>
      <c r="AW75" s="381" cm="1">
        <f t="array" ref="AW75">SUM(AW$6:AW$64*($D$6:$D$64=$D75))</f>
        <v>0</v>
      </c>
      <c r="AX75" s="381" cm="1">
        <f t="array" ref="AX75">SUM(AX$6:AX$64*($D$6:$D$64=$D75))</f>
        <v>0</v>
      </c>
      <c r="AY75" s="381" cm="1">
        <f t="array" ref="AY75">SUM(AY$6:AY$64*($D$6:$D$64=$D75))</f>
        <v>0</v>
      </c>
      <c r="AZ75" s="381" cm="1">
        <f t="array" ref="AZ75">SUM(AZ$6:AZ$64*($D$6:$D$64=$D75))</f>
        <v>0</v>
      </c>
      <c r="BA75" s="381" cm="1">
        <f t="array" ref="BA75">SUM(BA$6:BA$64*($D$6:$D$64=$D75))</f>
        <v>0</v>
      </c>
      <c r="BB75" s="381" cm="1">
        <f t="array" ref="BB75">SUM(BB$6:BB$64*($D$6:$D$64=$D75))</f>
        <v>0</v>
      </c>
      <c r="BC75" s="381" cm="1">
        <f t="array" ref="BC75">SUM(BC$6:BC$64*($D$6:$D$64=$D75))</f>
        <v>0</v>
      </c>
      <c r="BD75" s="381" cm="1">
        <f t="array" ref="BD75">SUM(BD$6:BD$64*($D$6:$D$64=$D75))</f>
        <v>0</v>
      </c>
      <c r="BE75" s="381" cm="1">
        <f t="array" ref="BE75">SUM(BE$6:BE$64*($D$6:$D$64=$D75))</f>
        <v>0</v>
      </c>
      <c r="BF75" s="381" cm="1">
        <f t="array" ref="BF75">SUM(BF$6:BF$64*($D$6:$D$64=$D75))</f>
        <v>0</v>
      </c>
      <c r="BG75" s="381" cm="1">
        <f t="array" ref="BG75">SUM(BG$6:BG$64*($D$6:$D$64=$D75))</f>
        <v>0</v>
      </c>
      <c r="BH75" s="381" cm="1">
        <f t="array" ref="BH75">SUM(BH$6:BH$64*($D$6:$D$64=$D75))</f>
        <v>0</v>
      </c>
      <c r="BI75" s="381" cm="1">
        <f t="array" ref="BI75">SUM(BI$6:BI$64*($D$6:$D$64=$D75))</f>
        <v>0</v>
      </c>
      <c r="BJ75" s="381" cm="1">
        <f t="array" ref="BJ75">SUM(BJ$6:BJ$64*($D$6:$D$64=$D75))</f>
        <v>0</v>
      </c>
      <c r="BK75" s="381" cm="1">
        <f t="array" ref="BK75">SUM(BK$6:BK$64*($D$6:$D$64=$D75))</f>
        <v>0</v>
      </c>
      <c r="BL75" s="381" cm="1">
        <f t="array" ref="BL75">SUM(BL$6:BL$64*($D$6:$D$64=$D75))</f>
        <v>0</v>
      </c>
      <c r="BM75" s="381" cm="1">
        <f t="array" ref="BM75">SUM(BM$6:BM$64*($D$6:$D$64=$D75))</f>
        <v>0</v>
      </c>
      <c r="BN75" s="381" cm="1">
        <f t="array" ref="BN75">SUM(BN$6:BN$64*($D$6:$D$64=$D75))</f>
        <v>0</v>
      </c>
      <c r="BO75" s="381" cm="1">
        <f t="array" ref="BO75">SUM(BO$6:BO$64*($D$6:$D$64=$D75))</f>
        <v>0</v>
      </c>
      <c r="BP75" s="381" cm="1">
        <f t="array" ref="BP75">SUM(BP$6:BP$64*($D$6:$D$64=$D75))</f>
        <v>0</v>
      </c>
      <c r="BQ75" s="381" cm="1">
        <f t="array" ref="BQ75">SUM(BQ$6:BQ$64*($D$6:$D$64=$D75))</f>
        <v>0</v>
      </c>
      <c r="BR75" s="381" cm="1">
        <f t="array" ref="BR75">SUM(BR$6:BR$64*($D$6:$D$64=$D75))</f>
        <v>0</v>
      </c>
      <c r="BS75" s="381" cm="1">
        <f t="array" ref="BS75">SUM(BS$6:BS$64*($D$6:$D$64=$D75))</f>
        <v>0</v>
      </c>
    </row>
    <row r="76" spans="3:71" x14ac:dyDescent="0.25">
      <c r="D76" s="321" t="str">
        <v>Contractor-Tester-Manager</v>
      </c>
      <c r="F76" s="321" t="str">
        <f>_xlfn.XLOOKUP(D76,D16:D74,F16:F74)</f>
        <v>Senior Tester</v>
      </c>
      <c r="I76" s="379">
        <f t="shared" ca="1" si="140"/>
        <v>151.9</v>
      </c>
      <c r="Y76" s="381" cm="1">
        <f t="array" ref="Y76">SUM(Y$6:Y$64*($D$6:$D$64=$D76))</f>
        <v>0</v>
      </c>
      <c r="Z76" s="381" cm="1">
        <f t="array" ref="Z76">SUM(Z$6:Z$64*($D$6:$D$64=$D76))</f>
        <v>0</v>
      </c>
      <c r="AA76" s="381" cm="1">
        <f t="array" ref="AA76">SUM(AA$6:AA$64*($D$6:$D$64=$D76))</f>
        <v>0</v>
      </c>
      <c r="AB76" s="381" cm="1">
        <f t="array" ref="AB76">SUM(AB$6:AB$64*($D$6:$D$64=$D76))</f>
        <v>0</v>
      </c>
      <c r="AC76" s="381" cm="1">
        <f t="array" ref="AC76">SUM(AC$6:AC$64*($D$6:$D$64=$D76))</f>
        <v>0</v>
      </c>
      <c r="AD76" s="381" cm="1">
        <f t="array" ref="AD76">SUM(AD$6:AD$64*($D$6:$D$64=$D76))</f>
        <v>0</v>
      </c>
      <c r="AE76" s="381" cm="1">
        <f t="array" ref="AE76">SUM(AE$6:AE$64*($D$6:$D$64=$D76))</f>
        <v>0</v>
      </c>
      <c r="AF76" s="381" cm="1">
        <f t="array" ref="AF76">SUM(AF$6:AF$64*($D$6:$D$64=$D76))</f>
        <v>0</v>
      </c>
      <c r="AG76" s="381" cm="1">
        <f t="array" ref="AG76">SUM(AG$6:AG$64*($D$6:$D$64=$D76))</f>
        <v>0</v>
      </c>
      <c r="AH76" s="381" cm="1">
        <f t="array" ref="AH76">SUM(AH$6:AH$64*($D$6:$D$64=$D76))</f>
        <v>1</v>
      </c>
      <c r="AI76" s="381" cm="1">
        <f t="array" ref="AI76">SUM(AI$6:AI$64*($D$6:$D$64=$D76))</f>
        <v>1</v>
      </c>
      <c r="AJ76" s="381" cm="1">
        <f t="array" ref="AJ76">SUM(AJ$6:AJ$64*($D$6:$D$64=$D76))</f>
        <v>1</v>
      </c>
      <c r="AK76" s="381" cm="1">
        <f t="array" ref="AK76">SUM(AK$6:AK$64*($D$6:$D$64=$D76))</f>
        <v>1</v>
      </c>
      <c r="AL76" s="381" cm="1">
        <f t="array" ref="AL76">SUM(AL$6:AL$64*($D$6:$D$64=$D76))</f>
        <v>1</v>
      </c>
      <c r="AM76" s="381" cm="1">
        <f t="array" ref="AM76">SUM(AM$6:AM$64*($D$6:$D$64=$D76))</f>
        <v>1</v>
      </c>
      <c r="AN76" s="381" cm="1">
        <f t="array" ref="AN76">SUM(AN$6:AN$64*($D$6:$D$64=$D76))</f>
        <v>1</v>
      </c>
      <c r="AO76" s="381" cm="1">
        <f t="array" ref="AO76">SUM(AO$6:AO$64*($D$6:$D$64=$D76))</f>
        <v>1</v>
      </c>
      <c r="AP76" s="381" cm="1">
        <f t="array" ref="AP76">SUM(AP$6:AP$64*($D$6:$D$64=$D76))</f>
        <v>1</v>
      </c>
      <c r="AQ76" s="381" cm="1">
        <f t="array" ref="AQ76">SUM(AQ$6:AQ$64*($D$6:$D$64=$D76))</f>
        <v>1</v>
      </c>
      <c r="AR76" s="381" cm="1">
        <f t="array" ref="AR76">SUM(AR$6:AR$64*($D$6:$D$64=$D76))</f>
        <v>0</v>
      </c>
      <c r="AS76" s="381" cm="1">
        <f t="array" ref="AS76">SUM(AS$6:AS$64*($D$6:$D$64=$D76))</f>
        <v>0</v>
      </c>
      <c r="AT76" s="381" cm="1">
        <f t="array" ref="AT76">SUM(AT$6:AT$64*($D$6:$D$64=$D76))</f>
        <v>0</v>
      </c>
      <c r="AU76" s="381" cm="1">
        <f t="array" ref="AU76">SUM(AU$6:AU$64*($D$6:$D$64=$D76))</f>
        <v>0</v>
      </c>
      <c r="AV76" s="381" cm="1">
        <f t="array" ref="AV76">SUM(AV$6:AV$64*($D$6:$D$64=$D76))</f>
        <v>0</v>
      </c>
      <c r="AW76" s="381" cm="1">
        <f t="array" ref="AW76">SUM(AW$6:AW$64*($D$6:$D$64=$D76))</f>
        <v>0</v>
      </c>
      <c r="AX76" s="381" cm="1">
        <f t="array" ref="AX76">SUM(AX$6:AX$64*($D$6:$D$64=$D76))</f>
        <v>0</v>
      </c>
      <c r="AY76" s="381" cm="1">
        <f t="array" ref="AY76">SUM(AY$6:AY$64*($D$6:$D$64=$D76))</f>
        <v>0</v>
      </c>
      <c r="AZ76" s="381" cm="1">
        <f t="array" ref="AZ76">SUM(AZ$6:AZ$64*($D$6:$D$64=$D76))</f>
        <v>0</v>
      </c>
      <c r="BA76" s="381" cm="1">
        <f t="array" ref="BA76">SUM(BA$6:BA$64*($D$6:$D$64=$D76))</f>
        <v>0</v>
      </c>
      <c r="BB76" s="381" cm="1">
        <f t="array" ref="BB76">SUM(BB$6:BB$64*($D$6:$D$64=$D76))</f>
        <v>0</v>
      </c>
      <c r="BC76" s="381" cm="1">
        <f t="array" ref="BC76">SUM(BC$6:BC$64*($D$6:$D$64=$D76))</f>
        <v>0</v>
      </c>
      <c r="BD76" s="381" cm="1">
        <f t="array" ref="BD76">SUM(BD$6:BD$64*($D$6:$D$64=$D76))</f>
        <v>0</v>
      </c>
      <c r="BE76" s="381" cm="1">
        <f t="array" ref="BE76">SUM(BE$6:BE$64*($D$6:$D$64=$D76))</f>
        <v>0</v>
      </c>
      <c r="BF76" s="381" cm="1">
        <f t="array" ref="BF76">SUM(BF$6:BF$64*($D$6:$D$64=$D76))</f>
        <v>0</v>
      </c>
      <c r="BG76" s="381" cm="1">
        <f t="array" ref="BG76">SUM(BG$6:BG$64*($D$6:$D$64=$D76))</f>
        <v>0</v>
      </c>
      <c r="BH76" s="381" cm="1">
        <f t="array" ref="BH76">SUM(BH$6:BH$64*($D$6:$D$64=$D76))</f>
        <v>0</v>
      </c>
      <c r="BI76" s="381" cm="1">
        <f t="array" ref="BI76">SUM(BI$6:BI$64*($D$6:$D$64=$D76))</f>
        <v>0</v>
      </c>
      <c r="BJ76" s="381" cm="1">
        <f t="array" ref="BJ76">SUM(BJ$6:BJ$64*($D$6:$D$64=$D76))</f>
        <v>0</v>
      </c>
      <c r="BK76" s="381" cm="1">
        <f t="array" ref="BK76">SUM(BK$6:BK$64*($D$6:$D$64=$D76))</f>
        <v>0</v>
      </c>
      <c r="BL76" s="381" cm="1">
        <f t="array" ref="BL76">SUM(BL$6:BL$64*($D$6:$D$64=$D76))</f>
        <v>0</v>
      </c>
      <c r="BM76" s="381" cm="1">
        <f t="array" ref="BM76">SUM(BM$6:BM$64*($D$6:$D$64=$D76))</f>
        <v>0</v>
      </c>
      <c r="BN76" s="381" cm="1">
        <f t="array" ref="BN76">SUM(BN$6:BN$64*($D$6:$D$64=$D76))</f>
        <v>0</v>
      </c>
      <c r="BO76" s="381" cm="1">
        <f t="array" ref="BO76">SUM(BO$6:BO$64*($D$6:$D$64=$D76))</f>
        <v>0</v>
      </c>
      <c r="BP76" s="381" cm="1">
        <f t="array" ref="BP76">SUM(BP$6:BP$64*($D$6:$D$64=$D76))</f>
        <v>0</v>
      </c>
      <c r="BQ76" s="381" cm="1">
        <f t="array" ref="BQ76">SUM(BQ$6:BQ$64*($D$6:$D$64=$D76))</f>
        <v>0</v>
      </c>
      <c r="BR76" s="381" cm="1">
        <f t="array" ref="BR76">SUM(BR$6:BR$64*($D$6:$D$64=$D76))</f>
        <v>0</v>
      </c>
      <c r="BS76" s="381" cm="1">
        <f t="array" ref="BS76">SUM(BS$6:BS$64*($D$6:$D$64=$D76))</f>
        <v>0</v>
      </c>
    </row>
  </sheetData>
  <autoFilter ref="A3:WQ64" xr:uid="{1F166F39-C20C-47E5-A884-A2B0F6628BB9}"/>
  <mergeCells count="1">
    <mergeCell ref="L2:Q2"/>
  </mergeCells>
  <conditionalFormatting sqref="Y66:BS74">
    <cfRule type="colorScale" priority="2">
      <colorScale>
        <cfvo type="min"/>
        <cfvo type="max"/>
        <color rgb="FFFCFCFF"/>
        <color rgb="FF63BE7B"/>
      </colorScale>
    </cfRule>
  </conditionalFormatting>
  <conditionalFormatting sqref="Y75:BS76">
    <cfRule type="colorScale" priority="1">
      <colorScale>
        <cfvo type="min"/>
        <cfvo type="max"/>
        <color rgb="FFFCFCFF"/>
        <color rgb="FF63BE7B"/>
      </colorScale>
    </cfRule>
  </conditionalFormatting>
  <dataValidations count="2">
    <dataValidation type="list" allowBlank="1" showInputMessage="1" showErrorMessage="1" sqref="D4:D5" xr:uid="{CFE9ECCD-4D4C-4CCC-B59B-54B1F3A56E8B}">
      <formula1>PeopleList</formula1>
    </dataValidation>
    <dataValidation type="list" allowBlank="1" showInputMessage="1" showErrorMessage="1" sqref="F4" xr:uid="{61F68A8C-17E5-4318-8667-B65912D12726}">
      <formula1>INDIRECT("Panel_List")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13B73465-5EBF-485D-A799-BF3B2933CE65}">
          <x14:formula1>
            <xm:f>Variable!$AS$2:$AS$246</xm:f>
          </x14:formula1>
          <xm:sqref>Y3 C1</xm:sqref>
        </x14:dataValidation>
        <x14:dataValidation type="list" allowBlank="1" showInputMessage="1" showErrorMessage="1" xr:uid="{972274B5-0D96-4C73-BD13-393F00004A48}">
          <x14:formula1>
            <xm:f>Variable!$AX$2:$AX$500</xm:f>
          </x14:formula1>
          <xm:sqref>F5</xm:sqref>
        </x14:dataValidation>
        <x14:dataValidation type="list" allowBlank="1" showInputMessage="1" showErrorMessage="1" xr:uid="{947E33D4-F7F0-4E5D-8542-A3256C22B8ED}">
          <x14:formula1>
            <xm:f>Variable!$AZ$2:$AZ$100</xm:f>
          </x14:formula1>
          <xm:sqref>E6:E64</xm:sqref>
        </x14:dataValidation>
        <x14:dataValidation type="list" allowBlank="1" showInputMessage="1" showErrorMessage="1" xr:uid="{021FAFEC-6839-4DD3-B595-C3774A24D6AA}">
          <x14:formula1>
            <xm:f>Variable!$H$2:$H$572</xm:f>
          </x14:formula1>
          <xm:sqref>D6:D64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7E2C-0CDE-497B-81F3-71A6D9CC0161}">
  <sheetPr>
    <tabColor rgb="FF205860"/>
  </sheetPr>
  <dimension ref="B2:F28"/>
  <sheetViews>
    <sheetView workbookViewId="0"/>
  </sheetViews>
  <sheetFormatPr defaultRowHeight="15" x14ac:dyDescent="0.25"/>
  <cols>
    <col min="1" max="1" width="3" customWidth="1"/>
    <col min="2" max="2" width="20.42578125" bestFit="1" customWidth="1"/>
    <col min="3" max="3" width="101" customWidth="1"/>
    <col min="4" max="4" width="14.5703125" bestFit="1" customWidth="1"/>
    <col min="5" max="5" width="38.85546875" customWidth="1"/>
  </cols>
  <sheetData>
    <row r="2" spans="2:6" x14ac:dyDescent="0.25">
      <c r="B2" t="s">
        <v>943</v>
      </c>
      <c r="C2" t="s">
        <v>944</v>
      </c>
      <c r="D2" t="s">
        <v>945</v>
      </c>
      <c r="E2" t="s">
        <v>946</v>
      </c>
    </row>
    <row r="3" spans="2:6" x14ac:dyDescent="0.25">
      <c r="B3" s="242" t="s">
        <v>224</v>
      </c>
      <c r="C3" t="s">
        <v>225</v>
      </c>
    </row>
    <row r="4" spans="2:6" x14ac:dyDescent="0.25">
      <c r="B4" s="242" t="s">
        <v>224</v>
      </c>
      <c r="C4" t="s">
        <v>947</v>
      </c>
    </row>
    <row r="5" spans="2:6" x14ac:dyDescent="0.25">
      <c r="B5" s="242" t="s">
        <v>224</v>
      </c>
      <c r="C5" t="s">
        <v>235</v>
      </c>
    </row>
    <row r="6" spans="2:6" x14ac:dyDescent="0.25">
      <c r="B6" s="242" t="s">
        <v>224</v>
      </c>
      <c r="C6" s="1" t="s">
        <v>948</v>
      </c>
      <c r="D6" s="252">
        <v>45994</v>
      </c>
      <c r="E6" t="s">
        <v>949</v>
      </c>
    </row>
    <row r="7" spans="2:6" x14ac:dyDescent="0.25">
      <c r="B7" s="243" t="s">
        <v>236</v>
      </c>
      <c r="C7" t="s">
        <v>950</v>
      </c>
      <c r="E7" t="s">
        <v>951</v>
      </c>
      <c r="F7" t="s">
        <v>952</v>
      </c>
    </row>
    <row r="8" spans="2:6" x14ac:dyDescent="0.25">
      <c r="B8" s="243" t="s">
        <v>236</v>
      </c>
      <c r="C8" t="s">
        <v>953</v>
      </c>
    </row>
    <row r="9" spans="2:6" x14ac:dyDescent="0.25">
      <c r="B9" s="243" t="s">
        <v>236</v>
      </c>
      <c r="C9" t="s">
        <v>954</v>
      </c>
    </row>
    <row r="10" spans="2:6" x14ac:dyDescent="0.25">
      <c r="B10" s="243" t="s">
        <v>236</v>
      </c>
      <c r="C10" t="s">
        <v>955</v>
      </c>
    </row>
    <row r="11" spans="2:6" x14ac:dyDescent="0.25">
      <c r="B11" s="243" t="s">
        <v>236</v>
      </c>
      <c r="C11" t="s">
        <v>956</v>
      </c>
    </row>
    <row r="12" spans="2:6" x14ac:dyDescent="0.25">
      <c r="B12" s="243" t="s">
        <v>236</v>
      </c>
      <c r="C12" t="s">
        <v>957</v>
      </c>
    </row>
    <row r="13" spans="2:6" x14ac:dyDescent="0.25">
      <c r="B13" s="243" t="s">
        <v>236</v>
      </c>
      <c r="C13" t="s">
        <v>958</v>
      </c>
    </row>
    <row r="14" spans="2:6" x14ac:dyDescent="0.25">
      <c r="B14" s="243" t="s">
        <v>236</v>
      </c>
      <c r="C14" s="1" t="s">
        <v>959</v>
      </c>
      <c r="D14" s="252">
        <v>46188</v>
      </c>
    </row>
    <row r="15" spans="2:6" x14ac:dyDescent="0.25">
      <c r="B15" s="243" t="s">
        <v>236</v>
      </c>
      <c r="C15" t="s">
        <v>960</v>
      </c>
      <c r="D15" s="252">
        <v>46218</v>
      </c>
      <c r="E15" t="s">
        <v>961</v>
      </c>
    </row>
    <row r="16" spans="2:6" x14ac:dyDescent="0.25">
      <c r="B16" s="243" t="s">
        <v>236</v>
      </c>
      <c r="C16" t="s">
        <v>962</v>
      </c>
      <c r="E16" t="s">
        <v>951</v>
      </c>
    </row>
    <row r="17" spans="2:5" x14ac:dyDescent="0.25">
      <c r="B17" s="244" t="s">
        <v>246</v>
      </c>
      <c r="C17" t="s">
        <v>963</v>
      </c>
      <c r="D17" s="252">
        <v>45994</v>
      </c>
      <c r="E17" t="s">
        <v>964</v>
      </c>
    </row>
    <row r="18" spans="2:5" x14ac:dyDescent="0.25">
      <c r="B18" s="244" t="s">
        <v>246</v>
      </c>
      <c r="C18" t="s">
        <v>965</v>
      </c>
      <c r="E18" t="s">
        <v>966</v>
      </c>
    </row>
    <row r="19" spans="2:5" x14ac:dyDescent="0.25">
      <c r="B19" s="244" t="s">
        <v>246</v>
      </c>
      <c r="C19" t="s">
        <v>967</v>
      </c>
      <c r="E19" t="s">
        <v>966</v>
      </c>
    </row>
    <row r="20" spans="2:5" x14ac:dyDescent="0.25">
      <c r="B20" s="244" t="s">
        <v>246</v>
      </c>
      <c r="C20" t="s">
        <v>968</v>
      </c>
      <c r="E20" t="s">
        <v>966</v>
      </c>
    </row>
    <row r="21" spans="2:5" x14ac:dyDescent="0.25">
      <c r="B21" s="244" t="s">
        <v>246</v>
      </c>
      <c r="C21" t="s">
        <v>969</v>
      </c>
      <c r="D21" s="252">
        <v>46218</v>
      </c>
      <c r="E21" t="s">
        <v>970</v>
      </c>
    </row>
    <row r="22" spans="2:5" x14ac:dyDescent="0.25">
      <c r="B22" s="245" t="s">
        <v>250</v>
      </c>
      <c r="C22" t="s">
        <v>971</v>
      </c>
      <c r="D22" s="252">
        <v>45994</v>
      </c>
      <c r="E22" t="s">
        <v>964</v>
      </c>
    </row>
    <row r="23" spans="2:5" x14ac:dyDescent="0.25">
      <c r="B23" s="245" t="s">
        <v>250</v>
      </c>
      <c r="C23" t="s">
        <v>972</v>
      </c>
    </row>
    <row r="24" spans="2:5" x14ac:dyDescent="0.25">
      <c r="B24" s="245" t="s">
        <v>250</v>
      </c>
      <c r="C24" t="s">
        <v>973</v>
      </c>
    </row>
    <row r="25" spans="2:5" x14ac:dyDescent="0.25">
      <c r="B25" s="245" t="s">
        <v>250</v>
      </c>
      <c r="C25" t="s">
        <v>974</v>
      </c>
      <c r="D25" s="252">
        <v>46218</v>
      </c>
      <c r="E25" t="s">
        <v>966</v>
      </c>
    </row>
    <row r="26" spans="2:5" x14ac:dyDescent="0.25">
      <c r="B26" s="253" t="s">
        <v>255</v>
      </c>
      <c r="C26" t="s">
        <v>975</v>
      </c>
      <c r="D26" s="252">
        <v>46218</v>
      </c>
      <c r="E26" t="s">
        <v>976</v>
      </c>
    </row>
    <row r="27" spans="2:5" x14ac:dyDescent="0.25">
      <c r="B27" s="253" t="s">
        <v>255</v>
      </c>
      <c r="C27" t="s">
        <v>977</v>
      </c>
      <c r="D27" s="252">
        <v>46218</v>
      </c>
    </row>
    <row r="28" spans="2:5" x14ac:dyDescent="0.25">
      <c r="B28" s="253" t="s">
        <v>255</v>
      </c>
      <c r="C28" t="s">
        <v>978</v>
      </c>
      <c r="D28" s="252">
        <v>46218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F290-FDEA-4AFC-B390-B832DF9354A5}">
  <sheetPr>
    <tabColor rgb="FF205860"/>
  </sheetPr>
  <dimension ref="A1:WQ74"/>
  <sheetViews>
    <sheetView zoomScale="89" zoomScaleNormal="89" workbookViewId="0">
      <pane xSplit="4" ySplit="5" topLeftCell="V6" activePane="bottomRight" state="frozen"/>
      <selection pane="topRight" activeCell="E1" sqref="E1"/>
      <selection pane="bottomLeft" activeCell="A6" sqref="A6"/>
      <selection pane="bottomRight" activeCell="AF29" sqref="AF29"/>
    </sheetView>
  </sheetViews>
  <sheetFormatPr defaultColWidth="9" defaultRowHeight="14.25" x14ac:dyDescent="0.25"/>
  <cols>
    <col min="1" max="1" width="2.140625" style="321" customWidth="1"/>
    <col min="2" max="2" width="27.85546875" style="321" customWidth="1"/>
    <col min="3" max="3" width="75.140625" style="321" customWidth="1"/>
    <col min="4" max="4" width="48.85546875" style="321" customWidth="1"/>
    <col min="5" max="5" width="21.7109375" style="321" customWidth="1"/>
    <col min="6" max="6" width="42.140625" style="321" customWidth="1"/>
    <col min="7" max="7" width="12.5703125" style="321" customWidth="1"/>
    <col min="8" max="8" width="8.42578125" style="321" customWidth="1"/>
    <col min="9" max="9" width="13.7109375" style="321" customWidth="1"/>
    <col min="10" max="10" width="18.140625" style="321" customWidth="1"/>
    <col min="11" max="11" width="14.85546875" style="321" customWidth="1"/>
    <col min="12" max="12" width="12.140625" style="380" customWidth="1"/>
    <col min="13" max="13" width="14.140625" style="321" customWidth="1"/>
    <col min="14" max="14" width="17" style="321" customWidth="1"/>
    <col min="15" max="15" width="13.5703125" style="321" customWidth="1"/>
    <col min="16" max="16" width="20.7109375" style="321" customWidth="1"/>
    <col min="17" max="17" width="14.85546875" style="321" customWidth="1"/>
    <col min="18" max="18" width="12.140625" style="380" customWidth="1"/>
    <col min="19" max="20" width="12.5703125" style="380" customWidth="1"/>
    <col min="21" max="21" width="14.7109375" style="321" customWidth="1"/>
    <col min="22" max="22" width="15.140625" style="321" customWidth="1"/>
    <col min="23" max="23" width="14.140625" style="321" customWidth="1"/>
    <col min="24" max="24" width="19.140625" style="321" customWidth="1"/>
    <col min="25" max="36" width="10.42578125" style="321" customWidth="1"/>
    <col min="37" max="37" width="11.28515625" style="321" customWidth="1"/>
    <col min="38" max="39" width="10.42578125" style="321" customWidth="1"/>
    <col min="40" max="40" width="11" style="321" customWidth="1"/>
    <col min="41" max="53" width="10.42578125" style="321" customWidth="1"/>
    <col min="54" max="54" width="12.7109375" style="321" customWidth="1"/>
    <col min="55" max="314" width="10.42578125" style="321" customWidth="1"/>
    <col min="315" max="315" width="15.5703125" style="321" bestFit="1" customWidth="1"/>
    <col min="316" max="317" width="14.85546875" style="321" bestFit="1" customWidth="1"/>
    <col min="318" max="318" width="14.5703125" style="321" bestFit="1" customWidth="1"/>
    <col min="319" max="320" width="14.85546875" style="321" bestFit="1" customWidth="1"/>
    <col min="321" max="321" width="14.140625" style="321" bestFit="1" customWidth="1"/>
    <col min="322" max="323" width="14" style="321" bestFit="1" customWidth="1"/>
    <col min="324" max="324" width="14.140625" style="321" bestFit="1" customWidth="1"/>
    <col min="325" max="325" width="15.42578125" style="321" bestFit="1" customWidth="1"/>
    <col min="326" max="326" width="14.7109375" style="321" bestFit="1" customWidth="1"/>
    <col min="327" max="327" width="15" style="321" bestFit="1" customWidth="1"/>
    <col min="328" max="328" width="15.42578125" style="321" bestFit="1" customWidth="1"/>
    <col min="329" max="329" width="14.7109375" style="321" bestFit="1" customWidth="1"/>
    <col min="330" max="330" width="15" style="321" bestFit="1" customWidth="1"/>
    <col min="331" max="331" width="14.7109375" style="321" bestFit="1" customWidth="1"/>
    <col min="332" max="333" width="15" style="321" bestFit="1" customWidth="1"/>
    <col min="334" max="334" width="14.85546875" style="321" bestFit="1" customWidth="1"/>
    <col min="335" max="335" width="14.5703125" style="321" bestFit="1" customWidth="1"/>
    <col min="336" max="336" width="14.85546875" style="321" bestFit="1" customWidth="1"/>
    <col min="337" max="337" width="14.7109375" style="321" bestFit="1" customWidth="1"/>
    <col min="338" max="338" width="15.42578125" style="321" bestFit="1" customWidth="1"/>
    <col min="339" max="339" width="15" style="321" bestFit="1" customWidth="1"/>
    <col min="340" max="340" width="14.85546875" style="321" bestFit="1" customWidth="1"/>
    <col min="341" max="341" width="15.42578125" style="321" bestFit="1" customWidth="1"/>
    <col min="342" max="342" width="14.85546875" style="321" bestFit="1" customWidth="1"/>
    <col min="343" max="343" width="15.140625" style="321" bestFit="1" customWidth="1"/>
    <col min="344" max="344" width="14.85546875" style="321" bestFit="1" customWidth="1"/>
    <col min="345" max="346" width="15.140625" style="321" bestFit="1" customWidth="1"/>
    <col min="347" max="347" width="15" style="321" bestFit="1" customWidth="1"/>
    <col min="348" max="349" width="14.7109375" style="321" bestFit="1" customWidth="1"/>
    <col min="350" max="350" width="15" style="321" bestFit="1" customWidth="1"/>
    <col min="351" max="352" width="15.140625" style="321" bestFit="1" customWidth="1"/>
    <col min="353" max="353" width="14.85546875" style="321" bestFit="1" customWidth="1"/>
    <col min="354" max="355" width="15.140625" style="321" bestFit="1" customWidth="1"/>
    <col min="356" max="356" width="15.5703125" style="321" bestFit="1" customWidth="1"/>
    <col min="357" max="357" width="15.140625" style="321" bestFit="1" customWidth="1"/>
    <col min="358" max="359" width="15.5703125" style="321" bestFit="1" customWidth="1"/>
    <col min="360" max="360" width="15.140625" style="321" bestFit="1" customWidth="1"/>
    <col min="361" max="362" width="14.85546875" style="321" bestFit="1" customWidth="1"/>
    <col min="363" max="363" width="15.140625" style="321" bestFit="1" customWidth="1"/>
    <col min="364" max="364" width="15.85546875" style="321" bestFit="1" customWidth="1"/>
    <col min="365" max="365" width="15.5703125" style="321" bestFit="1" customWidth="1"/>
    <col min="366" max="366" width="15.42578125" style="321" bestFit="1" customWidth="1"/>
    <col min="367" max="367" width="15.85546875" style="321" bestFit="1" customWidth="1"/>
    <col min="368" max="368" width="15.5703125" style="321" bestFit="1" customWidth="1"/>
    <col min="369" max="369" width="15" style="321" bestFit="1" customWidth="1"/>
    <col min="370" max="371" width="14.85546875" style="321" bestFit="1" customWidth="1"/>
    <col min="372" max="372" width="15.140625" style="321" bestFit="1" customWidth="1"/>
    <col min="373" max="373" width="14.5703125" style="321" bestFit="1" customWidth="1"/>
    <col min="374" max="375" width="14.140625" style="321" bestFit="1" customWidth="1"/>
    <col min="376" max="376" width="14.5703125" style="321" bestFit="1" customWidth="1"/>
    <col min="377" max="378" width="15.7109375" style="321" bestFit="1" customWidth="1"/>
    <col min="379" max="379" width="15.42578125" style="321" bestFit="1" customWidth="1"/>
    <col min="380" max="381" width="15.7109375" style="321" bestFit="1" customWidth="1"/>
    <col min="382" max="382" width="15.42578125" style="321" bestFit="1" customWidth="1"/>
    <col min="383" max="383" width="15" style="321" bestFit="1" customWidth="1"/>
    <col min="384" max="384" width="15.42578125" style="321" bestFit="1" customWidth="1"/>
    <col min="385" max="386" width="15.140625" style="321" bestFit="1" customWidth="1"/>
    <col min="387" max="387" width="14.5703125" style="321" bestFit="1" customWidth="1"/>
    <col min="388" max="388" width="14.85546875" style="321" bestFit="1" customWidth="1"/>
    <col min="389" max="389" width="15.140625" style="321" bestFit="1" customWidth="1"/>
    <col min="390" max="390" width="15.42578125" style="321" bestFit="1" customWidth="1"/>
    <col min="391" max="391" width="15.7109375" style="321" bestFit="1" customWidth="1"/>
    <col min="392" max="392" width="15.42578125" style="321" bestFit="1" customWidth="1"/>
    <col min="393" max="394" width="15.7109375" style="321" bestFit="1" customWidth="1"/>
    <col min="395" max="395" width="15.5703125" style="321" bestFit="1" customWidth="1"/>
    <col min="396" max="396" width="15.140625" style="321" bestFit="1" customWidth="1"/>
    <col min="397" max="397" width="15.5703125" style="321" bestFit="1" customWidth="1"/>
    <col min="398" max="398" width="15.42578125" style="321" bestFit="1" customWidth="1"/>
    <col min="399" max="399" width="15" style="321" bestFit="1" customWidth="1"/>
    <col min="400" max="400" width="14.7109375" style="321" bestFit="1" customWidth="1"/>
    <col min="401" max="401" width="14.5703125" style="321" bestFit="1" customWidth="1"/>
    <col min="402" max="402" width="15" style="321" bestFit="1" customWidth="1"/>
    <col min="403" max="403" width="14.7109375" style="321" bestFit="1" customWidth="1"/>
    <col min="404" max="404" width="15" style="321" bestFit="1" customWidth="1"/>
    <col min="405" max="406" width="14.85546875" style="321" bestFit="1" customWidth="1"/>
    <col min="407" max="407" width="15.140625" style="321" bestFit="1" customWidth="1"/>
    <col min="408" max="408" width="15.42578125" style="321" bestFit="1" customWidth="1"/>
    <col min="409" max="410" width="15.140625" style="321" bestFit="1" customWidth="1"/>
    <col min="411" max="411" width="15.5703125" style="321" bestFit="1" customWidth="1"/>
    <col min="412" max="412" width="15.140625" style="321" bestFit="1" customWidth="1"/>
    <col min="413" max="413" width="14.5703125" style="321" bestFit="1" customWidth="1"/>
    <col min="414" max="414" width="14.85546875" style="321" bestFit="1" customWidth="1"/>
    <col min="415" max="415" width="15.140625" style="321" bestFit="1" customWidth="1"/>
    <col min="416" max="417" width="15.85546875" style="321" bestFit="1" customWidth="1"/>
    <col min="418" max="418" width="15.5703125" style="321" bestFit="1" customWidth="1"/>
    <col min="419" max="420" width="15.85546875" style="321" bestFit="1" customWidth="1"/>
    <col min="421" max="421" width="15.140625" style="321" bestFit="1" customWidth="1"/>
    <col min="422" max="422" width="14.85546875" style="321" bestFit="1" customWidth="1"/>
    <col min="423" max="423" width="15.140625" style="321" bestFit="1" customWidth="1"/>
    <col min="424" max="424" width="15" style="321" bestFit="1" customWidth="1"/>
    <col min="425" max="425" width="14.5703125" style="321" bestFit="1" customWidth="1"/>
    <col min="426" max="426" width="14" style="321" bestFit="1" customWidth="1"/>
    <col min="427" max="427" width="14.140625" style="321" bestFit="1" customWidth="1"/>
    <col min="428" max="428" width="14.5703125" style="321" bestFit="1" customWidth="1"/>
    <col min="429" max="429" width="15.42578125" style="321" bestFit="1" customWidth="1"/>
    <col min="430" max="430" width="15.7109375" style="321" bestFit="1" customWidth="1"/>
    <col min="431" max="431" width="15.42578125" style="321" bestFit="1" customWidth="1"/>
    <col min="432" max="433" width="15.7109375" style="321" bestFit="1" customWidth="1"/>
    <col min="434" max="434" width="15.42578125" style="321" bestFit="1" customWidth="1"/>
    <col min="435" max="436" width="15" style="321" bestFit="1" customWidth="1"/>
    <col min="437" max="437" width="15.42578125" style="321" bestFit="1" customWidth="1"/>
    <col min="438" max="438" width="15.140625" style="321" bestFit="1" customWidth="1"/>
    <col min="439" max="439" width="14.85546875" style="321" bestFit="1" customWidth="1"/>
    <col min="440" max="440" width="14.7109375" style="321" bestFit="1" customWidth="1"/>
    <col min="441" max="441" width="15.140625" style="321" bestFit="1" customWidth="1"/>
    <col min="442" max="442" width="14.85546875" style="321" bestFit="1" customWidth="1"/>
    <col min="443" max="443" width="15.5703125" style="321" bestFit="1" customWidth="1"/>
    <col min="444" max="445" width="15.42578125" style="321" bestFit="1" customWidth="1"/>
    <col min="446" max="446" width="15.7109375" style="321" bestFit="1" customWidth="1"/>
    <col min="447" max="447" width="15.5703125" style="321" bestFit="1" customWidth="1"/>
    <col min="448" max="449" width="15.140625" style="321" bestFit="1" customWidth="1"/>
    <col min="450" max="450" width="15.5703125" style="321" bestFit="1" customWidth="1"/>
    <col min="451" max="452" width="15" style="321" bestFit="1" customWidth="1"/>
    <col min="453" max="453" width="14.7109375" style="321" bestFit="1" customWidth="1"/>
    <col min="454" max="455" width="15" style="321" bestFit="1" customWidth="1"/>
    <col min="456" max="456" width="15.140625" style="321" bestFit="1" customWidth="1"/>
    <col min="457" max="457" width="14.85546875" style="321" bestFit="1" customWidth="1"/>
    <col min="458" max="458" width="15.140625" style="321" bestFit="1" customWidth="1"/>
    <col min="459" max="459" width="15" style="321" bestFit="1" customWidth="1"/>
    <col min="460" max="460" width="15.5703125" style="321" bestFit="1" customWidth="1"/>
    <col min="461" max="461" width="15.140625" style="321" bestFit="1" customWidth="1"/>
    <col min="462" max="462" width="15.5703125" style="321" bestFit="1" customWidth="1"/>
    <col min="463" max="463" width="15.42578125" style="321" bestFit="1" customWidth="1"/>
    <col min="464" max="464" width="15.140625" style="321" bestFit="1" customWidth="1"/>
    <col min="465" max="465" width="14.85546875" style="321" bestFit="1" customWidth="1"/>
    <col min="466" max="466" width="14.7109375" style="321" bestFit="1" customWidth="1"/>
    <col min="467" max="467" width="15.140625" style="321" bestFit="1" customWidth="1"/>
    <col min="468" max="468" width="15.5703125" style="321" bestFit="1" customWidth="1"/>
    <col min="469" max="469" width="15.85546875" style="321" bestFit="1" customWidth="1"/>
    <col min="470" max="470" width="15.5703125" style="321" bestFit="1" customWidth="1"/>
    <col min="471" max="472" width="15.85546875" style="321" bestFit="1" customWidth="1"/>
    <col min="473" max="473" width="15.140625" style="321" bestFit="1" customWidth="1"/>
    <col min="474" max="475" width="14.85546875" style="321" bestFit="1" customWidth="1"/>
    <col min="476" max="476" width="15.140625" style="321" bestFit="1" customWidth="1"/>
    <col min="477" max="477" width="14.5703125" style="321" bestFit="1" customWidth="1"/>
    <col min="478" max="479" width="14.140625" style="321" bestFit="1" customWidth="1"/>
    <col min="480" max="480" width="14.5703125" style="321" bestFit="1" customWidth="1"/>
    <col min="481" max="481" width="14.140625" style="321" bestFit="1" customWidth="1"/>
    <col min="482" max="482" width="15.5703125" style="321" bestFit="1" customWidth="1"/>
    <col min="483" max="484" width="15.42578125" style="321" bestFit="1" customWidth="1"/>
    <col min="485" max="485" width="15.7109375" style="321" bestFit="1" customWidth="1"/>
    <col min="486" max="486" width="15.42578125" style="321" bestFit="1" customWidth="1"/>
    <col min="487" max="487" width="14.7109375" style="321" bestFit="1" customWidth="1"/>
    <col min="488" max="488" width="15" style="321" bestFit="1" customWidth="1"/>
    <col min="489" max="489" width="15.42578125" style="321" bestFit="1" customWidth="1"/>
    <col min="490" max="491" width="15.140625" style="321" bestFit="1" customWidth="1"/>
    <col min="492" max="492" width="14.85546875" style="321" bestFit="1" customWidth="1"/>
    <col min="493" max="494" width="15.140625" style="321" bestFit="1" customWidth="1"/>
    <col min="495" max="495" width="15.7109375" style="321" bestFit="1" customWidth="1"/>
    <col min="496" max="496" width="15.42578125" style="321" bestFit="1" customWidth="1"/>
    <col min="497" max="497" width="15.7109375" style="321" bestFit="1" customWidth="1"/>
    <col min="498" max="499" width="15.5703125" style="321" bestFit="1" customWidth="1"/>
    <col min="500" max="500" width="14.85546875" style="321" bestFit="1" customWidth="1"/>
    <col min="501" max="501" width="15.140625" style="321" bestFit="1" customWidth="1"/>
    <col min="502" max="502" width="15.5703125" style="321" bestFit="1" customWidth="1"/>
    <col min="503" max="503" width="14.7109375" style="321" bestFit="1" customWidth="1"/>
    <col min="504" max="504" width="15" style="321" bestFit="1" customWidth="1"/>
    <col min="505" max="505" width="14.7109375" style="321" bestFit="1" customWidth="1"/>
    <col min="506" max="507" width="15" style="321" bestFit="1" customWidth="1"/>
    <col min="508" max="508" width="15.140625" style="321" bestFit="1" customWidth="1"/>
    <col min="509" max="510" width="14.85546875" style="321" bestFit="1" customWidth="1"/>
    <col min="511" max="511" width="15.140625" style="321" bestFit="1" customWidth="1"/>
    <col min="512" max="512" width="15.5703125" style="321" bestFit="1" customWidth="1"/>
    <col min="513" max="514" width="15.140625" style="321" bestFit="1" customWidth="1"/>
    <col min="515" max="515" width="15.5703125" style="321" bestFit="1" customWidth="1"/>
    <col min="516" max="517" width="15.140625" style="321" bestFit="1" customWidth="1"/>
    <col min="518" max="518" width="14.85546875" style="321" bestFit="1" customWidth="1"/>
    <col min="519" max="520" width="15.140625" style="321" bestFit="1" customWidth="1"/>
    <col min="521" max="521" width="15.7109375" style="321" bestFit="1" customWidth="1"/>
    <col min="522" max="523" width="15.5703125" style="321" bestFit="1" customWidth="1"/>
    <col min="524" max="524" width="15.85546875" style="321" bestFit="1" customWidth="1"/>
    <col min="525" max="525" width="15.140625" style="321" bestFit="1" customWidth="1"/>
    <col min="526" max="526" width="14.5703125" style="321" bestFit="1" customWidth="1"/>
    <col min="527" max="527" width="14.85546875" style="321" bestFit="1" customWidth="1"/>
    <col min="528" max="528" width="15.140625" style="321" bestFit="1" customWidth="1"/>
    <col min="529" max="530" width="14.5703125" style="321" bestFit="1" customWidth="1"/>
    <col min="531" max="531" width="14.140625" style="321" bestFit="1" customWidth="1"/>
    <col min="532" max="533" width="14.5703125" style="321" bestFit="1" customWidth="1"/>
    <col min="534" max="534" width="15.7109375" style="321" bestFit="1" customWidth="1"/>
    <col min="535" max="535" width="15.42578125" style="321" bestFit="1" customWidth="1"/>
    <col min="536" max="536" width="15.7109375" style="321" bestFit="1" customWidth="1"/>
    <col min="537" max="537" width="15.5703125" style="321" bestFit="1" customWidth="1"/>
    <col min="538" max="538" width="15.42578125" style="321" bestFit="1" customWidth="1"/>
    <col min="539" max="539" width="15" style="321" bestFit="1" customWidth="1"/>
    <col min="540" max="540" width="14.85546875" style="321" bestFit="1" customWidth="1"/>
    <col min="541" max="541" width="15.42578125" style="321" bestFit="1" customWidth="1"/>
    <col min="542" max="542" width="14.85546875" style="321" bestFit="1" customWidth="1"/>
    <col min="543" max="543" width="15.140625" style="321" bestFit="1" customWidth="1"/>
    <col min="544" max="544" width="14.85546875" style="321" bestFit="1" customWidth="1"/>
    <col min="545" max="546" width="15.140625" style="321" bestFit="1" customWidth="1"/>
    <col min="547" max="547" width="15.7109375" style="321" bestFit="1" customWidth="1"/>
    <col min="548" max="549" width="15.42578125" style="321" bestFit="1" customWidth="1"/>
    <col min="550" max="550" width="15.7109375" style="321" bestFit="1" customWidth="1"/>
    <col min="551" max="551" width="15.5703125" style="321" bestFit="1" customWidth="1"/>
    <col min="552" max="552" width="15.140625" style="321" bestFit="1" customWidth="1"/>
    <col min="553" max="553" width="15" style="321" bestFit="1" customWidth="1"/>
    <col min="554" max="554" width="15.5703125" style="321" bestFit="1" customWidth="1"/>
    <col min="555" max="555" width="15.140625" style="321" bestFit="1" customWidth="1"/>
    <col min="556" max="556" width="14.85546875" style="321" bestFit="1" customWidth="1"/>
    <col min="557" max="558" width="14.7109375" style="321" bestFit="1" customWidth="1"/>
    <col min="559" max="559" width="15" style="321" bestFit="1" customWidth="1"/>
    <col min="560" max="560" width="15.140625" style="321" bestFit="1" customWidth="1"/>
    <col min="561" max="561" width="14.5703125" style="321" bestFit="1" customWidth="1"/>
    <col min="562" max="562" width="14.85546875" style="321" bestFit="1" customWidth="1"/>
    <col min="563" max="563" width="15.140625" style="321" bestFit="1" customWidth="1"/>
    <col min="564" max="564" width="15.5703125" style="321" bestFit="1" customWidth="1"/>
    <col min="565" max="565" width="15.140625" style="321" bestFit="1" customWidth="1"/>
    <col min="566" max="566" width="15" style="321" bestFit="1" customWidth="1"/>
    <col min="567" max="567" width="15.5703125" style="321" bestFit="1" customWidth="1"/>
    <col min="568" max="568" width="15.140625" style="321" bestFit="1" customWidth="1"/>
    <col min="569" max="569" width="15" style="321" bestFit="1" customWidth="1"/>
    <col min="570" max="571" width="14.85546875" style="321" bestFit="1" customWidth="1"/>
    <col min="572" max="572" width="15.140625" style="321" bestFit="1" customWidth="1"/>
    <col min="573" max="573" width="15.85546875" style="321" bestFit="1" customWidth="1"/>
    <col min="574" max="575" width="15.5703125" style="321" bestFit="1" customWidth="1"/>
    <col min="576" max="576" width="15.85546875" style="321" bestFit="1" customWidth="1"/>
    <col min="577" max="578" width="15.140625" style="321" bestFit="1" customWidth="1"/>
    <col min="579" max="579" width="14.85546875" style="321" bestFit="1" customWidth="1"/>
    <col min="580" max="581" width="15.140625" style="321" bestFit="1" customWidth="1"/>
    <col min="582" max="582" width="14.42578125" style="321" bestFit="1" customWidth="1"/>
    <col min="583" max="584" width="14.140625" style="321" bestFit="1" customWidth="1"/>
    <col min="585" max="585" width="14.5703125" style="321" bestFit="1" customWidth="1"/>
    <col min="586" max="586" width="15.7109375" style="321" bestFit="1" customWidth="1"/>
    <col min="587" max="587" width="15" style="321" bestFit="1" customWidth="1"/>
    <col min="588" max="588" width="15.42578125" style="321" bestFit="1" customWidth="1"/>
    <col min="589" max="589" width="15.7109375" style="321" bestFit="1" customWidth="1"/>
    <col min="590" max="590" width="15" style="321" bestFit="1" customWidth="1"/>
    <col min="591" max="591" width="15.42578125" style="321" bestFit="1" customWidth="1"/>
    <col min="592" max="592" width="15" style="321" bestFit="1" customWidth="1"/>
    <col min="593" max="594" width="15.42578125" style="321" bestFit="1" customWidth="1"/>
    <col min="595" max="595" width="15.140625" style="321" bestFit="1" customWidth="1"/>
    <col min="596" max="596" width="14.85546875" style="321" bestFit="1" customWidth="1"/>
    <col min="597" max="597" width="15.140625" style="321" bestFit="1" customWidth="1"/>
    <col min="598" max="598" width="15" style="321" bestFit="1" customWidth="1"/>
    <col min="599" max="599" width="15.7109375" style="321" bestFit="1" customWidth="1"/>
    <col min="600" max="600" width="15.42578125" style="321" bestFit="1" customWidth="1"/>
    <col min="601" max="601" width="15.140625" style="321" bestFit="1" customWidth="1"/>
    <col min="602" max="602" width="15.7109375" style="321" bestFit="1" customWidth="1"/>
    <col min="603" max="603" width="15.140625" style="321" bestFit="1" customWidth="1"/>
    <col min="604" max="604" width="15.5703125" style="321" bestFit="1" customWidth="1"/>
    <col min="605" max="605" width="15.140625" style="321" bestFit="1" customWidth="1"/>
    <col min="606" max="607" width="15.5703125" style="321" bestFit="1" customWidth="1"/>
    <col min="608" max="608" width="14.85546875" style="321" bestFit="1" customWidth="1"/>
    <col min="609" max="610" width="14.5703125" style="321" bestFit="1" customWidth="1"/>
    <col min="611" max="611" width="14.85546875" style="321" bestFit="1" customWidth="1"/>
    <col min="612" max="613" width="15" style="321" bestFit="1" customWidth="1"/>
    <col min="614" max="614" width="14.7109375" style="321" bestFit="1" customWidth="1"/>
    <col min="615" max="615" width="15" style="321" bestFit="1" customWidth="1"/>
    <col min="616" max="16384" width="9" style="321"/>
  </cols>
  <sheetData>
    <row r="1" spans="1:615" s="270" customFormat="1" ht="20.25" customHeight="1" x14ac:dyDescent="0.25">
      <c r="B1" s="271" t="s">
        <v>76</v>
      </c>
      <c r="C1" s="272">
        <v>46062</v>
      </c>
      <c r="D1" s="273"/>
      <c r="E1" s="273"/>
      <c r="F1" s="273"/>
      <c r="G1" s="273"/>
      <c r="H1" s="273"/>
      <c r="I1" s="273">
        <v>907273.5</v>
      </c>
      <c r="J1" s="273"/>
      <c r="K1" s="273"/>
      <c r="L1" s="274"/>
      <c r="M1" s="273"/>
      <c r="N1" s="273"/>
      <c r="O1" s="273"/>
      <c r="P1" s="273"/>
      <c r="Q1" s="273"/>
      <c r="R1" s="386">
        <f ca="1">R5</f>
        <v>0.14466624528437491</v>
      </c>
      <c r="S1" s="274"/>
      <c r="T1" s="274"/>
      <c r="U1" s="273"/>
      <c r="V1" s="275">
        <f ca="1">U5</f>
        <v>887441.18400000001</v>
      </c>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25">
      <c r="B2" s="271" t="s">
        <v>78</v>
      </c>
      <c r="C2" s="272">
        <v>46062</v>
      </c>
      <c r="D2" s="273"/>
      <c r="E2" s="273"/>
      <c r="F2" s="273"/>
      <c r="G2" s="273"/>
      <c r="H2" s="273"/>
      <c r="I2" s="273"/>
      <c r="J2" s="273"/>
      <c r="K2" s="273"/>
      <c r="L2" s="430" t="s">
        <v>79</v>
      </c>
      <c r="M2" s="430"/>
      <c r="N2" s="430"/>
      <c r="O2" s="430"/>
      <c r="P2" s="430"/>
      <c r="Q2" s="430"/>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
      <c r="B3" s="281" t="s">
        <v>50</v>
      </c>
      <c r="C3" s="282" t="s">
        <v>59</v>
      </c>
      <c r="D3" s="282" t="s">
        <v>61</v>
      </c>
      <c r="E3" s="282" t="s">
        <v>80</v>
      </c>
      <c r="F3" s="283" t="s">
        <v>81</v>
      </c>
      <c r="G3" s="284" t="s">
        <v>82</v>
      </c>
      <c r="H3" s="285" t="s">
        <v>218</v>
      </c>
      <c r="I3" s="286" t="s">
        <v>84</v>
      </c>
      <c r="J3" s="284" t="s">
        <v>925</v>
      </c>
      <c r="K3" s="287" t="s">
        <v>86</v>
      </c>
      <c r="L3" s="288" t="s">
        <v>87</v>
      </c>
      <c r="M3" s="289" t="s">
        <v>88</v>
      </c>
      <c r="N3" s="290" t="str">
        <f>"Actual Hours
as at "&amp;TEXT($C$2,"dd-mmm")</f>
        <v>Actual Hours
as at 09-Feb</v>
      </c>
      <c r="O3" s="289" t="s">
        <v>90</v>
      </c>
      <c r="P3" s="289" t="s">
        <v>91</v>
      </c>
      <c r="Q3" s="291" t="s">
        <v>92</v>
      </c>
      <c r="R3" s="284"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25">
      <c r="A4" s="270"/>
      <c r="B4" s="281"/>
      <c r="C4" s="295" t="s">
        <v>100</v>
      </c>
      <c r="D4" s="296" t="s">
        <v>101</v>
      </c>
      <c r="E4" s="295" t="s">
        <v>102</v>
      </c>
      <c r="F4" s="296" t="s">
        <v>338</v>
      </c>
      <c r="G4" s="297"/>
      <c r="H4" s="298"/>
      <c r="I4" s="299"/>
      <c r="J4" s="298"/>
      <c r="K4" s="300"/>
      <c r="L4" s="297"/>
      <c r="M4" s="301"/>
      <c r="N4" s="302"/>
      <c r="O4" s="301"/>
      <c r="P4" s="301"/>
      <c r="Q4" s="303"/>
      <c r="R4" s="304"/>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
      <c r="A5" s="270"/>
      <c r="B5" s="311"/>
      <c r="C5" s="312" t="s">
        <v>105</v>
      </c>
      <c r="D5" s="313" t="s">
        <v>317</v>
      </c>
      <c r="E5" s="312" t="s">
        <v>46</v>
      </c>
      <c r="F5" s="314" t="s">
        <v>812</v>
      </c>
      <c r="G5" s="297"/>
      <c r="H5" s="298"/>
      <c r="I5" s="299"/>
      <c r="J5" s="298"/>
      <c r="K5" s="300"/>
      <c r="L5" s="297">
        <f t="shared" ref="L5:Q5" si="20">SUM(L6:L62)</f>
        <v>12397</v>
      </c>
      <c r="M5" s="301">
        <f t="shared" ca="1" si="20"/>
        <v>2161217.2560000001</v>
      </c>
      <c r="N5" s="302">
        <f t="shared" si="20"/>
        <v>0</v>
      </c>
      <c r="O5" s="301">
        <f t="shared" ca="1" si="20"/>
        <v>0</v>
      </c>
      <c r="P5" s="301">
        <f t="shared" ca="1" si="20"/>
        <v>2161217.2560000001</v>
      </c>
      <c r="Q5" s="303">
        <f t="shared" si="20"/>
        <v>0</v>
      </c>
      <c r="R5" s="315">
        <f ca="1">IFERROR(((U5+O5)-(V5+Q5))/(U5+O5),"")</f>
        <v>0.14466624528437491</v>
      </c>
      <c r="S5" s="298">
        <f ca="1">SUM(S6:S62)</f>
        <v>5178.3999999999996</v>
      </c>
      <c r="T5" s="316">
        <f ca="1">SUM(T6:T62)</f>
        <v>647.29999999999995</v>
      </c>
      <c r="U5" s="317">
        <f ca="1">SUM(U6:U62)</f>
        <v>887441.18400000001</v>
      </c>
      <c r="V5" s="306">
        <f ca="1">SUM(V6:V62)</f>
        <v>759058.39999999991</v>
      </c>
      <c r="W5" s="307">
        <f ca="1">SUM(W6:W62)</f>
        <v>1013539.0400000002</v>
      </c>
      <c r="X5" s="318">
        <f ca="1">IFERROR(W5/M5,"")</f>
        <v>0.46896675342851329</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25">
      <c r="B6" s="322" t="s">
        <v>926</v>
      </c>
      <c r="C6" s="323" t="s">
        <v>927</v>
      </c>
      <c r="D6" s="321" t="s">
        <v>306</v>
      </c>
      <c r="E6" s="321" t="s">
        <v>753</v>
      </c>
      <c r="F6" s="324" t="s">
        <v>928</v>
      </c>
      <c r="G6" s="325" cm="1">
        <f t="array" aca="1" ref="G6" ca="1">IFERROR(INDEX(Panel_Rates[[1]:[12]],MATCH(Panel_New&amp;Category_New,Panel_Rates[Panel]&amp;Panel_Rates[Category],0),MATCH('Time Plan (Lacy))'!E6,OFFSET(Variable!$AF$2,MATCH(Panel_New&amp;Category_New,Panel_Rates[Panel]&amp;Panel_Rates[Category],0)-1,0,1,12),0))/8,"")</f>
        <v>305</v>
      </c>
      <c r="H6" s="326">
        <v>0.32</v>
      </c>
      <c r="I6" s="327">
        <f t="shared" ref="I6:I9" ca="1" si="21">IFERROR(G6*(1-H6),"")</f>
        <v>207.39999999999998</v>
      </c>
      <c r="J6" s="328">
        <f ca="1">IFERROR(I6*8,"")</f>
        <v>1659.1999999999998</v>
      </c>
      <c r="K6" s="329">
        <f>IFERROR(_xlfn.XLOOKUP(D6,CostTableLookup[Name],CostTableLookup[Gross Cost]),"")</f>
        <v>245</v>
      </c>
      <c r="L6" s="330">
        <v>120.00000000000001</v>
      </c>
      <c r="M6" s="331">
        <f ca="1">IFERROR(L6*I6,"")</f>
        <v>24888</v>
      </c>
      <c r="N6" s="332"/>
      <c r="O6" s="331">
        <f ca="1">IFERROR(N6*I6,"")</f>
        <v>0</v>
      </c>
      <c r="P6" s="331">
        <f t="shared" ref="P6:P13" ca="1" si="22">IFERROR(M6-O6,"")</f>
        <v>24888</v>
      </c>
      <c r="Q6" s="333">
        <f t="shared" ref="Q6:Q13" si="23">IFERROR(N6*K6,"")</f>
        <v>0</v>
      </c>
      <c r="R6" s="334">
        <f ca="1">IFERROR(((U6+O6)-(V6+Q6))/(U6+O6),"")</f>
        <v>-0.1812921890067504</v>
      </c>
      <c r="S6" s="335">
        <f ca="1">IFERROR(SUM(OFFSET(Y6,0,MATCH(Forecast_New,$Y$3:$WQ$3,0)-1,1,500))*40,"")</f>
        <v>140</v>
      </c>
      <c r="T6" s="336">
        <f ca="1">IFERROR(S6/8,"")</f>
        <v>17.5</v>
      </c>
      <c r="U6" s="337">
        <f ca="1">IFERROR($S6*I6,"")</f>
        <v>29035.999999999996</v>
      </c>
      <c r="V6" s="338">
        <f ca="1">IFERROR($S6*K6,"")</f>
        <v>34300</v>
      </c>
      <c r="W6" s="339">
        <f ca="1">IFERROR(M6-(O6+U6),"")</f>
        <v>-4147.9999999999964</v>
      </c>
      <c r="X6" s="340">
        <f ca="1">IFERROR(W6/M6,"")</f>
        <v>-0.16666666666666652</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0.25" customHeight="1" x14ac:dyDescent="0.25">
      <c r="B7" s="322" t="s">
        <v>926</v>
      </c>
      <c r="C7" s="323" t="s">
        <v>927</v>
      </c>
      <c r="D7" s="321" t="s">
        <v>327</v>
      </c>
      <c r="E7" s="321" t="s">
        <v>752</v>
      </c>
      <c r="F7" s="324" t="s">
        <v>155</v>
      </c>
      <c r="G7" s="325" cm="1">
        <f t="array" aca="1" ref="G7" ca="1">IFERROR(INDEX(Panel_Rates[[1]:[12]],MATCH(Panel_New&amp;Category_New,Panel_Rates[Panel]&amp;Panel_Rates[Category],0),MATCH('Time Plan (Lacy))'!E7,OFFSET(Variable!$AF$2,MATCH(Panel_New&amp;Category_New,Panel_Rates[Panel]&amp;Panel_Rates[Category],0)-1,0,1,12),0))/8,"")</f>
        <v>245</v>
      </c>
      <c r="H7" s="326">
        <v>0.38</v>
      </c>
      <c r="I7" s="327">
        <f t="shared" ca="1" si="21"/>
        <v>151.9</v>
      </c>
      <c r="J7" s="328">
        <f ca="1">IFERROR(I7*8,"")</f>
        <v>1215.2</v>
      </c>
      <c r="K7" s="329">
        <f>IFERROR(_xlfn.XLOOKUP(D7,CostTableLookup[Name],CostTableLookup[Gross Cost]),"")</f>
        <v>146</v>
      </c>
      <c r="L7" s="330">
        <v>160</v>
      </c>
      <c r="M7" s="331">
        <f ca="1">IFERROR(L7*I7,"")</f>
        <v>24304</v>
      </c>
      <c r="N7" s="332"/>
      <c r="O7" s="331">
        <f ca="1">IFERROR(N7*I7,"")</f>
        <v>0</v>
      </c>
      <c r="P7" s="331">
        <f t="shared" ca="1" si="22"/>
        <v>24304</v>
      </c>
      <c r="Q7" s="333">
        <f t="shared" si="23"/>
        <v>0</v>
      </c>
      <c r="R7" s="334">
        <f ca="1">IFERROR(((U7+O7)-(V7+Q7))/(U7+O7),"")</f>
        <v>3.8841342988808425E-2</v>
      </c>
      <c r="S7" s="335">
        <f ca="1">IFERROR(SUM(OFFSET(Y7,0,MATCH(Forecast_New,$Y$3:$WQ$3,0)-1,1,500))*40,"")</f>
        <v>160</v>
      </c>
      <c r="T7" s="336">
        <f ca="1">IFERROR(S7/8,"")</f>
        <v>20</v>
      </c>
      <c r="U7" s="337">
        <f ca="1">IFERROR($S7*I7,"")</f>
        <v>24304</v>
      </c>
      <c r="V7" s="338">
        <f ca="1">IFERROR($S7*K7,"")</f>
        <v>23360</v>
      </c>
      <c r="W7" s="339">
        <f ca="1">IFERROR(M7-(O7+U7),"")</f>
        <v>0</v>
      </c>
      <c r="X7" s="340">
        <f ca="1">IFERROR(W7/M7,"")</f>
        <v>0</v>
      </c>
      <c r="Y7" s="341">
        <v>1</v>
      </c>
      <c r="Z7" s="341">
        <v>1</v>
      </c>
      <c r="AA7" s="341">
        <v>1</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25">
      <c r="B8" s="322" t="s">
        <v>926</v>
      </c>
      <c r="C8" s="323" t="s">
        <v>927</v>
      </c>
      <c r="D8" s="321" t="s">
        <v>746</v>
      </c>
      <c r="E8" s="321" t="s">
        <v>752</v>
      </c>
      <c r="F8" s="324" t="s">
        <v>155</v>
      </c>
      <c r="G8" s="325" cm="1">
        <f t="array" aca="1" ref="G8" ca="1">IFERROR(INDEX(Panel_Rates[[1]:[12]],MATCH(Panel_New&amp;Category_New,Panel_Rates[Panel]&amp;Panel_Rates[Category],0),MATCH('Time Plan (Lacy))'!E8,OFFSET(Variable!$AF$2,MATCH(Panel_New&amp;Category_New,Panel_Rates[Panel]&amp;Panel_Rates[Category],0)-1,0,1,12),0))/8,"")</f>
        <v>245</v>
      </c>
      <c r="H8" s="326">
        <v>0.38</v>
      </c>
      <c r="I8" s="327">
        <f t="shared" ca="1" si="21"/>
        <v>151.9</v>
      </c>
      <c r="J8" s="328">
        <f ca="1">IFERROR(I8*8,"")</f>
        <v>1215.2</v>
      </c>
      <c r="K8" s="329">
        <f>IFERROR(_xlfn.XLOOKUP(D8,CostTableLookup[Name],CostTableLookup[Gross Cost]),"")</f>
        <v>90</v>
      </c>
      <c r="L8" s="330">
        <v>160</v>
      </c>
      <c r="M8" s="331">
        <f ca="1">IFERROR(L8*I8,"")</f>
        <v>24304</v>
      </c>
      <c r="N8" s="332"/>
      <c r="O8" s="331">
        <f ca="1">IFERROR(N8*I8,"")</f>
        <v>0</v>
      </c>
      <c r="P8" s="331">
        <f t="shared" ca="1" si="22"/>
        <v>24304</v>
      </c>
      <c r="Q8" s="333">
        <f t="shared" si="23"/>
        <v>0</v>
      </c>
      <c r="R8" s="334">
        <f ca="1">IFERROR(((U8+O8)-(V8+Q8))/(U8+O8),"")</f>
        <v>0.40750493745885452</v>
      </c>
      <c r="S8" s="335">
        <f ca="1">IFERROR(SUM(OFFSET(Y8,0,MATCH(Forecast_New,$Y$3:$WQ$3,0)-1,1,500))*40,"")</f>
        <v>160</v>
      </c>
      <c r="T8" s="336">
        <f ca="1">IFERROR(S8/8,"")</f>
        <v>20</v>
      </c>
      <c r="U8" s="337">
        <f ca="1">IFERROR($S8*I8,"")</f>
        <v>24304</v>
      </c>
      <c r="V8" s="338">
        <f ca="1">IFERROR($S8*K8,"")</f>
        <v>14400</v>
      </c>
      <c r="W8" s="339">
        <f ca="1">IFERROR(M8-(O8+U8),"")</f>
        <v>0</v>
      </c>
      <c r="X8" s="340">
        <f ca="1">IFERROR(W8/M8,"")</f>
        <v>0</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25">
      <c r="B9" s="322" t="s">
        <v>926</v>
      </c>
      <c r="C9" s="323" t="s">
        <v>927</v>
      </c>
      <c r="D9" s="321" t="s">
        <v>317</v>
      </c>
      <c r="E9" s="321" t="s">
        <v>754</v>
      </c>
      <c r="F9" s="324" t="s">
        <v>929</v>
      </c>
      <c r="G9" s="325" cm="1">
        <f t="array" aca="1" ref="G9" ca="1">IFERROR(INDEX(Panel_Rates[[1]:[12]],MATCH(Panel_New&amp;Category_New,Panel_Rates[Panel]&amp;Panel_Rates[Category],0),MATCH('Time Plan (Lacy))'!E9,OFFSET(Variable!$AF$2,MATCH(Panel_New&amp;Category_New,Panel_Rates[Panel]&amp;Panel_Rates[Category],0)-1,0,1,12),0))/8,"")</f>
        <v>395</v>
      </c>
      <c r="H9" s="326">
        <v>0.4</v>
      </c>
      <c r="I9" s="327">
        <f t="shared" ca="1" si="21"/>
        <v>237</v>
      </c>
      <c r="J9" s="328">
        <f t="shared" ref="J9:J13" ca="1" si="24">IFERROR(I9*8,"")</f>
        <v>1896</v>
      </c>
      <c r="K9" s="329">
        <f>IFERROR(_xlfn.XLOOKUP(D9,CostTableLookup[Name],CostTableLookup[Gross Cost]),"")</f>
        <v>198</v>
      </c>
      <c r="L9" s="330">
        <v>100</v>
      </c>
      <c r="M9" s="331">
        <f t="shared" ref="M9:M13" ca="1" si="25">IFERROR(L9*I9,"")</f>
        <v>23700</v>
      </c>
      <c r="N9" s="332"/>
      <c r="O9" s="331">
        <f t="shared" ref="O9:O13" ca="1" si="26">IFERROR(N9*I9,"")</f>
        <v>0</v>
      </c>
      <c r="P9" s="331">
        <f t="shared" ca="1" si="22"/>
        <v>23700</v>
      </c>
      <c r="Q9" s="333">
        <f t="shared" si="23"/>
        <v>0</v>
      </c>
      <c r="R9" s="334">
        <f t="shared" ref="R9:R11" ca="1" si="27">IFERROR(((U9+O9)-(V9+Q9))/(U9+O9),"")</f>
        <v>0.16455696202531644</v>
      </c>
      <c r="S9" s="335">
        <f t="shared" ref="S9" ca="1" si="28">IFERROR(SUM(OFFSET(Y9,0,MATCH(Forecast_New,$Y$3:$WQ$3,0)-1,1,500))*40,"")</f>
        <v>160</v>
      </c>
      <c r="T9" s="336">
        <f t="shared" ref="T9:T13" ca="1" si="29">IFERROR(S9/8,"")</f>
        <v>20</v>
      </c>
      <c r="U9" s="337">
        <f t="shared" ref="U9:U13" ca="1" si="30">IFERROR($S9*I9,"")</f>
        <v>37920</v>
      </c>
      <c r="V9" s="338">
        <f t="shared" ref="V9:V13" ca="1" si="31">IFERROR($S9*K9,"")</f>
        <v>31680</v>
      </c>
      <c r="W9" s="339">
        <f t="shared" ref="W9:W13" ca="1" si="32">IFERROR(M9-(O9+U9),"")</f>
        <v>-14220</v>
      </c>
      <c r="X9" s="340">
        <f t="shared" ref="X9:X13" ca="1" si="33">IFERROR(W9/M9,"")</f>
        <v>-0.6</v>
      </c>
      <c r="Y9" s="341">
        <v>1</v>
      </c>
      <c r="Z9" s="341">
        <v>1</v>
      </c>
      <c r="AA9" s="341">
        <v>1</v>
      </c>
      <c r="AB9" s="341">
        <v>1</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25">
      <c r="B10" s="322" t="s">
        <v>926</v>
      </c>
      <c r="C10" s="323" t="s">
        <v>927</v>
      </c>
      <c r="D10" s="321" t="s">
        <v>447</v>
      </c>
      <c r="E10" s="321" t="s">
        <v>753</v>
      </c>
      <c r="F10" s="324" t="s">
        <v>930</v>
      </c>
      <c r="G10" s="325" cm="1">
        <f t="array" aca="1" ref="G10" ca="1">IFERROR(INDEX(Panel_Rates[[1]:[12]],MATCH(Panel_New&amp;Category_New,Panel_Rates[Panel]&amp;Panel_Rates[Category],0),MATCH('Time Plan (Lacy))'!E10,OFFSET(Variable!$AF$2,MATCH(Panel_New&amp;Category_New,Panel_Rates[Panel]&amp;Panel_Rates[Category],0)-1,0,1,12),0))/8,"")</f>
        <v>305</v>
      </c>
      <c r="H10" s="326">
        <v>0.32</v>
      </c>
      <c r="I10" s="327">
        <f ca="1">IFERROR(G10*(1-H10),"")</f>
        <v>207.39999999999998</v>
      </c>
      <c r="J10" s="328">
        <f t="shared" ca="1" si="24"/>
        <v>1659.1999999999998</v>
      </c>
      <c r="K10" s="329">
        <f>IFERROR(_xlfn.XLOOKUP(D10,CostTableLookup[Name],CostTableLookup[Gross Cost]),"")</f>
        <v>151</v>
      </c>
      <c r="L10" s="330">
        <v>90</v>
      </c>
      <c r="M10" s="331">
        <f t="shared" ca="1" si="25"/>
        <v>18665.999999999996</v>
      </c>
      <c r="N10" s="332"/>
      <c r="O10" s="331">
        <f t="shared" ca="1" si="26"/>
        <v>0</v>
      </c>
      <c r="P10" s="331">
        <f t="shared" ca="1" si="22"/>
        <v>18665.999999999996</v>
      </c>
      <c r="Q10" s="333">
        <f t="shared" si="23"/>
        <v>0</v>
      </c>
      <c r="R10" s="334">
        <f t="shared" ca="1" si="27"/>
        <v>0.27193828351012539</v>
      </c>
      <c r="S10" s="335">
        <f t="shared" ref="S10" ca="1" si="34">IFERROR(SUM(OFFSET(Y10,0,MATCH(Forecast_New,$Y$3:$WQ$3,0)-1,1,500))*40,"")</f>
        <v>40</v>
      </c>
      <c r="T10" s="336">
        <f t="shared" ca="1" si="29"/>
        <v>5</v>
      </c>
      <c r="U10" s="337">
        <f t="shared" ca="1" si="30"/>
        <v>8296</v>
      </c>
      <c r="V10" s="338">
        <f t="shared" ca="1" si="31"/>
        <v>6040</v>
      </c>
      <c r="W10" s="339">
        <f t="shared" ca="1" si="32"/>
        <v>10369.999999999996</v>
      </c>
      <c r="X10" s="340">
        <f t="shared" ca="1" si="33"/>
        <v>0.55555555555555547</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25">
      <c r="B11" s="322" t="s">
        <v>926</v>
      </c>
      <c r="C11" s="323" t="s">
        <v>927</v>
      </c>
      <c r="D11" s="321" t="s">
        <v>126</v>
      </c>
      <c r="E11" s="321" t="s">
        <v>752</v>
      </c>
      <c r="F11" s="324" t="s">
        <v>852</v>
      </c>
      <c r="G11" s="325" cm="1">
        <f t="array" aca="1" ref="G11" ca="1">IFERROR(INDEX(Panel_Rates[[1]:[12]],MATCH(Panel_New&amp;Category_New,Panel_Rates[Panel]&amp;Panel_Rates[Category],0),MATCH('Time Plan (Lacy))'!E11,OFFSET(Variable!$AF$2,MATCH(Panel_New&amp;Category_New,Panel_Rates[Panel]&amp;Panel_Rates[Category],0)-1,0,1,12),0))/8,"")</f>
        <v>245</v>
      </c>
      <c r="H11" s="326">
        <v>0.38</v>
      </c>
      <c r="I11" s="327">
        <f t="shared" ref="I11" ca="1" si="35">IFERROR(G11*(1-H11),"")</f>
        <v>151.9</v>
      </c>
      <c r="J11" s="328">
        <f t="shared" ca="1" si="24"/>
        <v>1215.2</v>
      </c>
      <c r="K11" s="329">
        <f>IFERROR(_xlfn.XLOOKUP(D11,CostTableLookup[Name],CostTableLookup[Gross Cost]),"")</f>
        <v>146</v>
      </c>
      <c r="L11" s="330">
        <v>232</v>
      </c>
      <c r="M11" s="331">
        <f t="shared" ca="1" si="25"/>
        <v>35240.800000000003</v>
      </c>
      <c r="N11" s="332"/>
      <c r="O11" s="331">
        <f t="shared" ca="1" si="26"/>
        <v>0</v>
      </c>
      <c r="P11" s="331">
        <f t="shared" ca="1" si="22"/>
        <v>35240.800000000003</v>
      </c>
      <c r="Q11" s="333">
        <f t="shared" si="23"/>
        <v>0</v>
      </c>
      <c r="R11" s="334">
        <f t="shared" ca="1" si="27"/>
        <v>3.884134298880846E-2</v>
      </c>
      <c r="S11" s="335">
        <f t="shared" ref="S11" ca="1" si="36">IFERROR(SUM(OFFSET(Y11,0,MATCH(Forecast_New,$Y$3:$WQ$3,0)-1,1,500))*40,"")</f>
        <v>32</v>
      </c>
      <c r="T11" s="336">
        <f t="shared" ca="1" si="29"/>
        <v>4</v>
      </c>
      <c r="U11" s="337">
        <f t="shared" ca="1" si="30"/>
        <v>4860.8</v>
      </c>
      <c r="V11" s="338">
        <f t="shared" ca="1" si="31"/>
        <v>4672</v>
      </c>
      <c r="W11" s="339">
        <f t="shared" ca="1" si="32"/>
        <v>30380.000000000004</v>
      </c>
      <c r="X11" s="340">
        <f t="shared" ca="1" si="33"/>
        <v>0.86206896551724144</v>
      </c>
      <c r="Y11" s="341">
        <v>0.2</v>
      </c>
      <c r="Z11" s="341">
        <v>0.2</v>
      </c>
      <c r="AA11" s="341">
        <v>0.2</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25">
      <c r="B12" s="384" t="s">
        <v>926</v>
      </c>
      <c r="C12" s="384" t="s">
        <v>927</v>
      </c>
      <c r="D12" s="385" t="s">
        <v>122</v>
      </c>
      <c r="E12" s="321" t="s">
        <v>753</v>
      </c>
      <c r="F12" s="324" t="s">
        <v>930</v>
      </c>
      <c r="G12" s="325" cm="1">
        <f t="array" aca="1" ref="G12" ca="1">IFERROR(INDEX(Panel_Rates[[1]:[12]],MATCH(Panel_New&amp;Category_New,Panel_Rates[Panel]&amp;Panel_Rates[Category],0),MATCH('Time Plan (Lacy))'!E12,OFFSET(Variable!$AF$2,MATCH(Panel_New&amp;Category_New,Panel_Rates[Panel]&amp;Panel_Rates[Category],0)-1,0,1,12),0))/8,"")</f>
        <v>305</v>
      </c>
      <c r="H12" s="326">
        <v>1</v>
      </c>
      <c r="I12" s="327">
        <f ca="1">IFERROR(G12*(1-H12),"")</f>
        <v>0</v>
      </c>
      <c r="J12" s="328">
        <f t="shared" ca="1" si="24"/>
        <v>0</v>
      </c>
      <c r="K12" s="329">
        <v>0</v>
      </c>
      <c r="L12" s="330">
        <v>90</v>
      </c>
      <c r="M12" s="331">
        <f t="shared" ca="1" si="25"/>
        <v>0</v>
      </c>
      <c r="N12" s="332"/>
      <c r="O12" s="331">
        <f t="shared" ca="1" si="26"/>
        <v>0</v>
      </c>
      <c r="P12" s="331">
        <f t="shared" ca="1" si="22"/>
        <v>0</v>
      </c>
      <c r="Q12" s="333">
        <f t="shared" si="23"/>
        <v>0</v>
      </c>
      <c r="R12" s="334">
        <v>1</v>
      </c>
      <c r="S12" s="335">
        <f t="shared" ref="S12" ca="1" si="37">IFERROR(SUM(OFFSET(Y12,0,MATCH(Forecast_New,$Y$3:$WQ$3,0)-1,1,500))*40,"")</f>
        <v>60</v>
      </c>
      <c r="T12" s="336">
        <f t="shared" ca="1" si="29"/>
        <v>7.5</v>
      </c>
      <c r="U12" s="337">
        <f t="shared" ca="1" si="30"/>
        <v>0</v>
      </c>
      <c r="V12" s="338">
        <f t="shared" ca="1" si="31"/>
        <v>0</v>
      </c>
      <c r="W12" s="339">
        <f t="shared" ca="1" si="32"/>
        <v>0</v>
      </c>
      <c r="X12" s="340" t="str">
        <f t="shared" ca="1" si="33"/>
        <v/>
      </c>
      <c r="Y12" s="341"/>
      <c r="Z12" s="341">
        <v>0.5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25">
      <c r="B13" s="322" t="s">
        <v>926</v>
      </c>
      <c r="C13" s="323" t="s">
        <v>932</v>
      </c>
      <c r="D13" s="321" t="s">
        <v>306</v>
      </c>
      <c r="E13" s="321" t="s">
        <v>753</v>
      </c>
      <c r="F13" s="324" t="s">
        <v>928</v>
      </c>
      <c r="G13" s="325" cm="1">
        <f t="array" aca="1" ref="G13" ca="1">IFERROR(INDEX(Panel_Rates[[1]:[12]],MATCH(Panel_New&amp;Category_New,Panel_Rates[Panel]&amp;Panel_Rates[Category],0),MATCH('Time Plan (Lacy))'!E13,OFFSET(Variable!$AF$2,MATCH(Panel_New&amp;Category_New,Panel_Rates[Panel]&amp;Panel_Rates[Category],0)-1,0,1,12),0))/8,"")</f>
        <v>305</v>
      </c>
      <c r="H13" s="326">
        <v>0.32</v>
      </c>
      <c r="I13" s="327">
        <f t="shared" ref="I13" ca="1" si="38">IFERROR(G13*(1-H13),"")</f>
        <v>207.39999999999998</v>
      </c>
      <c r="J13" s="328">
        <f t="shared" ca="1" si="24"/>
        <v>1659.1999999999998</v>
      </c>
      <c r="K13" s="329">
        <f>IFERROR(_xlfn.XLOOKUP(D13,CostTableLookup[Name],CostTableLookup[Gross Cost]),"")</f>
        <v>245</v>
      </c>
      <c r="L13" s="330">
        <v>32</v>
      </c>
      <c r="M13" s="331">
        <f t="shared" ca="1" si="25"/>
        <v>6636.7999999999993</v>
      </c>
      <c r="N13" s="332"/>
      <c r="O13" s="331">
        <f t="shared" ca="1" si="26"/>
        <v>0</v>
      </c>
      <c r="P13" s="331">
        <f t="shared" ca="1" si="22"/>
        <v>6636.7999999999993</v>
      </c>
      <c r="Q13" s="333">
        <f t="shared" si="23"/>
        <v>0</v>
      </c>
      <c r="R13" s="334" t="str">
        <f t="shared" ref="R13" ca="1" si="39">IFERROR(((U13+O13)-(V13+Q13))/(U13+O13),"")</f>
        <v/>
      </c>
      <c r="S13" s="335">
        <f t="shared" ref="S13" ca="1" si="40">IFERROR(SUM(OFFSET(Y13,0,MATCH(Forecast_New,$Y$3:$WQ$3,0)-1,1,500))*40,"")</f>
        <v>0</v>
      </c>
      <c r="T13" s="336">
        <f t="shared" ca="1" si="29"/>
        <v>0</v>
      </c>
      <c r="U13" s="337">
        <f t="shared" ca="1" si="30"/>
        <v>0</v>
      </c>
      <c r="V13" s="338">
        <f t="shared" ca="1" si="31"/>
        <v>0</v>
      </c>
      <c r="W13" s="339">
        <f t="shared" ca="1" si="32"/>
        <v>6636.7999999999993</v>
      </c>
      <c r="X13" s="340">
        <f t="shared" ca="1" si="33"/>
        <v>1</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25">
      <c r="B14" s="322" t="s">
        <v>926</v>
      </c>
      <c r="C14" s="323" t="s">
        <v>933</v>
      </c>
      <c r="D14" s="321" t="s">
        <v>306</v>
      </c>
      <c r="E14" s="321" t="s">
        <v>753</v>
      </c>
      <c r="F14" s="321" t="s">
        <v>928</v>
      </c>
      <c r="G14" s="328" cm="1">
        <f t="array" aca="1" ref="G14" ca="1">IFERROR(INDEX(Panel_Rates[[1]:[12]],MATCH(Panel_New&amp;Category_New,Panel_Rates[Panel]&amp;Panel_Rates[Category],0),MATCH('Time Plan (Lacy))'!E14,OFFSET(Variable!$AF$2,MATCH(Panel_New&amp;Category_New,Panel_Rates[Panel]&amp;Panel_Rates[Category],0)-1,0,1,12),0))/8,"")</f>
        <v>305</v>
      </c>
      <c r="H14" s="326">
        <v>0.32</v>
      </c>
      <c r="I14" s="328">
        <f ca="1">IFERROR(G14*(1-H14),"")</f>
        <v>207.39999999999998</v>
      </c>
      <c r="J14" s="328">
        <f ca="1">IFERROR(I14*8,"")</f>
        <v>1659.1999999999998</v>
      </c>
      <c r="K14" s="328">
        <f>IFERROR(_xlfn.XLOOKUP(D14,CostTableLookup[Name],CostTableLookup[Gross Cost]),"")</f>
        <v>245</v>
      </c>
      <c r="L14" s="335">
        <v>0</v>
      </c>
      <c r="M14" s="331">
        <f ca="1">IFERROR(L14*I14,"")</f>
        <v>0</v>
      </c>
      <c r="N14" s="342"/>
      <c r="O14" s="331">
        <f ca="1">IFERROR(N14*I14,"")</f>
        <v>0</v>
      </c>
      <c r="P14" s="331">
        <f ca="1">IFERROR(M14-O14,"")</f>
        <v>0</v>
      </c>
      <c r="Q14" s="331">
        <f>IFERROR(N14*K14,"")</f>
        <v>0</v>
      </c>
      <c r="R14" s="343" t="str">
        <f ca="1">IFERROR(((U14+O14)-(V14+Q14))/(U14+O14),"")</f>
        <v/>
      </c>
      <c r="S14" s="335">
        <f ca="1">IFERROR(SUM(OFFSET(Y14,0,MATCH(Forecast_New,$Y$3:$WQ$3,0)-1,1,500))*40,"")</f>
        <v>0</v>
      </c>
      <c r="T14" s="336">
        <f ca="1">IFERROR(S14/8,"")</f>
        <v>0</v>
      </c>
      <c r="U14" s="339">
        <f ca="1">IFERROR($S14*I14,"")</f>
        <v>0</v>
      </c>
      <c r="V14" s="338">
        <f ca="1">IFERROR($S14*K14,"")</f>
        <v>0</v>
      </c>
      <c r="W14" s="339"/>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25">
      <c r="A15" s="345"/>
      <c r="B15" s="346" t="s">
        <v>926</v>
      </c>
      <c r="C15" s="347" t="s">
        <v>927</v>
      </c>
      <c r="D15" s="348" t="s">
        <v>465</v>
      </c>
      <c r="E15" s="349"/>
      <c r="F15" s="349"/>
      <c r="G15" s="350"/>
      <c r="H15" s="351">
        <v>0.05</v>
      </c>
      <c r="I15" s="350">
        <f ca="1">H15*SUM(U6:U14)</f>
        <v>6436.0400000000009</v>
      </c>
      <c r="J15" s="350"/>
      <c r="K15" s="350">
        <f>IFERROR(_xlfn.XLOOKUP(D15,CostTableLookup[Name],CostTableLookup[Gross Cost]),"")</f>
        <v>0</v>
      </c>
      <c r="L15" s="352">
        <v>1</v>
      </c>
      <c r="M15" s="353">
        <f ca="1">IFERROR(L15*I15,"")</f>
        <v>6436.0400000000009</v>
      </c>
      <c r="N15" s="354"/>
      <c r="O15" s="353">
        <f ca="1">IFERROR(N15*I15,"")</f>
        <v>0</v>
      </c>
      <c r="P15" s="353">
        <f ca="1">IFERROR(M15-O15,"")</f>
        <v>6436.0400000000009</v>
      </c>
      <c r="Q15" s="353">
        <f>IFERROR(N15*K15,"")</f>
        <v>0</v>
      </c>
      <c r="R15" s="355">
        <f ca="1">IFERROR(((U15+O15)-(V15+Q15))/(U15+O15),"")</f>
        <v>1</v>
      </c>
      <c r="S15" s="352">
        <f ca="1">IFERROR(SUM(OFFSET(Y15,0,MATCH(Forecast_New,$Y$3:$WQ$3,0)-1,1,500))*40,"")</f>
        <v>4</v>
      </c>
      <c r="T15" s="356">
        <f ca="1">IFERROR(S15/8,"")</f>
        <v>0.5</v>
      </c>
      <c r="U15" s="357">
        <f ca="1">IFERROR($S15*I15,"")</f>
        <v>25744.160000000003</v>
      </c>
      <c r="V15" s="358">
        <f ca="1">IFERROR($S15*K15,"")</f>
        <v>0</v>
      </c>
      <c r="W15" s="357"/>
      <c r="X15" s="355"/>
      <c r="Y15" s="359"/>
      <c r="Z15" s="359">
        <v>0.1</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25">
      <c r="B16" s="360" t="s">
        <v>934</v>
      </c>
      <c r="C16" s="323" t="s">
        <v>935</v>
      </c>
      <c r="D16" s="321" t="s">
        <v>306</v>
      </c>
      <c r="E16" s="321" t="s">
        <v>753</v>
      </c>
      <c r="F16" s="324" t="s">
        <v>928</v>
      </c>
      <c r="G16" s="325" cm="1">
        <f t="array" aca="1" ref="G16" ca="1">IFERROR(INDEX(Panel_Rates[[1]:[12]],MATCH(Panel_New&amp;Category_New,Panel_Rates[Panel]&amp;Panel_Rates[Category],0),MATCH('Time Plan (Lacy))'!E16,OFFSET(Variable!$AF$2,MATCH(Panel_New&amp;Category_New,Panel_Rates[Panel]&amp;Panel_Rates[Category],0)-1,0,1,12),0))/8,"")</f>
        <v>305</v>
      </c>
      <c r="H16" s="326">
        <v>0.32</v>
      </c>
      <c r="I16" s="327">
        <f ca="1">IFERROR(G16*(1-H16),"")</f>
        <v>207.39999999999998</v>
      </c>
      <c r="J16" s="328">
        <f ca="1">IFERROR(I16*8,"")</f>
        <v>1659.1999999999998</v>
      </c>
      <c r="K16" s="329">
        <f>IFERROR(_xlfn.XLOOKUP(D16,CostTableLookup[Name],CostTableLookup[Gross Cost]),"")</f>
        <v>245</v>
      </c>
      <c r="L16" s="330">
        <v>279.99999999999994</v>
      </c>
      <c r="M16" s="331">
        <f ca="1">IFERROR(L16*I16,"")</f>
        <v>58071.999999999985</v>
      </c>
      <c r="N16" s="332"/>
      <c r="O16" s="331">
        <f ca="1">IFERROR(N16*I16,"")</f>
        <v>0</v>
      </c>
      <c r="P16" s="331">
        <f ca="1">IFERROR(M16-O16,"")</f>
        <v>58071.999999999985</v>
      </c>
      <c r="Q16" s="333">
        <f>IFERROR(N16*K16,"")</f>
        <v>0</v>
      </c>
      <c r="R16" s="334">
        <f ca="1">IFERROR(((U16+O16)-(V16+Q16))/(U16+O16),"")</f>
        <v>-0.1812921890067504</v>
      </c>
      <c r="S16" s="335">
        <f ca="1">IFERROR(SUM(OFFSET(Y16,0,MATCH(Forecast_New,$Y$3:$WQ$3,0)-1,1,500))*40,"")</f>
        <v>140</v>
      </c>
      <c r="T16" s="336">
        <f ca="1">IFERROR(S16/8,"")</f>
        <v>17.5</v>
      </c>
      <c r="U16" s="337">
        <f ca="1">IFERROR($S16*I16,"")</f>
        <v>29035.999999999996</v>
      </c>
      <c r="V16" s="338">
        <f ca="1">IFERROR($S16*K16,"")</f>
        <v>34300</v>
      </c>
      <c r="W16" s="339"/>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25">
      <c r="B17" s="360" t="s">
        <v>934</v>
      </c>
      <c r="C17" s="323" t="s">
        <v>935</v>
      </c>
      <c r="D17" s="321" t="s">
        <v>327</v>
      </c>
      <c r="E17" s="321" t="s">
        <v>752</v>
      </c>
      <c r="F17" s="324" t="s">
        <v>155</v>
      </c>
      <c r="G17" s="325" cm="1">
        <f t="array" aca="1" ref="G17" ca="1">IFERROR(INDEX(Panel_Rates[[1]:[12]],MATCH(Panel_New&amp;Category_New,Panel_Rates[Panel]&amp;Panel_Rates[Category],0),MATCH('Time Plan (Lacy))'!E17,OFFSET(Variable!$AF$2,MATCH(Panel_New&amp;Category_New,Panel_Rates[Panel]&amp;Panel_Rates[Category],0)-1,0,1,12),0))/8,"")</f>
        <v>245</v>
      </c>
      <c r="H17" s="326">
        <v>0.38</v>
      </c>
      <c r="I17" s="327">
        <f ca="1">IFERROR(G17*(1-H17),"")</f>
        <v>151.9</v>
      </c>
      <c r="J17" s="328">
        <f ca="1">IFERROR(I17*8,"")</f>
        <v>1215.2</v>
      </c>
      <c r="K17" s="329">
        <f>IFERROR(_xlfn.XLOOKUP(D17,CostTableLookup[Name],CostTableLookup[Gross Cost]),"")</f>
        <v>146</v>
      </c>
      <c r="L17" s="330">
        <v>270</v>
      </c>
      <c r="M17" s="331">
        <f ca="1">IFERROR(L17*I17,"")</f>
        <v>41013</v>
      </c>
      <c r="N17" s="332"/>
      <c r="O17" s="331">
        <f ca="1">IFERROR(N17*I17,"")</f>
        <v>0</v>
      </c>
      <c r="P17" s="331">
        <f ca="1">IFERROR(M17-O17,"")</f>
        <v>41013</v>
      </c>
      <c r="Q17" s="333">
        <f>IFERROR(N17*K17,"")</f>
        <v>0</v>
      </c>
      <c r="R17" s="334">
        <f ca="1">IFERROR(((U17+O17)-(V17+Q17))/(U17+O17),"")</f>
        <v>3.8841342988808425E-2</v>
      </c>
      <c r="S17" s="335">
        <f ca="1">IFERROR(SUM(OFFSET(Y17,0,MATCH(Forecast_New,$Y$3:$WQ$3,0)-1,1,500))*40,"")</f>
        <v>120</v>
      </c>
      <c r="T17" s="336">
        <f ca="1">IFERROR(S17/8,"")</f>
        <v>15</v>
      </c>
      <c r="U17" s="337">
        <f ca="1">IFERROR($S17*I17,"")</f>
        <v>18228</v>
      </c>
      <c r="V17" s="338">
        <f ca="1">IFERROR($S17*K17,"")</f>
        <v>17520</v>
      </c>
      <c r="W17" s="339"/>
      <c r="X17" s="343"/>
      <c r="Y17" s="344"/>
      <c r="Z17" s="344"/>
      <c r="AA17" s="344"/>
      <c r="AB17" s="344">
        <v>1</v>
      </c>
      <c r="AC17" s="344">
        <v>1</v>
      </c>
      <c r="AD17" s="344">
        <v>0.5</v>
      </c>
      <c r="AE17" s="344">
        <v>0.5</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0.25" customHeight="1" x14ac:dyDescent="0.25">
      <c r="B18" s="360" t="s">
        <v>934</v>
      </c>
      <c r="C18" s="323" t="s">
        <v>936</v>
      </c>
      <c r="D18" s="321" t="s">
        <v>317</v>
      </c>
      <c r="E18" s="321" t="s">
        <v>754</v>
      </c>
      <c r="F18" s="324" t="s">
        <v>929</v>
      </c>
      <c r="G18" s="325" cm="1">
        <f t="array" aca="1" ref="G18" ca="1">IFERROR(INDEX(Panel_Rates[[1]:[12]],MATCH(Panel_New&amp;Category_New,Panel_Rates[Panel]&amp;Panel_Rates[Category],0),MATCH('Time Plan (Lacy))'!E18,OFFSET(Variable!$AF$2,MATCH(Panel_New&amp;Category_New,Panel_Rates[Panel]&amp;Panel_Rates[Category],0)-1,0,1,12),0))/8,"")</f>
        <v>395</v>
      </c>
      <c r="H18" s="326">
        <v>0.4</v>
      </c>
      <c r="I18" s="327">
        <f t="shared" ref="I18:I23" ca="1" si="41">IFERROR(G18*(1-H18),"")</f>
        <v>237</v>
      </c>
      <c r="J18" s="328">
        <f ca="1">IFERROR(I18*8,"")</f>
        <v>1896</v>
      </c>
      <c r="K18" s="329">
        <f>IFERROR(_xlfn.XLOOKUP(D18,CostTableLookup[Name],CostTableLookup[Gross Cost]),"")</f>
        <v>198</v>
      </c>
      <c r="L18" s="330">
        <v>140</v>
      </c>
      <c r="M18" s="331">
        <f t="shared" ref="M18:M23" ca="1" si="42">IFERROR(L18*I18,"")</f>
        <v>33180</v>
      </c>
      <c r="N18" s="332"/>
      <c r="O18" s="331">
        <f t="shared" ref="O18:O23" ca="1" si="43">IFERROR(N18*I18,"")</f>
        <v>0</v>
      </c>
      <c r="P18" s="331">
        <f t="shared" ref="P18:P23" ca="1" si="44">IFERROR(M18-O18,"")</f>
        <v>33180</v>
      </c>
      <c r="Q18" s="333">
        <f t="shared" ref="Q18:Q23" si="45">IFERROR(N18*K18,"")</f>
        <v>0</v>
      </c>
      <c r="R18" s="334">
        <f t="shared" ref="R18:R23" ca="1" si="46">IFERROR(((U18+O18)-(V18+Q18))/(U18+O18),"")</f>
        <v>0.16455696202531644</v>
      </c>
      <c r="S18" s="335">
        <f t="shared" ref="S18" ca="1" si="47">IFERROR(SUM(OFFSET(Y18,0,MATCH(Forecast_New,$Y$3:$WQ$3,0)-1,1,500))*40,"")</f>
        <v>40</v>
      </c>
      <c r="T18" s="336">
        <f t="shared" ref="T18:T23" ca="1" si="48">IFERROR(S18/8,"")</f>
        <v>5</v>
      </c>
      <c r="U18" s="337">
        <f t="shared" ref="U18:U23" ca="1" si="49">IFERROR($S18*I18,"")</f>
        <v>9480</v>
      </c>
      <c r="V18" s="338">
        <f t="shared" ref="V18:V23" ca="1" si="50">IFERROR($S18*K18,"")</f>
        <v>7920</v>
      </c>
      <c r="W18" s="339">
        <f t="shared" ref="W18:W23" ca="1" si="51">IFERROR(M18-(O18+U18),"")</f>
        <v>23700</v>
      </c>
      <c r="X18" s="340">
        <f t="shared" ref="X18:X23" ca="1" si="52">IFERROR(W18/M18,"")</f>
        <v>0.7142857142857143</v>
      </c>
      <c r="Y18" s="341"/>
      <c r="Z18" s="341"/>
      <c r="AA18" s="341"/>
      <c r="AB18" s="341">
        <v>0.25</v>
      </c>
      <c r="AC18" s="341">
        <v>0.25</v>
      </c>
      <c r="AD18" s="341">
        <v>0.25</v>
      </c>
      <c r="AE18" s="341">
        <v>0.25</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25">
      <c r="B19" s="360" t="s">
        <v>934</v>
      </c>
      <c r="C19" s="323" t="s">
        <v>936</v>
      </c>
      <c r="D19" s="321" t="s">
        <v>126</v>
      </c>
      <c r="E19" s="321" t="s">
        <v>752</v>
      </c>
      <c r="F19" s="324" t="s">
        <v>852</v>
      </c>
      <c r="G19" s="325" cm="1">
        <f t="array" aca="1" ref="G19" ca="1">IFERROR(INDEX(Panel_Rates[[1]:[12]],MATCH(Panel_New&amp;Category_New,Panel_Rates[Panel]&amp;Panel_Rates[Category],0),MATCH('Time Plan (Lacy))'!E19,OFFSET(Variable!$AF$2,MATCH(Panel_New&amp;Category_New,Panel_Rates[Panel]&amp;Panel_Rates[Category],0)-1,0,1,12),0))/8,"")</f>
        <v>245</v>
      </c>
      <c r="H19" s="326">
        <v>0.38</v>
      </c>
      <c r="I19" s="327">
        <f t="shared" ca="1" si="41"/>
        <v>151.9</v>
      </c>
      <c r="J19" s="328">
        <f t="shared" ref="J19:J23" ca="1" si="53">IFERROR(I19*8,"")</f>
        <v>1215.2</v>
      </c>
      <c r="K19" s="329">
        <f>IFERROR(_xlfn.XLOOKUP(D19,CostTableLookup[Name],CostTableLookup[Gross Cost]),"")</f>
        <v>146</v>
      </c>
      <c r="L19" s="330">
        <v>232</v>
      </c>
      <c r="M19" s="331">
        <f t="shared" ca="1" si="42"/>
        <v>35240.800000000003</v>
      </c>
      <c r="N19" s="332"/>
      <c r="O19" s="331">
        <f t="shared" ca="1" si="43"/>
        <v>0</v>
      </c>
      <c r="P19" s="331">
        <f t="shared" ca="1" si="44"/>
        <v>35240.800000000003</v>
      </c>
      <c r="Q19" s="333">
        <f t="shared" si="45"/>
        <v>0</v>
      </c>
      <c r="R19" s="334">
        <f t="shared" ca="1" si="46"/>
        <v>3.8841342988808411E-2</v>
      </c>
      <c r="S19" s="335">
        <f t="shared" ref="S19" ca="1" si="54">IFERROR(SUM(OFFSET(Y19,0,MATCH(Forecast_New,$Y$3:$WQ$3,0)-1,1,500))*40,"")</f>
        <v>3.2</v>
      </c>
      <c r="T19" s="336">
        <f t="shared" ca="1" si="48"/>
        <v>0.4</v>
      </c>
      <c r="U19" s="337">
        <f t="shared" ca="1" si="49"/>
        <v>486.08000000000004</v>
      </c>
      <c r="V19" s="338">
        <f t="shared" ca="1" si="50"/>
        <v>467.20000000000005</v>
      </c>
      <c r="W19" s="339">
        <f t="shared" ca="1" si="51"/>
        <v>34754.720000000001</v>
      </c>
      <c r="X19" s="340">
        <f t="shared" ca="1" si="52"/>
        <v>0.98620689655172411</v>
      </c>
      <c r="Y19" s="341"/>
      <c r="Z19" s="341"/>
      <c r="AA19" s="341"/>
      <c r="AB19" s="341">
        <v>0.08</v>
      </c>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25">
      <c r="B20" s="360" t="s">
        <v>934</v>
      </c>
      <c r="C20" s="323" t="s">
        <v>936</v>
      </c>
      <c r="D20" s="321" t="s">
        <v>756</v>
      </c>
      <c r="E20" s="321" t="s">
        <v>753</v>
      </c>
      <c r="F20" s="324" t="s">
        <v>930</v>
      </c>
      <c r="G20" s="325" cm="1">
        <f t="array" aca="1" ref="G20" ca="1">IFERROR(INDEX(Panel_Rates[[1]:[12]],MATCH(Panel_New&amp;Category_New,Panel_Rates[Panel]&amp;Panel_Rates[Category],0),MATCH('Time Plan (Lacy))'!E20,OFFSET(Variable!$AF$2,MATCH(Panel_New&amp;Category_New,Panel_Rates[Panel]&amp;Panel_Rates[Category],0)-1,0,1,12),0))/8,"")</f>
        <v>305</v>
      </c>
      <c r="H20" s="326">
        <v>0.32</v>
      </c>
      <c r="I20" s="327">
        <f t="shared" ca="1" si="41"/>
        <v>207.39999999999998</v>
      </c>
      <c r="J20" s="328">
        <f t="shared" ca="1" si="53"/>
        <v>1659.1999999999998</v>
      </c>
      <c r="K20" s="329">
        <f>IFERROR(_xlfn.XLOOKUP(D20,CostTableLookup[Name],CostTableLookup[Gross Cost]),"")</f>
        <v>170.96</v>
      </c>
      <c r="L20" s="330">
        <v>380</v>
      </c>
      <c r="M20" s="331">
        <f t="shared" ca="1" si="42"/>
        <v>78811.999999999985</v>
      </c>
      <c r="N20" s="332"/>
      <c r="O20" s="331">
        <f t="shared" ca="1" si="43"/>
        <v>0</v>
      </c>
      <c r="P20" s="331">
        <f t="shared" ca="1" si="44"/>
        <v>78811.999999999985</v>
      </c>
      <c r="Q20" s="333">
        <f t="shared" si="45"/>
        <v>0</v>
      </c>
      <c r="R20" s="334">
        <f t="shared" ca="1" si="46"/>
        <v>0.17569913211186108</v>
      </c>
      <c r="S20" s="335">
        <f t="shared" ref="S20" ca="1" si="55">IFERROR(SUM(OFFSET(Y20,0,MATCH(Forecast_New,$Y$3:$WQ$3,0)-1,1,500))*40,"")</f>
        <v>80</v>
      </c>
      <c r="T20" s="336">
        <f t="shared" ca="1" si="48"/>
        <v>10</v>
      </c>
      <c r="U20" s="337">
        <f t="shared" ca="1" si="49"/>
        <v>16592</v>
      </c>
      <c r="V20" s="338">
        <f t="shared" ca="1" si="50"/>
        <v>13676.800000000001</v>
      </c>
      <c r="W20" s="339">
        <f t="shared" ca="1" si="51"/>
        <v>62219.999999999985</v>
      </c>
      <c r="X20" s="340">
        <f t="shared" ca="1" si="52"/>
        <v>0.78947368421052633</v>
      </c>
      <c r="Y20" s="341"/>
      <c r="Z20" s="341"/>
      <c r="AA20" s="341"/>
      <c r="AB20" s="341">
        <v>0.5</v>
      </c>
      <c r="AC20" s="341">
        <v>0.5</v>
      </c>
      <c r="AD20" s="341">
        <v>0.5</v>
      </c>
      <c r="AE20" s="341">
        <v>0.5</v>
      </c>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25">
      <c r="B21" s="360" t="s">
        <v>934</v>
      </c>
      <c r="C21" s="323" t="s">
        <v>936</v>
      </c>
      <c r="D21" s="321" t="s">
        <v>447</v>
      </c>
      <c r="E21" s="321" t="s">
        <v>753</v>
      </c>
      <c r="F21" s="324" t="s">
        <v>931</v>
      </c>
      <c r="G21" s="325" cm="1">
        <f t="array" aca="1" ref="G21" ca="1">IFERROR(INDEX(Panel_Rates[[1]:[12]],MATCH(Panel_New&amp;Category_New,Panel_Rates[Panel]&amp;Panel_Rates[Category],0),MATCH('Time Plan (Lacy))'!E21,OFFSET(Variable!$AF$2,MATCH(Panel_New&amp;Category_New,Panel_Rates[Panel]&amp;Panel_Rates[Category],0)-1,0,1,12),0))/8,"")</f>
        <v>305</v>
      </c>
      <c r="H21" s="326">
        <v>0.38</v>
      </c>
      <c r="I21" s="327">
        <f t="shared" ca="1" si="41"/>
        <v>189.1</v>
      </c>
      <c r="J21" s="328">
        <f t="shared" ca="1" si="53"/>
        <v>1512.8</v>
      </c>
      <c r="K21" s="329">
        <f>IFERROR(_xlfn.XLOOKUP(D21,CostTableLookup[Name],CostTableLookup[Gross Cost]),"")</f>
        <v>151</v>
      </c>
      <c r="L21" s="330">
        <v>520</v>
      </c>
      <c r="M21" s="331">
        <f t="shared" ca="1" si="42"/>
        <v>98332</v>
      </c>
      <c r="N21" s="332"/>
      <c r="O21" s="331">
        <f t="shared" ca="1" si="43"/>
        <v>0</v>
      </c>
      <c r="P21" s="331">
        <f t="shared" ca="1" si="44"/>
        <v>98332</v>
      </c>
      <c r="Q21" s="333">
        <f t="shared" si="45"/>
        <v>0</v>
      </c>
      <c r="R21" s="334">
        <f t="shared" ca="1" si="46"/>
        <v>0.2014806980433633</v>
      </c>
      <c r="S21" s="335">
        <f t="shared" ref="S21" ca="1" si="56">IFERROR(SUM(OFFSET(Y21,0,MATCH(Forecast_New,$Y$3:$WQ$3,0)-1,1,500))*40,"")</f>
        <v>160</v>
      </c>
      <c r="T21" s="336">
        <f t="shared" ca="1" si="48"/>
        <v>20</v>
      </c>
      <c r="U21" s="337">
        <f t="shared" ca="1" si="49"/>
        <v>30256</v>
      </c>
      <c r="V21" s="338">
        <f t="shared" ca="1" si="50"/>
        <v>24160</v>
      </c>
      <c r="W21" s="339">
        <f t="shared" ca="1" si="51"/>
        <v>68076</v>
      </c>
      <c r="X21" s="340">
        <f t="shared" ca="1" si="52"/>
        <v>0.69230769230769229</v>
      </c>
      <c r="Y21" s="341"/>
      <c r="Z21" s="341"/>
      <c r="AA21" s="341"/>
      <c r="AB21" s="341">
        <v>1</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25">
      <c r="B22" s="360" t="s">
        <v>934</v>
      </c>
      <c r="C22" s="384" t="s">
        <v>936</v>
      </c>
      <c r="D22" s="385" t="s">
        <v>122</v>
      </c>
      <c r="E22" s="321" t="s">
        <v>752</v>
      </c>
      <c r="F22" s="324" t="s">
        <v>931</v>
      </c>
      <c r="G22" s="325" cm="1">
        <f t="array" aca="1" ref="G22" ca="1">IFERROR(INDEX(Panel_Rates[[1]:[12]],MATCH(Panel_New&amp;Category_New,Panel_Rates[Panel]&amp;Panel_Rates[Category],0),MATCH('Time Plan (Lacy))'!E22,OFFSET(Variable!$AF$2,MATCH(Panel_New&amp;Category_New,Panel_Rates[Panel]&amp;Panel_Rates[Category],0)-1,0,1,12),0))/8,"")</f>
        <v>245</v>
      </c>
      <c r="H22" s="326">
        <v>1</v>
      </c>
      <c r="I22" s="327">
        <f t="shared" ca="1" si="41"/>
        <v>0</v>
      </c>
      <c r="J22" s="328">
        <f t="shared" ca="1" si="53"/>
        <v>0</v>
      </c>
      <c r="K22" s="329">
        <v>0</v>
      </c>
      <c r="L22" s="330">
        <v>120</v>
      </c>
      <c r="M22" s="331">
        <f t="shared" ca="1" si="42"/>
        <v>0</v>
      </c>
      <c r="N22" s="332"/>
      <c r="O22" s="331">
        <f t="shared" ca="1" si="43"/>
        <v>0</v>
      </c>
      <c r="P22" s="331">
        <f t="shared" ca="1" si="44"/>
        <v>0</v>
      </c>
      <c r="Q22" s="333">
        <f t="shared" si="45"/>
        <v>0</v>
      </c>
      <c r="R22" s="334" t="str">
        <f t="shared" ca="1" si="46"/>
        <v/>
      </c>
      <c r="S22" s="335">
        <f t="shared" ref="S22" ca="1" si="57">IFERROR(SUM(OFFSET(Y22,0,MATCH(Forecast_New,$Y$3:$WQ$3,0)-1,1,500))*40,"")</f>
        <v>160</v>
      </c>
      <c r="T22" s="336">
        <f t="shared" ca="1" si="48"/>
        <v>20</v>
      </c>
      <c r="U22" s="337">
        <f t="shared" ca="1" si="49"/>
        <v>0</v>
      </c>
      <c r="V22" s="338">
        <f t="shared" ca="1" si="50"/>
        <v>0</v>
      </c>
      <c r="W22" s="339">
        <f t="shared" ca="1" si="51"/>
        <v>0</v>
      </c>
      <c r="X22" s="340" t="str">
        <f t="shared" ca="1" si="52"/>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25">
      <c r="B23" s="360" t="s">
        <v>934</v>
      </c>
      <c r="C23" s="323" t="s">
        <v>936</v>
      </c>
      <c r="D23" s="321" t="s">
        <v>731</v>
      </c>
      <c r="E23" s="321" t="s">
        <v>752</v>
      </c>
      <c r="F23" s="324" t="s">
        <v>931</v>
      </c>
      <c r="G23" s="325" cm="1">
        <f t="array" aca="1" ref="G23" ca="1">IFERROR(INDEX(Panel_Rates[[1]:[12]],MATCH(Panel_New&amp;Category_New,Panel_Rates[Panel]&amp;Panel_Rates[Category],0),MATCH('Time Plan (Lacy))'!E23,OFFSET(Variable!$AF$2,MATCH(Panel_New&amp;Category_New,Panel_Rates[Panel]&amp;Panel_Rates[Category],0)-1,0,1,12),0))/8,"")</f>
        <v>245</v>
      </c>
      <c r="H23" s="326">
        <v>0.38</v>
      </c>
      <c r="I23" s="327">
        <f t="shared" ca="1" si="41"/>
        <v>151.9</v>
      </c>
      <c r="J23" s="328">
        <f t="shared" ca="1" si="53"/>
        <v>1215.2</v>
      </c>
      <c r="K23" s="329">
        <f>IFERROR(_xlfn.XLOOKUP(D23,CostTableLookup[Name],CostTableLookup[Gross Cost]),"")</f>
        <v>151</v>
      </c>
      <c r="L23" s="330">
        <v>120</v>
      </c>
      <c r="M23" s="331">
        <f t="shared" ca="1" si="42"/>
        <v>18228</v>
      </c>
      <c r="N23" s="332"/>
      <c r="O23" s="331">
        <f t="shared" ca="1" si="43"/>
        <v>0</v>
      </c>
      <c r="P23" s="331">
        <f t="shared" ca="1" si="44"/>
        <v>18228</v>
      </c>
      <c r="Q23" s="333">
        <f t="shared" si="45"/>
        <v>0</v>
      </c>
      <c r="R23" s="334">
        <f t="shared" ca="1" si="46"/>
        <v>5.9249506254114553E-3</v>
      </c>
      <c r="S23" s="335">
        <f t="shared" ref="S23" ca="1" si="58">IFERROR(SUM(OFFSET(Y23,0,MATCH(Forecast_New,$Y$3:$WQ$3,0)-1,1,500))*40,"")</f>
        <v>160</v>
      </c>
      <c r="T23" s="336">
        <f t="shared" ca="1" si="48"/>
        <v>20</v>
      </c>
      <c r="U23" s="337">
        <f t="shared" ca="1" si="49"/>
        <v>24304</v>
      </c>
      <c r="V23" s="338">
        <f t="shared" ca="1" si="50"/>
        <v>24160</v>
      </c>
      <c r="W23" s="339">
        <f t="shared" ca="1" si="51"/>
        <v>-6076</v>
      </c>
      <c r="X23" s="340">
        <f t="shared" ca="1" si="52"/>
        <v>-0.33333333333333331</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25">
      <c r="A24" s="345"/>
      <c r="B24" s="360" t="s">
        <v>934</v>
      </c>
      <c r="C24" s="323" t="s">
        <v>936</v>
      </c>
      <c r="D24" s="348" t="s">
        <v>465</v>
      </c>
      <c r="E24" s="349"/>
      <c r="F24" s="349"/>
      <c r="G24" s="350"/>
      <c r="H24" s="351">
        <v>0.05</v>
      </c>
      <c r="I24" s="350">
        <f ca="1">H24*SUM(U15:U23)</f>
        <v>7706.3119999999999</v>
      </c>
      <c r="J24" s="350"/>
      <c r="K24" s="350">
        <f>IFERROR(_xlfn.XLOOKUP(D24,CostTableLookup[Name],CostTableLookup[Gross Cost]),"")</f>
        <v>0</v>
      </c>
      <c r="L24" s="352">
        <v>1</v>
      </c>
      <c r="M24" s="353">
        <f ca="1">IFERROR(L24*I24,"")</f>
        <v>7706.3119999999999</v>
      </c>
      <c r="N24" s="354"/>
      <c r="O24" s="353">
        <f ca="1">IFERROR(N24*I24,"")</f>
        <v>0</v>
      </c>
      <c r="P24" s="353">
        <f ca="1">IFERROR(M24-O24,"")</f>
        <v>7706.3119999999999</v>
      </c>
      <c r="Q24" s="353">
        <f>IFERROR(N24*K24,"")</f>
        <v>0</v>
      </c>
      <c r="R24" s="355">
        <f ca="1">IFERROR(((U24+O24)-(V24+Q24))/(U24+O24),"")</f>
        <v>1</v>
      </c>
      <c r="S24" s="352">
        <f ca="1">IFERROR(SUM(OFFSET(Y24,0,MATCH(Forecast_New,$Y$3:$WQ$3,0)-1,1,500))*40,"")</f>
        <v>4</v>
      </c>
      <c r="T24" s="356">
        <f ca="1">IFERROR(S24/8,"")</f>
        <v>0.5</v>
      </c>
      <c r="U24" s="357">
        <f ca="1">IFERROR($S24*I24,"")</f>
        <v>30825.248</v>
      </c>
      <c r="V24" s="358">
        <f ca="1">IFERROR($S24*K24,"")</f>
        <v>0</v>
      </c>
      <c r="W24" s="357"/>
      <c r="X24" s="355"/>
      <c r="Y24" s="359"/>
      <c r="Z24" s="359"/>
      <c r="AA24" s="359"/>
      <c r="AB24" s="359"/>
      <c r="AC24" s="359"/>
      <c r="AD24" s="359"/>
      <c r="AE24" s="359">
        <v>0.1</v>
      </c>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59"/>
      <c r="BK24" s="359"/>
      <c r="BL24" s="359"/>
      <c r="BM24" s="359"/>
      <c r="BN24" s="359"/>
      <c r="BO24" s="359"/>
      <c r="BP24" s="359"/>
      <c r="BQ24" s="359"/>
      <c r="BR24" s="359"/>
      <c r="BS24" s="359"/>
      <c r="BT24" s="359"/>
      <c r="BU24" s="359"/>
      <c r="BV24" s="359"/>
      <c r="BW24" s="359"/>
      <c r="BX24" s="359"/>
      <c r="BY24" s="359"/>
      <c r="BZ24" s="359"/>
      <c r="CA24" s="359"/>
      <c r="CB24" s="359"/>
      <c r="CC24" s="359"/>
      <c r="CD24" s="359"/>
      <c r="CE24" s="359"/>
      <c r="CF24" s="359"/>
      <c r="CG24" s="359"/>
      <c r="CH24" s="359"/>
      <c r="CI24" s="359"/>
      <c r="CJ24" s="359"/>
      <c r="CK24" s="359"/>
      <c r="CL24" s="359"/>
      <c r="CM24" s="359"/>
      <c r="CN24" s="359"/>
      <c r="CO24" s="359"/>
      <c r="CP24" s="359"/>
      <c r="CQ24" s="359"/>
      <c r="CR24" s="359"/>
      <c r="CS24" s="359"/>
      <c r="CT24" s="359"/>
      <c r="CU24" s="359"/>
      <c r="CV24" s="359"/>
      <c r="CW24" s="359"/>
      <c r="CX24" s="359"/>
      <c r="CY24" s="359"/>
      <c r="CZ24" s="359"/>
      <c r="DA24" s="359"/>
      <c r="DB24" s="359"/>
      <c r="DC24" s="359"/>
      <c r="DD24" s="359"/>
      <c r="DE24" s="359"/>
      <c r="DF24" s="359"/>
      <c r="DG24" s="359"/>
      <c r="DH24" s="359"/>
      <c r="DI24" s="359"/>
      <c r="DJ24" s="359"/>
      <c r="DK24" s="359"/>
      <c r="DL24" s="359"/>
      <c r="DM24" s="359"/>
      <c r="DN24" s="359"/>
      <c r="DO24" s="359"/>
      <c r="DP24" s="359"/>
      <c r="DQ24" s="359"/>
      <c r="DR24" s="359"/>
      <c r="DS24" s="359"/>
      <c r="DT24" s="359"/>
      <c r="DU24" s="359"/>
      <c r="DV24" s="359"/>
      <c r="DW24" s="359"/>
      <c r="DX24" s="359"/>
      <c r="DY24" s="359"/>
      <c r="DZ24" s="359"/>
      <c r="EA24" s="359"/>
      <c r="EB24" s="359"/>
      <c r="EC24" s="359"/>
      <c r="ED24" s="359"/>
      <c r="EE24" s="359"/>
      <c r="EF24" s="359"/>
      <c r="EG24" s="359"/>
      <c r="EH24" s="359"/>
      <c r="EI24" s="359"/>
      <c r="EJ24" s="359"/>
      <c r="EK24" s="359"/>
      <c r="EL24" s="359"/>
      <c r="EM24" s="359"/>
      <c r="EN24" s="359"/>
      <c r="EO24" s="359"/>
      <c r="EP24" s="359"/>
      <c r="EQ24" s="344"/>
      <c r="ER24" s="344"/>
      <c r="ES24" s="344"/>
      <c r="ET24" s="344"/>
      <c r="EU24" s="344"/>
      <c r="EV24" s="344"/>
      <c r="EW24" s="344"/>
      <c r="EX24" s="344"/>
      <c r="EY24" s="344"/>
      <c r="EZ24" s="344"/>
      <c r="FA24" s="344"/>
      <c r="FB24" s="344"/>
      <c r="FC24" s="344"/>
      <c r="FD24" s="344"/>
      <c r="FE24" s="344"/>
      <c r="FF24" s="344"/>
      <c r="FG24" s="344"/>
      <c r="FH24" s="344"/>
      <c r="FI24" s="344"/>
      <c r="FJ24" s="344"/>
      <c r="FK24" s="344"/>
      <c r="FL24" s="344"/>
      <c r="FM24" s="344"/>
      <c r="FN24" s="344"/>
      <c r="FO24" s="344"/>
      <c r="FP24" s="344"/>
      <c r="FQ24" s="344"/>
      <c r="FR24" s="344"/>
      <c r="FS24" s="344"/>
      <c r="FT24" s="344"/>
      <c r="FU24" s="344"/>
      <c r="FV24" s="344"/>
      <c r="FW24" s="344"/>
      <c r="FX24" s="344"/>
      <c r="FY24" s="344"/>
      <c r="FZ24" s="344"/>
      <c r="GA24" s="344"/>
      <c r="GB24" s="344"/>
      <c r="GC24" s="344"/>
      <c r="GD24" s="344"/>
      <c r="GE24" s="344"/>
      <c r="GF24" s="344"/>
      <c r="GG24" s="344"/>
      <c r="GH24" s="344"/>
      <c r="GI24" s="344"/>
      <c r="GJ24" s="344"/>
      <c r="GK24" s="344"/>
      <c r="GL24" s="344"/>
      <c r="GM24" s="344"/>
      <c r="GN24" s="344"/>
      <c r="GO24" s="344"/>
      <c r="GP24" s="344"/>
      <c r="GQ24" s="344"/>
      <c r="GR24" s="344"/>
      <c r="GS24" s="344"/>
      <c r="GT24" s="344"/>
      <c r="GU24" s="344"/>
      <c r="GV24" s="344"/>
      <c r="GW24" s="344"/>
      <c r="GX24" s="344"/>
      <c r="GY24" s="344"/>
      <c r="GZ24" s="344"/>
      <c r="HA24" s="344"/>
      <c r="HB24" s="344"/>
      <c r="HC24" s="344"/>
      <c r="HD24" s="344"/>
      <c r="HE24" s="344"/>
      <c r="HF24" s="344"/>
      <c r="HG24" s="344"/>
      <c r="HH24" s="344"/>
      <c r="HI24" s="344"/>
      <c r="HJ24" s="344"/>
      <c r="HK24" s="344"/>
      <c r="HL24" s="344"/>
      <c r="HM24" s="344"/>
      <c r="HN24" s="344"/>
      <c r="HO24" s="344"/>
      <c r="HP24" s="344"/>
      <c r="HQ24" s="344"/>
      <c r="HR24" s="344"/>
      <c r="HS24" s="344"/>
      <c r="HT24" s="344"/>
      <c r="HU24" s="344"/>
      <c r="HV24" s="344"/>
      <c r="HW24" s="344"/>
      <c r="HX24" s="344"/>
      <c r="HY24" s="344"/>
      <c r="HZ24" s="344"/>
      <c r="IA24" s="344"/>
      <c r="IB24" s="344"/>
      <c r="IC24" s="344"/>
      <c r="ID24" s="344"/>
      <c r="IE24" s="344"/>
      <c r="IF24" s="344"/>
      <c r="IG24" s="344"/>
      <c r="IH24" s="344"/>
      <c r="II24" s="344"/>
      <c r="IJ24" s="344"/>
      <c r="IK24" s="344"/>
      <c r="IL24" s="344"/>
      <c r="IM24" s="344"/>
      <c r="IN24" s="344"/>
      <c r="IO24" s="344"/>
      <c r="IP24" s="344"/>
      <c r="IQ24" s="344"/>
      <c r="IR24" s="344"/>
      <c r="IS24" s="344"/>
      <c r="IT24" s="344"/>
      <c r="IU24" s="344"/>
      <c r="IV24" s="344"/>
      <c r="IW24" s="344"/>
      <c r="IX24" s="344"/>
      <c r="IY24" s="344"/>
      <c r="IZ24" s="344"/>
      <c r="JA24" s="344"/>
      <c r="JB24" s="344"/>
      <c r="JC24" s="344"/>
      <c r="JD24" s="344"/>
      <c r="JE24" s="344"/>
      <c r="JF24" s="344"/>
      <c r="JG24" s="344"/>
      <c r="JH24" s="344"/>
      <c r="JI24" s="344"/>
      <c r="JJ24" s="344"/>
      <c r="JK24" s="344"/>
      <c r="JL24" s="344"/>
      <c r="JM24" s="344"/>
      <c r="JN24" s="344"/>
    </row>
    <row r="25" spans="1:274" s="345" customFormat="1" ht="20.25" customHeight="1" x14ac:dyDescent="0.25">
      <c r="B25" s="360" t="s">
        <v>934</v>
      </c>
      <c r="C25" s="362" t="s">
        <v>936</v>
      </c>
      <c r="D25" s="345" t="s">
        <v>606</v>
      </c>
      <c r="E25" s="321" t="s">
        <v>752</v>
      </c>
      <c r="F25" s="363" t="s">
        <v>937</v>
      </c>
      <c r="G25" s="364" cm="1">
        <f t="array" aca="1" ref="G25" ca="1">IFERROR(INDEX(Panel_Rates[[1]:[12]],MATCH(Panel_New&amp;Category_New,Panel_Rates[Panel]&amp;Panel_Rates[Category],0),MATCH('Time Plan (Lacy))'!E25,OFFSET(Variable!$AF$2,MATCH(Panel_New&amp;Category_New,Panel_Rates[Panel]&amp;Panel_Rates[Category],0)-1,0,1,12),0))/8,"")</f>
        <v>245</v>
      </c>
      <c r="H25" s="326">
        <v>0.38</v>
      </c>
      <c r="I25" s="365">
        <f t="shared" ref="I25" ca="1" si="59">IFERROR(G25*(1-H25),"")</f>
        <v>151.9</v>
      </c>
      <c r="J25" s="350">
        <f t="shared" ref="J25" ca="1" si="60">IFERROR(I25*8,"")</f>
        <v>1215.2</v>
      </c>
      <c r="K25" s="366">
        <f>IFERROR(_xlfn.XLOOKUP(D25,CostTableLookup[Name],CostTableLookup[Gross Cost]),"")</f>
        <v>161</v>
      </c>
      <c r="L25" s="367">
        <v>220</v>
      </c>
      <c r="M25" s="368">
        <f t="shared" ref="M25" ca="1" si="61">IFERROR(L25*I25,"")</f>
        <v>33418</v>
      </c>
      <c r="N25" s="369"/>
      <c r="O25" s="368">
        <f t="shared" ref="O25" ca="1" si="62">IFERROR(N25*I25,"")</f>
        <v>0</v>
      </c>
      <c r="P25" s="368">
        <f t="shared" ref="P25" ca="1" si="63">IFERROR(M25-O25,"")</f>
        <v>33418</v>
      </c>
      <c r="Q25" s="370">
        <f t="shared" ref="Q25" si="64">IFERROR(N25*K25,"")</f>
        <v>0</v>
      </c>
      <c r="R25" s="371" t="str">
        <f t="shared" ref="R25" ca="1" si="65">IFERROR(((U25+O25)-(V25+Q25))/(U25+O25),"")</f>
        <v/>
      </c>
      <c r="S25" s="335">
        <f ca="1">IFERROR(SUM(OFFSET(Y25,0,MATCH(Forecast_New,$Y$3:$WQ$3,0)-1,1,500))*40,"")</f>
        <v>0</v>
      </c>
      <c r="T25" s="372">
        <f t="shared" ref="T25" ca="1" si="66">IFERROR(S25/8,"")</f>
        <v>0</v>
      </c>
      <c r="U25" s="373">
        <f t="shared" ref="U25" ca="1" si="67">IFERROR($S25*I25,"")</f>
        <v>0</v>
      </c>
      <c r="V25" s="358">
        <f t="shared" ref="V25" ca="1" si="68">IFERROR($S25*K25,"")</f>
        <v>0</v>
      </c>
      <c r="W25" s="374">
        <f t="shared" ref="W25" ca="1" si="69">IFERROR(M25-(O25+U25),"")</f>
        <v>33418</v>
      </c>
      <c r="X25" s="375">
        <f t="shared" ref="X25" ca="1" si="70">IFERROR(W25/M25,"")</f>
        <v>1</v>
      </c>
      <c r="Y25" s="376"/>
      <c r="Z25" s="376"/>
      <c r="AA25" s="376"/>
      <c r="AB25" s="376"/>
      <c r="AC25" s="376"/>
      <c r="AD25" s="376"/>
      <c r="AE25" s="376"/>
      <c r="AF25" s="376"/>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c r="BJ25" s="376"/>
      <c r="BK25" s="376"/>
      <c r="BL25" s="376"/>
      <c r="BM25" s="376"/>
      <c r="BN25" s="376"/>
      <c r="BO25" s="376"/>
      <c r="BP25" s="376"/>
      <c r="BQ25" s="376"/>
      <c r="BR25" s="376"/>
      <c r="BS25" s="376"/>
      <c r="BT25" s="376"/>
      <c r="BU25" s="376"/>
      <c r="BV25" s="376"/>
      <c r="BW25" s="376"/>
      <c r="BX25" s="376"/>
      <c r="BY25" s="376"/>
      <c r="BZ25" s="376"/>
      <c r="CA25" s="376"/>
      <c r="CB25" s="376"/>
      <c r="CC25" s="376"/>
      <c r="CD25" s="376"/>
      <c r="CE25" s="376"/>
      <c r="CF25" s="376"/>
      <c r="CG25" s="376"/>
      <c r="CH25" s="376"/>
      <c r="CI25" s="376"/>
      <c r="CJ25" s="376"/>
      <c r="CK25" s="376"/>
      <c r="CL25" s="376"/>
      <c r="CM25" s="376"/>
      <c r="CN25" s="376"/>
      <c r="CO25" s="376"/>
      <c r="CP25" s="376"/>
      <c r="CQ25" s="376"/>
      <c r="CR25" s="376"/>
      <c r="CS25" s="376"/>
      <c r="CT25" s="376"/>
      <c r="CU25" s="376"/>
      <c r="CV25" s="376"/>
      <c r="CW25" s="376"/>
      <c r="CX25" s="376"/>
      <c r="CY25" s="376"/>
      <c r="CZ25" s="376"/>
      <c r="DA25" s="376"/>
      <c r="DB25" s="376"/>
      <c r="DC25" s="376"/>
      <c r="DD25" s="376"/>
      <c r="DE25" s="376"/>
      <c r="DF25" s="376"/>
      <c r="DG25" s="376"/>
      <c r="DH25" s="376"/>
      <c r="DI25" s="376"/>
      <c r="DJ25" s="376"/>
      <c r="DK25" s="376"/>
      <c r="DL25" s="376"/>
      <c r="DM25" s="376"/>
      <c r="DN25" s="376"/>
      <c r="DO25" s="376"/>
      <c r="DP25" s="376"/>
      <c r="DQ25" s="376"/>
      <c r="DR25" s="376"/>
      <c r="DS25" s="376"/>
      <c r="DT25" s="376"/>
      <c r="DU25" s="376"/>
      <c r="DV25" s="376"/>
      <c r="DW25" s="376"/>
      <c r="DX25" s="376"/>
      <c r="DY25" s="376"/>
      <c r="DZ25" s="376"/>
      <c r="EA25" s="376"/>
      <c r="EB25" s="376"/>
      <c r="EC25" s="376"/>
      <c r="ED25" s="376"/>
      <c r="EE25" s="376"/>
      <c r="EF25" s="376"/>
      <c r="EG25" s="376"/>
      <c r="EH25" s="376"/>
      <c r="EI25" s="376"/>
      <c r="EJ25" s="376"/>
      <c r="EK25" s="376"/>
      <c r="EL25" s="376"/>
      <c r="EM25" s="376"/>
      <c r="EN25" s="376"/>
      <c r="EO25" s="376"/>
      <c r="EP25" s="376"/>
      <c r="EQ25" s="376"/>
      <c r="ER25" s="376"/>
      <c r="ES25" s="376"/>
      <c r="ET25" s="376"/>
      <c r="EU25" s="376"/>
      <c r="EV25" s="376"/>
      <c r="EW25" s="376"/>
      <c r="EX25" s="376"/>
      <c r="EY25" s="376"/>
      <c r="EZ25" s="376"/>
      <c r="FA25" s="376"/>
      <c r="FB25" s="376"/>
      <c r="FC25" s="376"/>
      <c r="FD25" s="376"/>
      <c r="FE25" s="376"/>
      <c r="FF25" s="376"/>
      <c r="FG25" s="376"/>
      <c r="FH25" s="376"/>
      <c r="FI25" s="376"/>
      <c r="FJ25" s="376"/>
      <c r="FK25" s="376"/>
      <c r="FL25" s="376"/>
      <c r="FM25" s="376"/>
      <c r="FN25" s="376"/>
      <c r="FO25" s="376"/>
      <c r="FP25" s="376"/>
      <c r="FQ25" s="376"/>
      <c r="FR25" s="376"/>
      <c r="FS25" s="376"/>
      <c r="FT25" s="376"/>
      <c r="FU25" s="376"/>
      <c r="FV25" s="376"/>
      <c r="FW25" s="376"/>
      <c r="FX25" s="376"/>
      <c r="FY25" s="376"/>
      <c r="FZ25" s="376"/>
      <c r="GA25" s="376"/>
      <c r="GB25" s="376"/>
      <c r="GC25" s="376"/>
      <c r="GD25" s="376"/>
      <c r="GE25" s="376"/>
      <c r="GF25" s="376"/>
      <c r="GG25" s="376"/>
      <c r="GH25" s="376"/>
      <c r="GI25" s="376"/>
      <c r="GJ25" s="376"/>
      <c r="GK25" s="376"/>
      <c r="GL25" s="376"/>
      <c r="GM25" s="376"/>
      <c r="GN25" s="376"/>
      <c r="GO25" s="376"/>
      <c r="GP25" s="376"/>
      <c r="GQ25" s="376"/>
      <c r="GR25" s="376"/>
      <c r="GS25" s="376"/>
      <c r="GT25" s="376"/>
      <c r="GU25" s="376"/>
      <c r="GV25" s="376"/>
      <c r="GW25" s="376"/>
      <c r="GX25" s="376"/>
      <c r="GY25" s="376"/>
      <c r="GZ25" s="376"/>
      <c r="HA25" s="376"/>
      <c r="HB25" s="376"/>
      <c r="HC25" s="376"/>
      <c r="HD25" s="376"/>
      <c r="HE25" s="376"/>
      <c r="HF25" s="376"/>
      <c r="HG25" s="376"/>
      <c r="HH25" s="376"/>
      <c r="HI25" s="376"/>
      <c r="HJ25" s="376"/>
      <c r="HK25" s="376"/>
      <c r="HL25" s="376"/>
      <c r="HM25" s="376"/>
      <c r="HN25" s="376"/>
      <c r="HO25" s="376"/>
      <c r="HP25" s="376"/>
      <c r="HQ25" s="376"/>
      <c r="HR25" s="376"/>
      <c r="HS25" s="376"/>
      <c r="HT25" s="376"/>
      <c r="HU25" s="376"/>
      <c r="HV25" s="376"/>
      <c r="HW25" s="376"/>
      <c r="HX25" s="376"/>
      <c r="HY25" s="376"/>
      <c r="HZ25" s="376"/>
      <c r="IA25" s="376"/>
      <c r="IB25" s="376"/>
      <c r="IC25" s="376"/>
      <c r="ID25" s="376"/>
      <c r="IE25" s="376"/>
      <c r="IF25" s="376"/>
      <c r="IG25" s="376"/>
      <c r="IH25" s="376"/>
      <c r="II25" s="376"/>
      <c r="IJ25" s="376"/>
      <c r="IK25" s="376"/>
      <c r="IL25" s="376"/>
      <c r="IM25" s="376"/>
      <c r="IN25" s="376"/>
      <c r="IO25" s="376"/>
      <c r="IP25" s="376"/>
      <c r="IQ25" s="376"/>
      <c r="IR25" s="376"/>
      <c r="IS25" s="376"/>
      <c r="IT25" s="376"/>
      <c r="IU25" s="376"/>
      <c r="IV25" s="376"/>
      <c r="IW25" s="376"/>
      <c r="IX25" s="376"/>
      <c r="IY25" s="376"/>
      <c r="IZ25" s="376"/>
      <c r="JA25" s="376"/>
      <c r="JB25" s="376"/>
      <c r="JC25" s="376"/>
      <c r="JD25" s="376"/>
      <c r="JE25" s="376"/>
      <c r="JF25" s="376"/>
      <c r="JG25" s="376"/>
      <c r="JH25" s="376"/>
      <c r="JI25" s="376"/>
      <c r="JJ25" s="376"/>
      <c r="JK25" s="376"/>
      <c r="JL25" s="376"/>
      <c r="JM25" s="376"/>
      <c r="JN25" s="376"/>
    </row>
    <row r="26" spans="1:274" ht="20.25" customHeight="1" x14ac:dyDescent="0.25">
      <c r="B26" s="387" t="s">
        <v>938</v>
      </c>
      <c r="C26" s="323" t="s">
        <v>935</v>
      </c>
      <c r="D26" s="321" t="s">
        <v>306</v>
      </c>
      <c r="E26" s="321" t="s">
        <v>753</v>
      </c>
      <c r="F26" s="324" t="s">
        <v>928</v>
      </c>
      <c r="G26" s="325" cm="1">
        <f t="array" aca="1" ref="G26" ca="1">IFERROR(INDEX(Panel_Rates[[1]:[12]],MATCH(Panel_New&amp;Category_New,Panel_Rates[Panel]&amp;Panel_Rates[Category],0),MATCH('Time Plan (Lacy))'!E26,OFFSET(Variable!$AF$2,MATCH(Panel_New&amp;Category_New,Panel_Rates[Panel]&amp;Panel_Rates[Category],0)-1,0,1,12),0))/8,"")</f>
        <v>305</v>
      </c>
      <c r="H26" s="326">
        <v>0.32</v>
      </c>
      <c r="I26" s="327">
        <f ca="1">IFERROR(G26*(1-H26),"")</f>
        <v>207.39999999999998</v>
      </c>
      <c r="J26" s="328">
        <f ca="1">IFERROR(I26*8,"")</f>
        <v>1659.1999999999998</v>
      </c>
      <c r="K26" s="329">
        <f>IFERROR(_xlfn.XLOOKUP(D26,CostTableLookup[Name],CostTableLookup[Gross Cost]),"")</f>
        <v>245</v>
      </c>
      <c r="L26" s="330">
        <v>279.99999999999994</v>
      </c>
      <c r="M26" s="331">
        <f ca="1">IFERROR(L26*I26,"")</f>
        <v>58071.999999999985</v>
      </c>
      <c r="N26" s="332"/>
      <c r="O26" s="331">
        <f ca="1">IFERROR(N26*I26,"")</f>
        <v>0</v>
      </c>
      <c r="P26" s="331">
        <f ca="1">IFERROR(M26-O26,"")</f>
        <v>58071.999999999985</v>
      </c>
      <c r="Q26" s="333">
        <f>IFERROR(N26*K26,"")</f>
        <v>0</v>
      </c>
      <c r="R26" s="334">
        <f ca="1">IFERROR(((U26+O26)-(V26+Q26))/(U26+O26),"")</f>
        <v>-0.1812921890067504</v>
      </c>
      <c r="S26" s="335">
        <f ca="1">IFERROR(SUM(OFFSET(Y26,0,MATCH(Forecast_New,$Y$3:$WQ$3,0)-1,1,500))*40,"")</f>
        <v>140</v>
      </c>
      <c r="T26" s="336">
        <f ca="1">IFERROR(S26/8,"")</f>
        <v>17.5</v>
      </c>
      <c r="U26" s="337">
        <f ca="1">IFERROR($S26*I26,"")</f>
        <v>29035.999999999996</v>
      </c>
      <c r="V26" s="338">
        <f ca="1">IFERROR($S26*K26,"")</f>
        <v>34300</v>
      </c>
      <c r="W26" s="339"/>
      <c r="X26" s="343"/>
      <c r="Y26" s="344"/>
      <c r="Z26" s="344"/>
      <c r="AA26" s="344"/>
      <c r="AB26" s="344"/>
      <c r="AC26" s="344"/>
      <c r="AD26" s="344"/>
      <c r="AE26" s="344"/>
      <c r="AF26" s="344">
        <v>0.5</v>
      </c>
      <c r="AG26" s="344">
        <v>1</v>
      </c>
      <c r="AH26" s="344">
        <v>1</v>
      </c>
      <c r="AI26" s="344">
        <v>1</v>
      </c>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344"/>
      <c r="CE26" s="344"/>
      <c r="CF26" s="344"/>
      <c r="CG26" s="344"/>
      <c r="CH26" s="344"/>
      <c r="CI26" s="344"/>
      <c r="CJ26" s="344"/>
      <c r="CK26" s="344"/>
      <c r="CL26" s="344"/>
      <c r="CM26" s="344"/>
      <c r="CN26" s="344"/>
      <c r="CO26" s="344"/>
      <c r="CP26" s="344"/>
      <c r="CQ26" s="344"/>
      <c r="CR26" s="344"/>
      <c r="CS26" s="344"/>
      <c r="CT26" s="344"/>
      <c r="CU26" s="344"/>
      <c r="CV26" s="344"/>
      <c r="CW26" s="344"/>
      <c r="CX26" s="344"/>
      <c r="CY26" s="344"/>
      <c r="CZ26" s="344"/>
      <c r="DA26" s="344"/>
      <c r="DB26" s="344"/>
      <c r="DC26" s="344"/>
      <c r="DD26" s="344"/>
      <c r="DE26" s="344"/>
      <c r="DF26" s="344"/>
      <c r="DG26" s="344"/>
      <c r="DH26" s="344"/>
      <c r="DI26" s="344"/>
      <c r="DJ26" s="344"/>
      <c r="DK26" s="344"/>
      <c r="DL26" s="344"/>
      <c r="DM26" s="344"/>
      <c r="DN26" s="344"/>
      <c r="DO26" s="344"/>
      <c r="DP26" s="344"/>
      <c r="DQ26" s="344"/>
      <c r="DR26" s="344"/>
      <c r="DS26" s="344"/>
      <c r="DT26" s="344"/>
      <c r="DU26" s="344"/>
      <c r="DV26" s="344"/>
      <c r="DW26" s="344"/>
      <c r="DX26" s="344"/>
      <c r="DY26" s="344"/>
      <c r="DZ26" s="344"/>
      <c r="EA26" s="344"/>
      <c r="EB26" s="344"/>
      <c r="EC26" s="344"/>
      <c r="ED26" s="344"/>
      <c r="EE26" s="344"/>
      <c r="EF26" s="344"/>
      <c r="EG26" s="344"/>
      <c r="EH26" s="344"/>
      <c r="EI26" s="344"/>
      <c r="EJ26" s="344"/>
      <c r="EK26" s="344"/>
      <c r="EL26" s="344"/>
      <c r="EM26" s="344"/>
      <c r="EN26" s="344"/>
      <c r="EO26" s="344"/>
      <c r="EP26" s="344"/>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25">
      <c r="B27" s="360" t="s">
        <v>938</v>
      </c>
      <c r="C27" s="323" t="s">
        <v>935</v>
      </c>
      <c r="D27" s="321" t="s">
        <v>327</v>
      </c>
      <c r="E27" s="321" t="s">
        <v>752</v>
      </c>
      <c r="F27" s="324" t="s">
        <v>155</v>
      </c>
      <c r="G27" s="325" cm="1">
        <f t="array" aca="1" ref="G27" ca="1">IFERROR(INDEX(Panel_Rates[[1]:[12]],MATCH(Panel_New&amp;Category_New,Panel_Rates[Panel]&amp;Panel_Rates[Category],0),MATCH('Time Plan (Lacy))'!E27,OFFSET(Variable!$AF$2,MATCH(Panel_New&amp;Category_New,Panel_Rates[Panel]&amp;Panel_Rates[Category],0)-1,0,1,12),0))/8,"")</f>
        <v>245</v>
      </c>
      <c r="H27" s="326">
        <v>0.38</v>
      </c>
      <c r="I27" s="327">
        <f ca="1">IFERROR(G27*(1-H27),"")</f>
        <v>151.9</v>
      </c>
      <c r="J27" s="328">
        <f ca="1">IFERROR(I27*8,"")</f>
        <v>1215.2</v>
      </c>
      <c r="K27" s="329">
        <f>IFERROR(_xlfn.XLOOKUP(D27,CostTableLookup[Name],CostTableLookup[Gross Cost]),"")</f>
        <v>146</v>
      </c>
      <c r="L27" s="330">
        <v>270</v>
      </c>
      <c r="M27" s="331">
        <f ca="1">IFERROR(L27*I27,"")</f>
        <v>41013</v>
      </c>
      <c r="N27" s="332"/>
      <c r="O27" s="331">
        <f ca="1">IFERROR(N27*I27,"")</f>
        <v>0</v>
      </c>
      <c r="P27" s="331">
        <f ca="1">IFERROR(M27-O27,"")</f>
        <v>41013</v>
      </c>
      <c r="Q27" s="333">
        <f>IFERROR(N27*K27,"")</f>
        <v>0</v>
      </c>
      <c r="R27" s="334">
        <f ca="1">IFERROR(((U27+O27)-(V27+Q27))/(U27+O27),"")</f>
        <v>3.8841342988808425E-2</v>
      </c>
      <c r="S27" s="335">
        <f ca="1">IFERROR(SUM(OFFSET(Y27,0,MATCH(Forecast_New,$Y$3:$WQ$3,0)-1,1,500))*40,"")</f>
        <v>80</v>
      </c>
      <c r="T27" s="336">
        <f ca="1">IFERROR(S27/8,"")</f>
        <v>10</v>
      </c>
      <c r="U27" s="337">
        <f ca="1">IFERROR($S27*I27,"")</f>
        <v>12152</v>
      </c>
      <c r="V27" s="338">
        <f ca="1">IFERROR($S27*K27,"")</f>
        <v>11680</v>
      </c>
      <c r="W27" s="339"/>
      <c r="X27" s="343"/>
      <c r="Y27" s="344"/>
      <c r="Z27" s="344"/>
      <c r="AA27" s="344"/>
      <c r="AB27" s="344"/>
      <c r="AC27" s="344"/>
      <c r="AD27" s="344"/>
      <c r="AE27" s="344"/>
      <c r="AF27" s="344">
        <v>0.5</v>
      </c>
      <c r="AG27" s="344">
        <v>0.5</v>
      </c>
      <c r="AH27" s="344">
        <v>0.5</v>
      </c>
      <c r="AI27" s="344">
        <v>0.5</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25">
      <c r="B28" s="360" t="s">
        <v>938</v>
      </c>
      <c r="C28" s="323" t="s">
        <v>936</v>
      </c>
      <c r="D28" s="321" t="s">
        <v>317</v>
      </c>
      <c r="E28" s="321" t="s">
        <v>754</v>
      </c>
      <c r="F28" s="324" t="s">
        <v>929</v>
      </c>
      <c r="G28" s="325" cm="1">
        <f t="array" aca="1" ref="G28" ca="1">IFERROR(INDEX(Panel_Rates[[1]:[12]],MATCH(Panel_New&amp;Category_New,Panel_Rates[Panel]&amp;Panel_Rates[Category],0),MATCH('Time Plan (Lacy))'!E28,OFFSET(Variable!$AF$2,MATCH(Panel_New&amp;Category_New,Panel_Rates[Panel]&amp;Panel_Rates[Category],0)-1,0,1,12),0))/8,"")</f>
        <v>395</v>
      </c>
      <c r="H28" s="326">
        <v>0.4</v>
      </c>
      <c r="I28" s="327">
        <f t="shared" ref="I28:I33" ca="1" si="71">IFERROR(G28*(1-H28),"")</f>
        <v>237</v>
      </c>
      <c r="J28" s="328">
        <f ca="1">IFERROR(I28*8,"")</f>
        <v>1896</v>
      </c>
      <c r="K28" s="329">
        <f>IFERROR(_xlfn.XLOOKUP(D28,CostTableLookup[Name],CostTableLookup[Gross Cost]),"")</f>
        <v>198</v>
      </c>
      <c r="L28" s="330">
        <v>140</v>
      </c>
      <c r="M28" s="331">
        <f t="shared" ref="M28:M33" ca="1" si="72">IFERROR(L28*I28,"")</f>
        <v>33180</v>
      </c>
      <c r="N28" s="332"/>
      <c r="O28" s="331">
        <f t="shared" ref="O28:O33" ca="1" si="73">IFERROR(N28*I28,"")</f>
        <v>0</v>
      </c>
      <c r="P28" s="331">
        <f t="shared" ref="P28:P33" ca="1" si="74">IFERROR(M28-O28,"")</f>
        <v>33180</v>
      </c>
      <c r="Q28" s="333">
        <f t="shared" ref="Q28:Q33" si="75">IFERROR(N28*K28,"")</f>
        <v>0</v>
      </c>
      <c r="R28" s="334">
        <f t="shared" ref="R28:R33" ca="1" si="76">IFERROR(((U28+O28)-(V28+Q28))/(U28+O28),"")</f>
        <v>0.16455696202531644</v>
      </c>
      <c r="S28" s="335">
        <f t="shared" ref="S28" ca="1" si="77">IFERROR(SUM(OFFSET(Y28,0,MATCH(Forecast_New,$Y$3:$WQ$3,0)-1,1,500))*40,"")</f>
        <v>40</v>
      </c>
      <c r="T28" s="336">
        <f t="shared" ref="T28:T33" ca="1" si="78">IFERROR(S28/8,"")</f>
        <v>5</v>
      </c>
      <c r="U28" s="337">
        <f t="shared" ref="U28:U33" ca="1" si="79">IFERROR($S28*I28,"")</f>
        <v>9480</v>
      </c>
      <c r="V28" s="338">
        <f t="shared" ref="V28:V33" ca="1" si="80">IFERROR($S28*K28,"")</f>
        <v>7920</v>
      </c>
      <c r="W28" s="339">
        <f t="shared" ref="W28:W33" ca="1" si="81">IFERROR(M28-(O28+U28),"")</f>
        <v>23700</v>
      </c>
      <c r="X28" s="340">
        <f t="shared" ref="X28:X33" ca="1" si="82">IFERROR(W28/M28,"")</f>
        <v>0.7142857142857143</v>
      </c>
      <c r="Y28" s="341"/>
      <c r="Z28" s="341"/>
      <c r="AA28" s="341"/>
      <c r="AB28" s="341"/>
      <c r="AC28" s="341"/>
      <c r="AD28" s="341"/>
      <c r="AE28" s="341"/>
      <c r="AF28" s="341">
        <v>0.25</v>
      </c>
      <c r="AG28" s="341">
        <v>0.25</v>
      </c>
      <c r="AH28" s="341">
        <v>0.25</v>
      </c>
      <c r="AI28" s="341">
        <v>0.25</v>
      </c>
      <c r="AJ28" s="341"/>
      <c r="AK28" s="341"/>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341"/>
      <c r="BM28" s="341"/>
      <c r="BN28" s="341"/>
      <c r="BO28" s="341"/>
      <c r="BP28" s="341"/>
      <c r="BQ28" s="341"/>
      <c r="BR28" s="341"/>
      <c r="BS28" s="341"/>
      <c r="BT28" s="341"/>
      <c r="BU28" s="341"/>
      <c r="BV28" s="341"/>
      <c r="BW28" s="341"/>
      <c r="BX28" s="341"/>
      <c r="BY28" s="341"/>
      <c r="BZ28" s="341"/>
      <c r="CA28" s="341"/>
      <c r="CB28" s="341"/>
      <c r="CC28" s="341"/>
      <c r="CD28" s="341"/>
      <c r="CE28" s="341"/>
      <c r="CF28" s="341"/>
      <c r="CG28" s="341"/>
      <c r="CH28" s="341"/>
      <c r="CI28" s="341"/>
      <c r="CJ28" s="341"/>
      <c r="CK28" s="341"/>
      <c r="CL28" s="341"/>
      <c r="CM28" s="341"/>
      <c r="CN28" s="341"/>
      <c r="CO28" s="341"/>
      <c r="CP28" s="341"/>
      <c r="CQ28" s="341"/>
      <c r="CR28" s="341"/>
      <c r="CS28" s="341"/>
      <c r="CT28" s="341"/>
      <c r="CU28" s="341"/>
      <c r="CV28" s="341"/>
      <c r="CW28" s="341"/>
      <c r="CX28" s="341"/>
      <c r="CY28" s="341"/>
      <c r="CZ28" s="341"/>
      <c r="DA28" s="341"/>
      <c r="DB28" s="341"/>
      <c r="DC28" s="341"/>
      <c r="DD28" s="341"/>
      <c r="DE28" s="341"/>
      <c r="DF28" s="341"/>
      <c r="DG28" s="341"/>
      <c r="DH28" s="341"/>
      <c r="DI28" s="341"/>
      <c r="DJ28" s="341"/>
      <c r="DK28" s="341"/>
      <c r="DL28" s="341"/>
      <c r="DM28" s="341"/>
      <c r="DN28" s="341"/>
      <c r="DO28" s="341"/>
      <c r="DP28" s="341"/>
      <c r="DQ28" s="341"/>
      <c r="DR28" s="341"/>
      <c r="DS28" s="341"/>
      <c r="DT28" s="341"/>
      <c r="DU28" s="341"/>
      <c r="DV28" s="341"/>
      <c r="DW28" s="341"/>
      <c r="DX28" s="341"/>
      <c r="DY28" s="341"/>
      <c r="DZ28" s="341"/>
      <c r="EA28" s="341"/>
      <c r="EB28" s="341"/>
      <c r="EC28" s="341"/>
      <c r="ED28" s="341"/>
      <c r="EE28" s="341"/>
      <c r="EF28" s="341"/>
      <c r="EG28" s="341"/>
      <c r="EH28" s="341"/>
      <c r="EI28" s="341"/>
      <c r="EJ28" s="341"/>
      <c r="EK28" s="341"/>
      <c r="EL28" s="341"/>
      <c r="EM28" s="341"/>
      <c r="EN28" s="341"/>
      <c r="EO28" s="341"/>
      <c r="EP28" s="341"/>
      <c r="EQ28" s="341"/>
      <c r="ER28" s="341"/>
      <c r="ES28" s="341"/>
      <c r="ET28" s="341"/>
      <c r="EU28" s="341"/>
      <c r="EV28" s="341"/>
      <c r="EW28" s="341"/>
      <c r="EX28" s="341"/>
      <c r="EY28" s="341"/>
      <c r="EZ28" s="341"/>
      <c r="FA28" s="341"/>
      <c r="FB28" s="341"/>
      <c r="FC28" s="341"/>
      <c r="FD28" s="341"/>
      <c r="FE28" s="341"/>
      <c r="FF28" s="341"/>
      <c r="FG28" s="341"/>
      <c r="FH28" s="341"/>
      <c r="FI28" s="341"/>
      <c r="FJ28" s="341"/>
      <c r="FK28" s="341"/>
      <c r="FL28" s="341"/>
      <c r="FM28" s="341"/>
      <c r="FN28" s="341"/>
      <c r="FO28" s="341"/>
      <c r="FP28" s="341"/>
      <c r="FQ28" s="341"/>
      <c r="FR28" s="341"/>
      <c r="FS28" s="341"/>
      <c r="FT28" s="341"/>
      <c r="FU28" s="341"/>
      <c r="FV28" s="341"/>
      <c r="FW28" s="341"/>
      <c r="FX28" s="341"/>
      <c r="FY28" s="341"/>
      <c r="FZ28" s="341"/>
      <c r="GA28" s="341"/>
      <c r="GB28" s="341"/>
      <c r="GC28" s="341"/>
      <c r="GD28" s="341"/>
      <c r="GE28" s="341"/>
      <c r="GF28" s="341"/>
      <c r="GG28" s="341"/>
      <c r="GH28" s="341"/>
      <c r="GI28" s="341"/>
      <c r="GJ28" s="341"/>
      <c r="GK28" s="341"/>
      <c r="GL28" s="341"/>
      <c r="GM28" s="341"/>
      <c r="GN28" s="341"/>
      <c r="GO28" s="341"/>
      <c r="GP28" s="341"/>
      <c r="GQ28" s="341"/>
      <c r="GR28" s="341"/>
      <c r="GS28" s="341"/>
      <c r="GT28" s="341"/>
      <c r="GU28" s="341"/>
      <c r="GV28" s="341"/>
      <c r="GW28" s="341"/>
      <c r="GX28" s="341"/>
      <c r="GY28" s="341"/>
      <c r="GZ28" s="341"/>
      <c r="HA28" s="341"/>
      <c r="HB28" s="341"/>
      <c r="HC28" s="341"/>
      <c r="HD28" s="341"/>
      <c r="HE28" s="341"/>
      <c r="HF28" s="341"/>
      <c r="HG28" s="341"/>
      <c r="HH28" s="341"/>
      <c r="HI28" s="341"/>
      <c r="HJ28" s="341"/>
      <c r="HK28" s="341"/>
      <c r="HL28" s="341"/>
      <c r="HM28" s="341"/>
      <c r="HN28" s="341"/>
      <c r="HO28" s="341"/>
      <c r="HP28" s="341"/>
      <c r="HQ28" s="341"/>
      <c r="HR28" s="341"/>
      <c r="HS28" s="341"/>
      <c r="HT28" s="341"/>
      <c r="HU28" s="341"/>
      <c r="HV28" s="341"/>
      <c r="HW28" s="341"/>
      <c r="HX28" s="341"/>
      <c r="HY28" s="341"/>
      <c r="HZ28" s="341"/>
      <c r="IA28" s="341"/>
      <c r="IB28" s="341"/>
      <c r="IC28" s="341"/>
      <c r="ID28" s="341"/>
      <c r="IE28" s="341"/>
      <c r="IF28" s="341"/>
      <c r="IG28" s="341"/>
      <c r="IH28" s="341"/>
      <c r="II28" s="341"/>
      <c r="IJ28" s="341"/>
      <c r="IK28" s="341"/>
      <c r="IL28" s="341"/>
      <c r="IM28" s="341"/>
      <c r="IN28" s="341"/>
      <c r="IO28" s="341"/>
      <c r="IP28" s="341"/>
      <c r="IQ28" s="341"/>
      <c r="IR28" s="341"/>
      <c r="IS28" s="341"/>
      <c r="IT28" s="341"/>
      <c r="IU28" s="341"/>
      <c r="IV28" s="341"/>
      <c r="IW28" s="341"/>
      <c r="IX28" s="341"/>
      <c r="IY28" s="341"/>
      <c r="IZ28" s="341"/>
      <c r="JA28" s="341"/>
      <c r="JB28" s="341"/>
      <c r="JC28" s="341"/>
      <c r="JD28" s="341"/>
      <c r="JE28" s="341"/>
      <c r="JF28" s="341"/>
      <c r="JG28" s="341"/>
      <c r="JH28" s="341"/>
      <c r="JI28" s="341"/>
      <c r="JJ28" s="341"/>
      <c r="JK28" s="341"/>
      <c r="JL28" s="341"/>
      <c r="JM28" s="341"/>
      <c r="JN28" s="341"/>
    </row>
    <row r="29" spans="1:274" ht="20.25" customHeight="1" x14ac:dyDescent="0.25">
      <c r="B29" s="360" t="s">
        <v>938</v>
      </c>
      <c r="C29" s="323" t="s">
        <v>936</v>
      </c>
      <c r="D29" s="321" t="s">
        <v>126</v>
      </c>
      <c r="E29" s="321" t="s">
        <v>752</v>
      </c>
      <c r="F29" s="324" t="s">
        <v>852</v>
      </c>
      <c r="G29" s="325" cm="1">
        <f t="array" aca="1" ref="G29" ca="1">IFERROR(INDEX(Panel_Rates[[1]:[12]],MATCH(Panel_New&amp;Category_New,Panel_Rates[Panel]&amp;Panel_Rates[Category],0),MATCH('Time Plan (Lacy))'!E29,OFFSET(Variable!$AF$2,MATCH(Panel_New&amp;Category_New,Panel_Rates[Panel]&amp;Panel_Rates[Category],0)-1,0,1,12),0))/8,"")</f>
        <v>245</v>
      </c>
      <c r="H29" s="326">
        <v>0.38</v>
      </c>
      <c r="I29" s="327">
        <f t="shared" ca="1" si="71"/>
        <v>151.9</v>
      </c>
      <c r="J29" s="328">
        <f t="shared" ref="J29:J33" ca="1" si="83">IFERROR(I29*8,"")</f>
        <v>1215.2</v>
      </c>
      <c r="K29" s="329">
        <f>IFERROR(_xlfn.XLOOKUP(D29,CostTableLookup[Name],CostTableLookup[Gross Cost]),"")</f>
        <v>146</v>
      </c>
      <c r="L29" s="330">
        <v>232</v>
      </c>
      <c r="M29" s="331">
        <f t="shared" ca="1" si="72"/>
        <v>35240.800000000003</v>
      </c>
      <c r="N29" s="332"/>
      <c r="O29" s="331">
        <f t="shared" ca="1" si="73"/>
        <v>0</v>
      </c>
      <c r="P29" s="331">
        <f t="shared" ca="1" si="74"/>
        <v>35240.800000000003</v>
      </c>
      <c r="Q29" s="333">
        <f t="shared" si="75"/>
        <v>0</v>
      </c>
      <c r="R29" s="334">
        <f t="shared" ca="1" si="76"/>
        <v>3.884134298880848E-2</v>
      </c>
      <c r="S29" s="335">
        <f t="shared" ref="S29" ca="1" si="84">IFERROR(SUM(OFFSET(Y29,0,MATCH(Forecast_New,$Y$3:$WQ$3,0)-1,1,500))*40,"")</f>
        <v>123.2</v>
      </c>
      <c r="T29" s="336">
        <f t="shared" ca="1" si="78"/>
        <v>15.4</v>
      </c>
      <c r="U29" s="337">
        <f t="shared" ca="1" si="79"/>
        <v>18714.080000000002</v>
      </c>
      <c r="V29" s="338">
        <f t="shared" ca="1" si="80"/>
        <v>17987.2</v>
      </c>
      <c r="W29" s="339">
        <f t="shared" ca="1" si="81"/>
        <v>16526.72</v>
      </c>
      <c r="X29" s="340">
        <f t="shared" ca="1" si="82"/>
        <v>0.4689655172413793</v>
      </c>
      <c r="Y29" s="341"/>
      <c r="Z29" s="341"/>
      <c r="AA29" s="341"/>
      <c r="AB29" s="341"/>
      <c r="AC29" s="341"/>
      <c r="AD29" s="341"/>
      <c r="AE29" s="341"/>
      <c r="AF29" s="341">
        <v>0.08</v>
      </c>
      <c r="AG29" s="341">
        <v>1</v>
      </c>
      <c r="AH29" s="341">
        <v>1</v>
      </c>
      <c r="AI29" s="341">
        <v>1</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25">
      <c r="B30" s="360" t="s">
        <v>938</v>
      </c>
      <c r="C30" s="323" t="s">
        <v>936</v>
      </c>
      <c r="D30" s="321" t="s">
        <v>756</v>
      </c>
      <c r="E30" s="321" t="s">
        <v>753</v>
      </c>
      <c r="F30" s="324" t="s">
        <v>930</v>
      </c>
      <c r="G30" s="325" cm="1">
        <f t="array" aca="1" ref="G30" ca="1">IFERROR(INDEX(Panel_Rates[[1]:[12]],MATCH(Panel_New&amp;Category_New,Panel_Rates[Panel]&amp;Panel_Rates[Category],0),MATCH('Time Plan (Lacy))'!E30,OFFSET(Variable!$AF$2,MATCH(Panel_New&amp;Category_New,Panel_Rates[Panel]&amp;Panel_Rates[Category],0)-1,0,1,12),0))/8,"")</f>
        <v>305</v>
      </c>
      <c r="H30" s="326">
        <v>0.32</v>
      </c>
      <c r="I30" s="327">
        <f t="shared" ca="1" si="71"/>
        <v>207.39999999999998</v>
      </c>
      <c r="J30" s="328">
        <f t="shared" ca="1" si="83"/>
        <v>1659.1999999999998</v>
      </c>
      <c r="K30" s="329">
        <f>IFERROR(_xlfn.XLOOKUP(D30,CostTableLookup[Name],CostTableLookup[Gross Cost]),"")</f>
        <v>170.96</v>
      </c>
      <c r="L30" s="330">
        <v>380</v>
      </c>
      <c r="M30" s="331">
        <f t="shared" ca="1" si="72"/>
        <v>78811.999999999985</v>
      </c>
      <c r="N30" s="332"/>
      <c r="O30" s="331">
        <f t="shared" ca="1" si="73"/>
        <v>0</v>
      </c>
      <c r="P30" s="331">
        <f t="shared" ca="1" si="74"/>
        <v>78811.999999999985</v>
      </c>
      <c r="Q30" s="333">
        <f t="shared" si="75"/>
        <v>0</v>
      </c>
      <c r="R30" s="334">
        <f t="shared" ca="1" si="76"/>
        <v>0.17569913211186108</v>
      </c>
      <c r="S30" s="335">
        <f t="shared" ref="S30" ca="1" si="85">IFERROR(SUM(OFFSET(Y30,0,MATCH(Forecast_New,$Y$3:$WQ$3,0)-1,1,500))*40,"")</f>
        <v>160</v>
      </c>
      <c r="T30" s="336">
        <f t="shared" ca="1" si="78"/>
        <v>20</v>
      </c>
      <c r="U30" s="337">
        <f t="shared" ca="1" si="79"/>
        <v>33184</v>
      </c>
      <c r="V30" s="338">
        <f t="shared" ca="1" si="80"/>
        <v>27353.600000000002</v>
      </c>
      <c r="W30" s="339">
        <f t="shared" ca="1" si="81"/>
        <v>45627.999999999985</v>
      </c>
      <c r="X30" s="340">
        <f t="shared" ca="1" si="82"/>
        <v>0.57894736842105254</v>
      </c>
      <c r="Y30" s="341"/>
      <c r="Z30" s="341"/>
      <c r="AA30" s="341"/>
      <c r="AB30" s="341"/>
      <c r="AC30" s="341"/>
      <c r="AD30" s="341"/>
      <c r="AE30" s="341"/>
      <c r="AF30" s="341">
        <v>1</v>
      </c>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25">
      <c r="B31" s="360" t="s">
        <v>938</v>
      </c>
      <c r="C31" s="323" t="s">
        <v>936</v>
      </c>
      <c r="D31" s="321" t="s">
        <v>447</v>
      </c>
      <c r="E31" s="321" t="s">
        <v>753</v>
      </c>
      <c r="F31" s="324" t="s">
        <v>931</v>
      </c>
      <c r="G31" s="325" cm="1">
        <f t="array" aca="1" ref="G31" ca="1">IFERROR(INDEX(Panel_Rates[[1]:[12]],MATCH(Panel_New&amp;Category_New,Panel_Rates[Panel]&amp;Panel_Rates[Category],0),MATCH('Time Plan (Lacy))'!E31,OFFSET(Variable!$AF$2,MATCH(Panel_New&amp;Category_New,Panel_Rates[Panel]&amp;Panel_Rates[Category],0)-1,0,1,12),0))/8,"")</f>
        <v>305</v>
      </c>
      <c r="H31" s="326">
        <v>0.38</v>
      </c>
      <c r="I31" s="327">
        <f t="shared" ca="1" si="71"/>
        <v>189.1</v>
      </c>
      <c r="J31" s="328">
        <f t="shared" ca="1" si="83"/>
        <v>1512.8</v>
      </c>
      <c r="K31" s="329">
        <f>IFERROR(_xlfn.XLOOKUP(D31,CostTableLookup[Name],CostTableLookup[Gross Cost]),"")</f>
        <v>151</v>
      </c>
      <c r="L31" s="330">
        <v>520</v>
      </c>
      <c r="M31" s="331">
        <f t="shared" ca="1" si="72"/>
        <v>98332</v>
      </c>
      <c r="N31" s="332"/>
      <c r="O31" s="331">
        <f t="shared" ca="1" si="73"/>
        <v>0</v>
      </c>
      <c r="P31" s="331">
        <f t="shared" ca="1" si="74"/>
        <v>98332</v>
      </c>
      <c r="Q31" s="333">
        <f t="shared" si="75"/>
        <v>0</v>
      </c>
      <c r="R31" s="334">
        <f t="shared" ca="1" si="76"/>
        <v>0.2014806980433633</v>
      </c>
      <c r="S31" s="335">
        <f t="shared" ref="S31" ca="1" si="86">IFERROR(SUM(OFFSET(Y31,0,MATCH(Forecast_New,$Y$3:$WQ$3,0)-1,1,500))*40,"")</f>
        <v>160</v>
      </c>
      <c r="T31" s="336">
        <f t="shared" ca="1" si="78"/>
        <v>20</v>
      </c>
      <c r="U31" s="337">
        <f t="shared" ca="1" si="79"/>
        <v>30256</v>
      </c>
      <c r="V31" s="338">
        <f t="shared" ca="1" si="80"/>
        <v>24160</v>
      </c>
      <c r="W31" s="339">
        <f t="shared" ca="1" si="81"/>
        <v>68076</v>
      </c>
      <c r="X31" s="340">
        <f t="shared" ca="1" si="82"/>
        <v>0.69230769230769229</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25">
      <c r="B32" s="360" t="s">
        <v>938</v>
      </c>
      <c r="C32" s="384" t="s">
        <v>936</v>
      </c>
      <c r="D32" s="385" t="s">
        <v>122</v>
      </c>
      <c r="E32" s="321" t="s">
        <v>752</v>
      </c>
      <c r="F32" s="324" t="s">
        <v>931</v>
      </c>
      <c r="G32" s="325" cm="1">
        <f t="array" aca="1" ref="G32" ca="1">IFERROR(INDEX(Panel_Rates[[1]:[12]],MATCH(Panel_New&amp;Category_New,Panel_Rates[Panel]&amp;Panel_Rates[Category],0),MATCH('Time Plan (Lacy))'!E32,OFFSET(Variable!$AF$2,MATCH(Panel_New&amp;Category_New,Panel_Rates[Panel]&amp;Panel_Rates[Category],0)-1,0,1,12),0))/8,"")</f>
        <v>245</v>
      </c>
      <c r="H32" s="326">
        <v>1</v>
      </c>
      <c r="I32" s="327">
        <f t="shared" ca="1" si="71"/>
        <v>0</v>
      </c>
      <c r="J32" s="328">
        <f t="shared" ca="1" si="83"/>
        <v>0</v>
      </c>
      <c r="K32" s="329">
        <v>0</v>
      </c>
      <c r="L32" s="330">
        <v>120</v>
      </c>
      <c r="M32" s="331">
        <f t="shared" ca="1" si="72"/>
        <v>0</v>
      </c>
      <c r="N32" s="332"/>
      <c r="O32" s="331">
        <f t="shared" ca="1" si="73"/>
        <v>0</v>
      </c>
      <c r="P32" s="331">
        <f t="shared" ca="1" si="74"/>
        <v>0</v>
      </c>
      <c r="Q32" s="333">
        <f t="shared" si="75"/>
        <v>0</v>
      </c>
      <c r="R32" s="334" t="str">
        <f t="shared" ca="1" si="76"/>
        <v/>
      </c>
      <c r="S32" s="335">
        <f t="shared" ref="S32" ca="1" si="87">IFERROR(SUM(OFFSET(Y32,0,MATCH(Forecast_New,$Y$3:$WQ$3,0)-1,1,500))*40,"")</f>
        <v>160</v>
      </c>
      <c r="T32" s="336">
        <f t="shared" ca="1" si="78"/>
        <v>20</v>
      </c>
      <c r="U32" s="337">
        <f t="shared" ca="1" si="79"/>
        <v>0</v>
      </c>
      <c r="V32" s="338">
        <f t="shared" ca="1" si="80"/>
        <v>0</v>
      </c>
      <c r="W32" s="339">
        <f t="shared" ca="1" si="81"/>
        <v>0</v>
      </c>
      <c r="X32" s="340" t="str">
        <f t="shared" ca="1" si="82"/>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1:274" ht="20.25" customHeight="1" x14ac:dyDescent="0.25">
      <c r="B33" s="360" t="s">
        <v>938</v>
      </c>
      <c r="C33" s="323" t="s">
        <v>936</v>
      </c>
      <c r="D33" s="321" t="s">
        <v>731</v>
      </c>
      <c r="E33" s="321" t="s">
        <v>752</v>
      </c>
      <c r="F33" s="324" t="s">
        <v>931</v>
      </c>
      <c r="G33" s="325" cm="1">
        <f t="array" aca="1" ref="G33" ca="1">IFERROR(INDEX(Panel_Rates[[1]:[12]],MATCH(Panel_New&amp;Category_New,Panel_Rates[Panel]&amp;Panel_Rates[Category],0),MATCH('Time Plan (Lacy))'!E33,OFFSET(Variable!$AF$2,MATCH(Panel_New&amp;Category_New,Panel_Rates[Panel]&amp;Panel_Rates[Category],0)-1,0,1,12),0))/8,"")</f>
        <v>245</v>
      </c>
      <c r="H33" s="326">
        <v>0.38</v>
      </c>
      <c r="I33" s="327">
        <f t="shared" ca="1" si="71"/>
        <v>151.9</v>
      </c>
      <c r="J33" s="328">
        <f t="shared" ca="1" si="83"/>
        <v>1215.2</v>
      </c>
      <c r="K33" s="329">
        <f>IFERROR(_xlfn.XLOOKUP(D33,CostTableLookup[Name],CostTableLookup[Gross Cost]),"")</f>
        <v>151</v>
      </c>
      <c r="L33" s="330">
        <v>120</v>
      </c>
      <c r="M33" s="331">
        <f t="shared" ca="1" si="72"/>
        <v>18228</v>
      </c>
      <c r="N33" s="332"/>
      <c r="O33" s="331">
        <f t="shared" ca="1" si="73"/>
        <v>0</v>
      </c>
      <c r="P33" s="331">
        <f t="shared" ca="1" si="74"/>
        <v>18228</v>
      </c>
      <c r="Q33" s="333">
        <f t="shared" si="75"/>
        <v>0</v>
      </c>
      <c r="R33" s="334">
        <f t="shared" ca="1" si="76"/>
        <v>5.9249506254114553E-3</v>
      </c>
      <c r="S33" s="335">
        <f t="shared" ref="S33" ca="1" si="88">IFERROR(SUM(OFFSET(Y33,0,MATCH(Forecast_New,$Y$3:$WQ$3,0)-1,1,500))*40,"")</f>
        <v>160</v>
      </c>
      <c r="T33" s="336">
        <f t="shared" ca="1" si="78"/>
        <v>20</v>
      </c>
      <c r="U33" s="337">
        <f t="shared" ca="1" si="79"/>
        <v>24304</v>
      </c>
      <c r="V33" s="338">
        <f t="shared" ca="1" si="80"/>
        <v>24160</v>
      </c>
      <c r="W33" s="339">
        <f t="shared" ca="1" si="81"/>
        <v>-6076</v>
      </c>
      <c r="X33" s="340">
        <f t="shared" ca="1" si="82"/>
        <v>-0.33333333333333331</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1:274" ht="20.25" customHeight="1" x14ac:dyDescent="0.25">
      <c r="A34" s="345"/>
      <c r="B34" s="360" t="s">
        <v>938</v>
      </c>
      <c r="C34" s="323" t="s">
        <v>936</v>
      </c>
      <c r="D34" s="388" t="s">
        <v>465</v>
      </c>
      <c r="E34" s="389"/>
      <c r="F34" s="389"/>
      <c r="G34" s="328"/>
      <c r="H34" s="390">
        <v>0.05</v>
      </c>
      <c r="I34" s="328">
        <f ca="1">H34*SUM(U25:U33)</f>
        <v>7856.304000000001</v>
      </c>
      <c r="J34" s="328"/>
      <c r="K34" s="328">
        <f>IFERROR(_xlfn.XLOOKUP(D34,CostTableLookup[Name],CostTableLookup[Gross Cost]),"")</f>
        <v>0</v>
      </c>
      <c r="L34" s="335">
        <v>1</v>
      </c>
      <c r="M34" s="331">
        <f ca="1">IFERROR(L34*I34,"")</f>
        <v>7856.304000000001</v>
      </c>
      <c r="N34" s="342"/>
      <c r="O34" s="331">
        <f ca="1">IFERROR(N34*I34,"")</f>
        <v>0</v>
      </c>
      <c r="P34" s="331">
        <f ca="1">IFERROR(M34-O34,"")</f>
        <v>7856.304000000001</v>
      </c>
      <c r="Q34" s="331">
        <f>IFERROR(N34*K34,"")</f>
        <v>0</v>
      </c>
      <c r="R34" s="343">
        <f ca="1">IFERROR(((U34+O34)-(V34+Q34))/(U34+O34),"")</f>
        <v>1</v>
      </c>
      <c r="S34" s="335">
        <f ca="1">IFERROR(SUM(OFFSET(Y34,0,MATCH(Forecast_New,$Y$3:$WQ$3,0)-1,1,500))*40,"")</f>
        <v>4</v>
      </c>
      <c r="T34" s="336">
        <f ca="1">IFERROR(S34/8,"")</f>
        <v>0.5</v>
      </c>
      <c r="U34" s="339">
        <f ca="1">IFERROR($S34*I34,"")</f>
        <v>31425.216000000004</v>
      </c>
      <c r="V34" s="338">
        <f ca="1">IFERROR($S34*K34,"")</f>
        <v>0</v>
      </c>
      <c r="W34" s="339"/>
      <c r="X34" s="343"/>
      <c r="Y34" s="344"/>
      <c r="Z34" s="344"/>
      <c r="AA34" s="344"/>
      <c r="AB34" s="344"/>
      <c r="AC34" s="344"/>
      <c r="AD34" s="344"/>
      <c r="AE34" s="344"/>
      <c r="AF34" s="344"/>
      <c r="AG34" s="344"/>
      <c r="AH34" s="344"/>
      <c r="AI34" s="344">
        <v>0.1</v>
      </c>
      <c r="AJ34" s="344"/>
      <c r="AK34" s="344"/>
      <c r="AL34" s="344"/>
      <c r="AM34" s="344"/>
      <c r="AN34" s="344"/>
      <c r="AO34" s="344"/>
      <c r="AP34" s="344"/>
      <c r="AQ34" s="344"/>
      <c r="AR34" s="344"/>
      <c r="AS34" s="344"/>
      <c r="AT34" s="344"/>
      <c r="AU34" s="344"/>
      <c r="AV34" s="344"/>
      <c r="AW34" s="344"/>
      <c r="AX34" s="344"/>
      <c r="AY34" s="344"/>
      <c r="AZ34" s="344"/>
      <c r="BA34" s="344"/>
      <c r="BB34" s="344"/>
      <c r="BC34" s="344"/>
      <c r="BD34" s="344"/>
      <c r="BE34" s="344"/>
      <c r="BF34" s="344"/>
      <c r="BG34" s="344"/>
      <c r="BH34" s="344"/>
      <c r="BI34" s="344"/>
      <c r="BJ34" s="344"/>
      <c r="BK34" s="344"/>
      <c r="BL34" s="344"/>
      <c r="BM34" s="344"/>
      <c r="BN34" s="344"/>
      <c r="BO34" s="344"/>
      <c r="BP34" s="344"/>
      <c r="BQ34" s="344"/>
      <c r="BR34" s="344"/>
      <c r="BS34" s="344"/>
      <c r="BT34" s="344"/>
      <c r="BU34" s="344"/>
      <c r="BV34" s="344"/>
      <c r="BW34" s="344"/>
      <c r="BX34" s="344"/>
      <c r="BY34" s="344"/>
      <c r="BZ34" s="344"/>
      <c r="CA34" s="344"/>
      <c r="CB34" s="344"/>
      <c r="CC34" s="344"/>
      <c r="CD34" s="344"/>
      <c r="CE34" s="344"/>
      <c r="CF34" s="344"/>
      <c r="CG34" s="344"/>
      <c r="CH34" s="344"/>
      <c r="CI34" s="344"/>
      <c r="CJ34" s="344"/>
      <c r="CK34" s="344"/>
      <c r="CL34" s="344"/>
      <c r="CM34" s="344"/>
      <c r="CN34" s="344"/>
      <c r="CO34" s="344"/>
      <c r="CP34" s="344"/>
      <c r="CQ34" s="344"/>
      <c r="CR34" s="344"/>
      <c r="CS34" s="344"/>
      <c r="CT34" s="344"/>
      <c r="CU34" s="344"/>
      <c r="CV34" s="344"/>
      <c r="CW34" s="344"/>
      <c r="CX34" s="344"/>
      <c r="CY34" s="344"/>
      <c r="CZ34" s="344"/>
      <c r="DA34" s="344"/>
      <c r="DB34" s="344"/>
      <c r="DC34" s="344"/>
      <c r="DD34" s="344"/>
      <c r="DE34" s="344"/>
      <c r="DF34" s="344"/>
      <c r="DG34" s="344"/>
      <c r="DH34" s="344"/>
      <c r="DI34" s="344"/>
      <c r="DJ34" s="344"/>
      <c r="DK34" s="344"/>
      <c r="DL34" s="344"/>
      <c r="DM34" s="344"/>
      <c r="DN34" s="344"/>
      <c r="DO34" s="344"/>
      <c r="DP34" s="344"/>
      <c r="DQ34" s="344"/>
      <c r="DR34" s="344"/>
      <c r="DS34" s="344"/>
      <c r="DT34" s="344"/>
      <c r="DU34" s="344"/>
      <c r="DV34" s="344"/>
      <c r="DW34" s="344"/>
      <c r="DX34" s="344"/>
      <c r="DY34" s="344"/>
      <c r="DZ34" s="344"/>
      <c r="EA34" s="344"/>
      <c r="EB34" s="344"/>
      <c r="EC34" s="344"/>
      <c r="ED34" s="344"/>
      <c r="EE34" s="344"/>
      <c r="EF34" s="344"/>
      <c r="EG34" s="344"/>
      <c r="EH34" s="344"/>
      <c r="EI34" s="344"/>
      <c r="EJ34" s="344"/>
      <c r="EK34" s="344"/>
      <c r="EL34" s="344"/>
      <c r="EM34" s="344"/>
      <c r="EN34" s="344"/>
      <c r="EO34" s="344"/>
      <c r="EP34" s="344"/>
      <c r="EQ34" s="344"/>
      <c r="ER34" s="344"/>
      <c r="ES34" s="344"/>
      <c r="ET34" s="344"/>
      <c r="EU34" s="344"/>
      <c r="EV34" s="344"/>
      <c r="EW34" s="344"/>
      <c r="EX34" s="344"/>
      <c r="EY34" s="344"/>
      <c r="EZ34" s="344"/>
      <c r="FA34" s="344"/>
      <c r="FB34" s="344"/>
      <c r="FC34" s="344"/>
      <c r="FD34" s="344"/>
      <c r="FE34" s="344"/>
      <c r="FF34" s="344"/>
      <c r="FG34" s="344"/>
      <c r="FH34" s="344"/>
      <c r="FI34" s="344"/>
      <c r="FJ34" s="344"/>
      <c r="FK34" s="344"/>
      <c r="FL34" s="344"/>
      <c r="FM34" s="344"/>
      <c r="FN34" s="344"/>
      <c r="FO34" s="344"/>
      <c r="FP34" s="344"/>
      <c r="FQ34" s="344"/>
      <c r="FR34" s="344"/>
      <c r="FS34" s="344"/>
      <c r="FT34" s="344"/>
      <c r="FU34" s="344"/>
      <c r="FV34" s="344"/>
      <c r="FW34" s="344"/>
      <c r="FX34" s="344"/>
      <c r="FY34" s="344"/>
      <c r="FZ34" s="344"/>
      <c r="GA34" s="344"/>
      <c r="GB34" s="344"/>
      <c r="GC34" s="344"/>
      <c r="GD34" s="344"/>
      <c r="GE34" s="344"/>
      <c r="GF34" s="344"/>
      <c r="GG34" s="344"/>
      <c r="GH34" s="344"/>
      <c r="GI34" s="344"/>
      <c r="GJ34" s="344"/>
      <c r="GK34" s="344"/>
      <c r="GL34" s="344"/>
      <c r="GM34" s="344"/>
      <c r="GN34" s="344"/>
      <c r="GO34" s="344"/>
      <c r="GP34" s="344"/>
      <c r="GQ34" s="344"/>
      <c r="GR34" s="344"/>
      <c r="GS34" s="344"/>
      <c r="GT34" s="344"/>
      <c r="GU34" s="344"/>
      <c r="GV34" s="344"/>
      <c r="GW34" s="344"/>
      <c r="GX34" s="344"/>
      <c r="GY34" s="344"/>
      <c r="GZ34" s="344"/>
      <c r="HA34" s="344"/>
      <c r="HB34" s="344"/>
      <c r="HC34" s="344"/>
      <c r="HD34" s="344"/>
      <c r="HE34" s="344"/>
      <c r="HF34" s="344"/>
      <c r="HG34" s="344"/>
      <c r="HH34" s="344"/>
      <c r="HI34" s="344"/>
      <c r="HJ34" s="344"/>
      <c r="HK34" s="344"/>
      <c r="HL34" s="344"/>
      <c r="HM34" s="344"/>
      <c r="HN34" s="344"/>
      <c r="HO34" s="344"/>
      <c r="HP34" s="344"/>
      <c r="HQ34" s="344"/>
      <c r="HR34" s="344"/>
      <c r="HS34" s="344"/>
      <c r="HT34" s="344"/>
      <c r="HU34" s="344"/>
      <c r="HV34" s="344"/>
      <c r="HW34" s="344"/>
      <c r="HX34" s="344"/>
      <c r="HY34" s="344"/>
      <c r="HZ34" s="344"/>
      <c r="IA34" s="344"/>
      <c r="IB34" s="344"/>
      <c r="IC34" s="344"/>
      <c r="ID34" s="344"/>
      <c r="IE34" s="344"/>
      <c r="IF34" s="344"/>
      <c r="IG34" s="344"/>
      <c r="IH34" s="344"/>
      <c r="II34" s="344"/>
      <c r="IJ34" s="344"/>
      <c r="IK34" s="344"/>
      <c r="IL34" s="344"/>
      <c r="IM34" s="344"/>
      <c r="IN34" s="344"/>
      <c r="IO34" s="344"/>
      <c r="IP34" s="344"/>
      <c r="IQ34" s="344"/>
      <c r="IR34" s="344"/>
      <c r="IS34" s="344"/>
      <c r="IT34" s="344"/>
      <c r="IU34" s="344"/>
      <c r="IV34" s="344"/>
      <c r="IW34" s="344"/>
      <c r="IX34" s="344"/>
      <c r="IY34" s="344"/>
      <c r="IZ34" s="344"/>
      <c r="JA34" s="344"/>
      <c r="JB34" s="344"/>
      <c r="JC34" s="344"/>
      <c r="JD34" s="344"/>
      <c r="JE34" s="344"/>
      <c r="JF34" s="344"/>
      <c r="JG34" s="344"/>
      <c r="JH34" s="344"/>
      <c r="JI34" s="344"/>
      <c r="JJ34" s="344"/>
      <c r="JK34" s="344"/>
      <c r="JL34" s="344"/>
      <c r="JM34" s="344"/>
      <c r="JN34" s="344"/>
    </row>
    <row r="35" spans="1:274" s="345" customFormat="1" ht="20.25" customHeight="1" x14ac:dyDescent="0.25">
      <c r="B35" s="360" t="s">
        <v>938</v>
      </c>
      <c r="C35" s="362" t="s">
        <v>936</v>
      </c>
      <c r="D35" s="345" t="s">
        <v>606</v>
      </c>
      <c r="E35" s="321" t="s">
        <v>752</v>
      </c>
      <c r="F35" s="363" t="s">
        <v>937</v>
      </c>
      <c r="G35" s="364" cm="1">
        <f t="array" aca="1" ref="G35" ca="1">IFERROR(INDEX(Panel_Rates[[1]:[12]],MATCH(Panel_New&amp;Category_New,Panel_Rates[Panel]&amp;Panel_Rates[Category],0),MATCH('Time Plan (Lacy))'!E35,OFFSET(Variable!$AF$2,MATCH(Panel_New&amp;Category_New,Panel_Rates[Panel]&amp;Panel_Rates[Category],0)-1,0,1,12),0))/8,"")</f>
        <v>245</v>
      </c>
      <c r="H35" s="326">
        <v>0.38</v>
      </c>
      <c r="I35" s="365">
        <f t="shared" ref="I35" ca="1" si="89">IFERROR(G35*(1-H35),"")</f>
        <v>151.9</v>
      </c>
      <c r="J35" s="350">
        <f t="shared" ref="J35" ca="1" si="90">IFERROR(I35*8,"")</f>
        <v>1215.2</v>
      </c>
      <c r="K35" s="366">
        <f>IFERROR(_xlfn.XLOOKUP(D35,CostTableLookup[Name],CostTableLookup[Gross Cost]),"")</f>
        <v>161</v>
      </c>
      <c r="L35" s="367">
        <v>220</v>
      </c>
      <c r="M35" s="368">
        <f t="shared" ref="M35" ca="1" si="91">IFERROR(L35*I35,"")</f>
        <v>33418</v>
      </c>
      <c r="N35" s="369"/>
      <c r="O35" s="368">
        <f t="shared" ref="O35" ca="1" si="92">IFERROR(N35*I35,"")</f>
        <v>0</v>
      </c>
      <c r="P35" s="368">
        <f t="shared" ref="P35" ca="1" si="93">IFERROR(M35-O35,"")</f>
        <v>33418</v>
      </c>
      <c r="Q35" s="370">
        <f t="shared" ref="Q35" si="94">IFERROR(N35*K35,"")</f>
        <v>0</v>
      </c>
      <c r="R35" s="371">
        <f t="shared" ref="R35" ca="1" si="95">IFERROR(((U35+O35)-(V35+Q35))/(U35+O35),"")</f>
        <v>-5.9907834101382486E-2</v>
      </c>
      <c r="S35" s="335">
        <f ca="1">IFERROR(SUM(OFFSET(Y35,0,MATCH(Forecast_New,$Y$3:$WQ$3,0)-1,1,500))*40,"")</f>
        <v>80</v>
      </c>
      <c r="T35" s="372">
        <f t="shared" ref="T35" ca="1" si="96">IFERROR(S35/8,"")</f>
        <v>10</v>
      </c>
      <c r="U35" s="373">
        <f t="shared" ref="U35" ca="1" si="97">IFERROR($S35*I35,"")</f>
        <v>12152</v>
      </c>
      <c r="V35" s="358">
        <f t="shared" ref="V35" ca="1" si="98">IFERROR($S35*K35,"")</f>
        <v>12880</v>
      </c>
      <c r="W35" s="374">
        <f t="shared" ref="W35" ca="1" si="99">IFERROR(M35-(O35+U35),"")</f>
        <v>21266</v>
      </c>
      <c r="X35" s="375">
        <f t="shared" ref="X35" ca="1" si="100">IFERROR(W35/M35,"")</f>
        <v>0.63636363636363635</v>
      </c>
      <c r="Y35" s="376"/>
      <c r="Z35" s="376"/>
      <c r="AA35" s="376"/>
      <c r="AB35" s="376"/>
      <c r="AC35" s="376"/>
      <c r="AD35" s="376"/>
      <c r="AE35" s="376"/>
      <c r="AF35" s="376"/>
      <c r="AG35" s="376"/>
      <c r="AH35" s="376">
        <v>1</v>
      </c>
      <c r="AI35" s="376">
        <v>1</v>
      </c>
      <c r="AJ35" s="376"/>
      <c r="AK35" s="376"/>
      <c r="AL35" s="376"/>
      <c r="AM35" s="376"/>
      <c r="AN35" s="376"/>
      <c r="AO35" s="376"/>
      <c r="AP35" s="376"/>
      <c r="AQ35" s="376"/>
      <c r="AR35" s="376"/>
      <c r="AS35" s="376"/>
      <c r="AT35" s="376"/>
      <c r="AU35" s="376"/>
      <c r="AV35" s="376"/>
      <c r="AW35" s="376"/>
      <c r="AX35" s="376"/>
      <c r="AY35" s="376"/>
      <c r="AZ35" s="376"/>
      <c r="BA35" s="376"/>
      <c r="BB35" s="376"/>
      <c r="BC35" s="376"/>
      <c r="BD35" s="376"/>
      <c r="BE35" s="376"/>
      <c r="BF35" s="376"/>
      <c r="BG35" s="376"/>
      <c r="BH35" s="376"/>
      <c r="BI35" s="376"/>
      <c r="BJ35" s="376"/>
      <c r="BK35" s="376"/>
      <c r="BL35" s="376"/>
      <c r="BM35" s="376"/>
      <c r="BN35" s="376"/>
      <c r="BO35" s="376"/>
      <c r="BP35" s="376"/>
      <c r="BQ35" s="376"/>
      <c r="BR35" s="376"/>
      <c r="BS35" s="376"/>
      <c r="BT35" s="376"/>
      <c r="BU35" s="376"/>
      <c r="BV35" s="376"/>
      <c r="BW35" s="376"/>
      <c r="BX35" s="376"/>
      <c r="BY35" s="376"/>
      <c r="BZ35" s="376"/>
      <c r="CA35" s="376"/>
      <c r="CB35" s="376"/>
      <c r="CC35" s="376"/>
      <c r="CD35" s="376"/>
      <c r="CE35" s="376"/>
      <c r="CF35" s="376"/>
      <c r="CG35" s="376"/>
      <c r="CH35" s="376"/>
      <c r="CI35" s="376"/>
      <c r="CJ35" s="376"/>
      <c r="CK35" s="376"/>
      <c r="CL35" s="376"/>
      <c r="CM35" s="376"/>
      <c r="CN35" s="376"/>
      <c r="CO35" s="376"/>
      <c r="CP35" s="376"/>
      <c r="CQ35" s="376"/>
      <c r="CR35" s="376"/>
      <c r="CS35" s="376"/>
      <c r="CT35" s="376"/>
      <c r="CU35" s="376"/>
      <c r="CV35" s="376"/>
      <c r="CW35" s="376"/>
      <c r="CX35" s="376"/>
      <c r="CY35" s="376"/>
      <c r="CZ35" s="376"/>
      <c r="DA35" s="376"/>
      <c r="DB35" s="376"/>
      <c r="DC35" s="376"/>
      <c r="DD35" s="376"/>
      <c r="DE35" s="376"/>
      <c r="DF35" s="376"/>
      <c r="DG35" s="376"/>
      <c r="DH35" s="376"/>
      <c r="DI35" s="376"/>
      <c r="DJ35" s="376"/>
      <c r="DK35" s="376"/>
      <c r="DL35" s="376"/>
      <c r="DM35" s="376"/>
      <c r="DN35" s="376"/>
      <c r="DO35" s="376"/>
      <c r="DP35" s="376"/>
      <c r="DQ35" s="376"/>
      <c r="DR35" s="376"/>
      <c r="DS35" s="376"/>
      <c r="DT35" s="376"/>
      <c r="DU35" s="376"/>
      <c r="DV35" s="376"/>
      <c r="DW35" s="376"/>
      <c r="DX35" s="376"/>
      <c r="DY35" s="376"/>
      <c r="DZ35" s="376"/>
      <c r="EA35" s="376"/>
      <c r="EB35" s="376"/>
      <c r="EC35" s="376"/>
      <c r="ED35" s="376"/>
      <c r="EE35" s="376"/>
      <c r="EF35" s="376"/>
      <c r="EG35" s="376"/>
      <c r="EH35" s="376"/>
      <c r="EI35" s="376"/>
      <c r="EJ35" s="376"/>
      <c r="EK35" s="376"/>
      <c r="EL35" s="376"/>
      <c r="EM35" s="376"/>
      <c r="EN35" s="376"/>
      <c r="EO35" s="376"/>
      <c r="EP35" s="376"/>
      <c r="EQ35" s="376"/>
      <c r="ER35" s="376"/>
      <c r="ES35" s="376"/>
      <c r="ET35" s="376"/>
      <c r="EU35" s="376"/>
      <c r="EV35" s="376"/>
      <c r="EW35" s="376"/>
      <c r="EX35" s="376"/>
      <c r="EY35" s="376"/>
      <c r="EZ35" s="376"/>
      <c r="FA35" s="376"/>
      <c r="FB35" s="376"/>
      <c r="FC35" s="376"/>
      <c r="FD35" s="376"/>
      <c r="FE35" s="376"/>
      <c r="FF35" s="376"/>
      <c r="FG35" s="376"/>
      <c r="FH35" s="376"/>
      <c r="FI35" s="376"/>
      <c r="FJ35" s="376"/>
      <c r="FK35" s="376"/>
      <c r="FL35" s="376"/>
      <c r="FM35" s="376"/>
      <c r="FN35" s="376"/>
      <c r="FO35" s="376"/>
      <c r="FP35" s="376"/>
      <c r="FQ35" s="376"/>
      <c r="FR35" s="376"/>
      <c r="FS35" s="376"/>
      <c r="FT35" s="376"/>
      <c r="FU35" s="376"/>
      <c r="FV35" s="376"/>
      <c r="FW35" s="376"/>
      <c r="FX35" s="376"/>
      <c r="FY35" s="376"/>
      <c r="FZ35" s="376"/>
      <c r="GA35" s="376"/>
      <c r="GB35" s="376"/>
      <c r="GC35" s="376"/>
      <c r="GD35" s="376"/>
      <c r="GE35" s="376"/>
      <c r="GF35" s="376"/>
      <c r="GG35" s="376"/>
      <c r="GH35" s="376"/>
      <c r="GI35" s="376"/>
      <c r="GJ35" s="376"/>
      <c r="GK35" s="376"/>
      <c r="GL35" s="376"/>
      <c r="GM35" s="376"/>
      <c r="GN35" s="376"/>
      <c r="GO35" s="376"/>
      <c r="GP35" s="376"/>
      <c r="GQ35" s="376"/>
      <c r="GR35" s="376"/>
      <c r="GS35" s="376"/>
      <c r="GT35" s="376"/>
      <c r="GU35" s="376"/>
      <c r="GV35" s="376"/>
      <c r="GW35" s="376"/>
      <c r="GX35" s="376"/>
      <c r="GY35" s="376"/>
      <c r="GZ35" s="376"/>
      <c r="HA35" s="376"/>
      <c r="HB35" s="376"/>
      <c r="HC35" s="376"/>
      <c r="HD35" s="376"/>
      <c r="HE35" s="376"/>
      <c r="HF35" s="376"/>
      <c r="HG35" s="376"/>
      <c r="HH35" s="376"/>
      <c r="HI35" s="376"/>
      <c r="HJ35" s="376"/>
      <c r="HK35" s="376"/>
      <c r="HL35" s="376"/>
      <c r="HM35" s="376"/>
      <c r="HN35" s="376"/>
      <c r="HO35" s="376"/>
      <c r="HP35" s="376"/>
      <c r="HQ35" s="376"/>
      <c r="HR35" s="376"/>
      <c r="HS35" s="376"/>
      <c r="HT35" s="376"/>
      <c r="HU35" s="376"/>
      <c r="HV35" s="376"/>
      <c r="HW35" s="376"/>
      <c r="HX35" s="376"/>
      <c r="HY35" s="376"/>
      <c r="HZ35" s="376"/>
      <c r="IA35" s="376"/>
      <c r="IB35" s="376"/>
      <c r="IC35" s="376"/>
      <c r="ID35" s="376"/>
      <c r="IE35" s="376"/>
      <c r="IF35" s="376"/>
      <c r="IG35" s="376"/>
      <c r="IH35" s="376"/>
      <c r="II35" s="376"/>
      <c r="IJ35" s="376"/>
      <c r="IK35" s="376"/>
      <c r="IL35" s="376"/>
      <c r="IM35" s="376"/>
      <c r="IN35" s="376"/>
      <c r="IO35" s="376"/>
      <c r="IP35" s="376"/>
      <c r="IQ35" s="376"/>
      <c r="IR35" s="376"/>
      <c r="IS35" s="376"/>
      <c r="IT35" s="376"/>
      <c r="IU35" s="376"/>
      <c r="IV35" s="376"/>
      <c r="IW35" s="376"/>
      <c r="IX35" s="376"/>
      <c r="IY35" s="376"/>
      <c r="IZ35" s="376"/>
      <c r="JA35" s="376"/>
      <c r="JB35" s="376"/>
      <c r="JC35" s="376"/>
      <c r="JD35" s="376"/>
      <c r="JE35" s="376"/>
      <c r="JF35" s="376"/>
      <c r="JG35" s="376"/>
      <c r="JH35" s="376"/>
      <c r="JI35" s="376"/>
      <c r="JJ35" s="376"/>
      <c r="JK35" s="376"/>
      <c r="JL35" s="376"/>
      <c r="JM35" s="376"/>
      <c r="JN35" s="376"/>
    </row>
    <row r="36" spans="1:274" ht="19.5" customHeight="1" x14ac:dyDescent="0.25">
      <c r="B36" s="387" t="s">
        <v>939</v>
      </c>
      <c r="C36" s="323" t="s">
        <v>935</v>
      </c>
      <c r="D36" s="321" t="s">
        <v>306</v>
      </c>
      <c r="E36" s="321" t="s">
        <v>753</v>
      </c>
      <c r="F36" s="324" t="s">
        <v>928</v>
      </c>
      <c r="G36" s="325" cm="1">
        <f t="array" aca="1" ref="G36" ca="1">IFERROR(INDEX(Panel_Rates[[1]:[12]],MATCH(Panel_New&amp;Category_New,Panel_Rates[Panel]&amp;Panel_Rates[Category],0),MATCH('Time Plan (Lacy))'!E36,OFFSET(Variable!$AF$2,MATCH(Panel_New&amp;Category_New,Panel_Rates[Panel]&amp;Panel_Rates[Category],0)-1,0,1,12),0))/8,"")</f>
        <v>305</v>
      </c>
      <c r="H36" s="326">
        <v>0.32</v>
      </c>
      <c r="I36" s="327">
        <f ca="1">IFERROR(G36*(1-H36),"")</f>
        <v>207.39999999999998</v>
      </c>
      <c r="J36" s="328">
        <f ca="1">IFERROR(I36*8,"")</f>
        <v>1659.1999999999998</v>
      </c>
      <c r="K36" s="329">
        <f>IFERROR(_xlfn.XLOOKUP(D36,CostTableLookup[Name],CostTableLookup[Gross Cost]),"")</f>
        <v>245</v>
      </c>
      <c r="L36" s="330">
        <v>279.99999999999994</v>
      </c>
      <c r="M36" s="331">
        <f ca="1">IFERROR(L36*I36,"")</f>
        <v>58071.999999999985</v>
      </c>
      <c r="N36" s="332"/>
      <c r="O36" s="331">
        <f ca="1">IFERROR(N36*I36,"")</f>
        <v>0</v>
      </c>
      <c r="P36" s="331">
        <f ca="1">IFERROR(M36-O36,"")</f>
        <v>58071.999999999985</v>
      </c>
      <c r="Q36" s="333">
        <f>IFERROR(N36*K36,"")</f>
        <v>0</v>
      </c>
      <c r="R36" s="334">
        <f ca="1">IFERROR(((U36+O36)-(V36+Q36))/(U36+O36),"")</f>
        <v>-0.18129218900675023</v>
      </c>
      <c r="S36" s="335">
        <f ca="1">IFERROR(SUM(OFFSET(Y36,0,MATCH(Forecast_New,$Y$3:$WQ$3,0)-1,1,500))*40,"")</f>
        <v>160</v>
      </c>
      <c r="T36" s="336">
        <f ca="1">IFERROR(S36/8,"")</f>
        <v>20</v>
      </c>
      <c r="U36" s="337">
        <f ca="1">IFERROR($S36*I36,"")</f>
        <v>33184</v>
      </c>
      <c r="V36" s="338">
        <f ca="1">IFERROR($S36*K36,"")</f>
        <v>39200</v>
      </c>
      <c r="W36" s="339"/>
      <c r="X36" s="343"/>
      <c r="Y36" s="344"/>
      <c r="Z36" s="344"/>
      <c r="AA36" s="344"/>
      <c r="AB36" s="344"/>
      <c r="AC36" s="344"/>
      <c r="AD36" s="344"/>
      <c r="AE36" s="344"/>
      <c r="AF36" s="344"/>
      <c r="AG36" s="344"/>
      <c r="AH36" s="344"/>
      <c r="AI36" s="344"/>
      <c r="AJ36" s="344">
        <v>1</v>
      </c>
      <c r="AK36" s="344">
        <v>1</v>
      </c>
      <c r="AL36" s="344">
        <v>1</v>
      </c>
      <c r="AM36" s="344">
        <v>1</v>
      </c>
      <c r="AN36" s="344"/>
      <c r="AO36" s="344"/>
      <c r="AP36" s="344"/>
      <c r="AQ36" s="344"/>
      <c r="AR36" s="344"/>
      <c r="AS36" s="344"/>
      <c r="AT36" s="344"/>
      <c r="AU36" s="344"/>
      <c r="AV36" s="344"/>
      <c r="AW36" s="344"/>
      <c r="AX36" s="344"/>
      <c r="AY36" s="344"/>
      <c r="AZ36" s="344"/>
      <c r="BA36" s="344"/>
      <c r="BB36" s="344"/>
      <c r="BC36" s="344"/>
      <c r="BD36" s="344"/>
      <c r="BE36" s="344"/>
      <c r="BF36" s="344"/>
      <c r="BG36" s="344"/>
      <c r="BH36" s="344"/>
      <c r="BI36" s="344"/>
      <c r="BJ36" s="344"/>
      <c r="BK36" s="344"/>
      <c r="BL36" s="344"/>
      <c r="BM36" s="344"/>
      <c r="BN36" s="344"/>
      <c r="BO36" s="344"/>
      <c r="BP36" s="344"/>
      <c r="BQ36" s="344"/>
      <c r="BR36" s="344"/>
      <c r="BS36" s="344"/>
      <c r="BT36" s="344"/>
      <c r="BU36" s="344"/>
      <c r="BV36" s="344"/>
      <c r="BW36" s="344"/>
      <c r="BX36" s="344"/>
      <c r="BY36" s="344"/>
      <c r="BZ36" s="344"/>
      <c r="CA36" s="344"/>
      <c r="CB36" s="344"/>
      <c r="CC36" s="344"/>
      <c r="CD36" s="344"/>
      <c r="CE36" s="344"/>
      <c r="CF36" s="344"/>
      <c r="CG36" s="344"/>
      <c r="CH36" s="344"/>
      <c r="CI36" s="344"/>
      <c r="CJ36" s="344"/>
      <c r="CK36" s="344"/>
      <c r="CL36" s="344"/>
      <c r="CM36" s="344"/>
      <c r="CN36" s="344"/>
      <c r="CO36" s="344"/>
      <c r="CP36" s="344"/>
      <c r="CQ36" s="344"/>
      <c r="CR36" s="344"/>
      <c r="CS36" s="344"/>
      <c r="CT36" s="344"/>
      <c r="CU36" s="344"/>
      <c r="CV36" s="344"/>
      <c r="CW36" s="344"/>
      <c r="CX36" s="344"/>
      <c r="CY36" s="344"/>
      <c r="CZ36" s="344"/>
      <c r="DA36" s="344"/>
      <c r="DB36" s="344"/>
      <c r="DC36" s="344"/>
      <c r="DD36" s="344"/>
      <c r="DE36" s="344"/>
      <c r="DF36" s="344"/>
      <c r="DG36" s="344"/>
      <c r="DH36" s="344"/>
      <c r="DI36" s="344"/>
      <c r="DJ36" s="344"/>
      <c r="DK36" s="344"/>
      <c r="DL36" s="344"/>
      <c r="DM36" s="344"/>
      <c r="DN36" s="344"/>
      <c r="DO36" s="344"/>
      <c r="DP36" s="344"/>
      <c r="DQ36" s="344"/>
      <c r="DR36" s="344"/>
      <c r="DS36" s="344"/>
      <c r="DT36" s="344"/>
      <c r="DU36" s="344"/>
      <c r="DV36" s="344"/>
      <c r="DW36" s="344"/>
      <c r="DX36" s="344"/>
      <c r="DY36" s="344"/>
      <c r="DZ36" s="344"/>
      <c r="EA36" s="344"/>
      <c r="EB36" s="344"/>
      <c r="EC36" s="344"/>
      <c r="ED36" s="344"/>
      <c r="EE36" s="344"/>
      <c r="EF36" s="344"/>
      <c r="EG36" s="344"/>
      <c r="EH36" s="344"/>
      <c r="EI36" s="344"/>
      <c r="EJ36" s="344"/>
      <c r="EK36" s="344"/>
      <c r="EL36" s="344"/>
      <c r="EM36" s="344"/>
      <c r="EN36" s="344"/>
      <c r="EO36" s="344"/>
      <c r="EP36" s="344"/>
      <c r="EQ36" s="344"/>
      <c r="ER36" s="344"/>
      <c r="ES36" s="344"/>
      <c r="ET36" s="344"/>
      <c r="EU36" s="344"/>
      <c r="EV36" s="344"/>
      <c r="EW36" s="344"/>
      <c r="EX36" s="344"/>
      <c r="EY36" s="344"/>
      <c r="EZ36" s="344"/>
      <c r="FA36" s="344"/>
      <c r="FB36" s="344"/>
      <c r="FC36" s="344"/>
      <c r="FD36" s="344"/>
      <c r="FE36" s="344"/>
      <c r="FF36" s="344"/>
      <c r="FG36" s="344"/>
      <c r="FH36" s="344"/>
      <c r="FI36" s="344"/>
      <c r="FJ36" s="344"/>
      <c r="FK36" s="344"/>
      <c r="FL36" s="344"/>
      <c r="FM36" s="344"/>
      <c r="FN36" s="344"/>
      <c r="FO36" s="344"/>
      <c r="FP36" s="344"/>
      <c r="FQ36" s="344"/>
      <c r="FR36" s="344"/>
      <c r="FS36" s="344"/>
      <c r="FT36" s="344"/>
      <c r="FU36" s="344"/>
      <c r="FV36" s="344"/>
      <c r="FW36" s="344"/>
      <c r="FX36" s="344"/>
      <c r="FY36" s="344"/>
      <c r="FZ36" s="344"/>
      <c r="GA36" s="344"/>
      <c r="GB36" s="344"/>
      <c r="GC36" s="344"/>
      <c r="GD36" s="344"/>
      <c r="GE36" s="344"/>
      <c r="GF36" s="344"/>
      <c r="GG36" s="344"/>
      <c r="GH36" s="344"/>
      <c r="GI36" s="344"/>
      <c r="GJ36" s="344"/>
      <c r="GK36" s="344"/>
      <c r="GL36" s="344"/>
      <c r="GM36" s="344"/>
      <c r="GN36" s="344"/>
      <c r="GO36" s="344"/>
      <c r="GP36" s="344"/>
      <c r="GQ36" s="344"/>
      <c r="GR36" s="344"/>
      <c r="GS36" s="344"/>
      <c r="GT36" s="344"/>
      <c r="GU36" s="344"/>
      <c r="GV36" s="344"/>
      <c r="GW36" s="344"/>
      <c r="GX36" s="344"/>
      <c r="GY36" s="344"/>
      <c r="GZ36" s="344"/>
      <c r="HA36" s="344"/>
      <c r="HB36" s="344"/>
      <c r="HC36" s="344"/>
      <c r="HD36" s="344"/>
      <c r="HE36" s="344"/>
      <c r="HF36" s="344"/>
      <c r="HG36" s="344"/>
      <c r="HH36" s="344"/>
      <c r="HI36" s="344"/>
      <c r="HJ36" s="344"/>
      <c r="HK36" s="344"/>
      <c r="HL36" s="344"/>
      <c r="HM36" s="344"/>
      <c r="HN36" s="344"/>
      <c r="HO36" s="344"/>
      <c r="HP36" s="344"/>
      <c r="HQ36" s="344"/>
      <c r="HR36" s="344"/>
      <c r="HS36" s="344"/>
      <c r="HT36" s="344"/>
      <c r="HU36" s="344"/>
      <c r="HV36" s="344"/>
      <c r="HW36" s="344"/>
      <c r="HX36" s="344"/>
      <c r="HY36" s="344"/>
      <c r="HZ36" s="344"/>
      <c r="IA36" s="344"/>
      <c r="IB36" s="344"/>
      <c r="IC36" s="344"/>
      <c r="ID36" s="344"/>
      <c r="IE36" s="344"/>
      <c r="IF36" s="344"/>
      <c r="IG36" s="344"/>
      <c r="IH36" s="344"/>
      <c r="II36" s="344"/>
      <c r="IJ36" s="344"/>
      <c r="IK36" s="344"/>
      <c r="IL36" s="344"/>
      <c r="IM36" s="344"/>
      <c r="IN36" s="344"/>
      <c r="IO36" s="344"/>
      <c r="IP36" s="344"/>
      <c r="IQ36" s="344"/>
      <c r="IR36" s="344"/>
      <c r="IS36" s="344"/>
      <c r="IT36" s="344"/>
      <c r="IU36" s="344"/>
      <c r="IV36" s="344"/>
      <c r="IW36" s="344"/>
      <c r="IX36" s="344"/>
      <c r="IY36" s="344"/>
      <c r="IZ36" s="344"/>
      <c r="JA36" s="344"/>
      <c r="JB36" s="344"/>
      <c r="JC36" s="344"/>
      <c r="JD36" s="344"/>
      <c r="JE36" s="344"/>
      <c r="JF36" s="344"/>
      <c r="JG36" s="344"/>
      <c r="JH36" s="344"/>
      <c r="JI36" s="344"/>
      <c r="JJ36" s="344"/>
      <c r="JK36" s="344"/>
      <c r="JL36" s="344"/>
      <c r="JM36" s="344"/>
      <c r="JN36" s="344"/>
    </row>
    <row r="37" spans="1:274" ht="19.5" customHeight="1" x14ac:dyDescent="0.25">
      <c r="B37" s="360" t="s">
        <v>939</v>
      </c>
      <c r="C37" s="323" t="s">
        <v>935</v>
      </c>
      <c r="D37" s="321" t="s">
        <v>327</v>
      </c>
      <c r="E37" s="321" t="s">
        <v>752</v>
      </c>
      <c r="F37" s="324" t="s">
        <v>155</v>
      </c>
      <c r="G37" s="325" cm="1">
        <f t="array" aca="1" ref="G37" ca="1">IFERROR(INDEX(Panel_Rates[[1]:[12]],MATCH(Panel_New&amp;Category_New,Panel_Rates[Panel]&amp;Panel_Rates[Category],0),MATCH('Time Plan (Lacy))'!E37,OFFSET(Variable!$AF$2,MATCH(Panel_New&amp;Category_New,Panel_Rates[Panel]&amp;Panel_Rates[Category],0)-1,0,1,12),0))/8,"")</f>
        <v>245</v>
      </c>
      <c r="H37" s="326">
        <v>0.38</v>
      </c>
      <c r="I37" s="327">
        <f ca="1">IFERROR(G37*(1-H37),"")</f>
        <v>151.9</v>
      </c>
      <c r="J37" s="328">
        <f ca="1">IFERROR(I37*8,"")</f>
        <v>1215.2</v>
      </c>
      <c r="K37" s="329">
        <f>IFERROR(_xlfn.XLOOKUP(D37,CostTableLookup[Name],CostTableLookup[Gross Cost]),"")</f>
        <v>146</v>
      </c>
      <c r="L37" s="330">
        <v>270</v>
      </c>
      <c r="M37" s="331">
        <f ca="1">IFERROR(L37*I37,"")</f>
        <v>41013</v>
      </c>
      <c r="N37" s="332"/>
      <c r="O37" s="331">
        <f ca="1">IFERROR(N37*I37,"")</f>
        <v>0</v>
      </c>
      <c r="P37" s="331">
        <f ca="1">IFERROR(M37-O37,"")</f>
        <v>41013</v>
      </c>
      <c r="Q37" s="333">
        <f>IFERROR(N37*K37,"")</f>
        <v>0</v>
      </c>
      <c r="R37" s="334">
        <f ca="1">IFERROR(((U37+O37)-(V37+Q37))/(U37+O37),"")</f>
        <v>3.8841342988808425E-2</v>
      </c>
      <c r="S37" s="335">
        <f ca="1">IFERROR(SUM(OFFSET(Y37,0,MATCH(Forecast_New,$Y$3:$WQ$3,0)-1,1,500))*40,"")</f>
        <v>40</v>
      </c>
      <c r="T37" s="336">
        <f ca="1">IFERROR(S37/8,"")</f>
        <v>5</v>
      </c>
      <c r="U37" s="337">
        <f ca="1">IFERROR($S37*I37,"")</f>
        <v>6076</v>
      </c>
      <c r="V37" s="338">
        <f ca="1">IFERROR($S37*K37,"")</f>
        <v>5840</v>
      </c>
      <c r="W37" s="339"/>
      <c r="X37" s="343"/>
      <c r="Y37" s="344"/>
      <c r="Z37" s="344"/>
      <c r="AA37" s="344"/>
      <c r="AB37" s="344"/>
      <c r="AC37" s="344"/>
      <c r="AD37" s="344"/>
      <c r="AE37" s="344"/>
      <c r="AF37" s="344"/>
      <c r="AG37" s="344"/>
      <c r="AH37" s="344"/>
      <c r="AI37" s="344"/>
      <c r="AJ37" s="341">
        <v>0.25</v>
      </c>
      <c r="AK37" s="341">
        <v>0.25</v>
      </c>
      <c r="AL37" s="341">
        <v>0.25</v>
      </c>
      <c r="AM37" s="341">
        <v>0.25</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1:274" ht="19.5" customHeight="1" x14ac:dyDescent="0.25">
      <c r="B38" s="360" t="s">
        <v>939</v>
      </c>
      <c r="C38" s="323" t="s">
        <v>936</v>
      </c>
      <c r="D38" s="321" t="s">
        <v>317</v>
      </c>
      <c r="E38" s="321" t="s">
        <v>754</v>
      </c>
      <c r="F38" s="324" t="s">
        <v>929</v>
      </c>
      <c r="G38" s="325" cm="1">
        <f t="array" aca="1" ref="G38" ca="1">IFERROR(INDEX(Panel_Rates[[1]:[12]],MATCH(Panel_New&amp;Category_New,Panel_Rates[Panel]&amp;Panel_Rates[Category],0),MATCH('Time Plan (Lacy))'!E38,OFFSET(Variable!$AF$2,MATCH(Panel_New&amp;Category_New,Panel_Rates[Panel]&amp;Panel_Rates[Category],0)-1,0,1,12),0))/8,"")</f>
        <v>395</v>
      </c>
      <c r="H38" s="326">
        <v>0.4</v>
      </c>
      <c r="I38" s="327">
        <f t="shared" ref="I38:I44" ca="1" si="101">IFERROR(G38*(1-H38),"")</f>
        <v>237</v>
      </c>
      <c r="J38" s="328">
        <f ca="1">IFERROR(I38*8,"")</f>
        <v>1896</v>
      </c>
      <c r="K38" s="329">
        <f>IFERROR(_xlfn.XLOOKUP(D38,CostTableLookup[Name],CostTableLookup[Gross Cost]),"")</f>
        <v>198</v>
      </c>
      <c r="L38" s="330">
        <v>140</v>
      </c>
      <c r="M38" s="331">
        <f t="shared" ref="M38:M44" ca="1" si="102">IFERROR(L38*I38,"")</f>
        <v>33180</v>
      </c>
      <c r="N38" s="332"/>
      <c r="O38" s="331">
        <f t="shared" ref="O38:O44" ca="1" si="103">IFERROR(N38*I38,"")</f>
        <v>0</v>
      </c>
      <c r="P38" s="331">
        <f t="shared" ref="P38:P44" ca="1" si="104">IFERROR(M38-O38,"")</f>
        <v>33180</v>
      </c>
      <c r="Q38" s="333">
        <f t="shared" ref="Q38:Q44" si="105">IFERROR(N38*K38,"")</f>
        <v>0</v>
      </c>
      <c r="R38" s="334">
        <f t="shared" ref="R38:R44" ca="1" si="106">IFERROR(((U38+O38)-(V38+Q38))/(U38+O38),"")</f>
        <v>0.16455696202531644</v>
      </c>
      <c r="S38" s="335">
        <f t="shared" ref="S38" ca="1" si="107">IFERROR(SUM(OFFSET(Y38,0,MATCH(Forecast_New,$Y$3:$WQ$3,0)-1,1,500))*40,"")</f>
        <v>40</v>
      </c>
      <c r="T38" s="336">
        <f t="shared" ref="T38:T44" ca="1" si="108">IFERROR(S38/8,"")</f>
        <v>5</v>
      </c>
      <c r="U38" s="337">
        <f t="shared" ref="U38:U44" ca="1" si="109">IFERROR($S38*I38,"")</f>
        <v>9480</v>
      </c>
      <c r="V38" s="338">
        <f t="shared" ref="V38:V44" ca="1" si="110">IFERROR($S38*K38,"")</f>
        <v>7920</v>
      </c>
      <c r="W38" s="339">
        <f t="shared" ref="W38:W44" ca="1" si="111">IFERROR(M38-(O38+U38),"")</f>
        <v>23700</v>
      </c>
      <c r="X38" s="340">
        <f t="shared" ref="X38:X44" ca="1" si="112">IFERROR(W38/M38,"")</f>
        <v>0.7142857142857143</v>
      </c>
      <c r="Y38" s="341"/>
      <c r="Z38" s="341"/>
      <c r="AA38" s="341"/>
      <c r="AB38" s="341"/>
      <c r="AC38" s="341"/>
      <c r="AD38" s="341"/>
      <c r="AE38" s="341"/>
      <c r="AF38" s="341"/>
      <c r="AG38" s="341"/>
      <c r="AH38" s="341"/>
      <c r="AI38" s="341"/>
      <c r="AJ38" s="341">
        <v>0.25</v>
      </c>
      <c r="AK38" s="341">
        <v>0.25</v>
      </c>
      <c r="AL38" s="341">
        <v>0.25</v>
      </c>
      <c r="AM38" s="341">
        <v>0.25</v>
      </c>
      <c r="AN38" s="341"/>
      <c r="AO38" s="341"/>
      <c r="AP38" s="341"/>
      <c r="AQ38" s="341"/>
      <c r="AR38" s="341"/>
      <c r="AS38" s="341"/>
      <c r="AT38" s="341"/>
      <c r="AU38" s="341"/>
      <c r="AV38" s="341"/>
      <c r="AW38" s="341"/>
      <c r="AX38" s="341"/>
      <c r="AY38" s="341"/>
      <c r="AZ38" s="341"/>
      <c r="BA38" s="341"/>
      <c r="BB38" s="341"/>
      <c r="BC38" s="341"/>
      <c r="BD38" s="341"/>
      <c r="BE38" s="341"/>
      <c r="BF38" s="341"/>
      <c r="BG38" s="341"/>
      <c r="BH38" s="341"/>
      <c r="BI38" s="341"/>
      <c r="BJ38" s="341"/>
      <c r="BK38" s="341"/>
      <c r="BL38" s="341"/>
      <c r="BM38" s="341"/>
      <c r="BN38" s="341"/>
      <c r="BO38" s="341"/>
      <c r="BP38" s="341"/>
      <c r="BQ38" s="341"/>
      <c r="BR38" s="341"/>
      <c r="BS38" s="341"/>
      <c r="BT38" s="341"/>
      <c r="BU38" s="341"/>
      <c r="BV38" s="341"/>
      <c r="BW38" s="341"/>
      <c r="BX38" s="341"/>
      <c r="BY38" s="341"/>
      <c r="BZ38" s="341"/>
      <c r="CA38" s="341"/>
      <c r="CB38" s="341"/>
      <c r="CC38" s="341"/>
      <c r="CD38" s="341"/>
      <c r="CE38" s="341"/>
      <c r="CF38" s="341"/>
      <c r="CG38" s="341"/>
      <c r="CH38" s="341"/>
      <c r="CI38" s="341"/>
      <c r="CJ38" s="341"/>
      <c r="CK38" s="341"/>
      <c r="CL38" s="341"/>
      <c r="CM38" s="341"/>
      <c r="CN38" s="341"/>
      <c r="CO38" s="341"/>
      <c r="CP38" s="341"/>
      <c r="CQ38" s="341"/>
      <c r="CR38" s="341"/>
      <c r="CS38" s="341"/>
      <c r="CT38" s="341"/>
      <c r="CU38" s="341"/>
      <c r="CV38" s="341"/>
      <c r="CW38" s="341"/>
      <c r="CX38" s="341"/>
      <c r="CY38" s="341"/>
      <c r="CZ38" s="341"/>
      <c r="DA38" s="341"/>
      <c r="DB38" s="341"/>
      <c r="DC38" s="341"/>
      <c r="DD38" s="341"/>
      <c r="DE38" s="341"/>
      <c r="DF38" s="341"/>
      <c r="DG38" s="341"/>
      <c r="DH38" s="341"/>
      <c r="DI38" s="341"/>
      <c r="DJ38" s="341"/>
      <c r="DK38" s="341"/>
      <c r="DL38" s="341"/>
      <c r="DM38" s="341"/>
      <c r="DN38" s="341"/>
      <c r="DO38" s="341"/>
      <c r="DP38" s="341"/>
      <c r="DQ38" s="341"/>
      <c r="DR38" s="341"/>
      <c r="DS38" s="341"/>
      <c r="DT38" s="341"/>
      <c r="DU38" s="341"/>
      <c r="DV38" s="341"/>
      <c r="DW38" s="341"/>
      <c r="DX38" s="341"/>
      <c r="DY38" s="341"/>
      <c r="DZ38" s="341"/>
      <c r="EA38" s="341"/>
      <c r="EB38" s="341"/>
      <c r="EC38" s="341"/>
      <c r="ED38" s="341"/>
      <c r="EE38" s="341"/>
      <c r="EF38" s="341"/>
      <c r="EG38" s="341"/>
      <c r="EH38" s="341"/>
      <c r="EI38" s="341"/>
      <c r="EJ38" s="341"/>
      <c r="EK38" s="341"/>
      <c r="EL38" s="341"/>
      <c r="EM38" s="341"/>
      <c r="EN38" s="341"/>
      <c r="EO38" s="341"/>
      <c r="EP38" s="341"/>
      <c r="EQ38" s="341"/>
      <c r="ER38" s="341"/>
      <c r="ES38" s="341"/>
      <c r="ET38" s="341"/>
      <c r="EU38" s="341"/>
      <c r="EV38" s="341"/>
      <c r="EW38" s="341"/>
      <c r="EX38" s="341"/>
      <c r="EY38" s="341"/>
      <c r="EZ38" s="341"/>
      <c r="FA38" s="341"/>
      <c r="FB38" s="341"/>
      <c r="FC38" s="341"/>
      <c r="FD38" s="341"/>
      <c r="FE38" s="341"/>
      <c r="FF38" s="341"/>
      <c r="FG38" s="341"/>
      <c r="FH38" s="341"/>
      <c r="FI38" s="341"/>
      <c r="FJ38" s="341"/>
      <c r="FK38" s="341"/>
      <c r="FL38" s="341"/>
      <c r="FM38" s="341"/>
      <c r="FN38" s="341"/>
      <c r="FO38" s="341"/>
      <c r="FP38" s="341"/>
      <c r="FQ38" s="341"/>
      <c r="FR38" s="341"/>
      <c r="FS38" s="341"/>
      <c r="FT38" s="341"/>
      <c r="FU38" s="341"/>
      <c r="FV38" s="341"/>
      <c r="FW38" s="341"/>
      <c r="FX38" s="341"/>
      <c r="FY38" s="341"/>
      <c r="FZ38" s="341"/>
      <c r="GA38" s="341"/>
      <c r="GB38" s="341"/>
      <c r="GC38" s="341"/>
      <c r="GD38" s="341"/>
      <c r="GE38" s="341"/>
      <c r="GF38" s="341"/>
      <c r="GG38" s="341"/>
      <c r="GH38" s="341"/>
      <c r="GI38" s="341"/>
      <c r="GJ38" s="341"/>
      <c r="GK38" s="341"/>
      <c r="GL38" s="341"/>
      <c r="GM38" s="341"/>
      <c r="GN38" s="341"/>
      <c r="GO38" s="341"/>
      <c r="GP38" s="341"/>
      <c r="GQ38" s="341"/>
      <c r="GR38" s="341"/>
      <c r="GS38" s="341"/>
      <c r="GT38" s="341"/>
      <c r="GU38" s="341"/>
      <c r="GV38" s="341"/>
      <c r="GW38" s="341"/>
      <c r="GX38" s="341"/>
      <c r="GY38" s="341"/>
      <c r="GZ38" s="341"/>
      <c r="HA38" s="341"/>
      <c r="HB38" s="341"/>
      <c r="HC38" s="341"/>
      <c r="HD38" s="341"/>
      <c r="HE38" s="341"/>
      <c r="HF38" s="341"/>
      <c r="HG38" s="341"/>
      <c r="HH38" s="341"/>
      <c r="HI38" s="341"/>
      <c r="HJ38" s="341"/>
      <c r="HK38" s="341"/>
      <c r="HL38" s="341"/>
      <c r="HM38" s="341"/>
      <c r="HN38" s="341"/>
      <c r="HO38" s="341"/>
      <c r="HP38" s="341"/>
      <c r="HQ38" s="341"/>
      <c r="HR38" s="341"/>
      <c r="HS38" s="341"/>
      <c r="HT38" s="341"/>
      <c r="HU38" s="341"/>
      <c r="HV38" s="341"/>
      <c r="HW38" s="341"/>
      <c r="HX38" s="341"/>
      <c r="HY38" s="341"/>
      <c r="HZ38" s="341"/>
      <c r="IA38" s="341"/>
      <c r="IB38" s="341"/>
      <c r="IC38" s="341"/>
      <c r="ID38" s="341"/>
      <c r="IE38" s="341"/>
      <c r="IF38" s="341"/>
      <c r="IG38" s="341"/>
      <c r="IH38" s="341"/>
      <c r="II38" s="341"/>
      <c r="IJ38" s="341"/>
      <c r="IK38" s="341"/>
      <c r="IL38" s="341"/>
      <c r="IM38" s="341"/>
      <c r="IN38" s="341"/>
      <c r="IO38" s="341"/>
      <c r="IP38" s="341"/>
      <c r="IQ38" s="341"/>
      <c r="IR38" s="341"/>
      <c r="IS38" s="341"/>
      <c r="IT38" s="341"/>
      <c r="IU38" s="341"/>
      <c r="IV38" s="341"/>
      <c r="IW38" s="341"/>
      <c r="IX38" s="341"/>
      <c r="IY38" s="341"/>
      <c r="IZ38" s="341"/>
      <c r="JA38" s="341"/>
      <c r="JB38" s="341"/>
      <c r="JC38" s="341"/>
      <c r="JD38" s="341"/>
      <c r="JE38" s="341"/>
      <c r="JF38" s="341"/>
      <c r="JG38" s="341"/>
      <c r="JH38" s="341"/>
      <c r="JI38" s="341"/>
      <c r="JJ38" s="341"/>
      <c r="JK38" s="341"/>
      <c r="JL38" s="341"/>
      <c r="JM38" s="341"/>
      <c r="JN38" s="341"/>
    </row>
    <row r="39" spans="1:274" ht="19.5" customHeight="1" x14ac:dyDescent="0.25">
      <c r="B39" s="360" t="s">
        <v>939</v>
      </c>
      <c r="C39" s="323" t="s">
        <v>936</v>
      </c>
      <c r="D39" s="321" t="s">
        <v>126</v>
      </c>
      <c r="E39" s="321" t="s">
        <v>752</v>
      </c>
      <c r="F39" s="324" t="s">
        <v>852</v>
      </c>
      <c r="G39" s="325" cm="1">
        <f t="array" aca="1" ref="G39" ca="1">IFERROR(INDEX(Panel_Rates[[1]:[12]],MATCH(Panel_New&amp;Category_New,Panel_Rates[Panel]&amp;Panel_Rates[Category],0),MATCH('Time Plan (Lacy))'!E39,OFFSET(Variable!$AF$2,MATCH(Panel_New&amp;Category_New,Panel_Rates[Panel]&amp;Panel_Rates[Category],0)-1,0,1,12),0))/8,"")</f>
        <v>245</v>
      </c>
      <c r="H39" s="326">
        <v>0.38</v>
      </c>
      <c r="I39" s="327">
        <f t="shared" ca="1" si="101"/>
        <v>151.9</v>
      </c>
      <c r="J39" s="328">
        <f t="shared" ref="J39:J44" ca="1" si="113">IFERROR(I39*8,"")</f>
        <v>1215.2</v>
      </c>
      <c r="K39" s="329">
        <f>IFERROR(_xlfn.XLOOKUP(D39,CostTableLookup[Name],CostTableLookup[Gross Cost]),"")</f>
        <v>146</v>
      </c>
      <c r="L39" s="330">
        <v>232</v>
      </c>
      <c r="M39" s="331">
        <f t="shared" ca="1" si="102"/>
        <v>35240.800000000003</v>
      </c>
      <c r="N39" s="332"/>
      <c r="O39" s="331">
        <f t="shared" ca="1" si="103"/>
        <v>0</v>
      </c>
      <c r="P39" s="331">
        <f t="shared" ca="1" si="104"/>
        <v>35240.800000000003</v>
      </c>
      <c r="Q39" s="333">
        <f t="shared" si="105"/>
        <v>0</v>
      </c>
      <c r="R39" s="334">
        <f t="shared" ca="1" si="106"/>
        <v>3.8841342988808425E-2</v>
      </c>
      <c r="S39" s="335">
        <f t="shared" ref="S39" ca="1" si="114">IFERROR(SUM(OFFSET(Y39,0,MATCH(Forecast_New,$Y$3:$WQ$3,0)-1,1,500))*40,"")</f>
        <v>160</v>
      </c>
      <c r="T39" s="336">
        <f t="shared" ca="1" si="108"/>
        <v>20</v>
      </c>
      <c r="U39" s="337">
        <f t="shared" ca="1" si="109"/>
        <v>24304</v>
      </c>
      <c r="V39" s="338">
        <f t="shared" ca="1" si="110"/>
        <v>23360</v>
      </c>
      <c r="W39" s="339">
        <f t="shared" ca="1" si="111"/>
        <v>10936.800000000003</v>
      </c>
      <c r="X39" s="340">
        <f t="shared" ca="1" si="112"/>
        <v>0.31034482758620696</v>
      </c>
      <c r="Y39" s="341"/>
      <c r="Z39" s="341"/>
      <c r="AA39" s="341"/>
      <c r="AB39" s="341"/>
      <c r="AC39" s="341"/>
      <c r="AD39" s="341"/>
      <c r="AE39" s="341"/>
      <c r="AF39" s="341"/>
      <c r="AG39" s="341"/>
      <c r="AH39" s="341"/>
      <c r="AI39" s="341"/>
      <c r="AJ39" s="341">
        <v>1</v>
      </c>
      <c r="AK39" s="341">
        <v>1</v>
      </c>
      <c r="AL39" s="341">
        <v>1</v>
      </c>
      <c r="AM39" s="341">
        <v>1</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1:274" ht="19.5" customHeight="1" x14ac:dyDescent="0.25">
      <c r="B40" s="360" t="s">
        <v>939</v>
      </c>
      <c r="C40" s="323" t="s">
        <v>936</v>
      </c>
      <c r="D40" s="321" t="s">
        <v>756</v>
      </c>
      <c r="E40" s="321" t="s">
        <v>753</v>
      </c>
      <c r="F40" s="324" t="s">
        <v>930</v>
      </c>
      <c r="G40" s="325" cm="1">
        <f t="array" aca="1" ref="G40" ca="1">IFERROR(INDEX(Panel_Rates[[1]:[12]],MATCH(Panel_New&amp;Category_New,Panel_Rates[Panel]&amp;Panel_Rates[Category],0),MATCH('Time Plan (Lacy))'!E40,OFFSET(Variable!$AF$2,MATCH(Panel_New&amp;Category_New,Panel_Rates[Panel]&amp;Panel_Rates[Category],0)-1,0,1,12),0))/8,"")</f>
        <v>305</v>
      </c>
      <c r="H40" s="326">
        <v>0.32</v>
      </c>
      <c r="I40" s="327">
        <f t="shared" ca="1" si="101"/>
        <v>207.39999999999998</v>
      </c>
      <c r="J40" s="328">
        <f t="shared" ca="1" si="113"/>
        <v>1659.1999999999998</v>
      </c>
      <c r="K40" s="329">
        <f>IFERROR(_xlfn.XLOOKUP(D40,CostTableLookup[Name],CostTableLookup[Gross Cost]),"")</f>
        <v>170.96</v>
      </c>
      <c r="L40" s="330">
        <v>380</v>
      </c>
      <c r="M40" s="331">
        <f t="shared" ca="1" si="102"/>
        <v>78811.999999999985</v>
      </c>
      <c r="N40" s="332"/>
      <c r="O40" s="331">
        <f t="shared" ca="1" si="103"/>
        <v>0</v>
      </c>
      <c r="P40" s="331">
        <f t="shared" ca="1" si="104"/>
        <v>78811.999999999985</v>
      </c>
      <c r="Q40" s="333">
        <f t="shared" si="105"/>
        <v>0</v>
      </c>
      <c r="R40" s="334">
        <f t="shared" ca="1" si="106"/>
        <v>0.17569913211186108</v>
      </c>
      <c r="S40" s="335">
        <f t="shared" ref="S40" ca="1" si="115">IFERROR(SUM(OFFSET(Y40,0,MATCH(Forecast_New,$Y$3:$WQ$3,0)-1,1,500))*40,"")</f>
        <v>160</v>
      </c>
      <c r="T40" s="336">
        <f t="shared" ca="1" si="108"/>
        <v>20</v>
      </c>
      <c r="U40" s="337">
        <f t="shared" ca="1" si="109"/>
        <v>33184</v>
      </c>
      <c r="V40" s="338">
        <f t="shared" ca="1" si="110"/>
        <v>27353.600000000002</v>
      </c>
      <c r="W40" s="339">
        <f t="shared" ca="1" si="111"/>
        <v>45627.999999999985</v>
      </c>
      <c r="X40" s="340">
        <f t="shared" ca="1" si="112"/>
        <v>0.57894736842105254</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1:274" ht="19.5" customHeight="1" x14ac:dyDescent="0.25">
      <c r="B41" s="360" t="s">
        <v>939</v>
      </c>
      <c r="C41" s="323" t="s">
        <v>936</v>
      </c>
      <c r="D41" s="321" t="s">
        <v>447</v>
      </c>
      <c r="E41" s="321" t="s">
        <v>753</v>
      </c>
      <c r="F41" s="324" t="s">
        <v>931</v>
      </c>
      <c r="G41" s="325" cm="1">
        <f t="array" aca="1" ref="G41" ca="1">IFERROR(INDEX(Panel_Rates[[1]:[12]],MATCH(Panel_New&amp;Category_New,Panel_Rates[Panel]&amp;Panel_Rates[Category],0),MATCH('Time Plan (Lacy))'!E41,OFFSET(Variable!$AF$2,MATCH(Panel_New&amp;Category_New,Panel_Rates[Panel]&amp;Panel_Rates[Category],0)-1,0,1,12),0))/8,"")</f>
        <v>305</v>
      </c>
      <c r="H41" s="326">
        <v>0.38</v>
      </c>
      <c r="I41" s="327">
        <f t="shared" ca="1" si="101"/>
        <v>189.1</v>
      </c>
      <c r="J41" s="328">
        <f t="shared" ca="1" si="113"/>
        <v>1512.8</v>
      </c>
      <c r="K41" s="329">
        <f>IFERROR(_xlfn.XLOOKUP(D41,CostTableLookup[Name],CostTableLookup[Gross Cost]),"")</f>
        <v>151</v>
      </c>
      <c r="L41" s="330">
        <v>520</v>
      </c>
      <c r="M41" s="331">
        <f t="shared" ca="1" si="102"/>
        <v>98332</v>
      </c>
      <c r="N41" s="332"/>
      <c r="O41" s="331">
        <f t="shared" ca="1" si="103"/>
        <v>0</v>
      </c>
      <c r="P41" s="331">
        <f t="shared" ca="1" si="104"/>
        <v>98332</v>
      </c>
      <c r="Q41" s="333">
        <f t="shared" si="105"/>
        <v>0</v>
      </c>
      <c r="R41" s="334">
        <f t="shared" ca="1" si="106"/>
        <v>0.2014806980433633</v>
      </c>
      <c r="S41" s="335">
        <f t="shared" ref="S41" ca="1" si="116">IFERROR(SUM(OFFSET(Y41,0,MATCH(Forecast_New,$Y$3:$WQ$3,0)-1,1,500))*40,"")</f>
        <v>160</v>
      </c>
      <c r="T41" s="336">
        <f t="shared" ca="1" si="108"/>
        <v>20</v>
      </c>
      <c r="U41" s="337">
        <f t="shared" ca="1" si="109"/>
        <v>30256</v>
      </c>
      <c r="V41" s="338">
        <f t="shared" ca="1" si="110"/>
        <v>24160</v>
      </c>
      <c r="W41" s="339">
        <f t="shared" ca="1" si="111"/>
        <v>68076</v>
      </c>
      <c r="X41" s="340">
        <f t="shared" ca="1" si="112"/>
        <v>0.69230769230769229</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1:274" ht="19.5" customHeight="1" x14ac:dyDescent="0.25">
      <c r="B42" s="360" t="s">
        <v>939</v>
      </c>
      <c r="C42" s="384" t="s">
        <v>936</v>
      </c>
      <c r="D42" s="385" t="s">
        <v>122</v>
      </c>
      <c r="E42" s="321" t="s">
        <v>752</v>
      </c>
      <c r="F42" s="324" t="s">
        <v>931</v>
      </c>
      <c r="G42" s="325" cm="1">
        <f t="array" aca="1" ref="G42" ca="1">IFERROR(INDEX(Panel_Rates[[1]:[12]],MATCH(Panel_New&amp;Category_New,Panel_Rates[Panel]&amp;Panel_Rates[Category],0),MATCH('Time Plan (Lacy))'!E42,OFFSET(Variable!$AF$2,MATCH(Panel_New&amp;Category_New,Panel_Rates[Panel]&amp;Panel_Rates[Category],0)-1,0,1,12),0))/8,"")</f>
        <v>245</v>
      </c>
      <c r="H42" s="326">
        <v>1</v>
      </c>
      <c r="I42" s="327">
        <f t="shared" ca="1" si="101"/>
        <v>0</v>
      </c>
      <c r="J42" s="328">
        <f t="shared" ca="1" si="113"/>
        <v>0</v>
      </c>
      <c r="K42" s="329">
        <v>0</v>
      </c>
      <c r="L42" s="330">
        <v>120</v>
      </c>
      <c r="M42" s="331">
        <f t="shared" ca="1" si="102"/>
        <v>0</v>
      </c>
      <c r="N42" s="332"/>
      <c r="O42" s="331">
        <f t="shared" ca="1" si="103"/>
        <v>0</v>
      </c>
      <c r="P42" s="331">
        <f t="shared" ca="1" si="104"/>
        <v>0</v>
      </c>
      <c r="Q42" s="333">
        <f t="shared" si="105"/>
        <v>0</v>
      </c>
      <c r="R42" s="334" t="str">
        <f t="shared" ca="1" si="106"/>
        <v/>
      </c>
      <c r="S42" s="335">
        <f t="shared" ref="S42" ca="1" si="117">IFERROR(SUM(OFFSET(Y42,0,MATCH(Forecast_New,$Y$3:$WQ$3,0)-1,1,500))*40,"")</f>
        <v>160</v>
      </c>
      <c r="T42" s="336">
        <f t="shared" ca="1" si="108"/>
        <v>20</v>
      </c>
      <c r="U42" s="337">
        <f t="shared" ca="1" si="109"/>
        <v>0</v>
      </c>
      <c r="V42" s="338">
        <f t="shared" ca="1" si="110"/>
        <v>0</v>
      </c>
      <c r="W42" s="339">
        <f t="shared" ca="1" si="111"/>
        <v>0</v>
      </c>
      <c r="X42" s="340" t="str">
        <f t="shared" ca="1" si="112"/>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1:274" ht="19.5" customHeight="1" x14ac:dyDescent="0.25">
      <c r="B43" s="360" t="s">
        <v>939</v>
      </c>
      <c r="C43" s="323" t="s">
        <v>936</v>
      </c>
      <c r="D43" s="321" t="s">
        <v>731</v>
      </c>
      <c r="E43" s="321" t="s">
        <v>752</v>
      </c>
      <c r="F43" s="324" t="s">
        <v>931</v>
      </c>
      <c r="G43" s="325" cm="1">
        <f t="array" aca="1" ref="G43" ca="1">IFERROR(INDEX(Panel_Rates[[1]:[12]],MATCH(Panel_New&amp;Category_New,Panel_Rates[Panel]&amp;Panel_Rates[Category],0),MATCH('Time Plan (Lacy))'!E43,OFFSET(Variable!$AF$2,MATCH(Panel_New&amp;Category_New,Panel_Rates[Panel]&amp;Panel_Rates[Category],0)-1,0,1,12),0))/8,"")</f>
        <v>245</v>
      </c>
      <c r="H43" s="326">
        <v>0.38</v>
      </c>
      <c r="I43" s="327">
        <f t="shared" ca="1" si="101"/>
        <v>151.9</v>
      </c>
      <c r="J43" s="328">
        <f t="shared" ca="1" si="113"/>
        <v>1215.2</v>
      </c>
      <c r="K43" s="329">
        <f>IFERROR(_xlfn.XLOOKUP(D43,CostTableLookup[Name],CostTableLookup[Gross Cost]),"")</f>
        <v>151</v>
      </c>
      <c r="L43" s="330">
        <v>120</v>
      </c>
      <c r="M43" s="331">
        <f t="shared" ca="1" si="102"/>
        <v>18228</v>
      </c>
      <c r="N43" s="332"/>
      <c r="O43" s="331">
        <f t="shared" ca="1" si="103"/>
        <v>0</v>
      </c>
      <c r="P43" s="331">
        <f t="shared" ca="1" si="104"/>
        <v>18228</v>
      </c>
      <c r="Q43" s="333">
        <f t="shared" si="105"/>
        <v>0</v>
      </c>
      <c r="R43" s="334">
        <f t="shared" ca="1" si="106"/>
        <v>5.9249506254114553E-3</v>
      </c>
      <c r="S43" s="335">
        <f t="shared" ref="S43" ca="1" si="118">IFERROR(SUM(OFFSET(Y43,0,MATCH(Forecast_New,$Y$3:$WQ$3,0)-1,1,500))*40,"")</f>
        <v>160</v>
      </c>
      <c r="T43" s="336">
        <f t="shared" ca="1" si="108"/>
        <v>20</v>
      </c>
      <c r="U43" s="337">
        <f t="shared" ca="1" si="109"/>
        <v>24304</v>
      </c>
      <c r="V43" s="338">
        <f t="shared" ca="1" si="110"/>
        <v>24160</v>
      </c>
      <c r="W43" s="339">
        <f t="shared" ca="1" si="111"/>
        <v>-6076</v>
      </c>
      <c r="X43" s="340">
        <f t="shared" ca="1" si="112"/>
        <v>-0.33333333333333331</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1:274" s="345" customFormat="1" ht="19.5" customHeight="1" x14ac:dyDescent="0.25">
      <c r="B44" s="360" t="s">
        <v>939</v>
      </c>
      <c r="C44" s="362" t="s">
        <v>936</v>
      </c>
      <c r="D44" s="345" t="s">
        <v>606</v>
      </c>
      <c r="E44" s="321" t="s">
        <v>752</v>
      </c>
      <c r="F44" s="363" t="s">
        <v>937</v>
      </c>
      <c r="G44" s="364" cm="1">
        <f t="array" aca="1" ref="G44" ca="1">IFERROR(INDEX(Panel_Rates[[1]:[12]],MATCH(Panel_New&amp;Category_New,Panel_Rates[Panel]&amp;Panel_Rates[Category],0),MATCH('Time Plan (Lacy))'!E44,OFFSET(Variable!$AF$2,MATCH(Panel_New&amp;Category_New,Panel_Rates[Panel]&amp;Panel_Rates[Category],0)-1,0,1,12),0))/8,"")</f>
        <v>245</v>
      </c>
      <c r="H44" s="326">
        <v>0.38</v>
      </c>
      <c r="I44" s="365">
        <f t="shared" ca="1" si="101"/>
        <v>151.9</v>
      </c>
      <c r="J44" s="350">
        <f t="shared" ca="1" si="113"/>
        <v>1215.2</v>
      </c>
      <c r="K44" s="366">
        <f>IFERROR(_xlfn.XLOOKUP(D44,CostTableLookup[Name],CostTableLookup[Gross Cost]),"")</f>
        <v>161</v>
      </c>
      <c r="L44" s="367">
        <v>220</v>
      </c>
      <c r="M44" s="368">
        <f t="shared" ca="1" si="102"/>
        <v>33418</v>
      </c>
      <c r="N44" s="369"/>
      <c r="O44" s="368">
        <f t="shared" ca="1" si="103"/>
        <v>0</v>
      </c>
      <c r="P44" s="368">
        <f t="shared" ca="1" si="104"/>
        <v>33418</v>
      </c>
      <c r="Q44" s="370">
        <f t="shared" si="105"/>
        <v>0</v>
      </c>
      <c r="R44" s="371">
        <f t="shared" ca="1" si="106"/>
        <v>-5.9907834101382486E-2</v>
      </c>
      <c r="S44" s="335">
        <f ca="1">IFERROR(SUM(OFFSET(Y44,0,MATCH(Forecast_New,$Y$3:$WQ$3,0)-1,1,500))*40,"")</f>
        <v>160</v>
      </c>
      <c r="T44" s="372">
        <f t="shared" ca="1" si="108"/>
        <v>20</v>
      </c>
      <c r="U44" s="373">
        <f t="shared" ca="1" si="109"/>
        <v>24304</v>
      </c>
      <c r="V44" s="358">
        <f t="shared" ca="1" si="110"/>
        <v>25760</v>
      </c>
      <c r="W44" s="374">
        <f t="shared" ca="1" si="111"/>
        <v>9114</v>
      </c>
      <c r="X44" s="375">
        <f t="shared" ca="1" si="112"/>
        <v>0.27272727272727271</v>
      </c>
      <c r="Y44" s="376"/>
      <c r="Z44" s="376"/>
      <c r="AA44" s="376"/>
      <c r="AB44" s="376"/>
      <c r="AC44" s="376"/>
      <c r="AD44" s="376"/>
      <c r="AE44" s="376"/>
      <c r="AF44" s="376"/>
      <c r="AG44" s="376"/>
      <c r="AH44" s="376"/>
      <c r="AI44" s="376"/>
      <c r="AJ44" s="376">
        <v>1</v>
      </c>
      <c r="AK44" s="376">
        <v>1</v>
      </c>
      <c r="AL44" s="376">
        <v>1</v>
      </c>
      <c r="AM44" s="376">
        <v>1</v>
      </c>
      <c r="AN44" s="376"/>
      <c r="AO44" s="376"/>
      <c r="AP44" s="376"/>
      <c r="AQ44" s="376"/>
      <c r="AR44" s="376"/>
      <c r="AS44" s="376"/>
      <c r="AT44" s="376"/>
      <c r="AU44" s="376"/>
      <c r="AV44" s="376"/>
      <c r="AW44" s="376"/>
      <c r="AX44" s="376"/>
      <c r="AY44" s="376"/>
      <c r="AZ44" s="376"/>
      <c r="BA44" s="376"/>
      <c r="BB44" s="376"/>
      <c r="BC44" s="376"/>
      <c r="BD44" s="376"/>
      <c r="BE44" s="376"/>
      <c r="BF44" s="376"/>
      <c r="BG44" s="376"/>
      <c r="BH44" s="376"/>
      <c r="BI44" s="376"/>
      <c r="BJ44" s="376"/>
      <c r="BK44" s="376"/>
      <c r="BL44" s="376"/>
      <c r="BM44" s="376"/>
      <c r="BN44" s="376"/>
      <c r="BO44" s="376"/>
      <c r="BP44" s="376"/>
      <c r="BQ44" s="376"/>
      <c r="BR44" s="376"/>
      <c r="BS44" s="376"/>
      <c r="BT44" s="376"/>
      <c r="BU44" s="376"/>
      <c r="BV44" s="376"/>
      <c r="BW44" s="376"/>
      <c r="BX44" s="376"/>
      <c r="BY44" s="376"/>
      <c r="BZ44" s="376"/>
      <c r="CA44" s="376"/>
      <c r="CB44" s="376"/>
      <c r="CC44" s="376"/>
      <c r="CD44" s="376"/>
      <c r="CE44" s="376"/>
      <c r="CF44" s="376"/>
      <c r="CG44" s="376"/>
      <c r="CH44" s="376"/>
      <c r="CI44" s="376"/>
      <c r="CJ44" s="376"/>
      <c r="CK44" s="376"/>
      <c r="CL44" s="376"/>
      <c r="CM44" s="376"/>
      <c r="CN44" s="376"/>
      <c r="CO44" s="376"/>
      <c r="CP44" s="376"/>
      <c r="CQ44" s="376"/>
      <c r="CR44" s="376"/>
      <c r="CS44" s="376"/>
      <c r="CT44" s="376"/>
      <c r="CU44" s="376"/>
      <c r="CV44" s="376"/>
      <c r="CW44" s="376"/>
      <c r="CX44" s="376"/>
      <c r="CY44" s="376"/>
      <c r="CZ44" s="376"/>
      <c r="DA44" s="376"/>
      <c r="DB44" s="376"/>
      <c r="DC44" s="376"/>
      <c r="DD44" s="376"/>
      <c r="DE44" s="376"/>
      <c r="DF44" s="376"/>
      <c r="DG44" s="376"/>
      <c r="DH44" s="376"/>
      <c r="DI44" s="376"/>
      <c r="DJ44" s="376"/>
      <c r="DK44" s="376"/>
      <c r="DL44" s="376"/>
      <c r="DM44" s="376"/>
      <c r="DN44" s="376"/>
      <c r="DO44" s="376"/>
      <c r="DP44" s="376"/>
      <c r="DQ44" s="376"/>
      <c r="DR44" s="376"/>
      <c r="DS44" s="376"/>
      <c r="DT44" s="376"/>
      <c r="DU44" s="376"/>
      <c r="DV44" s="376"/>
      <c r="DW44" s="376"/>
      <c r="DX44" s="376"/>
      <c r="DY44" s="376"/>
      <c r="DZ44" s="376"/>
      <c r="EA44" s="376"/>
      <c r="EB44" s="376"/>
      <c r="EC44" s="376"/>
      <c r="ED44" s="376"/>
      <c r="EE44" s="376"/>
      <c r="EF44" s="376"/>
      <c r="EG44" s="376"/>
      <c r="EH44" s="376"/>
      <c r="EI44" s="376"/>
      <c r="EJ44" s="376"/>
      <c r="EK44" s="376"/>
      <c r="EL44" s="376"/>
      <c r="EM44" s="376"/>
      <c r="EN44" s="376"/>
      <c r="EO44" s="376"/>
      <c r="EP44" s="376"/>
      <c r="EQ44" s="376"/>
      <c r="ER44" s="376"/>
      <c r="ES44" s="376"/>
      <c r="ET44" s="376"/>
      <c r="EU44" s="376"/>
      <c r="EV44" s="376"/>
      <c r="EW44" s="376"/>
      <c r="EX44" s="376"/>
      <c r="EY44" s="376"/>
      <c r="EZ44" s="376"/>
      <c r="FA44" s="376"/>
      <c r="FB44" s="376"/>
      <c r="FC44" s="376"/>
      <c r="FD44" s="376"/>
      <c r="FE44" s="376"/>
      <c r="FF44" s="376"/>
      <c r="FG44" s="376"/>
      <c r="FH44" s="376"/>
      <c r="FI44" s="376"/>
      <c r="FJ44" s="376"/>
      <c r="FK44" s="376"/>
      <c r="FL44" s="376"/>
      <c r="FM44" s="376"/>
      <c r="FN44" s="376"/>
      <c r="FO44" s="376"/>
      <c r="FP44" s="376"/>
      <c r="FQ44" s="376"/>
      <c r="FR44" s="376"/>
      <c r="FS44" s="376"/>
      <c r="FT44" s="376"/>
      <c r="FU44" s="376"/>
      <c r="FV44" s="376"/>
      <c r="FW44" s="376"/>
      <c r="FX44" s="376"/>
      <c r="FY44" s="376"/>
      <c r="FZ44" s="376"/>
      <c r="GA44" s="376"/>
      <c r="GB44" s="376"/>
      <c r="GC44" s="376"/>
      <c r="GD44" s="376"/>
      <c r="GE44" s="376"/>
      <c r="GF44" s="376"/>
      <c r="GG44" s="376"/>
      <c r="GH44" s="376"/>
      <c r="GI44" s="376"/>
      <c r="GJ44" s="376"/>
      <c r="GK44" s="376"/>
      <c r="GL44" s="376"/>
      <c r="GM44" s="376"/>
      <c r="GN44" s="376"/>
      <c r="GO44" s="376"/>
      <c r="GP44" s="376"/>
      <c r="GQ44" s="376"/>
      <c r="GR44" s="376"/>
      <c r="GS44" s="376"/>
      <c r="GT44" s="376"/>
      <c r="GU44" s="376"/>
      <c r="GV44" s="376"/>
      <c r="GW44" s="376"/>
      <c r="GX44" s="376"/>
      <c r="GY44" s="376"/>
      <c r="GZ44" s="376"/>
      <c r="HA44" s="376"/>
      <c r="HB44" s="376"/>
      <c r="HC44" s="376"/>
      <c r="HD44" s="376"/>
      <c r="HE44" s="376"/>
      <c r="HF44" s="376"/>
      <c r="HG44" s="376"/>
      <c r="HH44" s="376"/>
      <c r="HI44" s="376"/>
      <c r="HJ44" s="376"/>
      <c r="HK44" s="376"/>
      <c r="HL44" s="376"/>
      <c r="HM44" s="376"/>
      <c r="HN44" s="376"/>
      <c r="HO44" s="376"/>
      <c r="HP44" s="376"/>
      <c r="HQ44" s="376"/>
      <c r="HR44" s="376"/>
      <c r="HS44" s="376"/>
      <c r="HT44" s="376"/>
      <c r="HU44" s="376"/>
      <c r="HV44" s="376"/>
      <c r="HW44" s="376"/>
      <c r="HX44" s="376"/>
      <c r="HY44" s="376"/>
      <c r="HZ44" s="376"/>
      <c r="IA44" s="376"/>
      <c r="IB44" s="376"/>
      <c r="IC44" s="376"/>
      <c r="ID44" s="376"/>
      <c r="IE44" s="376"/>
      <c r="IF44" s="376"/>
      <c r="IG44" s="376"/>
      <c r="IH44" s="376"/>
      <c r="II44" s="376"/>
      <c r="IJ44" s="376"/>
      <c r="IK44" s="376"/>
      <c r="IL44" s="376"/>
      <c r="IM44" s="376"/>
      <c r="IN44" s="376"/>
      <c r="IO44" s="376"/>
      <c r="IP44" s="376"/>
      <c r="IQ44" s="376"/>
      <c r="IR44" s="376"/>
      <c r="IS44" s="376"/>
      <c r="IT44" s="376"/>
      <c r="IU44" s="376"/>
      <c r="IV44" s="376"/>
      <c r="IW44" s="376"/>
      <c r="IX44" s="376"/>
      <c r="IY44" s="376"/>
      <c r="IZ44" s="376"/>
      <c r="JA44" s="376"/>
      <c r="JB44" s="376"/>
      <c r="JC44" s="376"/>
      <c r="JD44" s="376"/>
      <c r="JE44" s="376"/>
      <c r="JF44" s="376"/>
      <c r="JG44" s="376"/>
      <c r="JH44" s="376"/>
      <c r="JI44" s="376"/>
      <c r="JJ44" s="376"/>
      <c r="JK44" s="376"/>
      <c r="JL44" s="376"/>
      <c r="JM44" s="376"/>
      <c r="JN44" s="376"/>
    </row>
    <row r="45" spans="1:274" ht="19.5" customHeight="1" x14ac:dyDescent="0.25">
      <c r="B45" s="387" t="s">
        <v>940</v>
      </c>
      <c r="C45" s="323" t="s">
        <v>935</v>
      </c>
      <c r="D45" s="321" t="s">
        <v>306</v>
      </c>
      <c r="E45" s="321" t="s">
        <v>753</v>
      </c>
      <c r="F45" s="324" t="s">
        <v>928</v>
      </c>
      <c r="G45" s="325" cm="1">
        <f t="array" aca="1" ref="G45" ca="1">IFERROR(INDEX(Panel_Rates[[1]:[12]],MATCH(Panel_New&amp;Category_New,Panel_Rates[Panel]&amp;Panel_Rates[Category],0),MATCH('Time Plan (Lacy))'!E45,OFFSET(Variable!$AF$2,MATCH(Panel_New&amp;Category_New,Panel_Rates[Panel]&amp;Panel_Rates[Category],0)-1,0,1,12),0))/8,"")</f>
        <v>305</v>
      </c>
      <c r="H45" s="326">
        <v>0.32</v>
      </c>
      <c r="I45" s="327">
        <f ca="1">IFERROR(G45*(1-H45),"")</f>
        <v>207.39999999999998</v>
      </c>
      <c r="J45" s="328">
        <f ca="1">IFERROR(I45*8,"")</f>
        <v>1659.1999999999998</v>
      </c>
      <c r="K45" s="329">
        <f>IFERROR(_xlfn.XLOOKUP(D45,CostTableLookup[Name],CostTableLookup[Gross Cost]),"")</f>
        <v>245</v>
      </c>
      <c r="L45" s="330">
        <v>279.99999999999994</v>
      </c>
      <c r="M45" s="331">
        <f ca="1">IFERROR(L45*I45,"")</f>
        <v>58071.999999999985</v>
      </c>
      <c r="N45" s="332"/>
      <c r="O45" s="331">
        <f ca="1">IFERROR(N45*I45,"")</f>
        <v>0</v>
      </c>
      <c r="P45" s="331">
        <f ca="1">IFERROR(M45-O45,"")</f>
        <v>58071.999999999985</v>
      </c>
      <c r="Q45" s="333">
        <f>IFERROR(N45*K45,"")</f>
        <v>0</v>
      </c>
      <c r="R45" s="334">
        <f ca="1">IFERROR(((U45+O45)-(V45+Q45))/(U45+O45),"")</f>
        <v>-0.18129218900675023</v>
      </c>
      <c r="S45" s="335">
        <f ca="1">IFERROR(SUM(OFFSET(Y45,0,MATCH(Forecast_New,$Y$3:$WQ$3,0)-1,1,500))*40,"")</f>
        <v>160</v>
      </c>
      <c r="T45" s="336">
        <f ca="1">IFERROR(S45/8,"")</f>
        <v>20</v>
      </c>
      <c r="U45" s="337">
        <f ca="1">IFERROR($S45*I45,"")</f>
        <v>33184</v>
      </c>
      <c r="V45" s="338">
        <f ca="1">IFERROR($S45*K45,"")</f>
        <v>39200</v>
      </c>
      <c r="W45" s="339"/>
      <c r="X45" s="343"/>
      <c r="Y45" s="344"/>
      <c r="Z45" s="344"/>
      <c r="AA45" s="344"/>
      <c r="AB45" s="344"/>
      <c r="AC45" s="344"/>
      <c r="AD45" s="344"/>
      <c r="AE45" s="344"/>
      <c r="AF45" s="344"/>
      <c r="AG45" s="344"/>
      <c r="AH45" s="344"/>
      <c r="AI45" s="344"/>
      <c r="AJ45" s="344"/>
      <c r="AK45" s="344"/>
      <c r="AL45" s="344"/>
      <c r="AM45" s="344"/>
      <c r="AN45" s="344">
        <v>1</v>
      </c>
      <c r="AO45" s="344">
        <v>1</v>
      </c>
      <c r="AP45" s="344">
        <v>1</v>
      </c>
      <c r="AQ45" s="344">
        <v>1</v>
      </c>
      <c r="AR45" s="344"/>
      <c r="AS45" s="344"/>
      <c r="AT45" s="344"/>
      <c r="AU45" s="344"/>
      <c r="AV45" s="344"/>
      <c r="AW45" s="344"/>
      <c r="AX45" s="344"/>
      <c r="AY45" s="344"/>
      <c r="AZ45" s="344"/>
      <c r="BA45" s="344"/>
      <c r="BB45" s="344"/>
      <c r="BC45" s="344"/>
      <c r="BD45" s="344"/>
      <c r="BE45" s="344"/>
      <c r="BF45" s="344"/>
      <c r="BG45" s="344"/>
      <c r="BH45" s="344"/>
      <c r="BI45" s="344"/>
      <c r="BJ45" s="344"/>
      <c r="BK45" s="344"/>
      <c r="BL45" s="344"/>
      <c r="BM45" s="344"/>
      <c r="BN45" s="344"/>
      <c r="BO45" s="344"/>
      <c r="BP45" s="344"/>
      <c r="BQ45" s="344"/>
      <c r="BR45" s="344"/>
      <c r="BS45" s="344"/>
      <c r="BT45" s="344"/>
      <c r="BU45" s="344"/>
      <c r="BV45" s="344"/>
      <c r="BW45" s="344"/>
      <c r="BX45" s="344"/>
      <c r="BY45" s="344"/>
      <c r="BZ45" s="344"/>
      <c r="CA45" s="344"/>
      <c r="CB45" s="344"/>
      <c r="CC45" s="344"/>
      <c r="CD45" s="344"/>
      <c r="CE45" s="344"/>
      <c r="CF45" s="344"/>
      <c r="CG45" s="344"/>
      <c r="CH45" s="344"/>
      <c r="CI45" s="344"/>
      <c r="CJ45" s="344"/>
      <c r="CK45" s="344"/>
      <c r="CL45" s="344"/>
      <c r="CM45" s="344"/>
      <c r="CN45" s="344"/>
      <c r="CO45" s="344"/>
      <c r="CP45" s="344"/>
      <c r="CQ45" s="344"/>
      <c r="CR45" s="344"/>
      <c r="CS45" s="344"/>
      <c r="CT45" s="344"/>
      <c r="CU45" s="344"/>
      <c r="CV45" s="344"/>
      <c r="CW45" s="344"/>
      <c r="CX45" s="344"/>
      <c r="CY45" s="344"/>
      <c r="CZ45" s="344"/>
      <c r="DA45" s="344"/>
      <c r="DB45" s="344"/>
      <c r="DC45" s="344"/>
      <c r="DD45" s="344"/>
      <c r="DE45" s="344"/>
      <c r="DF45" s="344"/>
      <c r="DG45" s="344"/>
      <c r="DH45" s="344"/>
      <c r="DI45" s="344"/>
      <c r="DJ45" s="344"/>
      <c r="DK45" s="344"/>
      <c r="DL45" s="344"/>
      <c r="DM45" s="344"/>
      <c r="DN45" s="344"/>
      <c r="DO45" s="344"/>
      <c r="DP45" s="344"/>
      <c r="DQ45" s="344"/>
      <c r="DR45" s="344"/>
      <c r="DS45" s="344"/>
      <c r="DT45" s="344"/>
      <c r="DU45" s="344"/>
      <c r="DV45" s="344"/>
      <c r="DW45" s="344"/>
      <c r="DX45" s="344"/>
      <c r="DY45" s="344"/>
      <c r="DZ45" s="344"/>
      <c r="EA45" s="344"/>
      <c r="EB45" s="344"/>
      <c r="EC45" s="344"/>
      <c r="ED45" s="344"/>
      <c r="EE45" s="344"/>
      <c r="EF45" s="344"/>
      <c r="EG45" s="344"/>
      <c r="EH45" s="344"/>
      <c r="EI45" s="344"/>
      <c r="EJ45" s="344"/>
      <c r="EK45" s="344"/>
      <c r="EL45" s="344"/>
      <c r="EM45" s="344"/>
      <c r="EN45" s="344"/>
      <c r="EO45" s="344"/>
      <c r="EP45" s="344"/>
      <c r="EQ45" s="344"/>
      <c r="ER45" s="344"/>
      <c r="ES45" s="344"/>
      <c r="ET45" s="344"/>
      <c r="EU45" s="344"/>
      <c r="EV45" s="344"/>
      <c r="EW45" s="344"/>
      <c r="EX45" s="344"/>
      <c r="EY45" s="344"/>
      <c r="EZ45" s="344"/>
      <c r="FA45" s="344"/>
      <c r="FB45" s="344"/>
      <c r="FC45" s="344"/>
      <c r="FD45" s="344"/>
      <c r="FE45" s="344"/>
      <c r="FF45" s="344"/>
      <c r="FG45" s="344"/>
      <c r="FH45" s="344"/>
      <c r="FI45" s="344"/>
      <c r="FJ45" s="344"/>
      <c r="FK45" s="344"/>
      <c r="FL45" s="344"/>
      <c r="FM45" s="344"/>
      <c r="FN45" s="344"/>
      <c r="FO45" s="344"/>
      <c r="FP45" s="344"/>
      <c r="FQ45" s="344"/>
      <c r="FR45" s="344"/>
      <c r="FS45" s="344"/>
      <c r="FT45" s="344"/>
      <c r="FU45" s="344"/>
      <c r="FV45" s="344"/>
      <c r="FW45" s="344"/>
      <c r="FX45" s="344"/>
      <c r="FY45" s="344"/>
      <c r="FZ45" s="344"/>
      <c r="GA45" s="344"/>
      <c r="GB45" s="344"/>
      <c r="GC45" s="344"/>
      <c r="GD45" s="344"/>
      <c r="GE45" s="344"/>
      <c r="GF45" s="344"/>
      <c r="GG45" s="344"/>
      <c r="GH45" s="344"/>
      <c r="GI45" s="344"/>
      <c r="GJ45" s="344"/>
      <c r="GK45" s="344"/>
      <c r="GL45" s="344"/>
      <c r="GM45" s="344"/>
      <c r="GN45" s="344"/>
      <c r="GO45" s="344"/>
      <c r="GP45" s="344"/>
      <c r="GQ45" s="344"/>
      <c r="GR45" s="344"/>
      <c r="GS45" s="344"/>
      <c r="GT45" s="344"/>
      <c r="GU45" s="344"/>
      <c r="GV45" s="344"/>
      <c r="GW45" s="344"/>
      <c r="GX45" s="344"/>
      <c r="GY45" s="344"/>
      <c r="GZ45" s="344"/>
      <c r="HA45" s="344"/>
      <c r="HB45" s="344"/>
      <c r="HC45" s="344"/>
      <c r="HD45" s="344"/>
      <c r="HE45" s="344"/>
      <c r="HF45" s="344"/>
      <c r="HG45" s="344"/>
      <c r="HH45" s="344"/>
      <c r="HI45" s="344"/>
      <c r="HJ45" s="344"/>
      <c r="HK45" s="344"/>
      <c r="HL45" s="344"/>
      <c r="HM45" s="344"/>
      <c r="HN45" s="344"/>
      <c r="HO45" s="344"/>
      <c r="HP45" s="344"/>
      <c r="HQ45" s="344"/>
      <c r="HR45" s="344"/>
      <c r="HS45" s="344"/>
      <c r="HT45" s="344"/>
      <c r="HU45" s="344"/>
      <c r="HV45" s="344"/>
      <c r="HW45" s="344"/>
      <c r="HX45" s="344"/>
      <c r="HY45" s="344"/>
      <c r="HZ45" s="344"/>
      <c r="IA45" s="344"/>
      <c r="IB45" s="344"/>
      <c r="IC45" s="344"/>
      <c r="ID45" s="344"/>
      <c r="IE45" s="344"/>
      <c r="IF45" s="344"/>
      <c r="IG45" s="344"/>
      <c r="IH45" s="344"/>
      <c r="II45" s="344"/>
      <c r="IJ45" s="344"/>
      <c r="IK45" s="344"/>
      <c r="IL45" s="344"/>
      <c r="IM45" s="344"/>
      <c r="IN45" s="344"/>
      <c r="IO45" s="344"/>
      <c r="IP45" s="344"/>
      <c r="IQ45" s="344"/>
      <c r="IR45" s="344"/>
      <c r="IS45" s="344"/>
      <c r="IT45" s="344"/>
      <c r="IU45" s="344"/>
      <c r="IV45" s="344"/>
      <c r="IW45" s="344"/>
      <c r="IX45" s="344"/>
      <c r="IY45" s="344"/>
      <c r="IZ45" s="344"/>
      <c r="JA45" s="344"/>
      <c r="JB45" s="344"/>
      <c r="JC45" s="344"/>
      <c r="JD45" s="344"/>
      <c r="JE45" s="344"/>
      <c r="JF45" s="344"/>
      <c r="JG45" s="344"/>
      <c r="JH45" s="344"/>
      <c r="JI45" s="344"/>
      <c r="JJ45" s="344"/>
      <c r="JK45" s="344"/>
      <c r="JL45" s="344"/>
      <c r="JM45" s="344"/>
      <c r="JN45" s="344"/>
    </row>
    <row r="46" spans="1:274" ht="19.5" customHeight="1" x14ac:dyDescent="0.25">
      <c r="B46" s="360" t="s">
        <v>940</v>
      </c>
      <c r="C46" s="323" t="s">
        <v>935</v>
      </c>
      <c r="D46" s="321" t="s">
        <v>327</v>
      </c>
      <c r="E46" s="321" t="s">
        <v>752</v>
      </c>
      <c r="F46" s="324" t="s">
        <v>155</v>
      </c>
      <c r="G46" s="325" cm="1">
        <f t="array" aca="1" ref="G46" ca="1">IFERROR(INDEX(Panel_Rates[[1]:[12]],MATCH(Panel_New&amp;Category_New,Panel_Rates[Panel]&amp;Panel_Rates[Category],0),MATCH('Time Plan (Lacy))'!E46,OFFSET(Variable!$AF$2,MATCH(Panel_New&amp;Category_New,Panel_Rates[Panel]&amp;Panel_Rates[Category],0)-1,0,1,12),0))/8,"")</f>
        <v>245</v>
      </c>
      <c r="H46" s="326">
        <v>0.38</v>
      </c>
      <c r="I46" s="327">
        <f ca="1">IFERROR(G46*(1-H46),"")</f>
        <v>151.9</v>
      </c>
      <c r="J46" s="328">
        <f ca="1">IFERROR(I46*8,"")</f>
        <v>1215.2</v>
      </c>
      <c r="K46" s="329">
        <f>IFERROR(_xlfn.XLOOKUP(D46,CostTableLookup[Name],CostTableLookup[Gross Cost]),"")</f>
        <v>146</v>
      </c>
      <c r="L46" s="330">
        <v>270</v>
      </c>
      <c r="M46" s="331">
        <f ca="1">IFERROR(L46*I46,"")</f>
        <v>41013</v>
      </c>
      <c r="N46" s="332"/>
      <c r="O46" s="331">
        <f ca="1">IFERROR(N46*I46,"")</f>
        <v>0</v>
      </c>
      <c r="P46" s="331">
        <f ca="1">IFERROR(M46-O46,"")</f>
        <v>41013</v>
      </c>
      <c r="Q46" s="333">
        <f>IFERROR(N46*K46,"")</f>
        <v>0</v>
      </c>
      <c r="R46" s="334" t="str">
        <f ca="1">IFERROR(((U46+O46)-(V46+Q46))/(U46+O46),"")</f>
        <v/>
      </c>
      <c r="S46" s="335">
        <f ca="1">IFERROR(SUM(OFFSET(Y46,0,MATCH(Forecast_New,$Y$3:$WQ$3,0)-1,1,500))*40,"")</f>
        <v>0</v>
      </c>
      <c r="T46" s="336">
        <f ca="1">IFERROR(S46/8,"")</f>
        <v>0</v>
      </c>
      <c r="U46" s="337">
        <f ca="1">IFERROR($S46*I46,"")</f>
        <v>0</v>
      </c>
      <c r="V46" s="338">
        <f ca="1">IFERROR($S46*K46,"")</f>
        <v>0</v>
      </c>
      <c r="W46" s="339"/>
      <c r="X46" s="343"/>
      <c r="Y46" s="344"/>
      <c r="Z46" s="344"/>
      <c r="AA46" s="344"/>
      <c r="AB46" s="344"/>
      <c r="AC46" s="344"/>
      <c r="AD46" s="344"/>
      <c r="AE46" s="344"/>
      <c r="AF46" s="344"/>
      <c r="AG46" s="344"/>
      <c r="AH46" s="344"/>
      <c r="AI46" s="344"/>
      <c r="AJ46" s="344"/>
      <c r="AK46" s="344"/>
      <c r="AL46" s="344"/>
      <c r="AM46" s="344"/>
      <c r="AN46" s="344"/>
      <c r="AO46" s="344"/>
      <c r="AP46" s="344"/>
      <c r="AQ46" s="344"/>
      <c r="AR46" s="344"/>
      <c r="AS46" s="344"/>
      <c r="AT46" s="344"/>
      <c r="AU46" s="344"/>
      <c r="AV46" s="344"/>
      <c r="AW46" s="344"/>
      <c r="AX46" s="344"/>
      <c r="AY46" s="344"/>
      <c r="AZ46" s="344"/>
      <c r="BA46" s="344"/>
      <c r="BB46" s="344"/>
      <c r="BC46" s="344"/>
      <c r="BD46" s="344"/>
      <c r="BE46" s="344"/>
      <c r="BF46" s="344"/>
      <c r="BG46" s="344"/>
      <c r="BH46" s="344"/>
      <c r="BI46" s="344"/>
      <c r="BJ46" s="344"/>
      <c r="BK46" s="344"/>
      <c r="BL46" s="344"/>
      <c r="BM46" s="344"/>
      <c r="BN46" s="344"/>
      <c r="BO46" s="344"/>
      <c r="BP46" s="344"/>
      <c r="BQ46" s="344"/>
      <c r="BR46" s="344"/>
      <c r="BS46" s="344"/>
      <c r="BT46" s="344"/>
      <c r="BU46" s="344"/>
      <c r="BV46" s="344"/>
      <c r="BW46" s="344"/>
      <c r="BX46" s="344"/>
      <c r="BY46" s="344"/>
      <c r="BZ46" s="344"/>
      <c r="CA46" s="344"/>
      <c r="CB46" s="344"/>
      <c r="CC46" s="344"/>
      <c r="CD46" s="344"/>
      <c r="CE46" s="344"/>
      <c r="CF46" s="344"/>
      <c r="CG46" s="344"/>
      <c r="CH46" s="344"/>
      <c r="CI46" s="344"/>
      <c r="CJ46" s="344"/>
      <c r="CK46" s="344"/>
      <c r="CL46" s="344"/>
      <c r="CM46" s="344"/>
      <c r="CN46" s="344"/>
      <c r="CO46" s="344"/>
      <c r="CP46" s="344"/>
      <c r="CQ46" s="344"/>
      <c r="CR46" s="344"/>
      <c r="CS46" s="344"/>
      <c r="CT46" s="344"/>
      <c r="CU46" s="344"/>
      <c r="CV46" s="344"/>
      <c r="CW46" s="344"/>
      <c r="CX46" s="344"/>
      <c r="CY46" s="344"/>
      <c r="CZ46" s="344"/>
      <c r="DA46" s="344"/>
      <c r="DB46" s="344"/>
      <c r="DC46" s="344"/>
      <c r="DD46" s="344"/>
      <c r="DE46" s="344"/>
      <c r="DF46" s="344"/>
      <c r="DG46" s="344"/>
      <c r="DH46" s="344"/>
      <c r="DI46" s="344"/>
      <c r="DJ46" s="344"/>
      <c r="DK46" s="344"/>
      <c r="DL46" s="344"/>
      <c r="DM46" s="344"/>
      <c r="DN46" s="344"/>
      <c r="DO46" s="344"/>
      <c r="DP46" s="344"/>
      <c r="DQ46" s="344"/>
      <c r="DR46" s="344"/>
      <c r="DS46" s="344"/>
      <c r="DT46" s="344"/>
      <c r="DU46" s="344"/>
      <c r="DV46" s="344"/>
      <c r="DW46" s="344"/>
      <c r="DX46" s="344"/>
      <c r="DY46" s="344"/>
      <c r="DZ46" s="344"/>
      <c r="EA46" s="344"/>
      <c r="EB46" s="344"/>
      <c r="EC46" s="344"/>
      <c r="ED46" s="344"/>
      <c r="EE46" s="344"/>
      <c r="EF46" s="344"/>
      <c r="EG46" s="344"/>
      <c r="EH46" s="344"/>
      <c r="EI46" s="344"/>
      <c r="EJ46" s="344"/>
      <c r="EK46" s="344"/>
      <c r="EL46" s="344"/>
      <c r="EM46" s="344"/>
      <c r="EN46" s="344"/>
      <c r="EO46" s="344"/>
      <c r="EP46" s="344"/>
      <c r="EQ46" s="344"/>
      <c r="ER46" s="344"/>
      <c r="ES46" s="344"/>
      <c r="ET46" s="344"/>
      <c r="EU46" s="344"/>
      <c r="EV46" s="344"/>
      <c r="EW46" s="344"/>
      <c r="EX46" s="344"/>
      <c r="EY46" s="344"/>
      <c r="EZ46" s="344"/>
      <c r="FA46" s="344"/>
      <c r="FB46" s="344"/>
      <c r="FC46" s="344"/>
      <c r="FD46" s="344"/>
      <c r="FE46" s="344"/>
      <c r="FF46" s="344"/>
      <c r="FG46" s="344"/>
      <c r="FH46" s="344"/>
      <c r="FI46" s="344"/>
      <c r="FJ46" s="344"/>
      <c r="FK46" s="344"/>
      <c r="FL46" s="344"/>
      <c r="FM46" s="344"/>
      <c r="FN46" s="344"/>
      <c r="FO46" s="344"/>
      <c r="FP46" s="344"/>
      <c r="FQ46" s="344"/>
      <c r="FR46" s="344"/>
      <c r="FS46" s="344"/>
      <c r="FT46" s="344"/>
      <c r="FU46" s="344"/>
      <c r="FV46" s="344"/>
      <c r="FW46" s="344"/>
      <c r="FX46" s="344"/>
      <c r="FY46" s="344"/>
      <c r="FZ46" s="344"/>
      <c r="GA46" s="344"/>
      <c r="GB46" s="344"/>
      <c r="GC46" s="344"/>
      <c r="GD46" s="344"/>
      <c r="GE46" s="344"/>
      <c r="GF46" s="344"/>
      <c r="GG46" s="344"/>
      <c r="GH46" s="344"/>
      <c r="GI46" s="344"/>
      <c r="GJ46" s="344"/>
      <c r="GK46" s="344"/>
      <c r="GL46" s="344"/>
      <c r="GM46" s="344"/>
      <c r="GN46" s="344"/>
      <c r="GO46" s="344"/>
      <c r="GP46" s="344"/>
      <c r="GQ46" s="344"/>
      <c r="GR46" s="344"/>
      <c r="GS46" s="344"/>
      <c r="GT46" s="344"/>
      <c r="GU46" s="344"/>
      <c r="GV46" s="344"/>
      <c r="GW46" s="344"/>
      <c r="GX46" s="344"/>
      <c r="GY46" s="344"/>
      <c r="GZ46" s="344"/>
      <c r="HA46" s="344"/>
      <c r="HB46" s="344"/>
      <c r="HC46" s="344"/>
      <c r="HD46" s="344"/>
      <c r="HE46" s="344"/>
      <c r="HF46" s="344"/>
      <c r="HG46" s="344"/>
      <c r="HH46" s="344"/>
      <c r="HI46" s="344"/>
      <c r="HJ46" s="344"/>
      <c r="HK46" s="344"/>
      <c r="HL46" s="344"/>
      <c r="HM46" s="344"/>
      <c r="HN46" s="344"/>
      <c r="HO46" s="344"/>
      <c r="HP46" s="344"/>
      <c r="HQ46" s="344"/>
      <c r="HR46" s="344"/>
      <c r="HS46" s="344"/>
      <c r="HT46" s="344"/>
      <c r="HU46" s="344"/>
      <c r="HV46" s="344"/>
      <c r="HW46" s="344"/>
      <c r="HX46" s="344"/>
      <c r="HY46" s="344"/>
      <c r="HZ46" s="344"/>
      <c r="IA46" s="344"/>
      <c r="IB46" s="344"/>
      <c r="IC46" s="344"/>
      <c r="ID46" s="344"/>
      <c r="IE46" s="344"/>
      <c r="IF46" s="344"/>
      <c r="IG46" s="344"/>
      <c r="IH46" s="344"/>
      <c r="II46" s="344"/>
      <c r="IJ46" s="344"/>
      <c r="IK46" s="344"/>
      <c r="IL46" s="344"/>
      <c r="IM46" s="344"/>
      <c r="IN46" s="344"/>
      <c r="IO46" s="344"/>
      <c r="IP46" s="344"/>
      <c r="IQ46" s="344"/>
      <c r="IR46" s="344"/>
      <c r="IS46" s="344"/>
      <c r="IT46" s="344"/>
      <c r="IU46" s="344"/>
      <c r="IV46" s="344"/>
      <c r="IW46" s="344"/>
      <c r="IX46" s="344"/>
      <c r="IY46" s="344"/>
      <c r="IZ46" s="344"/>
      <c r="JA46" s="344"/>
      <c r="JB46" s="344"/>
      <c r="JC46" s="344"/>
      <c r="JD46" s="344"/>
      <c r="JE46" s="344"/>
      <c r="JF46" s="344"/>
      <c r="JG46" s="344"/>
      <c r="JH46" s="344"/>
      <c r="JI46" s="344"/>
      <c r="JJ46" s="344"/>
      <c r="JK46" s="344"/>
      <c r="JL46" s="344"/>
      <c r="JM46" s="344"/>
      <c r="JN46" s="344"/>
    </row>
    <row r="47" spans="1:274" ht="19.5" customHeight="1" x14ac:dyDescent="0.25">
      <c r="B47" s="360" t="s">
        <v>940</v>
      </c>
      <c r="C47" s="323" t="s">
        <v>936</v>
      </c>
      <c r="D47" s="321" t="s">
        <v>317</v>
      </c>
      <c r="E47" s="321" t="s">
        <v>754</v>
      </c>
      <c r="F47" s="324" t="s">
        <v>929</v>
      </c>
      <c r="G47" s="325" cm="1">
        <f t="array" aca="1" ref="G47" ca="1">IFERROR(INDEX(Panel_Rates[[1]:[12]],MATCH(Panel_New&amp;Category_New,Panel_Rates[Panel]&amp;Panel_Rates[Category],0),MATCH('Time Plan (Lacy))'!E47,OFFSET(Variable!$AF$2,MATCH(Panel_New&amp;Category_New,Panel_Rates[Panel]&amp;Panel_Rates[Category],0)-1,0,1,12),0))/8,"")</f>
        <v>395</v>
      </c>
      <c r="H47" s="326">
        <v>0.4</v>
      </c>
      <c r="I47" s="327">
        <f t="shared" ref="I47:I53" ca="1" si="119">IFERROR(G47*(1-H47),"")</f>
        <v>237</v>
      </c>
      <c r="J47" s="328">
        <f ca="1">IFERROR(I47*8,"")</f>
        <v>1896</v>
      </c>
      <c r="K47" s="329">
        <f>IFERROR(_xlfn.XLOOKUP(D47,CostTableLookup[Name],CostTableLookup[Gross Cost]),"")</f>
        <v>198</v>
      </c>
      <c r="L47" s="330">
        <v>140</v>
      </c>
      <c r="M47" s="331">
        <f t="shared" ref="M47:M53" ca="1" si="120">IFERROR(L47*I47,"")</f>
        <v>33180</v>
      </c>
      <c r="N47" s="332"/>
      <c r="O47" s="331">
        <f t="shared" ref="O47:O53" ca="1" si="121">IFERROR(N47*I47,"")</f>
        <v>0</v>
      </c>
      <c r="P47" s="331">
        <f t="shared" ref="P47:P53" ca="1" si="122">IFERROR(M47-O47,"")</f>
        <v>33180</v>
      </c>
      <c r="Q47" s="333">
        <f t="shared" ref="Q47:Q53" si="123">IFERROR(N47*K47,"")</f>
        <v>0</v>
      </c>
      <c r="R47" s="334" t="str">
        <f t="shared" ref="R47:R53" ca="1" si="124">IFERROR(((U47+O47)-(V47+Q47))/(U47+O47),"")</f>
        <v/>
      </c>
      <c r="S47" s="335">
        <f t="shared" ref="S47" ca="1" si="125">IFERROR(SUM(OFFSET(Y47,0,MATCH(Forecast_New,$Y$3:$WQ$3,0)-1,1,500))*40,"")</f>
        <v>0</v>
      </c>
      <c r="T47" s="336">
        <f t="shared" ref="T47:T53" ca="1" si="126">IFERROR(S47/8,"")</f>
        <v>0</v>
      </c>
      <c r="U47" s="337">
        <f t="shared" ref="U47:U53" ca="1" si="127">IFERROR($S47*I47,"")</f>
        <v>0</v>
      </c>
      <c r="V47" s="338">
        <f t="shared" ref="V47:V53" ca="1" si="128">IFERROR($S47*K47,"")</f>
        <v>0</v>
      </c>
      <c r="W47" s="339">
        <f t="shared" ref="W47:W53" ca="1" si="129">IFERROR(M47-(O47+U47),"")</f>
        <v>33180</v>
      </c>
      <c r="X47" s="340">
        <f t="shared" ref="X47:X53" ca="1" si="130">IFERROR(W47/M47,"")</f>
        <v>1</v>
      </c>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341"/>
      <c r="BM47" s="341"/>
      <c r="BN47" s="341"/>
      <c r="BO47" s="341"/>
      <c r="BP47" s="341"/>
      <c r="BQ47" s="341"/>
      <c r="BR47" s="341"/>
      <c r="BS47" s="341"/>
      <c r="BT47" s="341"/>
      <c r="BU47" s="341"/>
      <c r="BV47" s="341"/>
      <c r="BW47" s="341"/>
      <c r="BX47" s="341"/>
      <c r="BY47" s="341"/>
      <c r="BZ47" s="341"/>
      <c r="CA47" s="341"/>
      <c r="CB47" s="341"/>
      <c r="CC47" s="341"/>
      <c r="CD47" s="341"/>
      <c r="CE47" s="341"/>
      <c r="CF47" s="341"/>
      <c r="CG47" s="341"/>
      <c r="CH47" s="341"/>
      <c r="CI47" s="341"/>
      <c r="CJ47" s="341"/>
      <c r="CK47" s="341"/>
      <c r="CL47" s="341"/>
      <c r="CM47" s="341"/>
      <c r="CN47" s="341"/>
      <c r="CO47" s="341"/>
      <c r="CP47" s="341"/>
      <c r="CQ47" s="341"/>
      <c r="CR47" s="341"/>
      <c r="CS47" s="341"/>
      <c r="CT47" s="341"/>
      <c r="CU47" s="341"/>
      <c r="CV47" s="341"/>
      <c r="CW47" s="341"/>
      <c r="CX47" s="341"/>
      <c r="CY47" s="341"/>
      <c r="CZ47" s="341"/>
      <c r="DA47" s="341"/>
      <c r="DB47" s="341"/>
      <c r="DC47" s="341"/>
      <c r="DD47" s="341"/>
      <c r="DE47" s="341"/>
      <c r="DF47" s="341"/>
      <c r="DG47" s="341"/>
      <c r="DH47" s="341"/>
      <c r="DI47" s="341"/>
      <c r="DJ47" s="341"/>
      <c r="DK47" s="341"/>
      <c r="DL47" s="341"/>
      <c r="DM47" s="341"/>
      <c r="DN47" s="341"/>
      <c r="DO47" s="341"/>
      <c r="DP47" s="341"/>
      <c r="DQ47" s="341"/>
      <c r="DR47" s="341"/>
      <c r="DS47" s="341"/>
      <c r="DT47" s="341"/>
      <c r="DU47" s="341"/>
      <c r="DV47" s="341"/>
      <c r="DW47" s="341"/>
      <c r="DX47" s="341"/>
      <c r="DY47" s="341"/>
      <c r="DZ47" s="341"/>
      <c r="EA47" s="341"/>
      <c r="EB47" s="341"/>
      <c r="EC47" s="341"/>
      <c r="ED47" s="341"/>
      <c r="EE47" s="341"/>
      <c r="EF47" s="341"/>
      <c r="EG47" s="341"/>
      <c r="EH47" s="341"/>
      <c r="EI47" s="341"/>
      <c r="EJ47" s="341"/>
      <c r="EK47" s="341"/>
      <c r="EL47" s="341"/>
      <c r="EM47" s="341"/>
      <c r="EN47" s="341"/>
      <c r="EO47" s="341"/>
      <c r="EP47" s="341"/>
      <c r="EQ47" s="341"/>
      <c r="ER47" s="341"/>
      <c r="ES47" s="341"/>
      <c r="ET47" s="341"/>
      <c r="EU47" s="341"/>
      <c r="EV47" s="341"/>
      <c r="EW47" s="341"/>
      <c r="EX47" s="341"/>
      <c r="EY47" s="341"/>
      <c r="EZ47" s="341"/>
      <c r="FA47" s="341"/>
      <c r="FB47" s="341"/>
      <c r="FC47" s="341"/>
      <c r="FD47" s="341"/>
      <c r="FE47" s="341"/>
      <c r="FF47" s="341"/>
      <c r="FG47" s="341"/>
      <c r="FH47" s="341"/>
      <c r="FI47" s="341"/>
      <c r="FJ47" s="341"/>
      <c r="FK47" s="341"/>
      <c r="FL47" s="341"/>
      <c r="FM47" s="341"/>
      <c r="FN47" s="341"/>
      <c r="FO47" s="341"/>
      <c r="FP47" s="341"/>
      <c r="FQ47" s="341"/>
      <c r="FR47" s="341"/>
      <c r="FS47" s="341"/>
      <c r="FT47" s="341"/>
      <c r="FU47" s="341"/>
      <c r="FV47" s="341"/>
      <c r="FW47" s="341"/>
      <c r="FX47" s="341"/>
      <c r="FY47" s="341"/>
      <c r="FZ47" s="341"/>
      <c r="GA47" s="341"/>
      <c r="GB47" s="341"/>
      <c r="GC47" s="341"/>
      <c r="GD47" s="341"/>
      <c r="GE47" s="341"/>
      <c r="GF47" s="341"/>
      <c r="GG47" s="341"/>
      <c r="GH47" s="341"/>
      <c r="GI47" s="341"/>
      <c r="GJ47" s="341"/>
      <c r="GK47" s="341"/>
      <c r="GL47" s="341"/>
      <c r="GM47" s="341"/>
      <c r="GN47" s="341"/>
      <c r="GO47" s="341"/>
      <c r="GP47" s="341"/>
      <c r="GQ47" s="341"/>
      <c r="GR47" s="341"/>
      <c r="GS47" s="341"/>
      <c r="GT47" s="341"/>
      <c r="GU47" s="341"/>
      <c r="GV47" s="341"/>
      <c r="GW47" s="341"/>
      <c r="GX47" s="341"/>
      <c r="GY47" s="341"/>
      <c r="GZ47" s="341"/>
      <c r="HA47" s="341"/>
      <c r="HB47" s="341"/>
      <c r="HC47" s="341"/>
      <c r="HD47" s="341"/>
      <c r="HE47" s="341"/>
      <c r="HF47" s="341"/>
      <c r="HG47" s="341"/>
      <c r="HH47" s="341"/>
      <c r="HI47" s="341"/>
      <c r="HJ47" s="341"/>
      <c r="HK47" s="341"/>
      <c r="HL47" s="341"/>
      <c r="HM47" s="341"/>
      <c r="HN47" s="341"/>
      <c r="HO47" s="341"/>
      <c r="HP47" s="341"/>
      <c r="HQ47" s="341"/>
      <c r="HR47" s="341"/>
      <c r="HS47" s="341"/>
      <c r="HT47" s="341"/>
      <c r="HU47" s="341"/>
      <c r="HV47" s="341"/>
      <c r="HW47" s="341"/>
      <c r="HX47" s="341"/>
      <c r="HY47" s="341"/>
      <c r="HZ47" s="341"/>
      <c r="IA47" s="341"/>
      <c r="IB47" s="341"/>
      <c r="IC47" s="341"/>
      <c r="ID47" s="341"/>
      <c r="IE47" s="341"/>
      <c r="IF47" s="341"/>
      <c r="IG47" s="341"/>
      <c r="IH47" s="341"/>
      <c r="II47" s="341"/>
      <c r="IJ47" s="341"/>
      <c r="IK47" s="341"/>
      <c r="IL47" s="341"/>
      <c r="IM47" s="341"/>
      <c r="IN47" s="341"/>
      <c r="IO47" s="341"/>
      <c r="IP47" s="341"/>
      <c r="IQ47" s="341"/>
      <c r="IR47" s="341"/>
      <c r="IS47" s="341"/>
      <c r="IT47" s="341"/>
      <c r="IU47" s="341"/>
      <c r="IV47" s="341"/>
      <c r="IW47" s="341"/>
      <c r="IX47" s="341"/>
      <c r="IY47" s="341"/>
      <c r="IZ47" s="341"/>
      <c r="JA47" s="341"/>
      <c r="JB47" s="341"/>
      <c r="JC47" s="341"/>
      <c r="JD47" s="341"/>
      <c r="JE47" s="341"/>
      <c r="JF47" s="341"/>
      <c r="JG47" s="341"/>
      <c r="JH47" s="341"/>
      <c r="JI47" s="341"/>
      <c r="JJ47" s="341"/>
      <c r="JK47" s="341"/>
      <c r="JL47" s="341"/>
      <c r="JM47" s="341"/>
      <c r="JN47" s="341"/>
    </row>
    <row r="48" spans="1:274" ht="19.5" customHeight="1" x14ac:dyDescent="0.25">
      <c r="B48" s="360" t="s">
        <v>940</v>
      </c>
      <c r="C48" s="323" t="s">
        <v>936</v>
      </c>
      <c r="D48" s="321" t="s">
        <v>126</v>
      </c>
      <c r="E48" s="321" t="s">
        <v>752</v>
      </c>
      <c r="F48" s="324" t="s">
        <v>852</v>
      </c>
      <c r="G48" s="325" cm="1">
        <f t="array" aca="1" ref="G48" ca="1">IFERROR(INDEX(Panel_Rates[[1]:[12]],MATCH(Panel_New&amp;Category_New,Panel_Rates[Panel]&amp;Panel_Rates[Category],0),MATCH('Time Plan (Lacy))'!E48,OFFSET(Variable!$AF$2,MATCH(Panel_New&amp;Category_New,Panel_Rates[Panel]&amp;Panel_Rates[Category],0)-1,0,1,12),0))/8,"")</f>
        <v>245</v>
      </c>
      <c r="H48" s="326">
        <v>0.38</v>
      </c>
      <c r="I48" s="327">
        <f t="shared" ca="1" si="119"/>
        <v>151.9</v>
      </c>
      <c r="J48" s="328">
        <f t="shared" ref="J48:J53" ca="1" si="131">IFERROR(I48*8,"")</f>
        <v>1215.2</v>
      </c>
      <c r="K48" s="329">
        <f>IFERROR(_xlfn.XLOOKUP(D48,CostTableLookup[Name],CostTableLookup[Gross Cost]),"")</f>
        <v>146</v>
      </c>
      <c r="L48" s="330">
        <v>232</v>
      </c>
      <c r="M48" s="331">
        <f t="shared" ca="1" si="120"/>
        <v>35240.800000000003</v>
      </c>
      <c r="N48" s="332"/>
      <c r="O48" s="331">
        <f t="shared" ca="1" si="121"/>
        <v>0</v>
      </c>
      <c r="P48" s="331">
        <f t="shared" ca="1" si="122"/>
        <v>35240.800000000003</v>
      </c>
      <c r="Q48" s="333">
        <f t="shared" si="123"/>
        <v>0</v>
      </c>
      <c r="R48" s="334">
        <f t="shared" ca="1" si="124"/>
        <v>3.8841342988808425E-2</v>
      </c>
      <c r="S48" s="335">
        <f t="shared" ref="S48" ca="1" si="132">IFERROR(SUM(OFFSET(Y48,0,MATCH(Forecast_New,$Y$3:$WQ$3,0)-1,1,500))*40,"")</f>
        <v>80</v>
      </c>
      <c r="T48" s="336">
        <f t="shared" ca="1" si="126"/>
        <v>10</v>
      </c>
      <c r="U48" s="337">
        <f t="shared" ca="1" si="127"/>
        <v>12152</v>
      </c>
      <c r="V48" s="338">
        <f t="shared" ca="1" si="128"/>
        <v>11680</v>
      </c>
      <c r="W48" s="339">
        <f t="shared" ca="1" si="129"/>
        <v>23088.800000000003</v>
      </c>
      <c r="X48" s="340">
        <f t="shared" ca="1" si="130"/>
        <v>0.65517241379310343</v>
      </c>
      <c r="Y48" s="341"/>
      <c r="Z48" s="341"/>
      <c r="AA48" s="341"/>
      <c r="AB48" s="341"/>
      <c r="AC48" s="341"/>
      <c r="AD48" s="341"/>
      <c r="AE48" s="341"/>
      <c r="AF48" s="341"/>
      <c r="AG48" s="341"/>
      <c r="AH48" s="341"/>
      <c r="AI48" s="341"/>
      <c r="AJ48" s="341"/>
      <c r="AK48" s="341"/>
      <c r="AL48" s="341"/>
      <c r="AM48" s="341"/>
      <c r="AN48" s="341">
        <v>0.5</v>
      </c>
      <c r="AO48" s="341">
        <v>0.5</v>
      </c>
      <c r="AP48" s="341">
        <v>0.5</v>
      </c>
      <c r="AQ48" s="341">
        <v>0.5</v>
      </c>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1"/>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41"/>
      <c r="CL48" s="341"/>
      <c r="CM48" s="341"/>
      <c r="CN48" s="341"/>
      <c r="CO48" s="341"/>
      <c r="CP48" s="341"/>
      <c r="CQ48" s="341"/>
      <c r="CR48" s="341"/>
      <c r="CS48" s="341"/>
      <c r="CT48" s="341"/>
      <c r="CU48" s="341"/>
      <c r="CV48" s="341"/>
      <c r="CW48" s="341"/>
      <c r="CX48" s="341"/>
      <c r="CY48" s="341"/>
      <c r="CZ48" s="341"/>
      <c r="DA48" s="341"/>
      <c r="DB48" s="341"/>
      <c r="DC48" s="341"/>
      <c r="DD48" s="341"/>
      <c r="DE48" s="341"/>
      <c r="DF48" s="341"/>
      <c r="DG48" s="341"/>
      <c r="DH48" s="341"/>
      <c r="DI48" s="341"/>
      <c r="DJ48" s="341"/>
      <c r="DK48" s="341"/>
      <c r="DL48" s="341"/>
      <c r="DM48" s="341"/>
      <c r="DN48" s="341"/>
      <c r="DO48" s="341"/>
      <c r="DP48" s="341"/>
      <c r="DQ48" s="341"/>
      <c r="DR48" s="341"/>
      <c r="DS48" s="341"/>
      <c r="DT48" s="341"/>
      <c r="DU48" s="341"/>
      <c r="DV48" s="341"/>
      <c r="DW48" s="341"/>
      <c r="DX48" s="341"/>
      <c r="DY48" s="341"/>
      <c r="DZ48" s="341"/>
      <c r="EA48" s="341"/>
      <c r="EB48" s="341"/>
      <c r="EC48" s="341"/>
      <c r="ED48" s="341"/>
      <c r="EE48" s="341"/>
      <c r="EF48" s="341"/>
      <c r="EG48" s="341"/>
      <c r="EH48" s="341"/>
      <c r="EI48" s="341"/>
      <c r="EJ48" s="341"/>
      <c r="EK48" s="341"/>
      <c r="EL48" s="341"/>
      <c r="EM48" s="341"/>
      <c r="EN48" s="341"/>
      <c r="EO48" s="341"/>
      <c r="EP48" s="341"/>
      <c r="EQ48" s="341"/>
      <c r="ER48" s="341"/>
      <c r="ES48" s="341"/>
      <c r="ET48" s="341"/>
      <c r="EU48" s="341"/>
      <c r="EV48" s="341"/>
      <c r="EW48" s="341"/>
      <c r="EX48" s="341"/>
      <c r="EY48" s="341"/>
      <c r="EZ48" s="341"/>
      <c r="FA48" s="341"/>
      <c r="FB48" s="341"/>
      <c r="FC48" s="341"/>
      <c r="FD48" s="341"/>
      <c r="FE48" s="341"/>
      <c r="FF48" s="341"/>
      <c r="FG48" s="341"/>
      <c r="FH48" s="341"/>
      <c r="FI48" s="341"/>
      <c r="FJ48" s="341"/>
      <c r="FK48" s="341"/>
      <c r="FL48" s="341"/>
      <c r="FM48" s="341"/>
      <c r="FN48" s="341"/>
      <c r="FO48" s="341"/>
      <c r="FP48" s="341"/>
      <c r="FQ48" s="341"/>
      <c r="FR48" s="341"/>
      <c r="FS48" s="341"/>
      <c r="FT48" s="341"/>
      <c r="FU48" s="341"/>
      <c r="FV48" s="341"/>
      <c r="FW48" s="341"/>
      <c r="FX48" s="341"/>
      <c r="FY48" s="341"/>
      <c r="FZ48" s="341"/>
      <c r="GA48" s="341"/>
      <c r="GB48" s="341"/>
      <c r="GC48" s="341"/>
      <c r="GD48" s="341"/>
      <c r="GE48" s="341"/>
      <c r="GF48" s="341"/>
      <c r="GG48" s="341"/>
      <c r="GH48" s="341"/>
      <c r="GI48" s="341"/>
      <c r="GJ48" s="341"/>
      <c r="GK48" s="341"/>
      <c r="GL48" s="341"/>
      <c r="GM48" s="341"/>
      <c r="GN48" s="341"/>
      <c r="GO48" s="341"/>
      <c r="GP48" s="341"/>
      <c r="GQ48" s="341"/>
      <c r="GR48" s="341"/>
      <c r="GS48" s="341"/>
      <c r="GT48" s="341"/>
      <c r="GU48" s="341"/>
      <c r="GV48" s="341"/>
      <c r="GW48" s="341"/>
      <c r="GX48" s="341"/>
      <c r="GY48" s="341"/>
      <c r="GZ48" s="341"/>
      <c r="HA48" s="341"/>
      <c r="HB48" s="341"/>
      <c r="HC48" s="341"/>
      <c r="HD48" s="341"/>
      <c r="HE48" s="341"/>
      <c r="HF48" s="341"/>
      <c r="HG48" s="341"/>
      <c r="HH48" s="341"/>
      <c r="HI48" s="341"/>
      <c r="HJ48" s="341"/>
      <c r="HK48" s="341"/>
      <c r="HL48" s="341"/>
      <c r="HM48" s="341"/>
      <c r="HN48" s="341"/>
      <c r="HO48" s="341"/>
      <c r="HP48" s="341"/>
      <c r="HQ48" s="341"/>
      <c r="HR48" s="341"/>
      <c r="HS48" s="341"/>
      <c r="HT48" s="341"/>
      <c r="HU48" s="341"/>
      <c r="HV48" s="341"/>
      <c r="HW48" s="341"/>
      <c r="HX48" s="341"/>
      <c r="HY48" s="341"/>
      <c r="HZ48" s="341"/>
      <c r="IA48" s="341"/>
      <c r="IB48" s="341"/>
      <c r="IC48" s="341"/>
      <c r="ID48" s="341"/>
      <c r="IE48" s="341"/>
      <c r="IF48" s="341"/>
      <c r="IG48" s="341"/>
      <c r="IH48" s="341"/>
      <c r="II48" s="341"/>
      <c r="IJ48" s="341"/>
      <c r="IK48" s="341"/>
      <c r="IL48" s="341"/>
      <c r="IM48" s="341"/>
      <c r="IN48" s="341"/>
      <c r="IO48" s="341"/>
      <c r="IP48" s="341"/>
      <c r="IQ48" s="341"/>
      <c r="IR48" s="341"/>
      <c r="IS48" s="341"/>
      <c r="IT48" s="341"/>
      <c r="IU48" s="341"/>
      <c r="IV48" s="341"/>
      <c r="IW48" s="341"/>
      <c r="IX48" s="341"/>
      <c r="IY48" s="341"/>
      <c r="IZ48" s="341"/>
      <c r="JA48" s="341"/>
      <c r="JB48" s="341"/>
      <c r="JC48" s="341"/>
      <c r="JD48" s="341"/>
      <c r="JE48" s="341"/>
      <c r="JF48" s="341"/>
      <c r="JG48" s="341"/>
      <c r="JH48" s="341"/>
      <c r="JI48" s="341"/>
      <c r="JJ48" s="341"/>
      <c r="JK48" s="341"/>
      <c r="JL48" s="341"/>
      <c r="JM48" s="341"/>
      <c r="JN48" s="341"/>
    </row>
    <row r="49" spans="2:274" ht="19.5" customHeight="1" x14ac:dyDescent="0.25">
      <c r="B49" s="360" t="s">
        <v>940</v>
      </c>
      <c r="C49" s="323" t="s">
        <v>936</v>
      </c>
      <c r="D49" s="321" t="s">
        <v>756</v>
      </c>
      <c r="E49" s="321" t="s">
        <v>753</v>
      </c>
      <c r="F49" s="324" t="s">
        <v>930</v>
      </c>
      <c r="G49" s="325" cm="1">
        <f t="array" aca="1" ref="G49" ca="1">IFERROR(INDEX(Panel_Rates[[1]:[12]],MATCH(Panel_New&amp;Category_New,Panel_Rates[Panel]&amp;Panel_Rates[Category],0),MATCH('Time Plan (Lacy))'!E49,OFFSET(Variable!$AF$2,MATCH(Panel_New&amp;Category_New,Panel_Rates[Panel]&amp;Panel_Rates[Category],0)-1,0,1,12),0))/8,"")</f>
        <v>305</v>
      </c>
      <c r="H49" s="326">
        <v>0.32</v>
      </c>
      <c r="I49" s="327">
        <f t="shared" ca="1" si="119"/>
        <v>207.39999999999998</v>
      </c>
      <c r="J49" s="328">
        <f t="shared" ca="1" si="131"/>
        <v>1659.1999999999998</v>
      </c>
      <c r="K49" s="329">
        <f>IFERROR(_xlfn.XLOOKUP(D49,CostTableLookup[Name],CostTableLookup[Gross Cost]),"")</f>
        <v>170.96</v>
      </c>
      <c r="L49" s="330">
        <v>380</v>
      </c>
      <c r="M49" s="331">
        <f t="shared" ca="1" si="120"/>
        <v>78811.999999999985</v>
      </c>
      <c r="N49" s="332"/>
      <c r="O49" s="331">
        <f t="shared" ca="1" si="121"/>
        <v>0</v>
      </c>
      <c r="P49" s="331">
        <f t="shared" ca="1" si="122"/>
        <v>78811.999999999985</v>
      </c>
      <c r="Q49" s="333">
        <f t="shared" si="123"/>
        <v>0</v>
      </c>
      <c r="R49" s="334" t="str">
        <f t="shared" ca="1" si="124"/>
        <v/>
      </c>
      <c r="S49" s="335">
        <f t="shared" ref="S49" ca="1" si="133">IFERROR(SUM(OFFSET(Y49,0,MATCH(Forecast_New,$Y$3:$WQ$3,0)-1,1,500))*40,"")</f>
        <v>0</v>
      </c>
      <c r="T49" s="336">
        <f t="shared" ca="1" si="126"/>
        <v>0</v>
      </c>
      <c r="U49" s="337">
        <f t="shared" ca="1" si="127"/>
        <v>0</v>
      </c>
      <c r="V49" s="338">
        <f t="shared" ca="1" si="128"/>
        <v>0</v>
      </c>
      <c r="W49" s="339">
        <f t="shared" ca="1" si="129"/>
        <v>78811.999999999985</v>
      </c>
      <c r="X49" s="340">
        <f t="shared" ca="1" si="130"/>
        <v>1</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25">
      <c r="B50" s="360" t="s">
        <v>940</v>
      </c>
      <c r="C50" s="323" t="s">
        <v>936</v>
      </c>
      <c r="D50" s="321" t="s">
        <v>447</v>
      </c>
      <c r="E50" s="321" t="s">
        <v>753</v>
      </c>
      <c r="F50" s="324" t="s">
        <v>931</v>
      </c>
      <c r="G50" s="325" cm="1">
        <f t="array" aca="1" ref="G50" ca="1">IFERROR(INDEX(Panel_Rates[[1]:[12]],MATCH(Panel_New&amp;Category_New,Panel_Rates[Panel]&amp;Panel_Rates[Category],0),MATCH('Time Plan (Lacy))'!E50,OFFSET(Variable!$AF$2,MATCH(Panel_New&amp;Category_New,Panel_Rates[Panel]&amp;Panel_Rates[Category],0)-1,0,1,12),0))/8,"")</f>
        <v>305</v>
      </c>
      <c r="H50" s="326">
        <v>0.38</v>
      </c>
      <c r="I50" s="327">
        <f t="shared" ca="1" si="119"/>
        <v>189.1</v>
      </c>
      <c r="J50" s="328">
        <f t="shared" ca="1" si="131"/>
        <v>1512.8</v>
      </c>
      <c r="K50" s="329">
        <f>IFERROR(_xlfn.XLOOKUP(D50,CostTableLookup[Name],CostTableLookup[Gross Cost]),"")</f>
        <v>151</v>
      </c>
      <c r="L50" s="330">
        <v>520</v>
      </c>
      <c r="M50" s="331">
        <f t="shared" ca="1" si="120"/>
        <v>98332</v>
      </c>
      <c r="N50" s="332"/>
      <c r="O50" s="331">
        <f t="shared" ca="1" si="121"/>
        <v>0</v>
      </c>
      <c r="P50" s="331">
        <f t="shared" ca="1" si="122"/>
        <v>98332</v>
      </c>
      <c r="Q50" s="333">
        <f t="shared" si="123"/>
        <v>0</v>
      </c>
      <c r="R50" s="334">
        <f t="shared" ca="1" si="124"/>
        <v>0.2014806980433633</v>
      </c>
      <c r="S50" s="335">
        <f t="shared" ref="S50" ca="1" si="134">IFERROR(SUM(OFFSET(Y50,0,MATCH(Forecast_New,$Y$3:$WQ$3,0)-1,1,500))*40,"")</f>
        <v>160</v>
      </c>
      <c r="T50" s="336">
        <f t="shared" ca="1" si="126"/>
        <v>20</v>
      </c>
      <c r="U50" s="337">
        <f t="shared" ca="1" si="127"/>
        <v>30256</v>
      </c>
      <c r="V50" s="338">
        <f t="shared" ca="1" si="128"/>
        <v>24160</v>
      </c>
      <c r="W50" s="339">
        <f t="shared" ca="1" si="129"/>
        <v>68076</v>
      </c>
      <c r="X50" s="340">
        <f t="shared" ca="1" si="130"/>
        <v>0.69230769230769229</v>
      </c>
      <c r="Y50" s="341"/>
      <c r="Z50" s="341"/>
      <c r="AA50" s="341"/>
      <c r="AB50" s="341"/>
      <c r="AC50" s="341"/>
      <c r="AD50" s="341"/>
      <c r="AE50" s="341"/>
      <c r="AF50" s="341"/>
      <c r="AG50" s="341"/>
      <c r="AH50" s="341"/>
      <c r="AI50" s="341"/>
      <c r="AJ50" s="341"/>
      <c r="AK50" s="341"/>
      <c r="AL50" s="341"/>
      <c r="AM50" s="341"/>
      <c r="AN50" s="341">
        <v>1</v>
      </c>
      <c r="AO50" s="341">
        <v>1</v>
      </c>
      <c r="AP50" s="341">
        <v>1</v>
      </c>
      <c r="AQ50" s="341">
        <v>1</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25">
      <c r="B51" s="360" t="s">
        <v>940</v>
      </c>
      <c r="C51" s="384" t="s">
        <v>936</v>
      </c>
      <c r="D51" s="385" t="s">
        <v>122</v>
      </c>
      <c r="E51" s="321" t="s">
        <v>752</v>
      </c>
      <c r="F51" s="324" t="s">
        <v>931</v>
      </c>
      <c r="G51" s="325" cm="1">
        <f t="array" aca="1" ref="G51" ca="1">IFERROR(INDEX(Panel_Rates[[1]:[12]],MATCH(Panel_New&amp;Category_New,Panel_Rates[Panel]&amp;Panel_Rates[Category],0),MATCH('Time Plan (Lacy))'!E51,OFFSET(Variable!$AF$2,MATCH(Panel_New&amp;Category_New,Panel_Rates[Panel]&amp;Panel_Rates[Category],0)-1,0,1,12),0))/8,"")</f>
        <v>245</v>
      </c>
      <c r="H51" s="326">
        <v>1</v>
      </c>
      <c r="I51" s="327">
        <f t="shared" ca="1" si="119"/>
        <v>0</v>
      </c>
      <c r="J51" s="328">
        <f t="shared" ca="1" si="131"/>
        <v>0</v>
      </c>
      <c r="K51" s="329">
        <v>0</v>
      </c>
      <c r="L51" s="330">
        <v>120</v>
      </c>
      <c r="M51" s="331">
        <f t="shared" ca="1" si="120"/>
        <v>0</v>
      </c>
      <c r="N51" s="332"/>
      <c r="O51" s="331">
        <f t="shared" ca="1" si="121"/>
        <v>0</v>
      </c>
      <c r="P51" s="331">
        <f t="shared" ca="1" si="122"/>
        <v>0</v>
      </c>
      <c r="Q51" s="333">
        <f t="shared" si="123"/>
        <v>0</v>
      </c>
      <c r="R51" s="334" t="str">
        <f t="shared" ca="1" si="124"/>
        <v/>
      </c>
      <c r="S51" s="335">
        <f t="shared" ref="S51" ca="1" si="135">IFERROR(SUM(OFFSET(Y51,0,MATCH(Forecast_New,$Y$3:$WQ$3,0)-1,1,500))*40,"")</f>
        <v>160</v>
      </c>
      <c r="T51" s="336">
        <f t="shared" ca="1" si="126"/>
        <v>20</v>
      </c>
      <c r="U51" s="337">
        <f t="shared" ca="1" si="127"/>
        <v>0</v>
      </c>
      <c r="V51" s="338">
        <f t="shared" ca="1" si="128"/>
        <v>0</v>
      </c>
      <c r="W51" s="339">
        <f t="shared" ca="1" si="129"/>
        <v>0</v>
      </c>
      <c r="X51" s="340" t="str">
        <f t="shared" ca="1" si="130"/>
        <v/>
      </c>
      <c r="Y51" s="341"/>
      <c r="Z51" s="341"/>
      <c r="AA51" s="341"/>
      <c r="AB51" s="341"/>
      <c r="AC51" s="341"/>
      <c r="AD51" s="341"/>
      <c r="AE51" s="341"/>
      <c r="AF51" s="341"/>
      <c r="AG51" s="341"/>
      <c r="AH51" s="341"/>
      <c r="AI51" s="341"/>
      <c r="AJ51" s="341"/>
      <c r="AK51" s="341"/>
      <c r="AL51" s="341"/>
      <c r="AM51" s="341"/>
      <c r="AN51" s="341">
        <v>1</v>
      </c>
      <c r="AO51" s="341">
        <v>1</v>
      </c>
      <c r="AP51" s="341">
        <v>1</v>
      </c>
      <c r="AQ51" s="341">
        <v>1</v>
      </c>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25">
      <c r="B52" s="360" t="s">
        <v>940</v>
      </c>
      <c r="C52" s="323" t="s">
        <v>936</v>
      </c>
      <c r="D52" s="321" t="s">
        <v>731</v>
      </c>
      <c r="E52" s="321" t="s">
        <v>752</v>
      </c>
      <c r="F52" s="324" t="s">
        <v>931</v>
      </c>
      <c r="G52" s="325" cm="1">
        <f t="array" aca="1" ref="G52" ca="1">IFERROR(INDEX(Panel_Rates[[1]:[12]],MATCH(Panel_New&amp;Category_New,Panel_Rates[Panel]&amp;Panel_Rates[Category],0),MATCH('Time Plan (Lacy))'!E52,OFFSET(Variable!$AF$2,MATCH(Panel_New&amp;Category_New,Panel_Rates[Panel]&amp;Panel_Rates[Category],0)-1,0,1,12),0))/8,"")</f>
        <v>245</v>
      </c>
      <c r="H52" s="326">
        <v>0.38</v>
      </c>
      <c r="I52" s="327">
        <f t="shared" ca="1" si="119"/>
        <v>151.9</v>
      </c>
      <c r="J52" s="328">
        <f t="shared" ca="1" si="131"/>
        <v>1215.2</v>
      </c>
      <c r="K52" s="329">
        <f>IFERROR(_xlfn.XLOOKUP(D52,CostTableLookup[Name],CostTableLookup[Gross Cost]),"")</f>
        <v>151</v>
      </c>
      <c r="L52" s="330">
        <v>120</v>
      </c>
      <c r="M52" s="331">
        <f t="shared" ca="1" si="120"/>
        <v>18228</v>
      </c>
      <c r="N52" s="332"/>
      <c r="O52" s="331">
        <f t="shared" ca="1" si="121"/>
        <v>0</v>
      </c>
      <c r="P52" s="331">
        <f t="shared" ca="1" si="122"/>
        <v>18228</v>
      </c>
      <c r="Q52" s="333">
        <f t="shared" si="123"/>
        <v>0</v>
      </c>
      <c r="R52" s="334">
        <f t="shared" ca="1" si="124"/>
        <v>5.9249506254114553E-3</v>
      </c>
      <c r="S52" s="335">
        <f t="shared" ref="S52" ca="1" si="136">IFERROR(SUM(OFFSET(Y52,0,MATCH(Forecast_New,$Y$3:$WQ$3,0)-1,1,500))*40,"")</f>
        <v>160</v>
      </c>
      <c r="T52" s="336">
        <f t="shared" ca="1" si="126"/>
        <v>20</v>
      </c>
      <c r="U52" s="337">
        <f t="shared" ca="1" si="127"/>
        <v>24304</v>
      </c>
      <c r="V52" s="338">
        <f t="shared" ca="1" si="128"/>
        <v>24160</v>
      </c>
      <c r="W52" s="339">
        <f t="shared" ca="1" si="129"/>
        <v>-6076</v>
      </c>
      <c r="X52" s="340">
        <f t="shared" ca="1" si="130"/>
        <v>-0.33333333333333331</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s="345" customFormat="1" ht="19.5" customHeight="1" x14ac:dyDescent="0.25">
      <c r="B53" s="360" t="s">
        <v>940</v>
      </c>
      <c r="C53" s="362" t="s">
        <v>936</v>
      </c>
      <c r="D53" s="345" t="s">
        <v>606</v>
      </c>
      <c r="E53" s="321" t="s">
        <v>752</v>
      </c>
      <c r="F53" s="363" t="s">
        <v>937</v>
      </c>
      <c r="G53" s="364" cm="1">
        <f t="array" aca="1" ref="G53" ca="1">IFERROR(INDEX(Panel_Rates[[1]:[12]],MATCH(Panel_New&amp;Category_New,Panel_Rates[Panel]&amp;Panel_Rates[Category],0),MATCH('Time Plan (Lacy))'!E53,OFFSET(Variable!$AF$2,MATCH(Panel_New&amp;Category_New,Panel_Rates[Panel]&amp;Panel_Rates[Category],0)-1,0,1,12),0))/8,"")</f>
        <v>245</v>
      </c>
      <c r="H53" s="326">
        <v>0.38</v>
      </c>
      <c r="I53" s="365">
        <f t="shared" ca="1" si="119"/>
        <v>151.9</v>
      </c>
      <c r="J53" s="350">
        <f t="shared" ca="1" si="131"/>
        <v>1215.2</v>
      </c>
      <c r="K53" s="366">
        <f>IFERROR(_xlfn.XLOOKUP(D53,CostTableLookup[Name],CostTableLookup[Gross Cost]),"")</f>
        <v>161</v>
      </c>
      <c r="L53" s="367">
        <v>220</v>
      </c>
      <c r="M53" s="368">
        <f t="shared" ca="1" si="120"/>
        <v>33418</v>
      </c>
      <c r="N53" s="369"/>
      <c r="O53" s="368">
        <f t="shared" ca="1" si="121"/>
        <v>0</v>
      </c>
      <c r="P53" s="368">
        <f t="shared" ca="1" si="122"/>
        <v>33418</v>
      </c>
      <c r="Q53" s="370">
        <f t="shared" si="123"/>
        <v>0</v>
      </c>
      <c r="R53" s="371">
        <f t="shared" ca="1" si="124"/>
        <v>-5.9907834101382486E-2</v>
      </c>
      <c r="S53" s="335">
        <f ca="1">IFERROR(SUM(OFFSET(Y53,0,MATCH(Forecast_New,$Y$3:$WQ$3,0)-1,1,500))*40,"")</f>
        <v>160</v>
      </c>
      <c r="T53" s="372">
        <f t="shared" ca="1" si="126"/>
        <v>20</v>
      </c>
      <c r="U53" s="373">
        <f t="shared" ca="1" si="127"/>
        <v>24304</v>
      </c>
      <c r="V53" s="358">
        <f t="shared" ca="1" si="128"/>
        <v>25760</v>
      </c>
      <c r="W53" s="374">
        <f t="shared" ca="1" si="129"/>
        <v>9114</v>
      </c>
      <c r="X53" s="375">
        <f t="shared" ca="1" si="130"/>
        <v>0.27272727272727271</v>
      </c>
      <c r="Y53" s="376"/>
      <c r="Z53" s="376"/>
      <c r="AA53" s="376"/>
      <c r="AB53" s="376"/>
      <c r="AC53" s="376"/>
      <c r="AD53" s="376"/>
      <c r="AE53" s="376"/>
      <c r="AF53" s="376"/>
      <c r="AG53" s="376"/>
      <c r="AH53" s="376"/>
      <c r="AI53" s="376"/>
      <c r="AJ53" s="376"/>
      <c r="AK53" s="376"/>
      <c r="AL53" s="376"/>
      <c r="AM53" s="376"/>
      <c r="AN53" s="376">
        <v>1</v>
      </c>
      <c r="AO53" s="376">
        <v>1</v>
      </c>
      <c r="AP53" s="376">
        <v>1</v>
      </c>
      <c r="AQ53" s="376">
        <v>1</v>
      </c>
      <c r="AR53" s="376"/>
      <c r="AS53" s="376"/>
      <c r="AT53" s="376"/>
      <c r="AU53" s="376"/>
      <c r="AV53" s="376"/>
      <c r="AW53" s="376"/>
      <c r="AX53" s="376"/>
      <c r="AY53" s="376"/>
      <c r="AZ53" s="376"/>
      <c r="BA53" s="376"/>
      <c r="BB53" s="376"/>
      <c r="BC53" s="376"/>
      <c r="BD53" s="376"/>
      <c r="BE53" s="376"/>
      <c r="BF53" s="376"/>
      <c r="BG53" s="376"/>
      <c r="BH53" s="376"/>
      <c r="BI53" s="376"/>
      <c r="BJ53" s="376"/>
      <c r="BK53" s="376"/>
      <c r="BL53" s="376"/>
      <c r="BM53" s="376"/>
      <c r="BN53" s="376"/>
      <c r="BO53" s="376"/>
      <c r="BP53" s="376"/>
      <c r="BQ53" s="376"/>
      <c r="BR53" s="376"/>
      <c r="BS53" s="376"/>
      <c r="BT53" s="376"/>
      <c r="BU53" s="376"/>
      <c r="BV53" s="376"/>
      <c r="BW53" s="376"/>
      <c r="BX53" s="376"/>
      <c r="BY53" s="376"/>
      <c r="BZ53" s="376"/>
      <c r="CA53" s="376"/>
      <c r="CB53" s="376"/>
      <c r="CC53" s="376"/>
      <c r="CD53" s="376"/>
      <c r="CE53" s="376"/>
      <c r="CF53" s="376"/>
      <c r="CG53" s="376"/>
      <c r="CH53" s="376"/>
      <c r="CI53" s="376"/>
      <c r="CJ53" s="376"/>
      <c r="CK53" s="376"/>
      <c r="CL53" s="376"/>
      <c r="CM53" s="376"/>
      <c r="CN53" s="376"/>
      <c r="CO53" s="376"/>
      <c r="CP53" s="376"/>
      <c r="CQ53" s="376"/>
      <c r="CR53" s="376"/>
      <c r="CS53" s="376"/>
      <c r="CT53" s="376"/>
      <c r="CU53" s="376"/>
      <c r="CV53" s="376"/>
      <c r="CW53" s="376"/>
      <c r="CX53" s="376"/>
      <c r="CY53" s="376"/>
      <c r="CZ53" s="376"/>
      <c r="DA53" s="376"/>
      <c r="DB53" s="376"/>
      <c r="DC53" s="376"/>
      <c r="DD53" s="376"/>
      <c r="DE53" s="376"/>
      <c r="DF53" s="376"/>
      <c r="DG53" s="376"/>
      <c r="DH53" s="376"/>
      <c r="DI53" s="376"/>
      <c r="DJ53" s="376"/>
      <c r="DK53" s="376"/>
      <c r="DL53" s="376"/>
      <c r="DM53" s="376"/>
      <c r="DN53" s="376"/>
      <c r="DO53" s="376"/>
      <c r="DP53" s="376"/>
      <c r="DQ53" s="376"/>
      <c r="DR53" s="376"/>
      <c r="DS53" s="376"/>
      <c r="DT53" s="376"/>
      <c r="DU53" s="376"/>
      <c r="DV53" s="376"/>
      <c r="DW53" s="376"/>
      <c r="DX53" s="376"/>
      <c r="DY53" s="376"/>
      <c r="DZ53" s="376"/>
      <c r="EA53" s="376"/>
      <c r="EB53" s="376"/>
      <c r="EC53" s="376"/>
      <c r="ED53" s="376"/>
      <c r="EE53" s="376"/>
      <c r="EF53" s="376"/>
      <c r="EG53" s="376"/>
      <c r="EH53" s="376"/>
      <c r="EI53" s="376"/>
      <c r="EJ53" s="376"/>
      <c r="EK53" s="376"/>
      <c r="EL53" s="376"/>
      <c r="EM53" s="376"/>
      <c r="EN53" s="376"/>
      <c r="EO53" s="376"/>
      <c r="EP53" s="376"/>
      <c r="EQ53" s="376"/>
      <c r="ER53" s="376"/>
      <c r="ES53" s="376"/>
      <c r="ET53" s="376"/>
      <c r="EU53" s="376"/>
      <c r="EV53" s="376"/>
      <c r="EW53" s="376"/>
      <c r="EX53" s="376"/>
      <c r="EY53" s="376"/>
      <c r="EZ53" s="376"/>
      <c r="FA53" s="376"/>
      <c r="FB53" s="376"/>
      <c r="FC53" s="376"/>
      <c r="FD53" s="376"/>
      <c r="FE53" s="376"/>
      <c r="FF53" s="376"/>
      <c r="FG53" s="376"/>
      <c r="FH53" s="376"/>
      <c r="FI53" s="376"/>
      <c r="FJ53" s="376"/>
      <c r="FK53" s="376"/>
      <c r="FL53" s="376"/>
      <c r="FM53" s="376"/>
      <c r="FN53" s="376"/>
      <c r="FO53" s="376"/>
      <c r="FP53" s="376"/>
      <c r="FQ53" s="376"/>
      <c r="FR53" s="376"/>
      <c r="FS53" s="376"/>
      <c r="FT53" s="376"/>
      <c r="FU53" s="376"/>
      <c r="FV53" s="376"/>
      <c r="FW53" s="376"/>
      <c r="FX53" s="376"/>
      <c r="FY53" s="376"/>
      <c r="FZ53" s="376"/>
      <c r="GA53" s="376"/>
      <c r="GB53" s="376"/>
      <c r="GC53" s="376"/>
      <c r="GD53" s="376"/>
      <c r="GE53" s="376"/>
      <c r="GF53" s="376"/>
      <c r="GG53" s="376"/>
      <c r="GH53" s="376"/>
      <c r="GI53" s="376"/>
      <c r="GJ53" s="376"/>
      <c r="GK53" s="376"/>
      <c r="GL53" s="376"/>
      <c r="GM53" s="376"/>
      <c r="GN53" s="376"/>
      <c r="GO53" s="376"/>
      <c r="GP53" s="376"/>
      <c r="GQ53" s="376"/>
      <c r="GR53" s="376"/>
      <c r="GS53" s="376"/>
      <c r="GT53" s="376"/>
      <c r="GU53" s="376"/>
      <c r="GV53" s="376"/>
      <c r="GW53" s="376"/>
      <c r="GX53" s="376"/>
      <c r="GY53" s="376"/>
      <c r="GZ53" s="376"/>
      <c r="HA53" s="376"/>
      <c r="HB53" s="376"/>
      <c r="HC53" s="376"/>
      <c r="HD53" s="376"/>
      <c r="HE53" s="376"/>
      <c r="HF53" s="376"/>
      <c r="HG53" s="376"/>
      <c r="HH53" s="376"/>
      <c r="HI53" s="376"/>
      <c r="HJ53" s="376"/>
      <c r="HK53" s="376"/>
      <c r="HL53" s="376"/>
      <c r="HM53" s="376"/>
      <c r="HN53" s="376"/>
      <c r="HO53" s="376"/>
      <c r="HP53" s="376"/>
      <c r="HQ53" s="376"/>
      <c r="HR53" s="376"/>
      <c r="HS53" s="376"/>
      <c r="HT53" s="376"/>
      <c r="HU53" s="376"/>
      <c r="HV53" s="376"/>
      <c r="HW53" s="376"/>
      <c r="HX53" s="376"/>
      <c r="HY53" s="376"/>
      <c r="HZ53" s="376"/>
      <c r="IA53" s="376"/>
      <c r="IB53" s="376"/>
      <c r="IC53" s="376"/>
      <c r="ID53" s="376"/>
      <c r="IE53" s="376"/>
      <c r="IF53" s="376"/>
      <c r="IG53" s="376"/>
      <c r="IH53" s="376"/>
      <c r="II53" s="376"/>
      <c r="IJ53" s="376"/>
      <c r="IK53" s="376"/>
      <c r="IL53" s="376"/>
      <c r="IM53" s="376"/>
      <c r="IN53" s="376"/>
      <c r="IO53" s="376"/>
      <c r="IP53" s="376"/>
      <c r="IQ53" s="376"/>
      <c r="IR53" s="376"/>
      <c r="IS53" s="376"/>
      <c r="IT53" s="376"/>
      <c r="IU53" s="376"/>
      <c r="IV53" s="376"/>
      <c r="IW53" s="376"/>
      <c r="IX53" s="376"/>
      <c r="IY53" s="376"/>
      <c r="IZ53" s="376"/>
      <c r="JA53" s="376"/>
      <c r="JB53" s="376"/>
      <c r="JC53" s="376"/>
      <c r="JD53" s="376"/>
      <c r="JE53" s="376"/>
      <c r="JF53" s="376"/>
      <c r="JG53" s="376"/>
      <c r="JH53" s="376"/>
      <c r="JI53" s="376"/>
      <c r="JJ53" s="376"/>
      <c r="JK53" s="376"/>
      <c r="JL53" s="376"/>
      <c r="JM53" s="376"/>
      <c r="JN53" s="376"/>
    </row>
    <row r="54" spans="2:274" ht="19.5" customHeight="1" x14ac:dyDescent="0.25">
      <c r="B54" s="387" t="s">
        <v>941</v>
      </c>
      <c r="C54" s="323" t="s">
        <v>935</v>
      </c>
      <c r="D54" s="321" t="s">
        <v>306</v>
      </c>
      <c r="E54" s="321" t="s">
        <v>753</v>
      </c>
      <c r="F54" s="324" t="s">
        <v>928</v>
      </c>
      <c r="G54" s="325" cm="1">
        <f t="array" aca="1" ref="G54" ca="1">IFERROR(INDEX(Panel_Rates[[1]:[12]],MATCH(Panel_New&amp;Category_New,Panel_Rates[Panel]&amp;Panel_Rates[Category],0),MATCH('Time Plan (Lacy))'!E54,OFFSET(Variable!$AF$2,MATCH(Panel_New&amp;Category_New,Panel_Rates[Panel]&amp;Panel_Rates[Category],0)-1,0,1,12),0))/8,"")</f>
        <v>305</v>
      </c>
      <c r="H54" s="326">
        <v>0.32</v>
      </c>
      <c r="I54" s="327">
        <f ca="1">IFERROR(G54*(1-H54),"")</f>
        <v>207.39999999999998</v>
      </c>
      <c r="J54" s="328">
        <f ca="1">IFERROR(I54*8,"")</f>
        <v>1659.1999999999998</v>
      </c>
      <c r="K54" s="329">
        <f>IFERROR(_xlfn.XLOOKUP(D54,CostTableLookup[Name],CostTableLookup[Gross Cost]),"")</f>
        <v>245</v>
      </c>
      <c r="L54" s="330">
        <v>279.99999999999994</v>
      </c>
      <c r="M54" s="331">
        <f ca="1">IFERROR(L54*I54,"")</f>
        <v>58071.999999999985</v>
      </c>
      <c r="N54" s="332"/>
      <c r="O54" s="331">
        <f ca="1">IFERROR(N54*I54,"")</f>
        <v>0</v>
      </c>
      <c r="P54" s="331">
        <f ca="1">IFERROR(M54-O54,"")</f>
        <v>58071.999999999985</v>
      </c>
      <c r="Q54" s="333">
        <f>IFERROR(N54*K54,"")</f>
        <v>0</v>
      </c>
      <c r="R54" s="334">
        <f ca="1">IFERROR(((U54+O54)-(V54+Q54))/(U54+O54),"")</f>
        <v>-0.18129218900675023</v>
      </c>
      <c r="S54" s="335">
        <f ca="1">IFERROR(SUM(OFFSET(Y54,0,MATCH(Forecast_New,$Y$3:$WQ$3,0)-1,1,500))*40,"")</f>
        <v>40</v>
      </c>
      <c r="T54" s="336">
        <f ca="1">IFERROR(S54/8,"")</f>
        <v>5</v>
      </c>
      <c r="U54" s="337">
        <f ca="1">IFERROR($S54*I54,"")</f>
        <v>8296</v>
      </c>
      <c r="V54" s="338">
        <f ca="1">IFERROR($S54*K54,"")</f>
        <v>9800</v>
      </c>
      <c r="W54" s="339"/>
      <c r="X54" s="343"/>
      <c r="Y54" s="344"/>
      <c r="Z54" s="344"/>
      <c r="AA54" s="344"/>
      <c r="AB54" s="344"/>
      <c r="AC54" s="344"/>
      <c r="AD54" s="344"/>
      <c r="AE54" s="344"/>
      <c r="AF54" s="344"/>
      <c r="AG54" s="344"/>
      <c r="AH54" s="344"/>
      <c r="AI54" s="344"/>
      <c r="AJ54" s="344"/>
      <c r="AK54" s="344"/>
      <c r="AL54" s="344"/>
      <c r="AM54" s="344"/>
      <c r="AN54" s="344"/>
      <c r="AO54" s="344"/>
      <c r="AP54" s="344"/>
      <c r="AQ54" s="344"/>
      <c r="AR54" s="344">
        <v>0.25</v>
      </c>
      <c r="AS54" s="344">
        <v>0.25</v>
      </c>
      <c r="AT54" s="344">
        <v>0.25</v>
      </c>
      <c r="AU54" s="344">
        <v>0.25</v>
      </c>
      <c r="AV54" s="344"/>
      <c r="AW54" s="344"/>
      <c r="AX54" s="344"/>
      <c r="AY54" s="344"/>
      <c r="AZ54" s="344"/>
      <c r="BA54" s="344"/>
      <c r="BB54" s="344"/>
      <c r="BC54" s="344"/>
      <c r="BD54" s="344"/>
      <c r="BE54" s="344"/>
      <c r="BF54" s="344"/>
      <c r="BG54" s="344"/>
      <c r="BH54" s="344"/>
      <c r="BI54" s="344"/>
      <c r="BJ54" s="344"/>
      <c r="BK54" s="344"/>
      <c r="BL54" s="344"/>
      <c r="BM54" s="344"/>
      <c r="BN54" s="344"/>
      <c r="BO54" s="344"/>
      <c r="BP54" s="344"/>
      <c r="BQ54" s="344"/>
      <c r="BR54" s="344"/>
      <c r="BS54" s="344"/>
      <c r="BT54" s="344"/>
      <c r="BU54" s="344"/>
      <c r="BV54" s="344"/>
      <c r="BW54" s="344"/>
      <c r="BX54" s="344"/>
      <c r="BY54" s="344"/>
      <c r="BZ54" s="344"/>
      <c r="CA54" s="344"/>
      <c r="CB54" s="344"/>
      <c r="CC54" s="344"/>
      <c r="CD54" s="344"/>
      <c r="CE54" s="344"/>
      <c r="CF54" s="344"/>
      <c r="CG54" s="344"/>
      <c r="CH54" s="344"/>
      <c r="CI54" s="344"/>
      <c r="CJ54" s="344"/>
      <c r="CK54" s="344"/>
      <c r="CL54" s="344"/>
      <c r="CM54" s="344"/>
      <c r="CN54" s="344"/>
      <c r="CO54" s="344"/>
      <c r="CP54" s="344"/>
      <c r="CQ54" s="344"/>
      <c r="CR54" s="344"/>
      <c r="CS54" s="344"/>
      <c r="CT54" s="344"/>
      <c r="CU54" s="344"/>
      <c r="CV54" s="344"/>
      <c r="CW54" s="344"/>
      <c r="CX54" s="344"/>
      <c r="CY54" s="344"/>
      <c r="CZ54" s="344"/>
      <c r="DA54" s="344"/>
      <c r="DB54" s="344"/>
      <c r="DC54" s="344"/>
      <c r="DD54" s="344"/>
      <c r="DE54" s="344"/>
      <c r="DF54" s="344"/>
      <c r="DG54" s="344"/>
      <c r="DH54" s="344"/>
      <c r="DI54" s="344"/>
      <c r="DJ54" s="344"/>
      <c r="DK54" s="344"/>
      <c r="DL54" s="344"/>
      <c r="DM54" s="344"/>
      <c r="DN54" s="344"/>
      <c r="DO54" s="344"/>
      <c r="DP54" s="344"/>
      <c r="DQ54" s="344"/>
      <c r="DR54" s="344"/>
      <c r="DS54" s="344"/>
      <c r="DT54" s="344"/>
      <c r="DU54" s="344"/>
      <c r="DV54" s="344"/>
      <c r="DW54" s="344"/>
      <c r="DX54" s="344"/>
      <c r="DY54" s="344"/>
      <c r="DZ54" s="344"/>
      <c r="EA54" s="344"/>
      <c r="EB54" s="344"/>
      <c r="EC54" s="344"/>
      <c r="ED54" s="344"/>
      <c r="EE54" s="344"/>
      <c r="EF54" s="344"/>
      <c r="EG54" s="344"/>
      <c r="EH54" s="344"/>
      <c r="EI54" s="344"/>
      <c r="EJ54" s="344"/>
      <c r="EK54" s="344"/>
      <c r="EL54" s="344"/>
      <c r="EM54" s="344"/>
      <c r="EN54" s="344"/>
      <c r="EO54" s="344"/>
      <c r="EP54" s="344"/>
      <c r="EQ54" s="344"/>
      <c r="ER54" s="344"/>
      <c r="ES54" s="344"/>
      <c r="ET54" s="344"/>
      <c r="EU54" s="344"/>
      <c r="EV54" s="344"/>
      <c r="EW54" s="344"/>
      <c r="EX54" s="344"/>
      <c r="EY54" s="344"/>
      <c r="EZ54" s="344"/>
      <c r="FA54" s="344"/>
      <c r="FB54" s="344"/>
      <c r="FC54" s="344"/>
      <c r="FD54" s="344"/>
      <c r="FE54" s="344"/>
      <c r="FF54" s="344"/>
      <c r="FG54" s="344"/>
      <c r="FH54" s="344"/>
      <c r="FI54" s="344"/>
      <c r="FJ54" s="344"/>
      <c r="FK54" s="344"/>
      <c r="FL54" s="344"/>
      <c r="FM54" s="344"/>
      <c r="FN54" s="344"/>
      <c r="FO54" s="344"/>
      <c r="FP54" s="344"/>
      <c r="FQ54" s="344"/>
      <c r="FR54" s="344"/>
      <c r="FS54" s="344"/>
      <c r="FT54" s="344"/>
      <c r="FU54" s="344"/>
      <c r="FV54" s="344"/>
      <c r="FW54" s="344"/>
      <c r="FX54" s="344"/>
      <c r="FY54" s="344"/>
      <c r="FZ54" s="344"/>
      <c r="GA54" s="344"/>
      <c r="GB54" s="344"/>
      <c r="GC54" s="344"/>
      <c r="GD54" s="344"/>
      <c r="GE54" s="344"/>
      <c r="GF54" s="344"/>
      <c r="GG54" s="344"/>
      <c r="GH54" s="344"/>
      <c r="GI54" s="344"/>
      <c r="GJ54" s="344"/>
      <c r="GK54" s="344"/>
      <c r="GL54" s="344"/>
      <c r="GM54" s="344"/>
      <c r="GN54" s="344"/>
      <c r="GO54" s="344"/>
      <c r="GP54" s="344"/>
      <c r="GQ54" s="344"/>
      <c r="GR54" s="344"/>
      <c r="GS54" s="344"/>
      <c r="GT54" s="344"/>
      <c r="GU54" s="344"/>
      <c r="GV54" s="344"/>
      <c r="GW54" s="344"/>
      <c r="GX54" s="344"/>
      <c r="GY54" s="344"/>
      <c r="GZ54" s="344"/>
      <c r="HA54" s="344"/>
      <c r="HB54" s="344"/>
      <c r="HC54" s="344"/>
      <c r="HD54" s="344"/>
      <c r="HE54" s="344"/>
      <c r="HF54" s="344"/>
      <c r="HG54" s="344"/>
      <c r="HH54" s="344"/>
      <c r="HI54" s="344"/>
      <c r="HJ54" s="344"/>
      <c r="HK54" s="344"/>
      <c r="HL54" s="344"/>
      <c r="HM54" s="344"/>
      <c r="HN54" s="344"/>
      <c r="HO54" s="344"/>
      <c r="HP54" s="344"/>
      <c r="HQ54" s="344"/>
      <c r="HR54" s="344"/>
      <c r="HS54" s="344"/>
      <c r="HT54" s="344"/>
      <c r="HU54" s="344"/>
      <c r="HV54" s="344"/>
      <c r="HW54" s="344"/>
      <c r="HX54" s="344"/>
      <c r="HY54" s="344"/>
      <c r="HZ54" s="344"/>
      <c r="IA54" s="344"/>
      <c r="IB54" s="344"/>
      <c r="IC54" s="344"/>
      <c r="ID54" s="344"/>
      <c r="IE54" s="344"/>
      <c r="IF54" s="344"/>
      <c r="IG54" s="344"/>
      <c r="IH54" s="344"/>
      <c r="II54" s="344"/>
      <c r="IJ54" s="344"/>
      <c r="IK54" s="344"/>
      <c r="IL54" s="344"/>
      <c r="IM54" s="344"/>
      <c r="IN54" s="344"/>
      <c r="IO54" s="344"/>
      <c r="IP54" s="344"/>
      <c r="IQ54" s="344"/>
      <c r="IR54" s="344"/>
      <c r="IS54" s="344"/>
      <c r="IT54" s="344"/>
      <c r="IU54" s="344"/>
      <c r="IV54" s="344"/>
      <c r="IW54" s="344"/>
      <c r="IX54" s="344"/>
      <c r="IY54" s="344"/>
      <c r="IZ54" s="344"/>
      <c r="JA54" s="344"/>
      <c r="JB54" s="344"/>
      <c r="JC54" s="344"/>
      <c r="JD54" s="344"/>
      <c r="JE54" s="344"/>
      <c r="JF54" s="344"/>
      <c r="JG54" s="344"/>
      <c r="JH54" s="344"/>
      <c r="JI54" s="344"/>
      <c r="JJ54" s="344"/>
      <c r="JK54" s="344"/>
      <c r="JL54" s="344"/>
      <c r="JM54" s="344"/>
      <c r="JN54" s="344"/>
    </row>
    <row r="55" spans="2:274" ht="19.5" customHeight="1" x14ac:dyDescent="0.25">
      <c r="B55" s="360" t="s">
        <v>941</v>
      </c>
      <c r="C55" s="323" t="s">
        <v>935</v>
      </c>
      <c r="D55" s="321" t="s">
        <v>327</v>
      </c>
      <c r="E55" s="321" t="s">
        <v>752</v>
      </c>
      <c r="F55" s="324" t="s">
        <v>155</v>
      </c>
      <c r="G55" s="325" cm="1">
        <f t="array" aca="1" ref="G55" ca="1">IFERROR(INDEX(Panel_Rates[[1]:[12]],MATCH(Panel_New&amp;Category_New,Panel_Rates[Panel]&amp;Panel_Rates[Category],0),MATCH('Time Plan (Lacy))'!E55,OFFSET(Variable!$AF$2,MATCH(Panel_New&amp;Category_New,Panel_Rates[Panel]&amp;Panel_Rates[Category],0)-1,0,1,12),0))/8,"")</f>
        <v>245</v>
      </c>
      <c r="H55" s="326">
        <v>0.38</v>
      </c>
      <c r="I55" s="327">
        <f ca="1">IFERROR(G55*(1-H55),"")</f>
        <v>151.9</v>
      </c>
      <c r="J55" s="328">
        <f ca="1">IFERROR(I55*8,"")</f>
        <v>1215.2</v>
      </c>
      <c r="K55" s="329">
        <f>IFERROR(_xlfn.XLOOKUP(D55,CostTableLookup[Name],CostTableLookup[Gross Cost]),"")</f>
        <v>146</v>
      </c>
      <c r="L55" s="330">
        <v>270</v>
      </c>
      <c r="M55" s="331">
        <f ca="1">IFERROR(L55*I55,"")</f>
        <v>41013</v>
      </c>
      <c r="N55" s="332"/>
      <c r="O55" s="331">
        <f ca="1">IFERROR(N55*I55,"")</f>
        <v>0</v>
      </c>
      <c r="P55" s="331">
        <f ca="1">IFERROR(M55-O55,"")</f>
        <v>41013</v>
      </c>
      <c r="Q55" s="333">
        <f>IFERROR(N55*K55,"")</f>
        <v>0</v>
      </c>
      <c r="R55" s="334" t="str">
        <f ca="1">IFERROR(((U55+O55)-(V55+Q55))/(U55+O55),"")</f>
        <v/>
      </c>
      <c r="S55" s="335">
        <f ca="1">IFERROR(SUM(OFFSET(Y55,0,MATCH(Forecast_New,$Y$3:$WQ$3,0)-1,1,500))*40,"")</f>
        <v>0</v>
      </c>
      <c r="T55" s="336">
        <f ca="1">IFERROR(S55/8,"")</f>
        <v>0</v>
      </c>
      <c r="U55" s="337">
        <f ca="1">IFERROR($S55*I55,"")</f>
        <v>0</v>
      </c>
      <c r="V55" s="338">
        <f ca="1">IFERROR($S55*K55,"")</f>
        <v>0</v>
      </c>
      <c r="W55" s="339"/>
      <c r="X55" s="343"/>
      <c r="Y55" s="344"/>
      <c r="Z55" s="344"/>
      <c r="AA55" s="344"/>
      <c r="AB55" s="344"/>
      <c r="AC55" s="344"/>
      <c r="AD55" s="344"/>
      <c r="AE55" s="344"/>
      <c r="AF55" s="344"/>
      <c r="AG55" s="344"/>
      <c r="AH55" s="344"/>
      <c r="AI55" s="344"/>
      <c r="AJ55" s="344"/>
      <c r="AK55" s="344"/>
      <c r="AL55" s="344"/>
      <c r="AM55" s="344"/>
      <c r="AN55" s="344"/>
      <c r="AO55" s="344"/>
      <c r="AP55" s="344"/>
      <c r="AQ55" s="344"/>
      <c r="AR55" s="344"/>
      <c r="AS55" s="344"/>
      <c r="AT55" s="344"/>
      <c r="AU55" s="344"/>
      <c r="AV55" s="344"/>
      <c r="AW55" s="344"/>
      <c r="AX55" s="344"/>
      <c r="AY55" s="344"/>
      <c r="AZ55" s="344"/>
      <c r="BA55" s="344"/>
      <c r="BB55" s="344"/>
      <c r="BC55" s="344"/>
      <c r="BD55" s="344"/>
      <c r="BE55" s="344"/>
      <c r="BF55" s="344"/>
      <c r="BG55" s="344"/>
      <c r="BH55" s="344"/>
      <c r="BI55" s="344"/>
      <c r="BJ55" s="344"/>
      <c r="BK55" s="344"/>
      <c r="BL55" s="344"/>
      <c r="BM55" s="344"/>
      <c r="BN55" s="344"/>
      <c r="BO55" s="344"/>
      <c r="BP55" s="344"/>
      <c r="BQ55" s="344"/>
      <c r="BR55" s="344"/>
      <c r="BS55" s="344"/>
      <c r="BT55" s="344"/>
      <c r="BU55" s="344"/>
      <c r="BV55" s="344"/>
      <c r="BW55" s="344"/>
      <c r="BX55" s="344"/>
      <c r="BY55" s="344"/>
      <c r="BZ55" s="344"/>
      <c r="CA55" s="344"/>
      <c r="CB55" s="344"/>
      <c r="CC55" s="344"/>
      <c r="CD55" s="344"/>
      <c r="CE55" s="344"/>
      <c r="CF55" s="344"/>
      <c r="CG55" s="344"/>
      <c r="CH55" s="344"/>
      <c r="CI55" s="344"/>
      <c r="CJ55" s="344"/>
      <c r="CK55" s="344"/>
      <c r="CL55" s="344"/>
      <c r="CM55" s="344"/>
      <c r="CN55" s="344"/>
      <c r="CO55" s="344"/>
      <c r="CP55" s="344"/>
      <c r="CQ55" s="344"/>
      <c r="CR55" s="344"/>
      <c r="CS55" s="344"/>
      <c r="CT55" s="344"/>
      <c r="CU55" s="344"/>
      <c r="CV55" s="344"/>
      <c r="CW55" s="344"/>
      <c r="CX55" s="344"/>
      <c r="CY55" s="344"/>
      <c r="CZ55" s="344"/>
      <c r="DA55" s="344"/>
      <c r="DB55" s="344"/>
      <c r="DC55" s="344"/>
      <c r="DD55" s="344"/>
      <c r="DE55" s="344"/>
      <c r="DF55" s="344"/>
      <c r="DG55" s="344"/>
      <c r="DH55" s="344"/>
      <c r="DI55" s="344"/>
      <c r="DJ55" s="344"/>
      <c r="DK55" s="344"/>
      <c r="DL55" s="344"/>
      <c r="DM55" s="344"/>
      <c r="DN55" s="344"/>
      <c r="DO55" s="344"/>
      <c r="DP55" s="344"/>
      <c r="DQ55" s="344"/>
      <c r="DR55" s="344"/>
      <c r="DS55" s="344"/>
      <c r="DT55" s="344"/>
      <c r="DU55" s="344"/>
      <c r="DV55" s="344"/>
      <c r="DW55" s="344"/>
      <c r="DX55" s="344"/>
      <c r="DY55" s="344"/>
      <c r="DZ55" s="344"/>
      <c r="EA55" s="344"/>
      <c r="EB55" s="344"/>
      <c r="EC55" s="344"/>
      <c r="ED55" s="344"/>
      <c r="EE55" s="344"/>
      <c r="EF55" s="344"/>
      <c r="EG55" s="344"/>
      <c r="EH55" s="344"/>
      <c r="EI55" s="344"/>
      <c r="EJ55" s="344"/>
      <c r="EK55" s="344"/>
      <c r="EL55" s="344"/>
      <c r="EM55" s="344"/>
      <c r="EN55" s="344"/>
      <c r="EO55" s="344"/>
      <c r="EP55" s="344"/>
      <c r="EQ55" s="344"/>
      <c r="ER55" s="344"/>
      <c r="ES55" s="344"/>
      <c r="ET55" s="344"/>
      <c r="EU55" s="344"/>
      <c r="EV55" s="344"/>
      <c r="EW55" s="344"/>
      <c r="EX55" s="344"/>
      <c r="EY55" s="344"/>
      <c r="EZ55" s="344"/>
      <c r="FA55" s="344"/>
      <c r="FB55" s="344"/>
      <c r="FC55" s="344"/>
      <c r="FD55" s="344"/>
      <c r="FE55" s="344"/>
      <c r="FF55" s="344"/>
      <c r="FG55" s="344"/>
      <c r="FH55" s="344"/>
      <c r="FI55" s="344"/>
      <c r="FJ55" s="344"/>
      <c r="FK55" s="344"/>
      <c r="FL55" s="344"/>
      <c r="FM55" s="344"/>
      <c r="FN55" s="344"/>
      <c r="FO55" s="344"/>
      <c r="FP55" s="344"/>
      <c r="FQ55" s="344"/>
      <c r="FR55" s="344"/>
      <c r="FS55" s="344"/>
      <c r="FT55" s="344"/>
      <c r="FU55" s="344"/>
      <c r="FV55" s="344"/>
      <c r="FW55" s="344"/>
      <c r="FX55" s="344"/>
      <c r="FY55" s="344"/>
      <c r="FZ55" s="344"/>
      <c r="GA55" s="344"/>
      <c r="GB55" s="344"/>
      <c r="GC55" s="344"/>
      <c r="GD55" s="344"/>
      <c r="GE55" s="344"/>
      <c r="GF55" s="344"/>
      <c r="GG55" s="344"/>
      <c r="GH55" s="344"/>
      <c r="GI55" s="344"/>
      <c r="GJ55" s="344"/>
      <c r="GK55" s="344"/>
      <c r="GL55" s="344"/>
      <c r="GM55" s="344"/>
      <c r="GN55" s="344"/>
      <c r="GO55" s="344"/>
      <c r="GP55" s="344"/>
      <c r="GQ55" s="344"/>
      <c r="GR55" s="344"/>
      <c r="GS55" s="344"/>
      <c r="GT55" s="344"/>
      <c r="GU55" s="344"/>
      <c r="GV55" s="344"/>
      <c r="GW55" s="344"/>
      <c r="GX55" s="344"/>
      <c r="GY55" s="344"/>
      <c r="GZ55" s="344"/>
      <c r="HA55" s="344"/>
      <c r="HB55" s="344"/>
      <c r="HC55" s="344"/>
      <c r="HD55" s="344"/>
      <c r="HE55" s="344"/>
      <c r="HF55" s="344"/>
      <c r="HG55" s="344"/>
      <c r="HH55" s="344"/>
      <c r="HI55" s="344"/>
      <c r="HJ55" s="344"/>
      <c r="HK55" s="344"/>
      <c r="HL55" s="344"/>
      <c r="HM55" s="344"/>
      <c r="HN55" s="344"/>
      <c r="HO55" s="344"/>
      <c r="HP55" s="344"/>
      <c r="HQ55" s="344"/>
      <c r="HR55" s="344"/>
      <c r="HS55" s="344"/>
      <c r="HT55" s="344"/>
      <c r="HU55" s="344"/>
      <c r="HV55" s="344"/>
      <c r="HW55" s="344"/>
      <c r="HX55" s="344"/>
      <c r="HY55" s="344"/>
      <c r="HZ55" s="344"/>
      <c r="IA55" s="344"/>
      <c r="IB55" s="344"/>
      <c r="IC55" s="344"/>
      <c r="ID55" s="344"/>
      <c r="IE55" s="344"/>
      <c r="IF55" s="344"/>
      <c r="IG55" s="344"/>
      <c r="IH55" s="344"/>
      <c r="II55" s="344"/>
      <c r="IJ55" s="344"/>
      <c r="IK55" s="344"/>
      <c r="IL55" s="344"/>
      <c r="IM55" s="344"/>
      <c r="IN55" s="344"/>
      <c r="IO55" s="344"/>
      <c r="IP55" s="344"/>
      <c r="IQ55" s="344"/>
      <c r="IR55" s="344"/>
      <c r="IS55" s="344"/>
      <c r="IT55" s="344"/>
      <c r="IU55" s="344"/>
      <c r="IV55" s="344"/>
      <c r="IW55" s="344"/>
      <c r="IX55" s="344"/>
      <c r="IY55" s="344"/>
      <c r="IZ55" s="344"/>
      <c r="JA55" s="344"/>
      <c r="JB55" s="344"/>
      <c r="JC55" s="344"/>
      <c r="JD55" s="344"/>
      <c r="JE55" s="344"/>
      <c r="JF55" s="344"/>
      <c r="JG55" s="344"/>
      <c r="JH55" s="344"/>
      <c r="JI55" s="344"/>
      <c r="JJ55" s="344"/>
      <c r="JK55" s="344"/>
      <c r="JL55" s="344"/>
      <c r="JM55" s="344"/>
      <c r="JN55" s="344"/>
    </row>
    <row r="56" spans="2:274" ht="19.5" customHeight="1" x14ac:dyDescent="0.25">
      <c r="B56" s="360" t="s">
        <v>941</v>
      </c>
      <c r="C56" s="323" t="s">
        <v>936</v>
      </c>
      <c r="D56" s="321" t="s">
        <v>317</v>
      </c>
      <c r="E56" s="321" t="s">
        <v>754</v>
      </c>
      <c r="F56" s="324" t="s">
        <v>929</v>
      </c>
      <c r="G56" s="325" cm="1">
        <f t="array" aca="1" ref="G56" ca="1">IFERROR(INDEX(Panel_Rates[[1]:[12]],MATCH(Panel_New&amp;Category_New,Panel_Rates[Panel]&amp;Panel_Rates[Category],0),MATCH('Time Plan (Lacy))'!E56,OFFSET(Variable!$AF$2,MATCH(Panel_New&amp;Category_New,Panel_Rates[Panel]&amp;Panel_Rates[Category],0)-1,0,1,12),0))/8,"")</f>
        <v>395</v>
      </c>
      <c r="H56" s="326">
        <v>0.4</v>
      </c>
      <c r="I56" s="327">
        <f t="shared" ref="I56:I62" ca="1" si="137">IFERROR(G56*(1-H56),"")</f>
        <v>237</v>
      </c>
      <c r="J56" s="328">
        <f ca="1">IFERROR(I56*8,"")</f>
        <v>1896</v>
      </c>
      <c r="K56" s="329">
        <f>IFERROR(_xlfn.XLOOKUP(D56,CostTableLookup[Name],CostTableLookup[Gross Cost]),"")</f>
        <v>198</v>
      </c>
      <c r="L56" s="330">
        <v>140</v>
      </c>
      <c r="M56" s="331">
        <f t="shared" ref="M56:M62" ca="1" si="138">IFERROR(L56*I56,"")</f>
        <v>33180</v>
      </c>
      <c r="N56" s="332"/>
      <c r="O56" s="331">
        <f t="shared" ref="O56:O62" ca="1" si="139">IFERROR(N56*I56,"")</f>
        <v>0</v>
      </c>
      <c r="P56" s="331">
        <f t="shared" ref="P56:P62" ca="1" si="140">IFERROR(M56-O56,"")</f>
        <v>33180</v>
      </c>
      <c r="Q56" s="333">
        <f t="shared" ref="Q56:Q62" si="141">IFERROR(N56*K56,"")</f>
        <v>0</v>
      </c>
      <c r="R56" s="334" t="str">
        <f t="shared" ref="R56:R62" ca="1" si="142">IFERROR(((U56+O56)-(V56+Q56))/(U56+O56),"")</f>
        <v/>
      </c>
      <c r="S56" s="335">
        <f t="shared" ref="S56" ca="1" si="143">IFERROR(SUM(OFFSET(Y56,0,MATCH(Forecast_New,$Y$3:$WQ$3,0)-1,1,500))*40,"")</f>
        <v>0</v>
      </c>
      <c r="T56" s="336">
        <f t="shared" ref="T56:T62" ca="1" si="144">IFERROR(S56/8,"")</f>
        <v>0</v>
      </c>
      <c r="U56" s="337">
        <f t="shared" ref="U56:U62" ca="1" si="145">IFERROR($S56*I56,"")</f>
        <v>0</v>
      </c>
      <c r="V56" s="338">
        <f t="shared" ref="V56:V62" ca="1" si="146">IFERROR($S56*K56,"")</f>
        <v>0</v>
      </c>
      <c r="W56" s="339">
        <f t="shared" ref="W56:W62" ca="1" si="147">IFERROR(M56-(O56+U56),"")</f>
        <v>33180</v>
      </c>
      <c r="X56" s="340">
        <f t="shared" ref="X56:X62" ca="1" si="148">IFERROR(W56/M56,"")</f>
        <v>1</v>
      </c>
      <c r="Y56" s="341"/>
      <c r="Z56" s="341"/>
      <c r="AA56" s="341"/>
      <c r="AB56" s="341"/>
      <c r="AC56" s="341"/>
      <c r="AD56" s="341"/>
      <c r="AE56" s="341"/>
      <c r="AF56" s="341"/>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341"/>
      <c r="BM56" s="341"/>
      <c r="BN56" s="341"/>
      <c r="BO56" s="341"/>
      <c r="BP56" s="341"/>
      <c r="BQ56" s="341"/>
      <c r="BR56" s="341"/>
      <c r="BS56" s="341"/>
      <c r="BT56" s="341"/>
      <c r="BU56" s="341"/>
      <c r="BV56" s="341"/>
      <c r="BW56" s="341"/>
      <c r="BX56" s="341"/>
      <c r="BY56" s="341"/>
      <c r="BZ56" s="341"/>
      <c r="CA56" s="341"/>
      <c r="CB56" s="341"/>
      <c r="CC56" s="341"/>
      <c r="CD56" s="341"/>
      <c r="CE56" s="341"/>
      <c r="CF56" s="341"/>
      <c r="CG56" s="341"/>
      <c r="CH56" s="341"/>
      <c r="CI56" s="341"/>
      <c r="CJ56" s="341"/>
      <c r="CK56" s="341"/>
      <c r="CL56" s="341"/>
      <c r="CM56" s="341"/>
      <c r="CN56" s="341"/>
      <c r="CO56" s="341"/>
      <c r="CP56" s="341"/>
      <c r="CQ56" s="341"/>
      <c r="CR56" s="341"/>
      <c r="CS56" s="341"/>
      <c r="CT56" s="341"/>
      <c r="CU56" s="341"/>
      <c r="CV56" s="341"/>
      <c r="CW56" s="341"/>
      <c r="CX56" s="341"/>
      <c r="CY56" s="341"/>
      <c r="CZ56" s="341"/>
      <c r="DA56" s="341"/>
      <c r="DB56" s="341"/>
      <c r="DC56" s="341"/>
      <c r="DD56" s="341"/>
      <c r="DE56" s="341"/>
      <c r="DF56" s="341"/>
      <c r="DG56" s="341"/>
      <c r="DH56" s="341"/>
      <c r="DI56" s="341"/>
      <c r="DJ56" s="341"/>
      <c r="DK56" s="341"/>
      <c r="DL56" s="341"/>
      <c r="DM56" s="341"/>
      <c r="DN56" s="341"/>
      <c r="DO56" s="341"/>
      <c r="DP56" s="341"/>
      <c r="DQ56" s="341"/>
      <c r="DR56" s="341"/>
      <c r="DS56" s="341"/>
      <c r="DT56" s="341"/>
      <c r="DU56" s="341"/>
      <c r="DV56" s="341"/>
      <c r="DW56" s="341"/>
      <c r="DX56" s="341"/>
      <c r="DY56" s="341"/>
      <c r="DZ56" s="341"/>
      <c r="EA56" s="341"/>
      <c r="EB56" s="341"/>
      <c r="EC56" s="341"/>
      <c r="ED56" s="341"/>
      <c r="EE56" s="341"/>
      <c r="EF56" s="341"/>
      <c r="EG56" s="341"/>
      <c r="EH56" s="341"/>
      <c r="EI56" s="341"/>
      <c r="EJ56" s="341"/>
      <c r="EK56" s="341"/>
      <c r="EL56" s="341"/>
      <c r="EM56" s="341"/>
      <c r="EN56" s="341"/>
      <c r="EO56" s="341"/>
      <c r="EP56" s="341"/>
      <c r="EQ56" s="341"/>
      <c r="ER56" s="341"/>
      <c r="ES56" s="341"/>
      <c r="ET56" s="341"/>
      <c r="EU56" s="341"/>
      <c r="EV56" s="341"/>
      <c r="EW56" s="341"/>
      <c r="EX56" s="341"/>
      <c r="EY56" s="341"/>
      <c r="EZ56" s="341"/>
      <c r="FA56" s="341"/>
      <c r="FB56" s="341"/>
      <c r="FC56" s="341"/>
      <c r="FD56" s="341"/>
      <c r="FE56" s="341"/>
      <c r="FF56" s="341"/>
      <c r="FG56" s="341"/>
      <c r="FH56" s="341"/>
      <c r="FI56" s="341"/>
      <c r="FJ56" s="341"/>
      <c r="FK56" s="341"/>
      <c r="FL56" s="341"/>
      <c r="FM56" s="341"/>
      <c r="FN56" s="341"/>
      <c r="FO56" s="341"/>
      <c r="FP56" s="341"/>
      <c r="FQ56" s="341"/>
      <c r="FR56" s="341"/>
      <c r="FS56" s="341"/>
      <c r="FT56" s="341"/>
      <c r="FU56" s="341"/>
      <c r="FV56" s="341"/>
      <c r="FW56" s="341"/>
      <c r="FX56" s="341"/>
      <c r="FY56" s="341"/>
      <c r="FZ56" s="341"/>
      <c r="GA56" s="341"/>
      <c r="GB56" s="341"/>
      <c r="GC56" s="341"/>
      <c r="GD56" s="341"/>
      <c r="GE56" s="341"/>
      <c r="GF56" s="341"/>
      <c r="GG56" s="341"/>
      <c r="GH56" s="341"/>
      <c r="GI56" s="341"/>
      <c r="GJ56" s="341"/>
      <c r="GK56" s="341"/>
      <c r="GL56" s="341"/>
      <c r="GM56" s="341"/>
      <c r="GN56" s="341"/>
      <c r="GO56" s="341"/>
      <c r="GP56" s="341"/>
      <c r="GQ56" s="341"/>
      <c r="GR56" s="341"/>
      <c r="GS56" s="341"/>
      <c r="GT56" s="341"/>
      <c r="GU56" s="341"/>
      <c r="GV56" s="341"/>
      <c r="GW56" s="341"/>
      <c r="GX56" s="341"/>
      <c r="GY56" s="341"/>
      <c r="GZ56" s="341"/>
      <c r="HA56" s="341"/>
      <c r="HB56" s="341"/>
      <c r="HC56" s="341"/>
      <c r="HD56" s="341"/>
      <c r="HE56" s="341"/>
      <c r="HF56" s="341"/>
      <c r="HG56" s="341"/>
      <c r="HH56" s="341"/>
      <c r="HI56" s="341"/>
      <c r="HJ56" s="341"/>
      <c r="HK56" s="341"/>
      <c r="HL56" s="341"/>
      <c r="HM56" s="341"/>
      <c r="HN56" s="341"/>
      <c r="HO56" s="341"/>
      <c r="HP56" s="341"/>
      <c r="HQ56" s="341"/>
      <c r="HR56" s="341"/>
      <c r="HS56" s="341"/>
      <c r="HT56" s="341"/>
      <c r="HU56" s="341"/>
      <c r="HV56" s="341"/>
      <c r="HW56" s="341"/>
      <c r="HX56" s="341"/>
      <c r="HY56" s="341"/>
      <c r="HZ56" s="341"/>
      <c r="IA56" s="341"/>
      <c r="IB56" s="341"/>
      <c r="IC56" s="341"/>
      <c r="ID56" s="341"/>
      <c r="IE56" s="341"/>
      <c r="IF56" s="341"/>
      <c r="IG56" s="341"/>
      <c r="IH56" s="341"/>
      <c r="II56" s="341"/>
      <c r="IJ56" s="341"/>
      <c r="IK56" s="341"/>
      <c r="IL56" s="341"/>
      <c r="IM56" s="341"/>
      <c r="IN56" s="341"/>
      <c r="IO56" s="341"/>
      <c r="IP56" s="341"/>
      <c r="IQ56" s="341"/>
      <c r="IR56" s="341"/>
      <c r="IS56" s="341"/>
      <c r="IT56" s="341"/>
      <c r="IU56" s="341"/>
      <c r="IV56" s="341"/>
      <c r="IW56" s="341"/>
      <c r="IX56" s="341"/>
      <c r="IY56" s="341"/>
      <c r="IZ56" s="341"/>
      <c r="JA56" s="341"/>
      <c r="JB56" s="341"/>
      <c r="JC56" s="341"/>
      <c r="JD56" s="341"/>
      <c r="JE56" s="341"/>
      <c r="JF56" s="341"/>
      <c r="JG56" s="341"/>
      <c r="JH56" s="341"/>
      <c r="JI56" s="341"/>
      <c r="JJ56" s="341"/>
      <c r="JK56" s="341"/>
      <c r="JL56" s="341"/>
      <c r="JM56" s="341"/>
      <c r="JN56" s="341"/>
    </row>
    <row r="57" spans="2:274" ht="19.5" customHeight="1" x14ac:dyDescent="0.25">
      <c r="B57" s="360" t="s">
        <v>941</v>
      </c>
      <c r="C57" s="323" t="s">
        <v>936</v>
      </c>
      <c r="D57" s="321" t="s">
        <v>126</v>
      </c>
      <c r="E57" s="321" t="s">
        <v>752</v>
      </c>
      <c r="F57" s="324" t="s">
        <v>852</v>
      </c>
      <c r="G57" s="325" cm="1">
        <f t="array" aca="1" ref="G57" ca="1">IFERROR(INDEX(Panel_Rates[[1]:[12]],MATCH(Panel_New&amp;Category_New,Panel_Rates[Panel]&amp;Panel_Rates[Category],0),MATCH('Time Plan (Lacy))'!E57,OFFSET(Variable!$AF$2,MATCH(Panel_New&amp;Category_New,Panel_Rates[Panel]&amp;Panel_Rates[Category],0)-1,0,1,12),0))/8,"")</f>
        <v>245</v>
      </c>
      <c r="H57" s="326">
        <v>0.38</v>
      </c>
      <c r="I57" s="327">
        <f t="shared" ca="1" si="137"/>
        <v>151.9</v>
      </c>
      <c r="J57" s="328">
        <f t="shared" ref="J57:J62" ca="1" si="149">IFERROR(I57*8,"")</f>
        <v>1215.2</v>
      </c>
      <c r="K57" s="329">
        <f>IFERROR(_xlfn.XLOOKUP(D57,CostTableLookup[Name],CostTableLookup[Gross Cost]),"")</f>
        <v>146</v>
      </c>
      <c r="L57" s="330">
        <v>232</v>
      </c>
      <c r="M57" s="331">
        <f t="shared" ca="1" si="138"/>
        <v>35240.800000000003</v>
      </c>
      <c r="N57" s="332"/>
      <c r="O57" s="331">
        <f t="shared" ca="1" si="139"/>
        <v>0</v>
      </c>
      <c r="P57" s="331">
        <f t="shared" ca="1" si="140"/>
        <v>35240.800000000003</v>
      </c>
      <c r="Q57" s="333">
        <f t="shared" si="141"/>
        <v>0</v>
      </c>
      <c r="R57" s="334">
        <f t="shared" ca="1" si="142"/>
        <v>3.884134298880846E-2</v>
      </c>
      <c r="S57" s="335">
        <f t="shared" ref="S57" ca="1" si="150">IFERROR(SUM(OFFSET(Y57,0,MATCH(Forecast_New,$Y$3:$WQ$3,0)-1,1,500))*40,"")</f>
        <v>16</v>
      </c>
      <c r="T57" s="336">
        <f t="shared" ca="1" si="144"/>
        <v>2</v>
      </c>
      <c r="U57" s="337">
        <f t="shared" ca="1" si="145"/>
        <v>2430.4</v>
      </c>
      <c r="V57" s="338">
        <f t="shared" ca="1" si="146"/>
        <v>2336</v>
      </c>
      <c r="W57" s="339">
        <f t="shared" ca="1" si="147"/>
        <v>32810.400000000001</v>
      </c>
      <c r="X57" s="340">
        <f t="shared" ca="1" si="148"/>
        <v>0.93103448275862066</v>
      </c>
      <c r="Y57" s="341"/>
      <c r="Z57" s="341"/>
      <c r="AA57" s="341"/>
      <c r="AB57" s="341"/>
      <c r="AC57" s="341"/>
      <c r="AD57" s="341"/>
      <c r="AE57" s="341"/>
      <c r="AF57" s="341"/>
      <c r="AG57" s="341"/>
      <c r="AH57" s="341"/>
      <c r="AI57" s="341"/>
      <c r="AJ57" s="341"/>
      <c r="AK57" s="341"/>
      <c r="AL57" s="341"/>
      <c r="AM57" s="341"/>
      <c r="AN57" s="341"/>
      <c r="AO57" s="341"/>
      <c r="AP57" s="341"/>
      <c r="AQ57" s="341"/>
      <c r="AR57" s="341">
        <v>0.2</v>
      </c>
      <c r="AS57" s="341">
        <v>0.2</v>
      </c>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1"/>
      <c r="CO57" s="341"/>
      <c r="CP57" s="341"/>
      <c r="CQ57" s="341"/>
      <c r="CR57" s="341"/>
      <c r="CS57" s="341"/>
      <c r="CT57" s="341"/>
      <c r="CU57" s="341"/>
      <c r="CV57" s="341"/>
      <c r="CW57" s="341"/>
      <c r="CX57" s="341"/>
      <c r="CY57" s="341"/>
      <c r="CZ57" s="341"/>
      <c r="DA57" s="341"/>
      <c r="DB57" s="341"/>
      <c r="DC57" s="341"/>
      <c r="DD57" s="341"/>
      <c r="DE57" s="341"/>
      <c r="DF57" s="341"/>
      <c r="DG57" s="341"/>
      <c r="DH57" s="341"/>
      <c r="DI57" s="341"/>
      <c r="DJ57" s="341"/>
      <c r="DK57" s="341"/>
      <c r="DL57" s="341"/>
      <c r="DM57" s="341"/>
      <c r="DN57" s="341"/>
      <c r="DO57" s="341"/>
      <c r="DP57" s="341"/>
      <c r="DQ57" s="341"/>
      <c r="DR57" s="341"/>
      <c r="DS57" s="341"/>
      <c r="DT57" s="341"/>
      <c r="DU57" s="341"/>
      <c r="DV57" s="341"/>
      <c r="DW57" s="341"/>
      <c r="DX57" s="341"/>
      <c r="DY57" s="341"/>
      <c r="DZ57" s="341"/>
      <c r="EA57" s="341"/>
      <c r="EB57" s="341"/>
      <c r="EC57" s="341"/>
      <c r="ED57" s="341"/>
      <c r="EE57" s="341"/>
      <c r="EF57" s="341"/>
      <c r="EG57" s="341"/>
      <c r="EH57" s="341"/>
      <c r="EI57" s="341"/>
      <c r="EJ57" s="341"/>
      <c r="EK57" s="341"/>
      <c r="EL57" s="341"/>
      <c r="EM57" s="341"/>
      <c r="EN57" s="341"/>
      <c r="EO57" s="341"/>
      <c r="EP57" s="341"/>
      <c r="EQ57" s="341"/>
      <c r="ER57" s="341"/>
      <c r="ES57" s="341"/>
      <c r="ET57" s="341"/>
      <c r="EU57" s="341"/>
      <c r="EV57" s="341"/>
      <c r="EW57" s="341"/>
      <c r="EX57" s="341"/>
      <c r="EY57" s="341"/>
      <c r="EZ57" s="341"/>
      <c r="FA57" s="341"/>
      <c r="FB57" s="341"/>
      <c r="FC57" s="341"/>
      <c r="FD57" s="341"/>
      <c r="FE57" s="341"/>
      <c r="FF57" s="341"/>
      <c r="FG57" s="341"/>
      <c r="FH57" s="341"/>
      <c r="FI57" s="341"/>
      <c r="FJ57" s="341"/>
      <c r="FK57" s="341"/>
      <c r="FL57" s="341"/>
      <c r="FM57" s="341"/>
      <c r="FN57" s="341"/>
      <c r="FO57" s="341"/>
      <c r="FP57" s="341"/>
      <c r="FQ57" s="341"/>
      <c r="FR57" s="341"/>
      <c r="FS57" s="341"/>
      <c r="FT57" s="341"/>
      <c r="FU57" s="341"/>
      <c r="FV57" s="341"/>
      <c r="FW57" s="341"/>
      <c r="FX57" s="341"/>
      <c r="FY57" s="341"/>
      <c r="FZ57" s="341"/>
      <c r="GA57" s="341"/>
      <c r="GB57" s="341"/>
      <c r="GC57" s="341"/>
      <c r="GD57" s="341"/>
      <c r="GE57" s="341"/>
      <c r="GF57" s="341"/>
      <c r="GG57" s="341"/>
      <c r="GH57" s="341"/>
      <c r="GI57" s="341"/>
      <c r="GJ57" s="341"/>
      <c r="GK57" s="341"/>
      <c r="GL57" s="341"/>
      <c r="GM57" s="341"/>
      <c r="GN57" s="341"/>
      <c r="GO57" s="341"/>
      <c r="GP57" s="341"/>
      <c r="GQ57" s="341"/>
      <c r="GR57" s="341"/>
      <c r="GS57" s="341"/>
      <c r="GT57" s="341"/>
      <c r="GU57" s="341"/>
      <c r="GV57" s="341"/>
      <c r="GW57" s="341"/>
      <c r="GX57" s="341"/>
      <c r="GY57" s="341"/>
      <c r="GZ57" s="341"/>
      <c r="HA57" s="341"/>
      <c r="HB57" s="341"/>
      <c r="HC57" s="341"/>
      <c r="HD57" s="341"/>
      <c r="HE57" s="341"/>
      <c r="HF57" s="341"/>
      <c r="HG57" s="341"/>
      <c r="HH57" s="341"/>
      <c r="HI57" s="341"/>
      <c r="HJ57" s="341"/>
      <c r="HK57" s="341"/>
      <c r="HL57" s="341"/>
      <c r="HM57" s="341"/>
      <c r="HN57" s="341"/>
      <c r="HO57" s="341"/>
      <c r="HP57" s="341"/>
      <c r="HQ57" s="341"/>
      <c r="HR57" s="341"/>
      <c r="HS57" s="341"/>
      <c r="HT57" s="341"/>
      <c r="HU57" s="341"/>
      <c r="HV57" s="341"/>
      <c r="HW57" s="341"/>
      <c r="HX57" s="341"/>
      <c r="HY57" s="341"/>
      <c r="HZ57" s="341"/>
      <c r="IA57" s="341"/>
      <c r="IB57" s="341"/>
      <c r="IC57" s="341"/>
      <c r="ID57" s="341"/>
      <c r="IE57" s="341"/>
      <c r="IF57" s="341"/>
      <c r="IG57" s="341"/>
      <c r="IH57" s="341"/>
      <c r="II57" s="341"/>
      <c r="IJ57" s="341"/>
      <c r="IK57" s="341"/>
      <c r="IL57" s="341"/>
      <c r="IM57" s="341"/>
      <c r="IN57" s="341"/>
      <c r="IO57" s="341"/>
      <c r="IP57" s="341"/>
      <c r="IQ57" s="341"/>
      <c r="IR57" s="341"/>
      <c r="IS57" s="341"/>
      <c r="IT57" s="341"/>
      <c r="IU57" s="341"/>
      <c r="IV57" s="341"/>
      <c r="IW57" s="341"/>
      <c r="IX57" s="341"/>
      <c r="IY57" s="341"/>
      <c r="IZ57" s="341"/>
      <c r="JA57" s="341"/>
      <c r="JB57" s="341"/>
      <c r="JC57" s="341"/>
      <c r="JD57" s="341"/>
      <c r="JE57" s="341"/>
      <c r="JF57" s="341"/>
      <c r="JG57" s="341"/>
      <c r="JH57" s="341"/>
      <c r="JI57" s="341"/>
      <c r="JJ57" s="341"/>
      <c r="JK57" s="341"/>
      <c r="JL57" s="341"/>
      <c r="JM57" s="341"/>
      <c r="JN57" s="341"/>
    </row>
    <row r="58" spans="2:274" ht="19.5" customHeight="1" x14ac:dyDescent="0.25">
      <c r="B58" s="360" t="s">
        <v>941</v>
      </c>
      <c r="C58" s="323" t="s">
        <v>936</v>
      </c>
      <c r="D58" s="321" t="s">
        <v>756</v>
      </c>
      <c r="E58" s="321" t="s">
        <v>753</v>
      </c>
      <c r="F58" s="324" t="s">
        <v>930</v>
      </c>
      <c r="G58" s="325" cm="1">
        <f t="array" aca="1" ref="G58" ca="1">IFERROR(INDEX(Panel_Rates[[1]:[12]],MATCH(Panel_New&amp;Category_New,Panel_Rates[Panel]&amp;Panel_Rates[Category],0),MATCH('Time Plan (Lacy))'!E58,OFFSET(Variable!$AF$2,MATCH(Panel_New&amp;Category_New,Panel_Rates[Panel]&amp;Panel_Rates[Category],0)-1,0,1,12),0))/8,"")</f>
        <v>305</v>
      </c>
      <c r="H58" s="326">
        <v>0.32</v>
      </c>
      <c r="I58" s="327">
        <f t="shared" ca="1" si="137"/>
        <v>207.39999999999998</v>
      </c>
      <c r="J58" s="328">
        <f t="shared" ca="1" si="149"/>
        <v>1659.1999999999998</v>
      </c>
      <c r="K58" s="329">
        <f>IFERROR(_xlfn.XLOOKUP(D58,CostTableLookup[Name],CostTableLookup[Gross Cost]),"")</f>
        <v>170.96</v>
      </c>
      <c r="L58" s="330">
        <v>380</v>
      </c>
      <c r="M58" s="331">
        <f t="shared" ca="1" si="138"/>
        <v>78811.999999999985</v>
      </c>
      <c r="N58" s="332"/>
      <c r="O58" s="331">
        <f t="shared" ca="1" si="139"/>
        <v>0</v>
      </c>
      <c r="P58" s="331">
        <f t="shared" ca="1" si="140"/>
        <v>78811.999999999985</v>
      </c>
      <c r="Q58" s="333">
        <f t="shared" si="141"/>
        <v>0</v>
      </c>
      <c r="R58" s="334" t="str">
        <f t="shared" ca="1" si="142"/>
        <v/>
      </c>
      <c r="S58" s="335">
        <f t="shared" ref="S58" ca="1" si="151">IFERROR(SUM(OFFSET(Y58,0,MATCH(Forecast_New,$Y$3:$WQ$3,0)-1,1,500))*40,"")</f>
        <v>0</v>
      </c>
      <c r="T58" s="336">
        <f t="shared" ca="1" si="144"/>
        <v>0</v>
      </c>
      <c r="U58" s="337">
        <f t="shared" ca="1" si="145"/>
        <v>0</v>
      </c>
      <c r="V58" s="338">
        <f t="shared" ca="1" si="146"/>
        <v>0</v>
      </c>
      <c r="W58" s="339">
        <f t="shared" ca="1" si="147"/>
        <v>78811.999999999985</v>
      </c>
      <c r="X58" s="340">
        <f t="shared" ca="1" si="148"/>
        <v>1</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25">
      <c r="B59" s="360" t="s">
        <v>941</v>
      </c>
      <c r="C59" s="323" t="s">
        <v>936</v>
      </c>
      <c r="D59" s="321" t="s">
        <v>447</v>
      </c>
      <c r="E59" s="321" t="s">
        <v>753</v>
      </c>
      <c r="F59" s="324" t="s">
        <v>931</v>
      </c>
      <c r="G59" s="325" cm="1">
        <f t="array" aca="1" ref="G59" ca="1">IFERROR(INDEX(Panel_Rates[[1]:[12]],MATCH(Panel_New&amp;Category_New,Panel_Rates[Panel]&amp;Panel_Rates[Category],0),MATCH('Time Plan (Lacy))'!E59,OFFSET(Variable!$AF$2,MATCH(Panel_New&amp;Category_New,Panel_Rates[Panel]&amp;Panel_Rates[Category],0)-1,0,1,12),0))/8,"")</f>
        <v>305</v>
      </c>
      <c r="H59" s="326">
        <v>0.38</v>
      </c>
      <c r="I59" s="327">
        <f t="shared" ca="1" si="137"/>
        <v>189.1</v>
      </c>
      <c r="J59" s="328">
        <f t="shared" ca="1" si="149"/>
        <v>1512.8</v>
      </c>
      <c r="K59" s="329">
        <f>IFERROR(_xlfn.XLOOKUP(D59,CostTableLookup[Name],CostTableLookup[Gross Cost]),"")</f>
        <v>151</v>
      </c>
      <c r="L59" s="330">
        <v>520</v>
      </c>
      <c r="M59" s="331">
        <f t="shared" ca="1" si="138"/>
        <v>98332</v>
      </c>
      <c r="N59" s="332"/>
      <c r="O59" s="331">
        <f t="shared" ca="1" si="139"/>
        <v>0</v>
      </c>
      <c r="P59" s="331">
        <f t="shared" ca="1" si="140"/>
        <v>98332</v>
      </c>
      <c r="Q59" s="333">
        <f t="shared" si="141"/>
        <v>0</v>
      </c>
      <c r="R59" s="334">
        <f t="shared" ca="1" si="142"/>
        <v>0.20148069804336333</v>
      </c>
      <c r="S59" s="335">
        <f t="shared" ref="S59" ca="1" si="152">IFERROR(SUM(OFFSET(Y59,0,MATCH(Forecast_New,$Y$3:$WQ$3,0)-1,1,500))*40,"")</f>
        <v>152</v>
      </c>
      <c r="T59" s="336">
        <f t="shared" ca="1" si="144"/>
        <v>19</v>
      </c>
      <c r="U59" s="337">
        <f t="shared" ca="1" si="145"/>
        <v>28743.200000000001</v>
      </c>
      <c r="V59" s="338">
        <f t="shared" ca="1" si="146"/>
        <v>22952</v>
      </c>
      <c r="W59" s="339">
        <f t="shared" ca="1" si="147"/>
        <v>69588.800000000003</v>
      </c>
      <c r="X59" s="340">
        <f t="shared" ca="1" si="148"/>
        <v>0.70769230769230773</v>
      </c>
      <c r="Y59" s="341"/>
      <c r="Z59" s="341"/>
      <c r="AA59" s="341"/>
      <c r="AB59" s="341"/>
      <c r="AC59" s="341"/>
      <c r="AD59" s="341"/>
      <c r="AE59" s="341"/>
      <c r="AF59" s="341"/>
      <c r="AG59" s="341"/>
      <c r="AH59" s="341"/>
      <c r="AI59" s="341"/>
      <c r="AJ59" s="341"/>
      <c r="AK59" s="341"/>
      <c r="AL59" s="341"/>
      <c r="AM59" s="341"/>
      <c r="AN59" s="341"/>
      <c r="AO59" s="341"/>
      <c r="AP59" s="341"/>
      <c r="AQ59" s="341"/>
      <c r="AR59" s="341">
        <v>1</v>
      </c>
      <c r="AS59" s="341">
        <v>1</v>
      </c>
      <c r="AT59" s="341">
        <v>1</v>
      </c>
      <c r="AU59" s="341">
        <v>0.8</v>
      </c>
      <c r="AV59" s="341"/>
      <c r="AW59" s="341"/>
      <c r="AX59" s="341"/>
      <c r="AY59" s="3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25">
      <c r="B60" s="360" t="s">
        <v>941</v>
      </c>
      <c r="C60" s="384" t="s">
        <v>936</v>
      </c>
      <c r="D60" s="385" t="s">
        <v>122</v>
      </c>
      <c r="E60" s="321" t="s">
        <v>752</v>
      </c>
      <c r="F60" s="324" t="s">
        <v>931</v>
      </c>
      <c r="G60" s="325" cm="1">
        <f t="array" aca="1" ref="G60" ca="1">IFERROR(INDEX(Panel_Rates[[1]:[12]],MATCH(Panel_New&amp;Category_New,Panel_Rates[Panel]&amp;Panel_Rates[Category],0),MATCH('Time Plan (Lacy))'!E60,OFFSET(Variable!$AF$2,MATCH(Panel_New&amp;Category_New,Panel_Rates[Panel]&amp;Panel_Rates[Category],0)-1,0,1,12),0))/8,"")</f>
        <v>245</v>
      </c>
      <c r="H60" s="326">
        <v>1</v>
      </c>
      <c r="I60" s="327">
        <f t="shared" ca="1" si="137"/>
        <v>0</v>
      </c>
      <c r="J60" s="328">
        <f t="shared" ca="1" si="149"/>
        <v>0</v>
      </c>
      <c r="K60" s="329">
        <v>0</v>
      </c>
      <c r="L60" s="330">
        <v>120</v>
      </c>
      <c r="M60" s="331">
        <f t="shared" ca="1" si="138"/>
        <v>0</v>
      </c>
      <c r="N60" s="332"/>
      <c r="O60" s="331">
        <f t="shared" ca="1" si="139"/>
        <v>0</v>
      </c>
      <c r="P60" s="331">
        <f t="shared" ca="1" si="140"/>
        <v>0</v>
      </c>
      <c r="Q60" s="333">
        <f t="shared" si="141"/>
        <v>0</v>
      </c>
      <c r="R60" s="334" t="str">
        <f t="shared" ca="1" si="142"/>
        <v/>
      </c>
      <c r="S60" s="335">
        <f t="shared" ref="S60" ca="1" si="153">IFERROR(SUM(OFFSET(Y60,0,MATCH(Forecast_New,$Y$3:$WQ$3,0)-1,1,500))*40,"")</f>
        <v>0</v>
      </c>
      <c r="T60" s="336">
        <f t="shared" ca="1" si="144"/>
        <v>0</v>
      </c>
      <c r="U60" s="337">
        <f t="shared" ca="1" si="145"/>
        <v>0</v>
      </c>
      <c r="V60" s="338">
        <f t="shared" ca="1" si="146"/>
        <v>0</v>
      </c>
      <c r="W60" s="339">
        <f t="shared" ca="1" si="147"/>
        <v>0</v>
      </c>
      <c r="X60" s="340" t="str">
        <f t="shared" ca="1" si="148"/>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25">
      <c r="B61" s="360" t="s">
        <v>941</v>
      </c>
      <c r="C61" s="323" t="s">
        <v>936</v>
      </c>
      <c r="D61" s="321" t="s">
        <v>731</v>
      </c>
      <c r="E61" s="321" t="s">
        <v>752</v>
      </c>
      <c r="F61" s="324" t="s">
        <v>931</v>
      </c>
      <c r="G61" s="325" cm="1">
        <f t="array" aca="1" ref="G61" ca="1">IFERROR(INDEX(Panel_Rates[[1]:[12]],MATCH(Panel_New&amp;Category_New,Panel_Rates[Panel]&amp;Panel_Rates[Category],0),MATCH('Time Plan (Lacy))'!E61,OFFSET(Variable!$AF$2,MATCH(Panel_New&amp;Category_New,Panel_Rates[Panel]&amp;Panel_Rates[Category],0)-1,0,1,12),0))/8,"")</f>
        <v>245</v>
      </c>
      <c r="H61" s="326">
        <v>0.38</v>
      </c>
      <c r="I61" s="327">
        <f t="shared" ca="1" si="137"/>
        <v>151.9</v>
      </c>
      <c r="J61" s="328">
        <f t="shared" ca="1" si="149"/>
        <v>1215.2</v>
      </c>
      <c r="K61" s="329">
        <f>IFERROR(_xlfn.XLOOKUP(D61,CostTableLookup[Name],CostTableLookup[Gross Cost]),"")</f>
        <v>151</v>
      </c>
      <c r="L61" s="330">
        <v>120</v>
      </c>
      <c r="M61" s="331">
        <f t="shared" ca="1" si="138"/>
        <v>18228</v>
      </c>
      <c r="N61" s="332"/>
      <c r="O61" s="331">
        <f t="shared" ca="1" si="139"/>
        <v>0</v>
      </c>
      <c r="P61" s="331">
        <f t="shared" ca="1" si="140"/>
        <v>18228</v>
      </c>
      <c r="Q61" s="333">
        <f t="shared" si="141"/>
        <v>0</v>
      </c>
      <c r="R61" s="334">
        <f t="shared" ca="1" si="142"/>
        <v>5.9249506254114553E-3</v>
      </c>
      <c r="S61" s="335">
        <f t="shared" ref="S61" ca="1" si="154">IFERROR(SUM(OFFSET(Y61,0,MATCH(Forecast_New,$Y$3:$WQ$3,0)-1,1,500))*40,"")</f>
        <v>160</v>
      </c>
      <c r="T61" s="336">
        <f t="shared" ca="1" si="144"/>
        <v>20</v>
      </c>
      <c r="U61" s="337">
        <f t="shared" ca="1" si="145"/>
        <v>24304</v>
      </c>
      <c r="V61" s="338">
        <f t="shared" ca="1" si="146"/>
        <v>24160</v>
      </c>
      <c r="W61" s="339">
        <f t="shared" ca="1" si="147"/>
        <v>-6076</v>
      </c>
      <c r="X61" s="340">
        <f t="shared" ca="1" si="148"/>
        <v>-0.33333333333333331</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341"/>
      <c r="AW61" s="341"/>
      <c r="AX61" s="341"/>
      <c r="AY61" s="341"/>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s="345" customFormat="1" ht="19.5" customHeight="1" x14ac:dyDescent="0.25">
      <c r="B62" s="361" t="s">
        <v>941</v>
      </c>
      <c r="C62" s="362" t="s">
        <v>936</v>
      </c>
      <c r="D62" s="345" t="s">
        <v>606</v>
      </c>
      <c r="E62" s="321" t="s">
        <v>752</v>
      </c>
      <c r="F62" s="363" t="s">
        <v>937</v>
      </c>
      <c r="G62" s="364" cm="1">
        <f t="array" aca="1" ref="G62" ca="1">IFERROR(INDEX(Panel_Rates[[1]:[12]],MATCH(Panel_New&amp;Category_New,Panel_Rates[Panel]&amp;Panel_Rates[Category],0),MATCH('Time Plan (Lacy))'!E62,OFFSET(Variable!$AF$2,MATCH(Panel_New&amp;Category_New,Panel_Rates[Panel]&amp;Panel_Rates[Category],0)-1,0,1,12),0))/8,"")</f>
        <v>245</v>
      </c>
      <c r="H62" s="326">
        <v>0.38</v>
      </c>
      <c r="I62" s="365">
        <f t="shared" ca="1" si="137"/>
        <v>151.9</v>
      </c>
      <c r="J62" s="350">
        <f t="shared" ca="1" si="149"/>
        <v>1215.2</v>
      </c>
      <c r="K62" s="366">
        <f>IFERROR(_xlfn.XLOOKUP(D62,CostTableLookup[Name],CostTableLookup[Gross Cost]),"")</f>
        <v>161</v>
      </c>
      <c r="L62" s="367">
        <v>220</v>
      </c>
      <c r="M62" s="368">
        <f t="shared" ca="1" si="138"/>
        <v>33418</v>
      </c>
      <c r="N62" s="369"/>
      <c r="O62" s="368">
        <f t="shared" ca="1" si="139"/>
        <v>0</v>
      </c>
      <c r="P62" s="368">
        <f t="shared" ca="1" si="140"/>
        <v>33418</v>
      </c>
      <c r="Q62" s="370">
        <f t="shared" si="141"/>
        <v>0</v>
      </c>
      <c r="R62" s="371" t="str">
        <f t="shared" ca="1" si="142"/>
        <v/>
      </c>
      <c r="S62" s="335">
        <f ca="1">IFERROR(SUM(OFFSET(Y62,0,MATCH(Forecast_New,$Y$3:$WQ$3,0)-1,1,500))*40,"")</f>
        <v>0</v>
      </c>
      <c r="T62" s="372">
        <f t="shared" ca="1" si="144"/>
        <v>0</v>
      </c>
      <c r="U62" s="373">
        <f t="shared" ca="1" si="145"/>
        <v>0</v>
      </c>
      <c r="V62" s="358">
        <f t="shared" ca="1" si="146"/>
        <v>0</v>
      </c>
      <c r="W62" s="374">
        <f t="shared" ca="1" si="147"/>
        <v>33418</v>
      </c>
      <c r="X62" s="375">
        <f t="shared" ca="1" si="148"/>
        <v>1</v>
      </c>
      <c r="Y62" s="376"/>
      <c r="Z62" s="376"/>
      <c r="AA62" s="376"/>
      <c r="AB62" s="376"/>
      <c r="AC62" s="376"/>
      <c r="AD62" s="376"/>
      <c r="AE62" s="376"/>
      <c r="AF62" s="376"/>
      <c r="AG62" s="376"/>
      <c r="AH62" s="376"/>
      <c r="AI62" s="376"/>
      <c r="AJ62" s="376"/>
      <c r="AK62" s="376"/>
      <c r="AL62" s="376"/>
      <c r="AM62" s="376"/>
      <c r="AN62" s="376"/>
      <c r="AO62" s="376"/>
      <c r="AP62" s="376"/>
      <c r="AQ62" s="376"/>
      <c r="AR62" s="376"/>
      <c r="AS62" s="376"/>
      <c r="AT62" s="376"/>
      <c r="AU62" s="376"/>
      <c r="AV62" s="376"/>
      <c r="AW62" s="376"/>
      <c r="AX62" s="376"/>
      <c r="AY62" s="376"/>
      <c r="AZ62" s="376"/>
      <c r="BA62" s="376"/>
      <c r="BB62" s="376"/>
      <c r="BC62" s="376"/>
      <c r="BD62" s="376"/>
      <c r="BE62" s="376"/>
      <c r="BF62" s="376"/>
      <c r="BG62" s="376"/>
      <c r="BH62" s="376"/>
      <c r="BI62" s="376"/>
      <c r="BJ62" s="376"/>
      <c r="BK62" s="376"/>
      <c r="BL62" s="376"/>
      <c r="BM62" s="376"/>
      <c r="BN62" s="376"/>
      <c r="BO62" s="376"/>
      <c r="BP62" s="376"/>
      <c r="BQ62" s="376"/>
      <c r="BR62" s="376"/>
      <c r="BS62" s="376"/>
      <c r="BT62" s="376"/>
      <c r="BU62" s="376"/>
      <c r="BV62" s="376"/>
      <c r="BW62" s="376"/>
      <c r="BX62" s="376"/>
      <c r="BY62" s="376"/>
      <c r="BZ62" s="376"/>
      <c r="CA62" s="376"/>
      <c r="CB62" s="376"/>
      <c r="CC62" s="376"/>
      <c r="CD62" s="376"/>
      <c r="CE62" s="376"/>
      <c r="CF62" s="376"/>
      <c r="CG62" s="376"/>
      <c r="CH62" s="376"/>
      <c r="CI62" s="376"/>
      <c r="CJ62" s="376"/>
      <c r="CK62" s="376"/>
      <c r="CL62" s="376"/>
      <c r="CM62" s="376"/>
      <c r="CN62" s="376"/>
      <c r="CO62" s="376"/>
      <c r="CP62" s="376"/>
      <c r="CQ62" s="376"/>
      <c r="CR62" s="376"/>
      <c r="CS62" s="376"/>
      <c r="CT62" s="376"/>
      <c r="CU62" s="376"/>
      <c r="CV62" s="376"/>
      <c r="CW62" s="376"/>
      <c r="CX62" s="376"/>
      <c r="CY62" s="376"/>
      <c r="CZ62" s="376"/>
      <c r="DA62" s="376"/>
      <c r="DB62" s="376"/>
      <c r="DC62" s="376"/>
      <c r="DD62" s="376"/>
      <c r="DE62" s="376"/>
      <c r="DF62" s="376"/>
      <c r="DG62" s="376"/>
      <c r="DH62" s="376"/>
      <c r="DI62" s="376"/>
      <c r="DJ62" s="376"/>
      <c r="DK62" s="376"/>
      <c r="DL62" s="376"/>
      <c r="DM62" s="376"/>
      <c r="DN62" s="376"/>
      <c r="DO62" s="376"/>
      <c r="DP62" s="376"/>
      <c r="DQ62" s="376"/>
      <c r="DR62" s="376"/>
      <c r="DS62" s="376"/>
      <c r="DT62" s="376"/>
      <c r="DU62" s="376"/>
      <c r="DV62" s="376"/>
      <c r="DW62" s="376"/>
      <c r="DX62" s="376"/>
      <c r="DY62" s="376"/>
      <c r="DZ62" s="376"/>
      <c r="EA62" s="376"/>
      <c r="EB62" s="376"/>
      <c r="EC62" s="376"/>
      <c r="ED62" s="376"/>
      <c r="EE62" s="376"/>
      <c r="EF62" s="376"/>
      <c r="EG62" s="376"/>
      <c r="EH62" s="376"/>
      <c r="EI62" s="376"/>
      <c r="EJ62" s="376"/>
      <c r="EK62" s="376"/>
      <c r="EL62" s="376"/>
      <c r="EM62" s="376"/>
      <c r="EN62" s="376"/>
      <c r="EO62" s="376"/>
      <c r="EP62" s="376"/>
      <c r="EQ62" s="376"/>
      <c r="ER62" s="376"/>
      <c r="ES62" s="376"/>
      <c r="ET62" s="376"/>
      <c r="EU62" s="376"/>
      <c r="EV62" s="376"/>
      <c r="EW62" s="376"/>
      <c r="EX62" s="376"/>
      <c r="EY62" s="376"/>
      <c r="EZ62" s="376"/>
      <c r="FA62" s="376"/>
      <c r="FB62" s="376"/>
      <c r="FC62" s="376"/>
      <c r="FD62" s="376"/>
      <c r="FE62" s="376"/>
      <c r="FF62" s="376"/>
      <c r="FG62" s="376"/>
      <c r="FH62" s="376"/>
      <c r="FI62" s="376"/>
      <c r="FJ62" s="376"/>
      <c r="FK62" s="376"/>
      <c r="FL62" s="376"/>
      <c r="FM62" s="376"/>
      <c r="FN62" s="376"/>
      <c r="FO62" s="376"/>
      <c r="FP62" s="376"/>
      <c r="FQ62" s="376"/>
      <c r="FR62" s="376"/>
      <c r="FS62" s="376"/>
      <c r="FT62" s="376"/>
      <c r="FU62" s="376"/>
      <c r="FV62" s="376"/>
      <c r="FW62" s="376"/>
      <c r="FX62" s="376"/>
      <c r="FY62" s="376"/>
      <c r="FZ62" s="376"/>
      <c r="GA62" s="376"/>
      <c r="GB62" s="376"/>
      <c r="GC62" s="376"/>
      <c r="GD62" s="376"/>
      <c r="GE62" s="376"/>
      <c r="GF62" s="376"/>
      <c r="GG62" s="376"/>
      <c r="GH62" s="376"/>
      <c r="GI62" s="376"/>
      <c r="GJ62" s="376"/>
      <c r="GK62" s="376"/>
      <c r="GL62" s="376"/>
      <c r="GM62" s="376"/>
      <c r="GN62" s="376"/>
      <c r="GO62" s="376"/>
      <c r="GP62" s="376"/>
      <c r="GQ62" s="376"/>
      <c r="GR62" s="376"/>
      <c r="GS62" s="376"/>
      <c r="GT62" s="376"/>
      <c r="GU62" s="376"/>
      <c r="GV62" s="376"/>
      <c r="GW62" s="376"/>
      <c r="GX62" s="376"/>
      <c r="GY62" s="376"/>
      <c r="GZ62" s="376"/>
      <c r="HA62" s="376"/>
      <c r="HB62" s="376"/>
      <c r="HC62" s="376"/>
      <c r="HD62" s="376"/>
      <c r="HE62" s="376"/>
      <c r="HF62" s="376"/>
      <c r="HG62" s="376"/>
      <c r="HH62" s="376"/>
      <c r="HI62" s="376"/>
      <c r="HJ62" s="376"/>
      <c r="HK62" s="376"/>
      <c r="HL62" s="376"/>
      <c r="HM62" s="376"/>
      <c r="HN62" s="376"/>
      <c r="HO62" s="376"/>
      <c r="HP62" s="376"/>
      <c r="HQ62" s="376"/>
      <c r="HR62" s="376"/>
      <c r="HS62" s="376"/>
      <c r="HT62" s="376"/>
      <c r="HU62" s="376"/>
      <c r="HV62" s="376"/>
      <c r="HW62" s="376"/>
      <c r="HX62" s="376"/>
      <c r="HY62" s="376"/>
      <c r="HZ62" s="376"/>
      <c r="IA62" s="376"/>
      <c r="IB62" s="376"/>
      <c r="IC62" s="376"/>
      <c r="ID62" s="376"/>
      <c r="IE62" s="376"/>
      <c r="IF62" s="376"/>
      <c r="IG62" s="376"/>
      <c r="IH62" s="376"/>
      <c r="II62" s="376"/>
      <c r="IJ62" s="376"/>
      <c r="IK62" s="376"/>
      <c r="IL62" s="376"/>
      <c r="IM62" s="376"/>
      <c r="IN62" s="376"/>
      <c r="IO62" s="376"/>
      <c r="IP62" s="376"/>
      <c r="IQ62" s="376"/>
      <c r="IR62" s="376"/>
      <c r="IS62" s="376"/>
      <c r="IT62" s="376"/>
      <c r="IU62" s="376"/>
      <c r="IV62" s="376"/>
      <c r="IW62" s="376"/>
      <c r="IX62" s="376"/>
      <c r="IY62" s="376"/>
      <c r="IZ62" s="376"/>
      <c r="JA62" s="376"/>
      <c r="JB62" s="376"/>
      <c r="JC62" s="376"/>
      <c r="JD62" s="376"/>
      <c r="JE62" s="376"/>
      <c r="JF62" s="376"/>
      <c r="JG62" s="376"/>
      <c r="JH62" s="376"/>
      <c r="JI62" s="376"/>
      <c r="JJ62" s="376"/>
      <c r="JK62" s="376"/>
      <c r="JL62" s="376"/>
      <c r="JM62" s="376"/>
      <c r="JN62" s="376"/>
    </row>
    <row r="64" spans="2:274" x14ac:dyDescent="0.25">
      <c r="C64" s="377" t="s">
        <v>942</v>
      </c>
      <c r="D64" s="378" t="str" cm="1">
        <f t="array" ref="D64:D74">_xlfn._xlws.FILTER(_xlfn.UNIQUE(D6:D62),_xlfn.UNIQUE(D6:D62)&lt;&gt;"")</f>
        <v>Anil Kinagi</v>
      </c>
      <c r="F64" s="321" t="str">
        <f>_xlfn.XLOOKUP(D64,D6:D62,F6:F62)</f>
        <v>Project Manager</v>
      </c>
      <c r="I64" s="379">
        <f ca="1">_xlfn.XLOOKUP($D64,$D$6:$D$62,$I$6:$I$62)</f>
        <v>207.39999999999998</v>
      </c>
      <c r="Y64" s="381" cm="1">
        <f t="array" ref="Y64">SUM(Y$6:Y$62*($D$6:$D$62=$D64))</f>
        <v>1</v>
      </c>
      <c r="Z64" s="381" cm="1">
        <f t="array" ref="Z64">SUM(Z$6:Z$62*($D$6:$D$62=$D64))</f>
        <v>1</v>
      </c>
      <c r="AA64" s="381" cm="1">
        <f t="array" ref="AA64">SUM(AA$6:AA$62*($D$6:$D$62=$D64))</f>
        <v>1</v>
      </c>
      <c r="AB64" s="381" cm="1">
        <f t="array" ref="AB64">SUM(AB$6:AB$62*($D$6:$D$62=$D64))</f>
        <v>1</v>
      </c>
      <c r="AC64" s="381" cm="1">
        <f t="array" ref="AC64">SUM(AC$6:AC$62*($D$6:$D$62=$D64))</f>
        <v>1</v>
      </c>
      <c r="AD64" s="381" cm="1">
        <f t="array" ref="AD64">SUM(AD$6:AD$62*($D$6:$D$62=$D64))</f>
        <v>1</v>
      </c>
      <c r="AE64" s="381" cm="1">
        <f t="array" ref="AE64">SUM(AE$6:AE$62*($D$6:$D$62=$D64))</f>
        <v>1</v>
      </c>
      <c r="AF64" s="381" cm="1">
        <f t="array" ref="AF64">SUM(AF$6:AF$62*($D$6:$D$62=$D64))</f>
        <v>0.5</v>
      </c>
      <c r="AG64" s="381" cm="1">
        <f t="array" ref="AG64">SUM(AG$6:AG$62*($D$6:$D$62=$D64))</f>
        <v>1</v>
      </c>
      <c r="AH64" s="381" cm="1">
        <f t="array" ref="AH64">SUM(AH$6:AH$62*($D$6:$D$62=$D64))</f>
        <v>1</v>
      </c>
      <c r="AI64" s="381" cm="1">
        <f t="array" ref="AI64">SUM(AI$6:AI$62*($D$6:$D$62=$D64))</f>
        <v>1</v>
      </c>
      <c r="AJ64" s="381" cm="1">
        <f t="array" ref="AJ64">SUM(AJ$6:AJ$62*($D$6:$D$62=$D64))</f>
        <v>1</v>
      </c>
      <c r="AK64" s="381" cm="1">
        <f t="array" ref="AK64">SUM(AK$6:AK$62*($D$6:$D$62=$D64))</f>
        <v>1</v>
      </c>
      <c r="AL64" s="381" cm="1">
        <f t="array" ref="AL64">SUM(AL$6:AL$62*($D$6:$D$62=$D64))</f>
        <v>1</v>
      </c>
      <c r="AM64" s="381" cm="1">
        <f t="array" ref="AM64">SUM(AM$6:AM$62*($D$6:$D$62=$D64))</f>
        <v>1</v>
      </c>
      <c r="AN64" s="381" cm="1">
        <f t="array" ref="AN64">SUM(AN$6:AN$62*($D$6:$D$62=$D64))</f>
        <v>1</v>
      </c>
      <c r="AO64" s="381" cm="1">
        <f t="array" ref="AO64">SUM(AO$6:AO$62*($D$6:$D$62=$D64))</f>
        <v>1</v>
      </c>
      <c r="AP64" s="381" cm="1">
        <f t="array" ref="AP64">SUM(AP$6:AP$62*($D$6:$D$62=$D64))</f>
        <v>1</v>
      </c>
      <c r="AQ64" s="381" cm="1">
        <f t="array" ref="AQ64">SUM(AQ$6:AQ$62*($D$6:$D$62=$D64))</f>
        <v>1</v>
      </c>
      <c r="AR64" s="381" cm="1">
        <f t="array" ref="AR64">SUM(AR$6:AR$62*($D$6:$D$62=$D64))</f>
        <v>0.25</v>
      </c>
      <c r="AS64" s="381" cm="1">
        <f t="array" ref="AS64">SUM(AS$6:AS$62*($D$6:$D$62=$D64))</f>
        <v>0.25</v>
      </c>
      <c r="AT64" s="381" cm="1">
        <f t="array" ref="AT64">SUM(AT$6:AT$62*($D$6:$D$62=$D64))</f>
        <v>0.25</v>
      </c>
      <c r="AU64" s="381" cm="1">
        <f t="array" ref="AU64">SUM(AU$6:AU$62*($D$6:$D$62=$D64))</f>
        <v>0.25</v>
      </c>
      <c r="AV64" s="381" cm="1">
        <f t="array" ref="AV64">SUM(AV$6:AV$62*($D$6:$D$62=$D64))</f>
        <v>0</v>
      </c>
      <c r="AW64" s="381" cm="1">
        <f t="array" ref="AW64">SUM(AW$6:AW$62*($D$6:$D$62=$D64))</f>
        <v>0</v>
      </c>
      <c r="AX64" s="381" cm="1">
        <f t="array" ref="AX64">SUM(AX$6:AX$62*($D$6:$D$62=$D64))</f>
        <v>0</v>
      </c>
      <c r="AY64" s="381" cm="1">
        <f t="array" ref="AY64">SUM(AY$6:AY$62*($D$6:$D$62=$D64))</f>
        <v>0</v>
      </c>
      <c r="AZ64" s="381" cm="1">
        <f t="array" ref="AZ64">SUM(AZ$6:AZ$62*($D$6:$D$62=$D64))</f>
        <v>0</v>
      </c>
      <c r="BA64" s="381" cm="1">
        <f t="array" ref="BA64">SUM(BA$6:BA$62*($D$6:$D$62=$D64))</f>
        <v>0</v>
      </c>
      <c r="BB64" s="381" cm="1">
        <f t="array" ref="BB64">SUM(BB$6:BB$62*($D$6:$D$62=$D64))</f>
        <v>0</v>
      </c>
      <c r="BC64" s="381" cm="1">
        <f t="array" ref="BC64">SUM(BC$6:BC$62*($D$6:$D$62=$D64))</f>
        <v>0</v>
      </c>
      <c r="BD64" s="381" cm="1">
        <f t="array" ref="BD64">SUM(BD$6:BD$62*($D$6:$D$62=$D64))</f>
        <v>0</v>
      </c>
      <c r="BE64" s="381" cm="1">
        <f t="array" ref="BE64">SUM(BE$6:BE$62*($D$6:$D$62=$D64))</f>
        <v>0</v>
      </c>
      <c r="BF64" s="381" cm="1">
        <f t="array" ref="BF64">SUM(BF$6:BF$62*($D$6:$D$62=$D64))</f>
        <v>0</v>
      </c>
      <c r="BG64" s="381" cm="1">
        <f t="array" ref="BG64">SUM(BG$6:BG$62*($D$6:$D$62=$D64))</f>
        <v>0</v>
      </c>
      <c r="BH64" s="381" cm="1">
        <f t="array" ref="BH64">SUM(BH$6:BH$62*($D$6:$D$62=$D64))</f>
        <v>0</v>
      </c>
      <c r="BI64" s="381" cm="1">
        <f t="array" ref="BI64">SUM(BI$6:BI$62*($D$6:$D$62=$D64))</f>
        <v>0</v>
      </c>
      <c r="BJ64" s="381" cm="1">
        <f t="array" ref="BJ64">SUM(BJ$6:BJ$62*($D$6:$D$62=$D64))</f>
        <v>0</v>
      </c>
      <c r="BK64" s="381" cm="1">
        <f t="array" ref="BK64">SUM(BK$6:BK$62*($D$6:$D$62=$D64))</f>
        <v>0</v>
      </c>
      <c r="BL64" s="381" cm="1">
        <f t="array" ref="BL64">SUM(BL$6:BL$62*($D$6:$D$62=$D64))</f>
        <v>0</v>
      </c>
      <c r="BM64" s="381" cm="1">
        <f t="array" ref="BM64">SUM(BM$6:BM$62*($D$6:$D$62=$D64))</f>
        <v>0</v>
      </c>
      <c r="BN64" s="381" cm="1">
        <f t="array" ref="BN64">SUM(BN$6:BN$62*($D$6:$D$62=$D64))</f>
        <v>0</v>
      </c>
      <c r="BO64" s="381" cm="1">
        <f t="array" ref="BO64">SUM(BO$6:BO$62*($D$6:$D$62=$D64))</f>
        <v>0</v>
      </c>
      <c r="BP64" s="381" cm="1">
        <f t="array" ref="BP64">SUM(BP$6:BP$62*($D$6:$D$62=$D64))</f>
        <v>0</v>
      </c>
      <c r="BQ64" s="381" cm="1">
        <f t="array" ref="BQ64">SUM(BQ$6:BQ$62*($D$6:$D$62=$D64))</f>
        <v>0</v>
      </c>
      <c r="BR64" s="381" cm="1">
        <f t="array" ref="BR64">SUM(BR$6:BR$62*($D$6:$D$62=$D64))</f>
        <v>0</v>
      </c>
      <c r="BS64" s="381" cm="1">
        <f t="array" ref="BS64">SUM(BS$6:BS$62*($D$6:$D$62=$D64))</f>
        <v>0</v>
      </c>
    </row>
    <row r="65" spans="3:71" x14ac:dyDescent="0.25">
      <c r="C65" s="378"/>
      <c r="D65" s="378" t="str">
        <v>Lacy Pejcinovic</v>
      </c>
      <c r="F65" s="321" t="str">
        <f>_xlfn.XLOOKUP(D65,D7:D63,F7:F63)</f>
        <v>Business Analyst</v>
      </c>
      <c r="I65" s="379">
        <f ca="1">_xlfn.XLOOKUP($D65,$D$6:$D$62,$I$6:$I$62)</f>
        <v>151.9</v>
      </c>
      <c r="Y65" s="381" cm="1">
        <f t="array" ref="Y65">SUM(Y$6:Y$62*($D$6:$D$62=$D65))</f>
        <v>1</v>
      </c>
      <c r="Z65" s="381" cm="1">
        <f t="array" ref="Z65">SUM(Z$6:Z$62*($D$6:$D$62=$D65))</f>
        <v>1</v>
      </c>
      <c r="AA65" s="381" cm="1">
        <f t="array" ref="AA65">SUM(AA$6:AA$62*($D$6:$D$62=$D65))</f>
        <v>1</v>
      </c>
      <c r="AB65" s="381" cm="1">
        <f t="array" ref="AB65">SUM(AB$6:AB$62*($D$6:$D$62=$D65))</f>
        <v>2</v>
      </c>
      <c r="AC65" s="381" cm="1">
        <f t="array" ref="AC65">SUM(AC$6:AC$62*($D$6:$D$62=$D65))</f>
        <v>1</v>
      </c>
      <c r="AD65" s="381" cm="1">
        <f t="array" ref="AD65">SUM(AD$6:AD$62*($D$6:$D$62=$D65))</f>
        <v>0.5</v>
      </c>
      <c r="AE65" s="381" cm="1">
        <f t="array" ref="AE65">SUM(AE$6:AE$62*($D$6:$D$62=$D65))</f>
        <v>0.5</v>
      </c>
      <c r="AF65" s="381" cm="1">
        <f t="array" ref="AF65">SUM(AF$6:AF$62*($D$6:$D$62=$D65))</f>
        <v>0.5</v>
      </c>
      <c r="AG65" s="381" cm="1">
        <f t="array" ref="AG65">SUM(AG$6:AG$62*($D$6:$D$62=$D65))</f>
        <v>0.5</v>
      </c>
      <c r="AH65" s="381" cm="1">
        <f t="array" ref="AH65">SUM(AH$6:AH$62*($D$6:$D$62=$D65))</f>
        <v>0.5</v>
      </c>
      <c r="AI65" s="381" cm="1">
        <f t="array" ref="AI65">SUM(AI$6:AI$62*($D$6:$D$62=$D65))</f>
        <v>0.5</v>
      </c>
      <c r="AJ65" s="381" cm="1">
        <f t="array" ref="AJ65">SUM(AJ$6:AJ$62*($D$6:$D$62=$D65))</f>
        <v>0.25</v>
      </c>
      <c r="AK65" s="381" cm="1">
        <f t="array" ref="AK65">SUM(AK$6:AK$62*($D$6:$D$62=$D65))</f>
        <v>0.25</v>
      </c>
      <c r="AL65" s="381" cm="1">
        <f t="array" ref="AL65">SUM(AL$6:AL$62*($D$6:$D$62=$D65))</f>
        <v>0.25</v>
      </c>
      <c r="AM65" s="381" cm="1">
        <f t="array" ref="AM65">SUM(AM$6:AM$62*($D$6:$D$62=$D65))</f>
        <v>0.25</v>
      </c>
      <c r="AN65" s="381" cm="1">
        <f t="array" ref="AN65">SUM(AN$6:AN$62*($D$6:$D$62=$D65))</f>
        <v>0</v>
      </c>
      <c r="AO65" s="381" cm="1">
        <f t="array" ref="AO65">SUM(AO$6:AO$62*($D$6:$D$62=$D65))</f>
        <v>0</v>
      </c>
      <c r="AP65" s="381" cm="1">
        <f t="array" ref="AP65">SUM(AP$6:AP$62*($D$6:$D$62=$D65))</f>
        <v>0</v>
      </c>
      <c r="AQ65" s="381" cm="1">
        <f t="array" ref="AQ65">SUM(AQ$6:AQ$62*($D$6:$D$62=$D65))</f>
        <v>0</v>
      </c>
      <c r="AR65" s="381" cm="1">
        <f t="array" ref="AR65">SUM(AR$6:AR$62*($D$6:$D$62=$D65))</f>
        <v>0</v>
      </c>
      <c r="AS65" s="381" cm="1">
        <f t="array" ref="AS65">SUM(AS$6:AS$62*($D$6:$D$62=$D65))</f>
        <v>0</v>
      </c>
      <c r="AT65" s="381" cm="1">
        <f t="array" ref="AT65">SUM(AT$6:AT$62*($D$6:$D$62=$D65))</f>
        <v>0</v>
      </c>
      <c r="AU65" s="381" cm="1">
        <f t="array" ref="AU65">SUM(AU$6:AU$62*($D$6:$D$62=$D65))</f>
        <v>0</v>
      </c>
      <c r="AV65" s="381" cm="1">
        <f t="array" ref="AV65">SUM(AV$6:AV$62*($D$6:$D$62=$D65))</f>
        <v>0</v>
      </c>
      <c r="AW65" s="381" cm="1">
        <f t="array" ref="AW65">SUM(AW$6:AW$62*($D$6:$D$62=$D65))</f>
        <v>0</v>
      </c>
      <c r="AX65" s="381" cm="1">
        <f t="array" ref="AX65">SUM(AX$6:AX$62*($D$6:$D$62=$D65))</f>
        <v>0</v>
      </c>
      <c r="AY65" s="381" cm="1">
        <f t="array" ref="AY65">SUM(AY$6:AY$62*($D$6:$D$62=$D65))</f>
        <v>0</v>
      </c>
      <c r="AZ65" s="381" cm="1">
        <f t="array" ref="AZ65">SUM(AZ$6:AZ$62*($D$6:$D$62=$D65))</f>
        <v>0</v>
      </c>
      <c r="BA65" s="381" cm="1">
        <f t="array" ref="BA65">SUM(BA$6:BA$62*($D$6:$D$62=$D65))</f>
        <v>0</v>
      </c>
      <c r="BB65" s="381" cm="1">
        <f t="array" ref="BB65">SUM(BB$6:BB$62*($D$6:$D$62=$D65))</f>
        <v>0</v>
      </c>
      <c r="BC65" s="381" cm="1">
        <f t="array" ref="BC65">SUM(BC$6:BC$62*($D$6:$D$62=$D65))</f>
        <v>0</v>
      </c>
      <c r="BD65" s="381" cm="1">
        <f t="array" ref="BD65">SUM(BD$6:BD$62*($D$6:$D$62=$D65))</f>
        <v>0</v>
      </c>
      <c r="BE65" s="381" cm="1">
        <f t="array" ref="BE65">SUM(BE$6:BE$62*($D$6:$D$62=$D65))</f>
        <v>0</v>
      </c>
      <c r="BF65" s="381" cm="1">
        <f t="array" ref="BF65">SUM(BF$6:BF$62*($D$6:$D$62=$D65))</f>
        <v>0</v>
      </c>
      <c r="BG65" s="381" cm="1">
        <f t="array" ref="BG65">SUM(BG$6:BG$62*($D$6:$D$62=$D65))</f>
        <v>0</v>
      </c>
      <c r="BH65" s="381" cm="1">
        <f t="array" ref="BH65">SUM(BH$6:BH$62*($D$6:$D$62=$D65))</f>
        <v>0</v>
      </c>
      <c r="BI65" s="381" cm="1">
        <f t="array" ref="BI65">SUM(BI$6:BI$62*($D$6:$D$62=$D65))</f>
        <v>0</v>
      </c>
      <c r="BJ65" s="381" cm="1">
        <f t="array" ref="BJ65">SUM(BJ$6:BJ$62*($D$6:$D$62=$D65))</f>
        <v>0</v>
      </c>
      <c r="BK65" s="381" cm="1">
        <f t="array" ref="BK65">SUM(BK$6:BK$62*($D$6:$D$62=$D65))</f>
        <v>0</v>
      </c>
      <c r="BL65" s="381" cm="1">
        <f t="array" ref="BL65">SUM(BL$6:BL$62*($D$6:$D$62=$D65))</f>
        <v>0</v>
      </c>
      <c r="BM65" s="381" cm="1">
        <f t="array" ref="BM65">SUM(BM$6:BM$62*($D$6:$D$62=$D65))</f>
        <v>0</v>
      </c>
      <c r="BN65" s="381" cm="1">
        <f t="array" ref="BN65">SUM(BN$6:BN$62*($D$6:$D$62=$D65))</f>
        <v>0</v>
      </c>
      <c r="BO65" s="381" cm="1">
        <f t="array" ref="BO65">SUM(BO$6:BO$62*($D$6:$D$62=$D65))</f>
        <v>0</v>
      </c>
      <c r="BP65" s="381" cm="1">
        <f t="array" ref="BP65">SUM(BP$6:BP$62*($D$6:$D$62=$D65))</f>
        <v>0</v>
      </c>
      <c r="BQ65" s="381" cm="1">
        <f t="array" ref="BQ65">SUM(BQ$6:BQ$62*($D$6:$D$62=$D65))</f>
        <v>0</v>
      </c>
      <c r="BR65" s="381" cm="1">
        <f t="array" ref="BR65">SUM(BR$6:BR$62*($D$6:$D$62=$D65))</f>
        <v>0</v>
      </c>
      <c r="BS65" s="381" cm="1">
        <f t="array" ref="BS65">SUM(BS$6:BS$62*($D$6:$D$62=$D65))</f>
        <v>0</v>
      </c>
    </row>
    <row r="66" spans="3:71" x14ac:dyDescent="0.25">
      <c r="C66" s="378"/>
      <c r="D66" s="378" t="str">
        <v>Lynne Sutherland</v>
      </c>
      <c r="F66" s="321" t="e">
        <f>_xlfn.XLOOKUP(D66,D9:D64,F9:F64)</f>
        <v>#N/A</v>
      </c>
      <c r="I66" s="379">
        <f ca="1">_xlfn.XLOOKUP($D66,$D$6:$D$62,$I$6:$I$62)</f>
        <v>151.9</v>
      </c>
      <c r="Y66" s="381" cm="1">
        <f t="array" ref="Y66">SUM(Y$6:Y$62*($D$6:$D$62=$D66))</f>
        <v>1</v>
      </c>
      <c r="Z66" s="381" cm="1">
        <f t="array" ref="Z66">SUM(Z$6:Z$62*($D$6:$D$62=$D66))</f>
        <v>1</v>
      </c>
      <c r="AA66" s="381" cm="1">
        <f t="array" ref="AA66">SUM(AA$6:AA$62*($D$6:$D$62=$D66))</f>
        <v>1</v>
      </c>
      <c r="AB66" s="381" cm="1">
        <f t="array" ref="AB66">SUM(AB$6:AB$62*($D$6:$D$62=$D66))</f>
        <v>1</v>
      </c>
      <c r="AC66" s="381" cm="1">
        <f t="array" ref="AC66">SUM(AC$6:AC$62*($D$6:$D$62=$D66))</f>
        <v>0</v>
      </c>
      <c r="AD66" s="381" cm="1">
        <f t="array" ref="AD66">SUM(AD$6:AD$62*($D$6:$D$62=$D66))</f>
        <v>0</v>
      </c>
      <c r="AE66" s="381" cm="1">
        <f t="array" ref="AE66">SUM(AE$6:AE$62*($D$6:$D$62=$D66))</f>
        <v>0</v>
      </c>
      <c r="AF66" s="381" cm="1">
        <f t="array" ref="AF66">SUM(AF$6:AF$62*($D$6:$D$62=$D66))</f>
        <v>0</v>
      </c>
      <c r="AG66" s="381" cm="1">
        <f t="array" ref="AG66">SUM(AG$6:AG$62*($D$6:$D$62=$D66))</f>
        <v>0</v>
      </c>
      <c r="AH66" s="381" cm="1">
        <f t="array" ref="AH66">SUM(AH$6:AH$62*($D$6:$D$62=$D66))</f>
        <v>0</v>
      </c>
      <c r="AI66" s="381" cm="1">
        <f t="array" ref="AI66">SUM(AI$6:AI$62*($D$6:$D$62=$D66))</f>
        <v>0</v>
      </c>
      <c r="AJ66" s="381" cm="1">
        <f t="array" ref="AJ66">SUM(AJ$6:AJ$62*($D$6:$D$62=$D66))</f>
        <v>0</v>
      </c>
      <c r="AK66" s="381" cm="1">
        <f t="array" ref="AK66">SUM(AK$6:AK$62*($D$6:$D$62=$D66))</f>
        <v>0</v>
      </c>
      <c r="AL66" s="381" cm="1">
        <f t="array" ref="AL66">SUM(AL$6:AL$62*($D$6:$D$62=$D66))</f>
        <v>0</v>
      </c>
      <c r="AM66" s="381" cm="1">
        <f t="array" ref="AM66">SUM(AM$6:AM$62*($D$6:$D$62=$D66))</f>
        <v>0</v>
      </c>
      <c r="AN66" s="381" cm="1">
        <f t="array" ref="AN66">SUM(AN$6:AN$62*($D$6:$D$62=$D66))</f>
        <v>0</v>
      </c>
      <c r="AO66" s="381" cm="1">
        <f t="array" ref="AO66">SUM(AO$6:AO$62*($D$6:$D$62=$D66))</f>
        <v>0</v>
      </c>
      <c r="AP66" s="381" cm="1">
        <f t="array" ref="AP66">SUM(AP$6:AP$62*($D$6:$D$62=$D66))</f>
        <v>0</v>
      </c>
      <c r="AQ66" s="381" cm="1">
        <f t="array" ref="AQ66">SUM(AQ$6:AQ$62*($D$6:$D$62=$D66))</f>
        <v>0</v>
      </c>
      <c r="AR66" s="381" cm="1">
        <f t="array" ref="AR66">SUM(AR$6:AR$62*($D$6:$D$62=$D66))</f>
        <v>0</v>
      </c>
      <c r="AS66" s="381" cm="1">
        <f t="array" ref="AS66">SUM(AS$6:AS$62*($D$6:$D$62=$D66))</f>
        <v>0</v>
      </c>
      <c r="AT66" s="381" cm="1">
        <f t="array" ref="AT66">SUM(AT$6:AT$62*($D$6:$D$62=$D66))</f>
        <v>0</v>
      </c>
      <c r="AU66" s="381" cm="1">
        <f t="array" ref="AU66">SUM(AU$6:AU$62*($D$6:$D$62=$D66))</f>
        <v>0</v>
      </c>
      <c r="AV66" s="381" cm="1">
        <f t="array" ref="AV66">SUM(AV$6:AV$62*($D$6:$D$62=$D66))</f>
        <v>0</v>
      </c>
      <c r="AW66" s="381" cm="1">
        <f t="array" ref="AW66">SUM(AW$6:AW$62*($D$6:$D$62=$D66))</f>
        <v>0</v>
      </c>
      <c r="AX66" s="381" cm="1">
        <f t="array" ref="AX66">SUM(AX$6:AX$62*($D$6:$D$62=$D66))</f>
        <v>0</v>
      </c>
      <c r="AY66" s="381" cm="1">
        <f t="array" ref="AY66">SUM(AY$6:AY$62*($D$6:$D$62=$D66))</f>
        <v>0</v>
      </c>
      <c r="AZ66" s="381" cm="1">
        <f t="array" ref="AZ66">SUM(AZ$6:AZ$62*($D$6:$D$62=$D66))</f>
        <v>0</v>
      </c>
      <c r="BA66" s="381" cm="1">
        <f t="array" ref="BA66">SUM(BA$6:BA$62*($D$6:$D$62=$D66))</f>
        <v>0</v>
      </c>
      <c r="BB66" s="381" cm="1">
        <f t="array" ref="BB66">SUM(BB$6:BB$62*($D$6:$D$62=$D66))</f>
        <v>0</v>
      </c>
      <c r="BC66" s="381" cm="1">
        <f t="array" ref="BC66">SUM(BC$6:BC$62*($D$6:$D$62=$D66))</f>
        <v>0</v>
      </c>
      <c r="BD66" s="381" cm="1">
        <f t="array" ref="BD66">SUM(BD$6:BD$62*($D$6:$D$62=$D66))</f>
        <v>0</v>
      </c>
      <c r="BE66" s="381" cm="1">
        <f t="array" ref="BE66">SUM(BE$6:BE$62*($D$6:$D$62=$D66))</f>
        <v>0</v>
      </c>
      <c r="BF66" s="381" cm="1">
        <f t="array" ref="BF66">SUM(BF$6:BF$62*($D$6:$D$62=$D66))</f>
        <v>0</v>
      </c>
      <c r="BG66" s="381" cm="1">
        <f t="array" ref="BG66">SUM(BG$6:BG$62*($D$6:$D$62=$D66))</f>
        <v>0</v>
      </c>
      <c r="BH66" s="381" cm="1">
        <f t="array" ref="BH66">SUM(BH$6:BH$62*($D$6:$D$62=$D66))</f>
        <v>0</v>
      </c>
      <c r="BI66" s="381" cm="1">
        <f t="array" ref="BI66">SUM(BI$6:BI$62*($D$6:$D$62=$D66))</f>
        <v>0</v>
      </c>
      <c r="BJ66" s="381" cm="1">
        <f t="array" ref="BJ66">SUM(BJ$6:BJ$62*($D$6:$D$62=$D66))</f>
        <v>0</v>
      </c>
      <c r="BK66" s="381" cm="1">
        <f t="array" ref="BK66">SUM(BK$6:BK$62*($D$6:$D$62=$D66))</f>
        <v>0</v>
      </c>
      <c r="BL66" s="381" cm="1">
        <f t="array" ref="BL66">SUM(BL$6:BL$62*($D$6:$D$62=$D66))</f>
        <v>0</v>
      </c>
      <c r="BM66" s="381" cm="1">
        <f t="array" ref="BM66">SUM(BM$6:BM$62*($D$6:$D$62=$D66))</f>
        <v>0</v>
      </c>
      <c r="BN66" s="381" cm="1">
        <f t="array" ref="BN66">SUM(BN$6:BN$62*($D$6:$D$62=$D66))</f>
        <v>0</v>
      </c>
      <c r="BO66" s="381" cm="1">
        <f t="array" ref="BO66">SUM(BO$6:BO$62*($D$6:$D$62=$D66))</f>
        <v>0</v>
      </c>
      <c r="BP66" s="381" cm="1">
        <f t="array" ref="BP66">SUM(BP$6:BP$62*($D$6:$D$62=$D66))</f>
        <v>0</v>
      </c>
      <c r="BQ66" s="381" cm="1">
        <f t="array" ref="BQ66">SUM(BQ$6:BQ$62*($D$6:$D$62=$D66))</f>
        <v>0</v>
      </c>
      <c r="BR66" s="381" cm="1">
        <f t="array" ref="BR66">SUM(BR$6:BR$62*($D$6:$D$62=$D66))</f>
        <v>0</v>
      </c>
      <c r="BS66" s="381" cm="1">
        <f t="array" ref="BS66">SUM(BS$6:BS$62*($D$6:$D$62=$D66))</f>
        <v>0</v>
      </c>
    </row>
    <row r="67" spans="3:71" x14ac:dyDescent="0.25">
      <c r="C67" s="378"/>
      <c r="D67" s="378" t="str">
        <v>Hadas Yehezkel</v>
      </c>
      <c r="F67" s="321" t="str">
        <f>_xlfn.XLOOKUP(D67,D12:D65,F12:F65)</f>
        <v>ServiceNow Architect</v>
      </c>
      <c r="I67" s="379">
        <f ca="1">_xlfn.XLOOKUP($D67,$D$6:$D$62,$I$6:$I$62)</f>
        <v>237</v>
      </c>
      <c r="Y67" s="381" cm="1">
        <f t="array" ref="Y67">SUM(Y$6:Y$62*($D$6:$D$62=$D67))</f>
        <v>1</v>
      </c>
      <c r="Z67" s="381" cm="1">
        <f t="array" ref="Z67">SUM(Z$6:Z$62*($D$6:$D$62=$D67))</f>
        <v>1</v>
      </c>
      <c r="AA67" s="381" cm="1">
        <f t="array" ref="AA67">SUM(AA$6:AA$62*($D$6:$D$62=$D67))</f>
        <v>1</v>
      </c>
      <c r="AB67" s="381" cm="1">
        <f t="array" ref="AB67">SUM(AB$6:AB$62*($D$6:$D$62=$D67))</f>
        <v>1.25</v>
      </c>
      <c r="AC67" s="381" cm="1">
        <f t="array" ref="AC67">SUM(AC$6:AC$62*($D$6:$D$62=$D67))</f>
        <v>0.25</v>
      </c>
      <c r="AD67" s="381" cm="1">
        <f t="array" ref="AD67">SUM(AD$6:AD$62*($D$6:$D$62=$D67))</f>
        <v>0.25</v>
      </c>
      <c r="AE67" s="381" cm="1">
        <f t="array" ref="AE67">SUM(AE$6:AE$62*($D$6:$D$62=$D67))</f>
        <v>0.25</v>
      </c>
      <c r="AF67" s="381" cm="1">
        <f t="array" ref="AF67">SUM(AF$6:AF$62*($D$6:$D$62=$D67))</f>
        <v>0.25</v>
      </c>
      <c r="AG67" s="381" cm="1">
        <f t="array" ref="AG67">SUM(AG$6:AG$62*($D$6:$D$62=$D67))</f>
        <v>0.25</v>
      </c>
      <c r="AH67" s="381" cm="1">
        <f t="array" ref="AH67">SUM(AH$6:AH$62*($D$6:$D$62=$D67))</f>
        <v>0.25</v>
      </c>
      <c r="AI67" s="381" cm="1">
        <f t="array" ref="AI67">SUM(AI$6:AI$62*($D$6:$D$62=$D67))</f>
        <v>0.25</v>
      </c>
      <c r="AJ67" s="381" cm="1">
        <f t="array" ref="AJ67">SUM(AJ$6:AJ$62*($D$6:$D$62=$D67))</f>
        <v>0.25</v>
      </c>
      <c r="AK67" s="381" cm="1">
        <f t="array" ref="AK67">SUM(AK$6:AK$62*($D$6:$D$62=$D67))</f>
        <v>0.25</v>
      </c>
      <c r="AL67" s="381" cm="1">
        <f t="array" ref="AL67">SUM(AL$6:AL$62*($D$6:$D$62=$D67))</f>
        <v>0.25</v>
      </c>
      <c r="AM67" s="381" cm="1">
        <f t="array" ref="AM67">SUM(AM$6:AM$62*($D$6:$D$62=$D67))</f>
        <v>0.25</v>
      </c>
      <c r="AN67" s="381" cm="1">
        <f t="array" ref="AN67">SUM(AN$6:AN$62*($D$6:$D$62=$D67))</f>
        <v>0</v>
      </c>
      <c r="AO67" s="381" cm="1">
        <f t="array" ref="AO67">SUM(AO$6:AO$62*($D$6:$D$62=$D67))</f>
        <v>0</v>
      </c>
      <c r="AP67" s="381" cm="1">
        <f t="array" ref="AP67">SUM(AP$6:AP$62*($D$6:$D$62=$D67))</f>
        <v>0</v>
      </c>
      <c r="AQ67" s="381" cm="1">
        <f t="array" ref="AQ67">SUM(AQ$6:AQ$62*($D$6:$D$62=$D67))</f>
        <v>0</v>
      </c>
      <c r="AR67" s="381" cm="1">
        <f t="array" ref="AR67">SUM(AR$6:AR$62*($D$6:$D$62=$D67))</f>
        <v>0</v>
      </c>
      <c r="AS67" s="381" cm="1">
        <f t="array" ref="AS67">SUM(AS$6:AS$62*($D$6:$D$62=$D67))</f>
        <v>0</v>
      </c>
      <c r="AT67" s="381" cm="1">
        <f t="array" ref="AT67">SUM(AT$6:AT$62*($D$6:$D$62=$D67))</f>
        <v>0</v>
      </c>
      <c r="AU67" s="381" cm="1">
        <f t="array" ref="AU67">SUM(AU$6:AU$62*($D$6:$D$62=$D67))</f>
        <v>0</v>
      </c>
      <c r="AV67" s="381" cm="1">
        <f t="array" ref="AV67">SUM(AV$6:AV$62*($D$6:$D$62=$D67))</f>
        <v>0</v>
      </c>
      <c r="AW67" s="381" cm="1">
        <f t="array" ref="AW67">SUM(AW$6:AW$62*($D$6:$D$62=$D67))</f>
        <v>0</v>
      </c>
      <c r="AX67" s="381" cm="1">
        <f t="array" ref="AX67">SUM(AX$6:AX$62*($D$6:$D$62=$D67))</f>
        <v>0</v>
      </c>
      <c r="AY67" s="381" cm="1">
        <f t="array" ref="AY67">SUM(AY$6:AY$62*($D$6:$D$62=$D67))</f>
        <v>0</v>
      </c>
      <c r="AZ67" s="381" cm="1">
        <f t="array" ref="AZ67">SUM(AZ$6:AZ$62*($D$6:$D$62=$D67))</f>
        <v>0</v>
      </c>
      <c r="BA67" s="381" cm="1">
        <f t="array" ref="BA67">SUM(BA$6:BA$62*($D$6:$D$62=$D67))</f>
        <v>0</v>
      </c>
      <c r="BB67" s="381" cm="1">
        <f t="array" ref="BB67">SUM(BB$6:BB$62*($D$6:$D$62=$D67))</f>
        <v>0</v>
      </c>
      <c r="BC67" s="381" cm="1">
        <f t="array" ref="BC67">SUM(BC$6:BC$62*($D$6:$D$62=$D67))</f>
        <v>0</v>
      </c>
      <c r="BD67" s="381" cm="1">
        <f t="array" ref="BD67">SUM(BD$6:BD$62*($D$6:$D$62=$D67))</f>
        <v>0</v>
      </c>
      <c r="BE67" s="381" cm="1">
        <f t="array" ref="BE67">SUM(BE$6:BE$62*($D$6:$D$62=$D67))</f>
        <v>0</v>
      </c>
      <c r="BF67" s="381" cm="1">
        <f t="array" ref="BF67">SUM(BF$6:BF$62*($D$6:$D$62=$D67))</f>
        <v>0</v>
      </c>
      <c r="BG67" s="381" cm="1">
        <f t="array" ref="BG67">SUM(BG$6:BG$62*($D$6:$D$62=$D67))</f>
        <v>0</v>
      </c>
      <c r="BH67" s="381" cm="1">
        <f t="array" ref="BH67">SUM(BH$6:BH$62*($D$6:$D$62=$D67))</f>
        <v>0</v>
      </c>
      <c r="BI67" s="381" cm="1">
        <f t="array" ref="BI67">SUM(BI$6:BI$62*($D$6:$D$62=$D67))</f>
        <v>0</v>
      </c>
      <c r="BJ67" s="381" cm="1">
        <f t="array" ref="BJ67">SUM(BJ$6:BJ$62*($D$6:$D$62=$D67))</f>
        <v>0</v>
      </c>
      <c r="BK67" s="381" cm="1">
        <f t="array" ref="BK67">SUM(BK$6:BK$62*($D$6:$D$62=$D67))</f>
        <v>0</v>
      </c>
      <c r="BL67" s="381" cm="1">
        <f t="array" ref="BL67">SUM(BL$6:BL$62*($D$6:$D$62=$D67))</f>
        <v>0</v>
      </c>
      <c r="BM67" s="381" cm="1">
        <f t="array" ref="BM67">SUM(BM$6:BM$62*($D$6:$D$62=$D67))</f>
        <v>0</v>
      </c>
      <c r="BN67" s="381" cm="1">
        <f t="array" ref="BN67">SUM(BN$6:BN$62*($D$6:$D$62=$D67))</f>
        <v>0</v>
      </c>
      <c r="BO67" s="381" cm="1">
        <f t="array" ref="BO67">SUM(BO$6:BO$62*($D$6:$D$62=$D67))</f>
        <v>0</v>
      </c>
      <c r="BP67" s="381" cm="1">
        <f t="array" ref="BP67">SUM(BP$6:BP$62*($D$6:$D$62=$D67))</f>
        <v>0</v>
      </c>
      <c r="BQ67" s="381" cm="1">
        <f t="array" ref="BQ67">SUM(BQ$6:BQ$62*($D$6:$D$62=$D67))</f>
        <v>0</v>
      </c>
      <c r="BR67" s="381" cm="1">
        <f t="array" ref="BR67">SUM(BR$6:BR$62*($D$6:$D$62=$D67))</f>
        <v>0</v>
      </c>
      <c r="BS67" s="381" cm="1">
        <f t="array" ref="BS67">SUM(BS$6:BS$62*($D$6:$D$62=$D67))</f>
        <v>0</v>
      </c>
    </row>
    <row r="68" spans="3:71" x14ac:dyDescent="0.25">
      <c r="C68" s="378"/>
      <c r="D68" s="378" t="str">
        <v>Bradley Burge</v>
      </c>
      <c r="F68" s="321" t="str">
        <f>_xlfn.XLOOKUP(D68,D13:D66,F13:F66)</f>
        <v>ServiceNow Developer</v>
      </c>
      <c r="I68" s="382">
        <f ca="1">SUMIF(D6:D62,D68,I6:I62)</f>
        <v>1152.9000000000001</v>
      </c>
      <c r="Y68" s="381" cm="1">
        <f t="array" ref="Y68">SUM(Y$6:Y$62*($D$6:$D$62=$D68))</f>
        <v>0</v>
      </c>
      <c r="Z68" s="381" cm="1">
        <f t="array" ref="Z68">SUM(Z$6:Z$62*($D$6:$D$62=$D68))</f>
        <v>0</v>
      </c>
      <c r="AA68" s="381" cm="1">
        <f t="array" ref="AA68">SUM(AA$6:AA$62*($D$6:$D$62=$D68))</f>
        <v>0.5</v>
      </c>
      <c r="AB68" s="381" cm="1">
        <f t="array" ref="AB68">SUM(AB$6:AB$62*($D$6:$D$62=$D68))</f>
        <v>1.5</v>
      </c>
      <c r="AC68" s="381" cm="1">
        <f t="array" ref="AC68">SUM(AC$6:AC$62*($D$6:$D$62=$D68))</f>
        <v>1</v>
      </c>
      <c r="AD68" s="381" cm="1">
        <f t="array" ref="AD68">SUM(AD$6:AD$62*($D$6:$D$62=$D68))</f>
        <v>1</v>
      </c>
      <c r="AE68" s="381" cm="1">
        <f t="array" ref="AE68">SUM(AE$6:AE$62*($D$6:$D$62=$D68))</f>
        <v>1</v>
      </c>
      <c r="AF68" s="381" cm="1">
        <f t="array" ref="AF68">SUM(AF$6:AF$62*($D$6:$D$62=$D68))</f>
        <v>1</v>
      </c>
      <c r="AG68" s="381" cm="1">
        <f t="array" ref="AG68">SUM(AG$6:AG$62*($D$6:$D$62=$D68))</f>
        <v>1</v>
      </c>
      <c r="AH68" s="381" cm="1">
        <f t="array" ref="AH68">SUM(AH$6:AH$62*($D$6:$D$62=$D68))</f>
        <v>1</v>
      </c>
      <c r="AI68" s="381" cm="1">
        <f t="array" ref="AI68">SUM(AI$6:AI$62*($D$6:$D$62=$D68))</f>
        <v>1</v>
      </c>
      <c r="AJ68" s="381" cm="1">
        <f t="array" ref="AJ68">SUM(AJ$6:AJ$62*($D$6:$D$62=$D68))</f>
        <v>1</v>
      </c>
      <c r="AK68" s="381" cm="1">
        <f t="array" ref="AK68">SUM(AK$6:AK$62*($D$6:$D$62=$D68))</f>
        <v>1</v>
      </c>
      <c r="AL68" s="381" cm="1">
        <f t="array" ref="AL68">SUM(AL$6:AL$62*($D$6:$D$62=$D68))</f>
        <v>1</v>
      </c>
      <c r="AM68" s="381" cm="1">
        <f t="array" ref="AM68">SUM(AM$6:AM$62*($D$6:$D$62=$D68))</f>
        <v>1</v>
      </c>
      <c r="AN68" s="381" cm="1">
        <f t="array" ref="AN68">SUM(AN$6:AN$62*($D$6:$D$62=$D68))</f>
        <v>1</v>
      </c>
      <c r="AO68" s="381" cm="1">
        <f t="array" ref="AO68">SUM(AO$6:AO$62*($D$6:$D$62=$D68))</f>
        <v>1</v>
      </c>
      <c r="AP68" s="381" cm="1">
        <f t="array" ref="AP68">SUM(AP$6:AP$62*($D$6:$D$62=$D68))</f>
        <v>1</v>
      </c>
      <c r="AQ68" s="381" cm="1">
        <f t="array" ref="AQ68">SUM(AQ$6:AQ$62*($D$6:$D$62=$D68))</f>
        <v>1</v>
      </c>
      <c r="AR68" s="381" cm="1">
        <f t="array" ref="AR68">SUM(AR$6:AR$62*($D$6:$D$62=$D68))</f>
        <v>1</v>
      </c>
      <c r="AS68" s="381" cm="1">
        <f t="array" ref="AS68">SUM(AS$6:AS$62*($D$6:$D$62=$D68))</f>
        <v>1</v>
      </c>
      <c r="AT68" s="381" cm="1">
        <f t="array" ref="AT68">SUM(AT$6:AT$62*($D$6:$D$62=$D68))</f>
        <v>1</v>
      </c>
      <c r="AU68" s="381" cm="1">
        <f t="array" ref="AU68">SUM(AU$6:AU$62*($D$6:$D$62=$D68))</f>
        <v>0.8</v>
      </c>
      <c r="AV68" s="381" cm="1">
        <f t="array" ref="AV68">SUM(AV$6:AV$62*($D$6:$D$62=$D68))</f>
        <v>0</v>
      </c>
      <c r="AW68" s="381" cm="1">
        <f t="array" ref="AW68">SUM(AW$6:AW$62*($D$6:$D$62=$D68))</f>
        <v>0</v>
      </c>
      <c r="AX68" s="381" cm="1">
        <f t="array" ref="AX68">SUM(AX$6:AX$62*($D$6:$D$62=$D68))</f>
        <v>0</v>
      </c>
      <c r="AY68" s="381" cm="1">
        <f t="array" ref="AY68">SUM(AY$6:AY$62*($D$6:$D$62=$D68))</f>
        <v>0</v>
      </c>
      <c r="AZ68" s="381" cm="1">
        <f t="array" ref="AZ68">SUM(AZ$6:AZ$62*($D$6:$D$62=$D68))</f>
        <v>0</v>
      </c>
      <c r="BA68" s="381" cm="1">
        <f t="array" ref="BA68">SUM(BA$6:BA$62*($D$6:$D$62=$D68))</f>
        <v>0</v>
      </c>
      <c r="BB68" s="381" cm="1">
        <f t="array" ref="BB68">SUM(BB$6:BB$62*($D$6:$D$62=$D68))</f>
        <v>0</v>
      </c>
      <c r="BC68" s="381" cm="1">
        <f t="array" ref="BC68">SUM(BC$6:BC$62*($D$6:$D$62=$D68))</f>
        <v>0</v>
      </c>
      <c r="BD68" s="381" cm="1">
        <f t="array" ref="BD68">SUM(BD$6:BD$62*($D$6:$D$62=$D68))</f>
        <v>0</v>
      </c>
      <c r="BE68" s="381" cm="1">
        <f t="array" ref="BE68">SUM(BE$6:BE$62*($D$6:$D$62=$D68))</f>
        <v>0</v>
      </c>
      <c r="BF68" s="381" cm="1">
        <f t="array" ref="BF68">SUM(BF$6:BF$62*($D$6:$D$62=$D68))</f>
        <v>0</v>
      </c>
      <c r="BG68" s="381" cm="1">
        <f t="array" ref="BG68">SUM(BG$6:BG$62*($D$6:$D$62=$D68))</f>
        <v>0</v>
      </c>
      <c r="BH68" s="381" cm="1">
        <f t="array" ref="BH68">SUM(BH$6:BH$62*($D$6:$D$62=$D68))</f>
        <v>0</v>
      </c>
      <c r="BI68" s="381" cm="1">
        <f t="array" ref="BI68">SUM(BI$6:BI$62*($D$6:$D$62=$D68))</f>
        <v>0</v>
      </c>
      <c r="BJ68" s="381" cm="1">
        <f t="array" ref="BJ68">SUM(BJ$6:BJ$62*($D$6:$D$62=$D68))</f>
        <v>0</v>
      </c>
      <c r="BK68" s="381" cm="1">
        <f t="array" ref="BK68">SUM(BK$6:BK$62*($D$6:$D$62=$D68))</f>
        <v>0</v>
      </c>
      <c r="BL68" s="381" cm="1">
        <f t="array" ref="BL68">SUM(BL$6:BL$62*($D$6:$D$62=$D68))</f>
        <v>0</v>
      </c>
      <c r="BM68" s="381" cm="1">
        <f t="array" ref="BM68">SUM(BM$6:BM$62*($D$6:$D$62=$D68))</f>
        <v>0</v>
      </c>
      <c r="BN68" s="381" cm="1">
        <f t="array" ref="BN68">SUM(BN$6:BN$62*($D$6:$D$62=$D68))</f>
        <v>0</v>
      </c>
      <c r="BO68" s="381" cm="1">
        <f t="array" ref="BO68">SUM(BO$6:BO$62*($D$6:$D$62=$D68))</f>
        <v>0</v>
      </c>
      <c r="BP68" s="381" cm="1">
        <f t="array" ref="BP68">SUM(BP$6:BP$62*($D$6:$D$62=$D68))</f>
        <v>0</v>
      </c>
      <c r="BQ68" s="381" cm="1">
        <f t="array" ref="BQ68">SUM(BQ$6:BQ$62*($D$6:$D$62=$D68))</f>
        <v>0</v>
      </c>
      <c r="BR68" s="381" cm="1">
        <f t="array" ref="BR68">SUM(BR$6:BR$62*($D$6:$D$62=$D68))</f>
        <v>0</v>
      </c>
      <c r="BS68" s="381" cm="1">
        <f t="array" ref="BS68">SUM(BS$6:BS$62*($D$6:$D$62=$D68))</f>
        <v>0</v>
      </c>
    </row>
    <row r="69" spans="3:71" x14ac:dyDescent="0.25">
      <c r="C69" s="378"/>
      <c r="D69" s="378" t="str">
        <v>Michelle Chant</v>
      </c>
      <c r="F69" s="321" t="str">
        <f>_xlfn.XLOOKUP(D69,D14:D67,F14:F67)</f>
        <v>Change Manager</v>
      </c>
      <c r="I69" s="379">
        <f ca="1">_xlfn.XLOOKUP($D69,$D$6:$D$62,$I$6:$I$62)</f>
        <v>151.9</v>
      </c>
      <c r="Y69" s="381" cm="1">
        <f t="array" ref="Y69">SUM(Y$6:Y$62*($D$6:$D$62=$D69))</f>
        <v>0.2</v>
      </c>
      <c r="Z69" s="381" cm="1">
        <f t="array" ref="Z69">SUM(Z$6:Z$62*($D$6:$D$62=$D69))</f>
        <v>0.2</v>
      </c>
      <c r="AA69" s="381" cm="1">
        <f t="array" ref="AA69">SUM(AA$6:AA$62*($D$6:$D$62=$D69))</f>
        <v>0.2</v>
      </c>
      <c r="AB69" s="381" cm="1">
        <f t="array" ref="AB69">SUM(AB$6:AB$62*($D$6:$D$62=$D69))</f>
        <v>0.28000000000000003</v>
      </c>
      <c r="AC69" s="381" cm="1">
        <f t="array" ref="AC69">SUM(AC$6:AC$62*($D$6:$D$62=$D69))</f>
        <v>0</v>
      </c>
      <c r="AD69" s="381" cm="1">
        <f t="array" ref="AD69">SUM(AD$6:AD$62*($D$6:$D$62=$D69))</f>
        <v>0</v>
      </c>
      <c r="AE69" s="381" cm="1">
        <f t="array" ref="AE69">SUM(AE$6:AE$62*($D$6:$D$62=$D69))</f>
        <v>0</v>
      </c>
      <c r="AF69" s="381" cm="1">
        <f t="array" ref="AF69">SUM(AF$6:AF$62*($D$6:$D$62=$D69))</f>
        <v>0.08</v>
      </c>
      <c r="AG69" s="381" cm="1">
        <f t="array" ref="AG69">SUM(AG$6:AG$62*($D$6:$D$62=$D69))</f>
        <v>1</v>
      </c>
      <c r="AH69" s="381" cm="1">
        <f t="array" ref="AH69">SUM(AH$6:AH$62*($D$6:$D$62=$D69))</f>
        <v>1</v>
      </c>
      <c r="AI69" s="381" cm="1">
        <f t="array" ref="AI69">SUM(AI$6:AI$62*($D$6:$D$62=$D69))</f>
        <v>1</v>
      </c>
      <c r="AJ69" s="381" cm="1">
        <f t="array" ref="AJ69">SUM(AJ$6:AJ$62*($D$6:$D$62=$D69))</f>
        <v>1</v>
      </c>
      <c r="AK69" s="381" cm="1">
        <f t="array" ref="AK69">SUM(AK$6:AK$62*($D$6:$D$62=$D69))</f>
        <v>1</v>
      </c>
      <c r="AL69" s="381" cm="1">
        <f t="array" ref="AL69">SUM(AL$6:AL$62*($D$6:$D$62=$D69))</f>
        <v>1</v>
      </c>
      <c r="AM69" s="381" cm="1">
        <f t="array" ref="AM69">SUM(AM$6:AM$62*($D$6:$D$62=$D69))</f>
        <v>1</v>
      </c>
      <c r="AN69" s="381" cm="1">
        <f t="array" ref="AN69">SUM(AN$6:AN$62*($D$6:$D$62=$D69))</f>
        <v>0.5</v>
      </c>
      <c r="AO69" s="381" cm="1">
        <f t="array" ref="AO69">SUM(AO$6:AO$62*($D$6:$D$62=$D69))</f>
        <v>0.5</v>
      </c>
      <c r="AP69" s="381" cm="1">
        <f t="array" ref="AP69">SUM(AP$6:AP$62*($D$6:$D$62=$D69))</f>
        <v>0.5</v>
      </c>
      <c r="AQ69" s="381" cm="1">
        <f t="array" ref="AQ69">SUM(AQ$6:AQ$62*($D$6:$D$62=$D69))</f>
        <v>0.5</v>
      </c>
      <c r="AR69" s="381" cm="1">
        <f t="array" ref="AR69">SUM(AR$6:AR$62*($D$6:$D$62=$D69))</f>
        <v>0.2</v>
      </c>
      <c r="AS69" s="381" cm="1">
        <f t="array" ref="AS69">SUM(AS$6:AS$62*($D$6:$D$62=$D69))</f>
        <v>0.2</v>
      </c>
      <c r="AT69" s="381" cm="1">
        <f t="array" ref="AT69">SUM(AT$6:AT$62*($D$6:$D$62=$D69))</f>
        <v>0</v>
      </c>
      <c r="AU69" s="381" cm="1">
        <f t="array" ref="AU69">SUM(AU$6:AU$62*($D$6:$D$62=$D69))</f>
        <v>0</v>
      </c>
      <c r="AV69" s="381" cm="1">
        <f t="array" ref="AV69">SUM(AV$6:AV$62*($D$6:$D$62=$D69))</f>
        <v>0</v>
      </c>
      <c r="AW69" s="381" cm="1">
        <f t="array" ref="AW69">SUM(AW$6:AW$62*($D$6:$D$62=$D69))</f>
        <v>0</v>
      </c>
      <c r="AX69" s="381" cm="1">
        <f t="array" ref="AX69">SUM(AX$6:AX$62*($D$6:$D$62=$D69))</f>
        <v>0</v>
      </c>
      <c r="AY69" s="381" cm="1">
        <f t="array" ref="AY69">SUM(AY$6:AY$62*($D$6:$D$62=$D69))</f>
        <v>0</v>
      </c>
      <c r="AZ69" s="381" cm="1">
        <f t="array" ref="AZ69">SUM(AZ$6:AZ$62*($D$6:$D$62=$D69))</f>
        <v>0</v>
      </c>
      <c r="BA69" s="381" cm="1">
        <f t="array" ref="BA69">SUM(BA$6:BA$62*($D$6:$D$62=$D69))</f>
        <v>0</v>
      </c>
      <c r="BB69" s="381" cm="1">
        <f t="array" ref="BB69">SUM(BB$6:BB$62*($D$6:$D$62=$D69))</f>
        <v>0</v>
      </c>
      <c r="BC69" s="381" cm="1">
        <f t="array" ref="BC69">SUM(BC$6:BC$62*($D$6:$D$62=$D69))</f>
        <v>0</v>
      </c>
      <c r="BD69" s="381" cm="1">
        <f t="array" ref="BD69">SUM(BD$6:BD$62*($D$6:$D$62=$D69))</f>
        <v>0</v>
      </c>
      <c r="BE69" s="381" cm="1">
        <f t="array" ref="BE69">SUM(BE$6:BE$62*($D$6:$D$62=$D69))</f>
        <v>0</v>
      </c>
      <c r="BF69" s="381" cm="1">
        <f t="array" ref="BF69">SUM(BF$6:BF$62*($D$6:$D$62=$D69))</f>
        <v>0</v>
      </c>
      <c r="BG69" s="381" cm="1">
        <f t="array" ref="BG69">SUM(BG$6:BG$62*($D$6:$D$62=$D69))</f>
        <v>0</v>
      </c>
      <c r="BH69" s="381" cm="1">
        <f t="array" ref="BH69">SUM(BH$6:BH$62*($D$6:$D$62=$D69))</f>
        <v>0</v>
      </c>
      <c r="BI69" s="381" cm="1">
        <f t="array" ref="BI69">SUM(BI$6:BI$62*($D$6:$D$62=$D69))</f>
        <v>0</v>
      </c>
      <c r="BJ69" s="381" cm="1">
        <f t="array" ref="BJ69">SUM(BJ$6:BJ$62*($D$6:$D$62=$D69))</f>
        <v>0</v>
      </c>
      <c r="BK69" s="381" cm="1">
        <f t="array" ref="BK69">SUM(BK$6:BK$62*($D$6:$D$62=$D69))</f>
        <v>0</v>
      </c>
      <c r="BL69" s="381" cm="1">
        <f t="array" ref="BL69">SUM(BL$6:BL$62*($D$6:$D$62=$D69))</f>
        <v>0</v>
      </c>
      <c r="BM69" s="381" cm="1">
        <f t="array" ref="BM69">SUM(BM$6:BM$62*($D$6:$D$62=$D69))</f>
        <v>0</v>
      </c>
      <c r="BN69" s="381" cm="1">
        <f t="array" ref="BN69">SUM(BN$6:BN$62*($D$6:$D$62=$D69))</f>
        <v>0</v>
      </c>
      <c r="BO69" s="381" cm="1">
        <f t="array" ref="BO69">SUM(BO$6:BO$62*($D$6:$D$62=$D69))</f>
        <v>0</v>
      </c>
      <c r="BP69" s="381" cm="1">
        <f t="array" ref="BP69">SUM(BP$6:BP$62*($D$6:$D$62=$D69))</f>
        <v>0</v>
      </c>
      <c r="BQ69" s="381" cm="1">
        <f t="array" ref="BQ69">SUM(BQ$6:BQ$62*($D$6:$D$62=$D69))</f>
        <v>0</v>
      </c>
      <c r="BR69" s="381" cm="1">
        <f t="array" ref="BR69">SUM(BR$6:BR$62*($D$6:$D$62=$D69))</f>
        <v>0</v>
      </c>
      <c r="BS69" s="381" cm="1">
        <f t="array" ref="BS69">SUM(BS$6:BS$62*($D$6:$D$62=$D69))</f>
        <v>0</v>
      </c>
    </row>
    <row r="70" spans="3:71" x14ac:dyDescent="0.25">
      <c r="D70" s="321" t="str">
        <v>Phani Gollamudi</v>
      </c>
      <c r="F70" s="321" t="str">
        <f>_xlfn.XLOOKUP(D70,D15:D68,F15:F68)</f>
        <v>ServiceNow Developer</v>
      </c>
      <c r="I70" s="379">
        <f ca="1">_xlfn.XLOOKUP($D70,$D$6:$D$62,$I$6:$I$62)</f>
        <v>0</v>
      </c>
      <c r="Y70" s="381" cm="1">
        <f t="array" ref="Y70">SUM(Y$6:Y$62*($D$6:$D$62=$D70))</f>
        <v>0</v>
      </c>
      <c r="Z70" s="381" cm="1">
        <f t="array" ref="Z70">SUM(Z$6:Z$62*($D$6:$D$62=$D70))</f>
        <v>0.5</v>
      </c>
      <c r="AA70" s="381" cm="1">
        <f t="array" ref="AA70">SUM(AA$6:AA$62*($D$6:$D$62=$D70))</f>
        <v>0.5</v>
      </c>
      <c r="AB70" s="381" cm="1">
        <f t="array" ref="AB70">SUM(AB$6:AB$62*($D$6:$D$62=$D70))</f>
        <v>1.5</v>
      </c>
      <c r="AC70" s="381" cm="1">
        <f t="array" ref="AC70">SUM(AC$6:AC$62*($D$6:$D$62=$D70))</f>
        <v>1</v>
      </c>
      <c r="AD70" s="381" cm="1">
        <f t="array" ref="AD70">SUM(AD$6:AD$62*($D$6:$D$62=$D70))</f>
        <v>1</v>
      </c>
      <c r="AE70" s="381" cm="1">
        <f t="array" ref="AE70">SUM(AE$6:AE$62*($D$6:$D$62=$D70))</f>
        <v>1</v>
      </c>
      <c r="AF70" s="381" cm="1">
        <f t="array" ref="AF70">SUM(AF$6:AF$62*($D$6:$D$62=$D70))</f>
        <v>1</v>
      </c>
      <c r="AG70" s="381" cm="1">
        <f t="array" ref="AG70">SUM(AG$6:AG$62*($D$6:$D$62=$D70))</f>
        <v>1</v>
      </c>
      <c r="AH70" s="381" cm="1">
        <f t="array" ref="AH70">SUM(AH$6:AH$62*($D$6:$D$62=$D70))</f>
        <v>1</v>
      </c>
      <c r="AI70" s="381" cm="1">
        <f t="array" ref="AI70">SUM(AI$6:AI$62*($D$6:$D$62=$D70))</f>
        <v>1</v>
      </c>
      <c r="AJ70" s="381" cm="1">
        <f t="array" ref="AJ70">SUM(AJ$6:AJ$62*($D$6:$D$62=$D70))</f>
        <v>1</v>
      </c>
      <c r="AK70" s="381" cm="1">
        <f t="array" ref="AK70">SUM(AK$6:AK$62*($D$6:$D$62=$D70))</f>
        <v>1</v>
      </c>
      <c r="AL70" s="381" cm="1">
        <f t="array" ref="AL70">SUM(AL$6:AL$62*($D$6:$D$62=$D70))</f>
        <v>1</v>
      </c>
      <c r="AM70" s="381" cm="1">
        <f t="array" ref="AM70">SUM(AM$6:AM$62*($D$6:$D$62=$D70))</f>
        <v>1</v>
      </c>
      <c r="AN70" s="381" cm="1">
        <f t="array" ref="AN70">SUM(AN$6:AN$62*($D$6:$D$62=$D70))</f>
        <v>1</v>
      </c>
      <c r="AO70" s="381" cm="1">
        <f t="array" ref="AO70">SUM(AO$6:AO$62*($D$6:$D$62=$D70))</f>
        <v>1</v>
      </c>
      <c r="AP70" s="381" cm="1">
        <f t="array" ref="AP70">SUM(AP$6:AP$62*($D$6:$D$62=$D70))</f>
        <v>1</v>
      </c>
      <c r="AQ70" s="381" cm="1">
        <f t="array" ref="AQ70">SUM(AQ$6:AQ$62*($D$6:$D$62=$D70))</f>
        <v>1</v>
      </c>
      <c r="AR70" s="381" cm="1">
        <f t="array" ref="AR70">SUM(AR$6:AR$62*($D$6:$D$62=$D70))</f>
        <v>0</v>
      </c>
      <c r="AS70" s="381" cm="1">
        <f t="array" ref="AS70">SUM(AS$6:AS$62*($D$6:$D$62=$D70))</f>
        <v>0</v>
      </c>
      <c r="AT70" s="381" cm="1">
        <f t="array" ref="AT70">SUM(AT$6:AT$62*($D$6:$D$62=$D70))</f>
        <v>0</v>
      </c>
      <c r="AU70" s="381" cm="1">
        <f t="array" ref="AU70">SUM(AU$6:AU$62*($D$6:$D$62=$D70))</f>
        <v>0</v>
      </c>
      <c r="AV70" s="381" cm="1">
        <f t="array" ref="AV70">SUM(AV$6:AV$62*($D$6:$D$62=$D70))</f>
        <v>0</v>
      </c>
      <c r="AW70" s="381" cm="1">
        <f t="array" ref="AW70">SUM(AW$6:AW$62*($D$6:$D$62=$D70))</f>
        <v>0</v>
      </c>
      <c r="AX70" s="381" cm="1">
        <f t="array" ref="AX70">SUM(AX$6:AX$62*($D$6:$D$62=$D70))</f>
        <v>0</v>
      </c>
      <c r="AY70" s="381" cm="1">
        <f t="array" ref="AY70">SUM(AY$6:AY$62*($D$6:$D$62=$D70))</f>
        <v>0</v>
      </c>
      <c r="AZ70" s="381" cm="1">
        <f t="array" ref="AZ70">SUM(AZ$6:AZ$62*($D$6:$D$62=$D70))</f>
        <v>0</v>
      </c>
      <c r="BA70" s="381" cm="1">
        <f t="array" ref="BA70">SUM(BA$6:BA$62*($D$6:$D$62=$D70))</f>
        <v>0</v>
      </c>
      <c r="BB70" s="381" cm="1">
        <f t="array" ref="BB70">SUM(BB$6:BB$62*($D$6:$D$62=$D70))</f>
        <v>0</v>
      </c>
      <c r="BC70" s="381" cm="1">
        <f t="array" ref="BC70">SUM(BC$6:BC$62*($D$6:$D$62=$D70))</f>
        <v>0</v>
      </c>
      <c r="BD70" s="381" cm="1">
        <f t="array" ref="BD70">SUM(BD$6:BD$62*($D$6:$D$62=$D70))</f>
        <v>0</v>
      </c>
      <c r="BE70" s="381" cm="1">
        <f t="array" ref="BE70">SUM(BE$6:BE$62*($D$6:$D$62=$D70))</f>
        <v>0</v>
      </c>
      <c r="BF70" s="381" cm="1">
        <f t="array" ref="BF70">SUM(BF$6:BF$62*($D$6:$D$62=$D70))</f>
        <v>0</v>
      </c>
      <c r="BG70" s="381" cm="1">
        <f t="array" ref="BG70">SUM(BG$6:BG$62*($D$6:$D$62=$D70))</f>
        <v>0</v>
      </c>
      <c r="BH70" s="381" cm="1">
        <f t="array" ref="BH70">SUM(BH$6:BH$62*($D$6:$D$62=$D70))</f>
        <v>0</v>
      </c>
      <c r="BI70" s="381" cm="1">
        <f t="array" ref="BI70">SUM(BI$6:BI$62*($D$6:$D$62=$D70))</f>
        <v>0</v>
      </c>
      <c r="BJ70" s="381" cm="1">
        <f t="array" ref="BJ70">SUM(BJ$6:BJ$62*($D$6:$D$62=$D70))</f>
        <v>0</v>
      </c>
      <c r="BK70" s="381" cm="1">
        <f t="array" ref="BK70">SUM(BK$6:BK$62*($D$6:$D$62=$D70))</f>
        <v>0</v>
      </c>
      <c r="BL70" s="381" cm="1">
        <f t="array" ref="BL70">SUM(BL$6:BL$62*($D$6:$D$62=$D70))</f>
        <v>0</v>
      </c>
      <c r="BM70" s="381" cm="1">
        <f t="array" ref="BM70">SUM(BM$6:BM$62*($D$6:$D$62=$D70))</f>
        <v>0</v>
      </c>
      <c r="BN70" s="381" cm="1">
        <f t="array" ref="BN70">SUM(BN$6:BN$62*($D$6:$D$62=$D70))</f>
        <v>0</v>
      </c>
      <c r="BO70" s="381" cm="1">
        <f t="array" ref="BO70">SUM(BO$6:BO$62*($D$6:$D$62=$D70))</f>
        <v>0</v>
      </c>
      <c r="BP70" s="381" cm="1">
        <f t="array" ref="BP70">SUM(BP$6:BP$62*($D$6:$D$62=$D70))</f>
        <v>0</v>
      </c>
      <c r="BQ70" s="381" cm="1">
        <f t="array" ref="BQ70">SUM(BQ$6:BQ$62*($D$6:$D$62=$D70))</f>
        <v>0</v>
      </c>
      <c r="BR70" s="381" cm="1">
        <f t="array" ref="BR70">SUM(BR$6:BR$62*($D$6:$D$62=$D70))</f>
        <v>0</v>
      </c>
      <c r="BS70" s="381" cm="1">
        <f t="array" ref="BS70">SUM(BS$6:BS$62*($D$6:$D$62=$D70))</f>
        <v>0</v>
      </c>
    </row>
    <row r="71" spans="3:71" x14ac:dyDescent="0.25">
      <c r="D71" s="321" t="str">
        <v>Contingency</v>
      </c>
      <c r="F71" s="321">
        <f>_xlfn.XLOOKUP(D71,D16:D69,F16:F69)</f>
        <v>0</v>
      </c>
      <c r="I71" s="379">
        <f ca="1">_xlfn.XLOOKUP($D71,$D$6:$D$62,$I$6:$I$62)</f>
        <v>6436.0400000000009</v>
      </c>
      <c r="Y71" s="381" cm="1">
        <f t="array" ref="Y71">SUM(Y$6:Y$62*($D$6:$D$62=$D71))</f>
        <v>0</v>
      </c>
      <c r="Z71" s="381" cm="1">
        <f t="array" ref="Z71">SUM(Z$6:Z$62*($D$6:$D$62=$D71))</f>
        <v>0.1</v>
      </c>
      <c r="AA71" s="381" cm="1">
        <f t="array" ref="AA71">SUM(AA$6:AA$62*($D$6:$D$62=$D71))</f>
        <v>0</v>
      </c>
      <c r="AB71" s="381" cm="1">
        <f t="array" ref="AB71">SUM(AB$6:AB$62*($D$6:$D$62=$D71))</f>
        <v>0</v>
      </c>
      <c r="AC71" s="381" cm="1">
        <f t="array" ref="AC71">SUM(AC$6:AC$62*($D$6:$D$62=$D71))</f>
        <v>0</v>
      </c>
      <c r="AD71" s="381" cm="1">
        <f t="array" ref="AD71">SUM(AD$6:AD$62*($D$6:$D$62=$D71))</f>
        <v>0</v>
      </c>
      <c r="AE71" s="381" cm="1">
        <f t="array" ref="AE71">SUM(AE$6:AE$62*($D$6:$D$62=$D71))</f>
        <v>0.1</v>
      </c>
      <c r="AF71" s="381" cm="1">
        <f t="array" ref="AF71">SUM(AF$6:AF$62*($D$6:$D$62=$D71))</f>
        <v>0</v>
      </c>
      <c r="AG71" s="381" cm="1">
        <f t="array" ref="AG71">SUM(AG$6:AG$62*($D$6:$D$62=$D71))</f>
        <v>0</v>
      </c>
      <c r="AH71" s="381" cm="1">
        <f t="array" ref="AH71">SUM(AH$6:AH$62*($D$6:$D$62=$D71))</f>
        <v>0</v>
      </c>
      <c r="AI71" s="381" cm="1">
        <f t="array" ref="AI71">SUM(AI$6:AI$62*($D$6:$D$62=$D71))</f>
        <v>0.1</v>
      </c>
      <c r="AJ71" s="381" cm="1">
        <f t="array" ref="AJ71">SUM(AJ$6:AJ$62*($D$6:$D$62=$D71))</f>
        <v>0</v>
      </c>
      <c r="AK71" s="381" cm="1">
        <f t="array" ref="AK71">SUM(AK$6:AK$62*($D$6:$D$62=$D71))</f>
        <v>0</v>
      </c>
      <c r="AL71" s="381" cm="1">
        <f t="array" ref="AL71">SUM(AL$6:AL$62*($D$6:$D$62=$D71))</f>
        <v>0</v>
      </c>
      <c r="AM71" s="381" cm="1">
        <f t="array" ref="AM71">SUM(AM$6:AM$62*($D$6:$D$62=$D71))</f>
        <v>0</v>
      </c>
      <c r="AN71" s="381" cm="1">
        <f t="array" ref="AN71">SUM(AN$6:AN$62*($D$6:$D$62=$D71))</f>
        <v>0</v>
      </c>
      <c r="AO71" s="381" cm="1">
        <f t="array" ref="AO71">SUM(AO$6:AO$62*($D$6:$D$62=$D71))</f>
        <v>0</v>
      </c>
      <c r="AP71" s="381" cm="1">
        <f t="array" ref="AP71">SUM(AP$6:AP$62*($D$6:$D$62=$D71))</f>
        <v>0</v>
      </c>
      <c r="AQ71" s="381" cm="1">
        <f t="array" ref="AQ71">SUM(AQ$6:AQ$62*($D$6:$D$62=$D71))</f>
        <v>0</v>
      </c>
      <c r="AR71" s="381" cm="1">
        <f t="array" ref="AR71">SUM(AR$6:AR$62*($D$6:$D$62=$D71))</f>
        <v>0</v>
      </c>
      <c r="AS71" s="381" cm="1">
        <f t="array" ref="AS71">SUM(AS$6:AS$62*($D$6:$D$62=$D71))</f>
        <v>0</v>
      </c>
      <c r="AT71" s="381" cm="1">
        <f t="array" ref="AT71">SUM(AT$6:AT$62*($D$6:$D$62=$D71))</f>
        <v>0</v>
      </c>
      <c r="AU71" s="381" cm="1">
        <f t="array" ref="AU71">SUM(AU$6:AU$62*($D$6:$D$62=$D71))</f>
        <v>0</v>
      </c>
      <c r="AV71" s="381" cm="1">
        <f t="array" ref="AV71">SUM(AV$6:AV$62*($D$6:$D$62=$D71))</f>
        <v>0</v>
      </c>
      <c r="AW71" s="381" cm="1">
        <f t="array" ref="AW71">SUM(AW$6:AW$62*($D$6:$D$62=$D71))</f>
        <v>0</v>
      </c>
      <c r="AX71" s="381" cm="1">
        <f t="array" ref="AX71">SUM(AX$6:AX$62*($D$6:$D$62=$D71))</f>
        <v>0</v>
      </c>
      <c r="AY71" s="381" cm="1">
        <f t="array" ref="AY71">SUM(AY$6:AY$62*($D$6:$D$62=$D71))</f>
        <v>0</v>
      </c>
      <c r="AZ71" s="381" cm="1">
        <f t="array" ref="AZ71">SUM(AZ$6:AZ$62*($D$6:$D$62=$D71))</f>
        <v>0</v>
      </c>
      <c r="BA71" s="381" cm="1">
        <f t="array" ref="BA71">SUM(BA$6:BA$62*($D$6:$D$62=$D71))</f>
        <v>0</v>
      </c>
      <c r="BB71" s="381" cm="1">
        <f t="array" ref="BB71">SUM(BB$6:BB$62*($D$6:$D$62=$D71))</f>
        <v>0</v>
      </c>
      <c r="BC71" s="381" cm="1">
        <f t="array" ref="BC71">SUM(BC$6:BC$62*($D$6:$D$62=$D71))</f>
        <v>0</v>
      </c>
      <c r="BD71" s="381" cm="1">
        <f t="array" ref="BD71">SUM(BD$6:BD$62*($D$6:$D$62=$D71))</f>
        <v>0</v>
      </c>
      <c r="BE71" s="381" cm="1">
        <f t="array" ref="BE71">SUM(BE$6:BE$62*($D$6:$D$62=$D71))</f>
        <v>0</v>
      </c>
      <c r="BF71" s="381" cm="1">
        <f t="array" ref="BF71">SUM(BF$6:BF$62*($D$6:$D$62=$D71))</f>
        <v>0</v>
      </c>
      <c r="BG71" s="381" cm="1">
        <f t="array" ref="BG71">SUM(BG$6:BG$62*($D$6:$D$62=$D71))</f>
        <v>0</v>
      </c>
      <c r="BH71" s="381" cm="1">
        <f t="array" ref="BH71">SUM(BH$6:BH$62*($D$6:$D$62=$D71))</f>
        <v>0</v>
      </c>
      <c r="BI71" s="381" cm="1">
        <f t="array" ref="BI71">SUM(BI$6:BI$62*($D$6:$D$62=$D71))</f>
        <v>0</v>
      </c>
      <c r="BJ71" s="381" cm="1">
        <f t="array" ref="BJ71">SUM(BJ$6:BJ$62*($D$6:$D$62=$D71))</f>
        <v>0</v>
      </c>
      <c r="BK71" s="381" cm="1">
        <f t="array" ref="BK71">SUM(BK$6:BK$62*($D$6:$D$62=$D71))</f>
        <v>0</v>
      </c>
      <c r="BL71" s="381" cm="1">
        <f t="array" ref="BL71">SUM(BL$6:BL$62*($D$6:$D$62=$D71))</f>
        <v>0</v>
      </c>
      <c r="BM71" s="381" cm="1">
        <f t="array" ref="BM71">SUM(BM$6:BM$62*($D$6:$D$62=$D71))</f>
        <v>0</v>
      </c>
      <c r="BN71" s="381" cm="1">
        <f t="array" ref="BN71">SUM(BN$6:BN$62*($D$6:$D$62=$D71))</f>
        <v>0</v>
      </c>
      <c r="BO71" s="381" cm="1">
        <f t="array" ref="BO71">SUM(BO$6:BO$62*($D$6:$D$62=$D71))</f>
        <v>0</v>
      </c>
      <c r="BP71" s="381" cm="1">
        <f t="array" ref="BP71">SUM(BP$6:BP$62*($D$6:$D$62=$D71))</f>
        <v>0</v>
      </c>
      <c r="BQ71" s="381" cm="1">
        <f t="array" ref="BQ71">SUM(BQ$6:BQ$62*($D$6:$D$62=$D71))</f>
        <v>0</v>
      </c>
      <c r="BR71" s="381" cm="1">
        <f t="array" ref="BR71">SUM(BR$6:BR$62*($D$6:$D$62=$D71))</f>
        <v>0</v>
      </c>
      <c r="BS71" s="381" cm="1">
        <f t="array" ref="BS71">SUM(BS$6:BS$62*($D$6:$D$62=$D71))</f>
        <v>0</v>
      </c>
    </row>
    <row r="72" spans="3:71" x14ac:dyDescent="0.25">
      <c r="D72" s="321" t="str">
        <v>Mahesh Vemegal</v>
      </c>
      <c r="F72" s="321" t="s">
        <v>979</v>
      </c>
      <c r="I72" s="379">
        <f ca="1">_xlfn.XLOOKUP($D72,$D$6:$D$62,$I$6:$I$62)</f>
        <v>207.39999999999998</v>
      </c>
      <c r="Y72" s="381" cm="1">
        <f t="array" ref="Y72">SUM(Y$6:Y$62*($D$6:$D$62=$D72))</f>
        <v>0</v>
      </c>
      <c r="Z72" s="381" cm="1">
        <f t="array" ref="Z72">SUM(Z$6:Z$62*($D$6:$D$62=$D72))</f>
        <v>0</v>
      </c>
      <c r="AA72" s="381" cm="1">
        <f t="array" ref="AA72">SUM(AA$6:AA$62*($D$6:$D$62=$D72))</f>
        <v>0</v>
      </c>
      <c r="AB72" s="381" cm="1">
        <f t="array" ref="AB72">SUM(AB$6:AB$62*($D$6:$D$62=$D72))</f>
        <v>0.5</v>
      </c>
      <c r="AC72" s="381" cm="1">
        <f t="array" ref="AC72">SUM(AC$6:AC$62*($D$6:$D$62=$D72))</f>
        <v>0.5</v>
      </c>
      <c r="AD72" s="381" cm="1">
        <f t="array" ref="AD72">SUM(AD$6:AD$62*($D$6:$D$62=$D72))</f>
        <v>0.5</v>
      </c>
      <c r="AE72" s="381" cm="1">
        <f t="array" ref="AE72">SUM(AE$6:AE$62*($D$6:$D$62=$D72))</f>
        <v>0.5</v>
      </c>
      <c r="AF72" s="381" cm="1">
        <f t="array" ref="AF72">SUM(AF$6:AF$62*($D$6:$D$62=$D72))</f>
        <v>1</v>
      </c>
      <c r="AG72" s="381" cm="1">
        <f t="array" ref="AG72">SUM(AG$6:AG$62*($D$6:$D$62=$D72))</f>
        <v>1</v>
      </c>
      <c r="AH72" s="381" cm="1">
        <f t="array" ref="AH72">SUM(AH$6:AH$62*($D$6:$D$62=$D72))</f>
        <v>1</v>
      </c>
      <c r="AI72" s="381" cm="1">
        <f t="array" ref="AI72">SUM(AI$6:AI$62*($D$6:$D$62=$D72))</f>
        <v>1</v>
      </c>
      <c r="AJ72" s="381" cm="1">
        <f t="array" ref="AJ72">SUM(AJ$6:AJ$62*($D$6:$D$62=$D72))</f>
        <v>1</v>
      </c>
      <c r="AK72" s="381" cm="1">
        <f t="array" ref="AK72">SUM(AK$6:AK$62*($D$6:$D$62=$D72))</f>
        <v>1</v>
      </c>
      <c r="AL72" s="381" cm="1">
        <f t="array" ref="AL72">SUM(AL$6:AL$62*($D$6:$D$62=$D72))</f>
        <v>1</v>
      </c>
      <c r="AM72" s="381" cm="1">
        <f t="array" ref="AM72">SUM(AM$6:AM$62*($D$6:$D$62=$D72))</f>
        <v>1</v>
      </c>
      <c r="AN72" s="381" cm="1">
        <f t="array" ref="AN72">SUM(AN$6:AN$62*($D$6:$D$62=$D72))</f>
        <v>0</v>
      </c>
      <c r="AO72" s="381" cm="1">
        <f t="array" ref="AO72">SUM(AO$6:AO$62*($D$6:$D$62=$D72))</f>
        <v>0</v>
      </c>
      <c r="AP72" s="381" cm="1">
        <f t="array" ref="AP72">SUM(AP$6:AP$62*($D$6:$D$62=$D72))</f>
        <v>0</v>
      </c>
      <c r="AQ72" s="381" cm="1">
        <f t="array" ref="AQ72">SUM(AQ$6:AQ$62*($D$6:$D$62=$D72))</f>
        <v>0</v>
      </c>
      <c r="AR72" s="381" cm="1">
        <f t="array" ref="AR72">SUM(AR$6:AR$62*($D$6:$D$62=$D72))</f>
        <v>0</v>
      </c>
      <c r="AS72" s="381" cm="1">
        <f t="array" ref="AS72">SUM(AS$6:AS$62*($D$6:$D$62=$D72))</f>
        <v>0</v>
      </c>
      <c r="AT72" s="381" cm="1">
        <f t="array" ref="AT72">SUM(AT$6:AT$62*($D$6:$D$62=$D72))</f>
        <v>0</v>
      </c>
      <c r="AU72" s="381" cm="1">
        <f t="array" ref="AU72">SUM(AU$6:AU$62*($D$6:$D$62=$D72))</f>
        <v>0</v>
      </c>
      <c r="AV72" s="381" cm="1">
        <f t="array" ref="AV72">SUM(AV$6:AV$62*($D$6:$D$62=$D72))</f>
        <v>0</v>
      </c>
      <c r="AW72" s="381" cm="1">
        <f t="array" ref="AW72">SUM(AW$6:AW$62*($D$6:$D$62=$D72))</f>
        <v>0</v>
      </c>
      <c r="AX72" s="381" cm="1">
        <f t="array" ref="AX72">SUM(AX$6:AX$62*($D$6:$D$62=$D72))</f>
        <v>0</v>
      </c>
      <c r="AY72" s="381" cm="1">
        <f t="array" ref="AY72">SUM(AY$6:AY$62*($D$6:$D$62=$D72))</f>
        <v>0</v>
      </c>
      <c r="AZ72" s="381" cm="1">
        <f t="array" ref="AZ72">SUM(AZ$6:AZ$62*($D$6:$D$62=$D72))</f>
        <v>0</v>
      </c>
      <c r="BA72" s="381" cm="1">
        <f t="array" ref="BA72">SUM(BA$6:BA$62*($D$6:$D$62=$D72))</f>
        <v>0</v>
      </c>
      <c r="BB72" s="381" cm="1">
        <f t="array" ref="BB72">SUM(BB$6:BB$62*($D$6:$D$62=$D72))</f>
        <v>0</v>
      </c>
      <c r="BC72" s="381" cm="1">
        <f t="array" ref="BC72">SUM(BC$6:BC$62*($D$6:$D$62=$D72))</f>
        <v>0</v>
      </c>
      <c r="BD72" s="381" cm="1">
        <f t="array" ref="BD72">SUM(BD$6:BD$62*($D$6:$D$62=$D72))</f>
        <v>0</v>
      </c>
      <c r="BE72" s="381" cm="1">
        <f t="array" ref="BE72">SUM(BE$6:BE$62*($D$6:$D$62=$D72))</f>
        <v>0</v>
      </c>
      <c r="BF72" s="381" cm="1">
        <f t="array" ref="BF72">SUM(BF$6:BF$62*($D$6:$D$62=$D72))</f>
        <v>0</v>
      </c>
      <c r="BG72" s="381" cm="1">
        <f t="array" ref="BG72">SUM(BG$6:BG$62*($D$6:$D$62=$D72))</f>
        <v>0</v>
      </c>
      <c r="BH72" s="381" cm="1">
        <f t="array" ref="BH72">SUM(BH$6:BH$62*($D$6:$D$62=$D72))</f>
        <v>0</v>
      </c>
      <c r="BI72" s="381" cm="1">
        <f t="array" ref="BI72">SUM(BI$6:BI$62*($D$6:$D$62=$D72))</f>
        <v>0</v>
      </c>
      <c r="BJ72" s="381" cm="1">
        <f t="array" ref="BJ72">SUM(BJ$6:BJ$62*($D$6:$D$62=$D72))</f>
        <v>0</v>
      </c>
      <c r="BK72" s="381" cm="1">
        <f t="array" ref="BK72">SUM(BK$6:BK$62*($D$6:$D$62=$D72))</f>
        <v>0</v>
      </c>
      <c r="BL72" s="381" cm="1">
        <f t="array" ref="BL72">SUM(BL$6:BL$62*($D$6:$D$62=$D72))</f>
        <v>0</v>
      </c>
      <c r="BM72" s="381" cm="1">
        <f t="array" ref="BM72">SUM(BM$6:BM$62*($D$6:$D$62=$D72))</f>
        <v>0</v>
      </c>
      <c r="BN72" s="381" cm="1">
        <f t="array" ref="BN72">SUM(BN$6:BN$62*($D$6:$D$62=$D72))</f>
        <v>0</v>
      </c>
      <c r="BO72" s="381" cm="1">
        <f t="array" ref="BO72">SUM(BO$6:BO$62*($D$6:$D$62=$D72))</f>
        <v>0</v>
      </c>
      <c r="BP72" s="381" cm="1">
        <f t="array" ref="BP72">SUM(BP$6:BP$62*($D$6:$D$62=$D72))</f>
        <v>0</v>
      </c>
      <c r="BQ72" s="381" cm="1">
        <f t="array" ref="BQ72">SUM(BQ$6:BQ$62*($D$6:$D$62=$D72))</f>
        <v>0</v>
      </c>
      <c r="BR72" s="381" cm="1">
        <f t="array" ref="BR72">SUM(BR$6:BR$62*($D$6:$D$62=$D72))</f>
        <v>0</v>
      </c>
      <c r="BS72" s="381" cm="1">
        <f t="array" ref="BS72">SUM(BS$6:BS$62*($D$6:$D$62=$D72))</f>
        <v>0</v>
      </c>
    </row>
    <row r="73" spans="3:71" x14ac:dyDescent="0.25">
      <c r="D73" s="321" t="str">
        <v>Kosta Walker-Laskos</v>
      </c>
      <c r="Y73" s="381" cm="1">
        <f t="array" ref="Y73">SUM(Y$6:Y$62*($D$6:$D$62=$D73))</f>
        <v>0</v>
      </c>
      <c r="Z73" s="381" cm="1">
        <f t="array" ref="Z73">SUM(Z$6:Z$62*($D$6:$D$62=$D73))</f>
        <v>0</v>
      </c>
      <c r="AA73" s="381" cm="1">
        <f t="array" ref="AA73">SUM(AA$6:AA$62*($D$6:$D$62=$D73))</f>
        <v>0</v>
      </c>
      <c r="AB73" s="381" cm="1">
        <f t="array" ref="AB73">SUM(AB$6:AB$62*($D$6:$D$62=$D73))</f>
        <v>1</v>
      </c>
      <c r="AC73" s="381" cm="1">
        <f t="array" ref="AC73">SUM(AC$6:AC$62*($D$6:$D$62=$D73))</f>
        <v>1</v>
      </c>
      <c r="AD73" s="381" cm="1">
        <f t="array" ref="AD73">SUM(AD$6:AD$62*($D$6:$D$62=$D73))</f>
        <v>1</v>
      </c>
      <c r="AE73" s="381" cm="1">
        <f t="array" ref="AE73">SUM(AE$6:AE$62*($D$6:$D$62=$D73))</f>
        <v>1</v>
      </c>
      <c r="AF73" s="381" cm="1">
        <f t="array" ref="AF73">SUM(AF$6:AF$62*($D$6:$D$62=$D73))</f>
        <v>1</v>
      </c>
      <c r="AG73" s="381" cm="1">
        <f t="array" ref="AG73">SUM(AG$6:AG$62*($D$6:$D$62=$D73))</f>
        <v>1</v>
      </c>
      <c r="AH73" s="381" cm="1">
        <f t="array" ref="AH73">SUM(AH$6:AH$62*($D$6:$D$62=$D73))</f>
        <v>1</v>
      </c>
      <c r="AI73" s="381" cm="1">
        <f t="array" ref="AI73">SUM(AI$6:AI$62*($D$6:$D$62=$D73))</f>
        <v>1</v>
      </c>
      <c r="AJ73" s="381" cm="1">
        <f t="array" ref="AJ73">SUM(AJ$6:AJ$62*($D$6:$D$62=$D73))</f>
        <v>1</v>
      </c>
      <c r="AK73" s="381" cm="1">
        <f t="array" ref="AK73">SUM(AK$6:AK$62*($D$6:$D$62=$D73))</f>
        <v>1</v>
      </c>
      <c r="AL73" s="381" cm="1">
        <f t="array" ref="AL73">SUM(AL$6:AL$62*($D$6:$D$62=$D73))</f>
        <v>1</v>
      </c>
      <c r="AM73" s="381" cm="1">
        <f t="array" ref="AM73">SUM(AM$6:AM$62*($D$6:$D$62=$D73))</f>
        <v>1</v>
      </c>
      <c r="AN73" s="381" cm="1">
        <f t="array" ref="AN73">SUM(AN$6:AN$62*($D$6:$D$62=$D73))</f>
        <v>1</v>
      </c>
      <c r="AO73" s="381" cm="1">
        <f t="array" ref="AO73">SUM(AO$6:AO$62*($D$6:$D$62=$D73))</f>
        <v>1</v>
      </c>
      <c r="AP73" s="381" cm="1">
        <f t="array" ref="AP73">SUM(AP$6:AP$62*($D$6:$D$62=$D73))</f>
        <v>1</v>
      </c>
      <c r="AQ73" s="381" cm="1">
        <f t="array" ref="AQ73">SUM(AQ$6:AQ$62*($D$6:$D$62=$D73))</f>
        <v>1</v>
      </c>
      <c r="AR73" s="381" cm="1">
        <f t="array" ref="AR73">SUM(AR$6:AR$62*($D$6:$D$62=$D73))</f>
        <v>1</v>
      </c>
      <c r="AS73" s="381" cm="1">
        <f t="array" ref="AS73">SUM(AS$6:AS$62*($D$6:$D$62=$D73))</f>
        <v>1</v>
      </c>
      <c r="AT73" s="381" cm="1">
        <f t="array" ref="AT73">SUM(AT$6:AT$62*($D$6:$D$62=$D73))</f>
        <v>1</v>
      </c>
      <c r="AU73" s="381" cm="1">
        <f t="array" ref="AU73">SUM(AU$6:AU$62*($D$6:$D$62=$D73))</f>
        <v>1</v>
      </c>
      <c r="AV73" s="381" cm="1">
        <f t="array" ref="AV73">SUM(AV$6:AV$62*($D$6:$D$62=$D73))</f>
        <v>0</v>
      </c>
      <c r="AW73" s="381" cm="1">
        <f t="array" ref="AW73">SUM(AW$6:AW$62*($D$6:$D$62=$D73))</f>
        <v>0</v>
      </c>
      <c r="AX73" s="381" cm="1">
        <f t="array" ref="AX73">SUM(AX$6:AX$62*($D$6:$D$62=$D73))</f>
        <v>0</v>
      </c>
      <c r="AY73" s="381" cm="1">
        <f t="array" ref="AY73">SUM(AY$6:AY$62*($D$6:$D$62=$D73))</f>
        <v>0</v>
      </c>
      <c r="AZ73" s="381" cm="1">
        <f t="array" ref="AZ73">SUM(AZ$6:AZ$62*($D$6:$D$62=$D73))</f>
        <v>0</v>
      </c>
      <c r="BA73" s="381" cm="1">
        <f t="array" ref="BA73">SUM(BA$6:BA$62*($D$6:$D$62=$D73))</f>
        <v>0</v>
      </c>
      <c r="BB73" s="381" cm="1">
        <f t="array" ref="BB73">SUM(BB$6:BB$62*($D$6:$D$62=$D73))</f>
        <v>0</v>
      </c>
      <c r="BC73" s="381" cm="1">
        <f t="array" ref="BC73">SUM(BC$6:BC$62*($D$6:$D$62=$D73))</f>
        <v>0</v>
      </c>
      <c r="BD73" s="381" cm="1">
        <f t="array" ref="BD73">SUM(BD$6:BD$62*($D$6:$D$62=$D73))</f>
        <v>0</v>
      </c>
      <c r="BE73" s="381" cm="1">
        <f t="array" ref="BE73">SUM(BE$6:BE$62*($D$6:$D$62=$D73))</f>
        <v>0</v>
      </c>
      <c r="BF73" s="381" cm="1">
        <f t="array" ref="BF73">SUM(BF$6:BF$62*($D$6:$D$62=$D73))</f>
        <v>0</v>
      </c>
      <c r="BG73" s="381" cm="1">
        <f t="array" ref="BG73">SUM(BG$6:BG$62*($D$6:$D$62=$D73))</f>
        <v>0</v>
      </c>
      <c r="BH73" s="381" cm="1">
        <f t="array" ref="BH73">SUM(BH$6:BH$62*($D$6:$D$62=$D73))</f>
        <v>0</v>
      </c>
      <c r="BI73" s="381" cm="1">
        <f t="array" ref="BI73">SUM(BI$6:BI$62*($D$6:$D$62=$D73))</f>
        <v>0</v>
      </c>
      <c r="BJ73" s="381" cm="1">
        <f t="array" ref="BJ73">SUM(BJ$6:BJ$62*($D$6:$D$62=$D73))</f>
        <v>0</v>
      </c>
      <c r="BK73" s="381" cm="1">
        <f t="array" ref="BK73">SUM(BK$6:BK$62*($D$6:$D$62=$D73))</f>
        <v>0</v>
      </c>
      <c r="BL73" s="381" cm="1">
        <f t="array" ref="BL73">SUM(BL$6:BL$62*($D$6:$D$62=$D73))</f>
        <v>0</v>
      </c>
      <c r="BM73" s="381" cm="1">
        <f t="array" ref="BM73">SUM(BM$6:BM$62*($D$6:$D$62=$D73))</f>
        <v>0</v>
      </c>
      <c r="BN73" s="381" cm="1">
        <f t="array" ref="BN73">SUM(BN$6:BN$62*($D$6:$D$62=$D73))</f>
        <v>0</v>
      </c>
      <c r="BO73" s="381" cm="1">
        <f t="array" ref="BO73">SUM(BO$6:BO$62*($D$6:$D$62=$D73))</f>
        <v>0</v>
      </c>
      <c r="BP73" s="381" cm="1">
        <f t="array" ref="BP73">SUM(BP$6:BP$62*($D$6:$D$62=$D73))</f>
        <v>0</v>
      </c>
      <c r="BQ73" s="381" cm="1">
        <f t="array" ref="BQ73">SUM(BQ$6:BQ$62*($D$6:$D$62=$D73))</f>
        <v>0</v>
      </c>
      <c r="BR73" s="381" cm="1">
        <f t="array" ref="BR73">SUM(BR$6:BR$62*($D$6:$D$62=$D73))</f>
        <v>0</v>
      </c>
      <c r="BS73" s="381" cm="1">
        <f t="array" ref="BS73">SUM(BS$6:BS$62*($D$6:$D$62=$D73))</f>
        <v>0</v>
      </c>
    </row>
    <row r="74" spans="3:71" x14ac:dyDescent="0.25">
      <c r="D74" s="321" t="str">
        <v>Contractor-Tester-Manager</v>
      </c>
      <c r="F74" s="383"/>
    </row>
  </sheetData>
  <autoFilter ref="A3:WQ62" xr:uid="{1F166F39-C20C-47E5-A884-A2B0F6628BB9}"/>
  <mergeCells count="1">
    <mergeCell ref="L2:Q2"/>
  </mergeCells>
  <conditionalFormatting sqref="Y64:BS72">
    <cfRule type="colorScale" priority="2">
      <colorScale>
        <cfvo type="min"/>
        <cfvo type="max"/>
        <color rgb="FFFCFCFF"/>
        <color rgb="FF63BE7B"/>
      </colorScale>
    </cfRule>
  </conditionalFormatting>
  <conditionalFormatting sqref="Y73:BS73">
    <cfRule type="colorScale" priority="1">
      <colorScale>
        <cfvo type="min"/>
        <cfvo type="max"/>
        <color rgb="FFFCFCFF"/>
        <color rgb="FF63BE7B"/>
      </colorScale>
    </cfRule>
  </conditionalFormatting>
  <dataValidations count="2">
    <dataValidation type="list" allowBlank="1" showInputMessage="1" showErrorMessage="1" sqref="F4" xr:uid="{11A6C82C-CE5A-4AE6-BD99-38A53C816B9C}">
      <formula1>INDIRECT("Panel_List")</formula1>
    </dataValidation>
    <dataValidation type="list" allowBlank="1" showInputMessage="1" showErrorMessage="1" sqref="D4:D5" xr:uid="{99048695-B161-4566-8876-930B08B47B85}">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B0B07D3D-AD32-43B8-94AA-A655B6AA0A41}">
          <x14:formula1>
            <xm:f>Variable!$H$2:$H$572</xm:f>
          </x14:formula1>
          <xm:sqref>D6:D62</xm:sqref>
        </x14:dataValidation>
        <x14:dataValidation type="list" allowBlank="1" showInputMessage="1" showErrorMessage="1" xr:uid="{45E68C26-6356-42B2-96D5-4BBC1A7D1EEF}">
          <x14:formula1>
            <xm:f>Variable!$AZ$2:$AZ$100</xm:f>
          </x14:formula1>
          <xm:sqref>E6:E62</xm:sqref>
        </x14:dataValidation>
        <x14:dataValidation type="list" allowBlank="1" showInputMessage="1" showErrorMessage="1" xr:uid="{DAE7E689-2D54-493F-B73B-38A34DB2BBE5}">
          <x14:formula1>
            <xm:f>Variable!$AX$2:$AX$500</xm:f>
          </x14:formula1>
          <xm:sqref>F5</xm:sqref>
        </x14:dataValidation>
        <x14:dataValidation type="list" allowBlank="1" showInputMessage="1" showErrorMessage="1" xr:uid="{60D5F74D-DA97-4AB4-9C8C-7247063005F5}">
          <x14:formula1>
            <xm:f>Variable!$AS$2:$AS$246</xm:f>
          </x14:formula1>
          <xm:sqref>Y3 C1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43669-6E4F-44C7-B559-7153B484428C}">
  <sheetPr>
    <tabColor rgb="FF205860"/>
  </sheetPr>
  <dimension ref="A1:H17"/>
  <sheetViews>
    <sheetView workbookViewId="0">
      <selection activeCell="C5" sqref="C5:C6"/>
    </sheetView>
  </sheetViews>
  <sheetFormatPr defaultRowHeight="15" x14ac:dyDescent="0.25"/>
  <cols>
    <col min="1" max="1" width="6.28515625" style="444" customWidth="1"/>
    <col min="2" max="2" width="34.28515625" style="444" customWidth="1"/>
    <col min="3" max="3" width="40.5703125" customWidth="1"/>
    <col min="4" max="4" width="13.5703125" style="234" customWidth="1"/>
    <col min="5" max="5" width="43.85546875" customWidth="1"/>
    <col min="8" max="8" width="10.140625" bestFit="1" customWidth="1"/>
  </cols>
  <sheetData>
    <row r="1" spans="1:8" x14ac:dyDescent="0.25">
      <c r="A1" s="442" t="s">
        <v>983</v>
      </c>
      <c r="B1" s="442" t="s">
        <v>984</v>
      </c>
      <c r="C1" s="1" t="s">
        <v>985</v>
      </c>
      <c r="D1" s="443" t="s">
        <v>986</v>
      </c>
    </row>
    <row r="2" spans="1:8" ht="105" x14ac:dyDescent="0.25">
      <c r="A2" s="444" t="s">
        <v>987</v>
      </c>
      <c r="B2" s="444" t="s">
        <v>988</v>
      </c>
      <c r="C2" s="445" t="s">
        <v>989</v>
      </c>
      <c r="D2" s="446">
        <v>78726.48</v>
      </c>
      <c r="E2" s="444" t="s">
        <v>926</v>
      </c>
    </row>
    <row r="3" spans="1:8" ht="45.75" customHeight="1" x14ac:dyDescent="0.25">
      <c r="A3" s="447" t="s">
        <v>990</v>
      </c>
      <c r="B3" s="448" t="s">
        <v>991</v>
      </c>
      <c r="C3" s="449" t="s">
        <v>992</v>
      </c>
      <c r="D3" s="450">
        <v>221880.9075</v>
      </c>
      <c r="E3" s="448" t="s">
        <v>934</v>
      </c>
    </row>
    <row r="4" spans="1:8" ht="45.75" customHeight="1" x14ac:dyDescent="0.25">
      <c r="A4" s="447"/>
      <c r="B4" s="448"/>
      <c r="C4" s="451"/>
      <c r="D4" s="447"/>
      <c r="E4" s="448"/>
    </row>
    <row r="5" spans="1:8" ht="39" customHeight="1" x14ac:dyDescent="0.25">
      <c r="A5" s="448" t="s">
        <v>993</v>
      </c>
      <c r="B5" s="448" t="s">
        <v>994</v>
      </c>
      <c r="C5" s="449" t="s">
        <v>995</v>
      </c>
      <c r="D5" s="450">
        <v>221880.9075</v>
      </c>
      <c r="E5" s="448" t="s">
        <v>938</v>
      </c>
    </row>
    <row r="6" spans="1:8" ht="39" customHeight="1" x14ac:dyDescent="0.25">
      <c r="A6" s="448"/>
      <c r="B6" s="448"/>
      <c r="C6" s="451"/>
      <c r="D6" s="447"/>
      <c r="E6" s="448"/>
    </row>
    <row r="7" spans="1:8" ht="30.75" customHeight="1" x14ac:dyDescent="0.25">
      <c r="A7" s="448" t="s">
        <v>996</v>
      </c>
      <c r="B7" s="448" t="s">
        <v>997</v>
      </c>
      <c r="C7" s="449" t="s">
        <v>998</v>
      </c>
      <c r="D7" s="450">
        <v>177504.72600000002</v>
      </c>
      <c r="E7" s="448" t="s">
        <v>939</v>
      </c>
    </row>
    <row r="8" spans="1:8" ht="30.75" customHeight="1" x14ac:dyDescent="0.25">
      <c r="A8" s="448"/>
      <c r="B8" s="448"/>
      <c r="C8" s="451"/>
      <c r="D8" s="447"/>
      <c r="E8" s="448"/>
    </row>
    <row r="9" spans="1:8" ht="39" customHeight="1" x14ac:dyDescent="0.25">
      <c r="A9" s="448" t="s">
        <v>999</v>
      </c>
      <c r="B9" s="448" t="s">
        <v>1000</v>
      </c>
      <c r="C9" s="449" t="s">
        <v>1001</v>
      </c>
      <c r="D9" s="450">
        <v>97627.599300000002</v>
      </c>
      <c r="E9" s="448" t="s">
        <v>940</v>
      </c>
    </row>
    <row r="10" spans="1:8" ht="39" customHeight="1" x14ac:dyDescent="0.25">
      <c r="A10" s="448"/>
      <c r="B10" s="448"/>
      <c r="C10" s="451"/>
      <c r="D10" s="447"/>
      <c r="E10" s="448"/>
    </row>
    <row r="11" spans="1:8" ht="30.75" customHeight="1" x14ac:dyDescent="0.25">
      <c r="A11" s="448" t="s">
        <v>1002</v>
      </c>
      <c r="B11" s="448" t="s">
        <v>1003</v>
      </c>
      <c r="C11" s="449" t="s">
        <v>1004</v>
      </c>
      <c r="D11" s="450">
        <v>89903.01</v>
      </c>
      <c r="E11" s="448" t="s">
        <v>941</v>
      </c>
    </row>
    <row r="12" spans="1:8" ht="30.75" customHeight="1" x14ac:dyDescent="0.25">
      <c r="A12" s="448"/>
      <c r="B12" s="448"/>
      <c r="C12" s="451"/>
      <c r="D12" s="447"/>
      <c r="E12" s="448"/>
    </row>
    <row r="13" spans="1:8" ht="30.75" customHeight="1" x14ac:dyDescent="0.25">
      <c r="A13" s="448"/>
      <c r="B13" s="448"/>
      <c r="C13" s="451"/>
      <c r="D13" s="447"/>
      <c r="E13" s="448"/>
      <c r="H13" s="452"/>
    </row>
    <row r="14" spans="1:8" x14ac:dyDescent="0.25">
      <c r="D14" s="446">
        <v>887523.63</v>
      </c>
    </row>
    <row r="15" spans="1:8" x14ac:dyDescent="0.25">
      <c r="D15" s="446"/>
    </row>
    <row r="16" spans="1:8" x14ac:dyDescent="0.25">
      <c r="D16" s="446">
        <v>42263</v>
      </c>
    </row>
    <row r="17" spans="4:4" x14ac:dyDescent="0.25">
      <c r="D17" s="453">
        <f>D16/D14</f>
        <v>4.7619013817130705E-2</v>
      </c>
    </row>
  </sheetData>
  <mergeCells count="25">
    <mergeCell ref="A11:A13"/>
    <mergeCell ref="B11:B13"/>
    <mergeCell ref="C11:C13"/>
    <mergeCell ref="D11:D13"/>
    <mergeCell ref="E11:E13"/>
    <mergeCell ref="A7:A8"/>
    <mergeCell ref="B7:B8"/>
    <mergeCell ref="C7:C8"/>
    <mergeCell ref="D7:D8"/>
    <mergeCell ref="E7:E8"/>
    <mergeCell ref="A9:A10"/>
    <mergeCell ref="B9:B10"/>
    <mergeCell ref="C9:C10"/>
    <mergeCell ref="D9:D10"/>
    <mergeCell ref="E9:E10"/>
    <mergeCell ref="A3:A4"/>
    <mergeCell ref="B3:B4"/>
    <mergeCell ref="C3:C4"/>
    <mergeCell ref="D3:D4"/>
    <mergeCell ref="E3:E4"/>
    <mergeCell ref="A5:A6"/>
    <mergeCell ref="B5:B6"/>
    <mergeCell ref="C5:C6"/>
    <mergeCell ref="D5:D6"/>
    <mergeCell ref="E5:E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85f4c7b-5480-4e2c-bd2d-78a3c1c92a57" xsi:nil="true"/>
    <lcf76f155ced4ddcb4097134ff3c332f xmlns="eeda69ec-103b-48dd-b69c-1c67078b6c8f">
      <Terms xmlns="http://schemas.microsoft.com/office/infopath/2007/PartnerControls"/>
    </lcf76f155ced4ddcb4097134ff3c332f>
    <CC xmlns="eeda69ec-103b-48dd-b69c-1c67078b6c8f" xsi:nil="true"/>
    <Notes xmlns="eeda69ec-103b-48dd-b69c-1c67078b6c8f" xsi:nil="true"/>
    <SharedWithUsers xmlns="b85f4c7b-5480-4e2c-bd2d-78a3c1c92a57">
      <UserInfo>
        <DisplayName/>
        <AccountId xsi:nil="true"/>
        <AccountType/>
      </UserInfo>
    </SharedWithUsers>
    <AverageRating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2DAC1D79EACC4D84EB1E949D963424" ma:contentTypeVersion="23" ma:contentTypeDescription="Create a new document." ma:contentTypeScope="" ma:versionID="d5c014a10823d765f41570cd511618d3">
  <xsd:schema xmlns:xsd="http://www.w3.org/2001/XMLSchema" xmlns:xs="http://www.w3.org/2001/XMLSchema" xmlns:p="http://schemas.microsoft.com/office/2006/metadata/properties" xmlns:ns1="http://schemas.microsoft.com/sharepoint/v3" xmlns:ns2="eeda69ec-103b-48dd-b69c-1c67078b6c8f" xmlns:ns3="b85f4c7b-5480-4e2c-bd2d-78a3c1c92a57" targetNamespace="http://schemas.microsoft.com/office/2006/metadata/properties" ma:root="true" ma:fieldsID="d8340aca9c30b626888163ace0b57c29" ns1:_="" ns2:_="" ns3:_="">
    <xsd:import namespace="http://schemas.microsoft.com/sharepoint/v3"/>
    <xsd:import namespace="eeda69ec-103b-48dd-b69c-1c67078b6c8f"/>
    <xsd:import namespace="b85f4c7b-5480-4e2c-bd2d-78a3c1c92a57"/>
    <xsd:element name="properties">
      <xsd:complexType>
        <xsd:sequence>
          <xsd:element name="documentManagement">
            <xsd:complexType>
              <xsd:all>
                <xsd:element ref="ns2:Notes" minOccurs="0"/>
                <xsd:element ref="ns2:CC" minOccurs="0"/>
                <xsd:element ref="ns1:AverageRating"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4" nillable="true" ma:displayName="Rating (0-5)" ma:decimals="2" ma:description="Average value of all the ratings that have been submitted" ma:internalName="AverageRating"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eeda69ec-103b-48dd-b69c-1c67078b6c8f" elementFormDefault="qualified">
    <xsd:import namespace="http://schemas.microsoft.com/office/2006/documentManagement/types"/>
    <xsd:import namespace="http://schemas.microsoft.com/office/infopath/2007/PartnerControls"/>
    <xsd:element name="Notes" ma:index="2" nillable="true" ma:displayName="Notes" ma:format="Dropdown" ma:internalName="Notes">
      <xsd:simpleType>
        <xsd:restriction base="dms:Text">
          <xsd:maxLength value="255"/>
        </xsd:restriction>
      </xsd:simpleType>
    </xsd:element>
    <xsd:element name="CC" ma:index="3" nillable="true" ma:displayName="CC" ma:internalName="CC">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ebbb1a-ad52-49c4-aaf2-02bb852c08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5f4c7b-5480-4e2c-bd2d-78a3c1c92a5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e86b1a1-43a4-4bbb-a853-1f6655cbdf37}" ma:internalName="TaxCatchAll" ma:showField="CatchAllData" ma:web="b85f4c7b-5480-4e2c-bd2d-78a3c1c92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491280D-18F1-4A4F-991F-CF50B09A3B1F}">
  <ds:schemaRefs>
    <ds:schemaRef ds:uri="http://schemas.microsoft.com/sharepoint/v3/contenttype/forms"/>
  </ds:schemaRefs>
</ds:datastoreItem>
</file>

<file path=customXml/itemProps2.xml><?xml version="1.0" encoding="utf-8"?>
<ds:datastoreItem xmlns:ds="http://schemas.openxmlformats.org/officeDocument/2006/customXml" ds:itemID="{A1831771-CBB8-41D8-A005-B3AA4A9845F5}">
  <ds:schemaRefs>
    <ds:schemaRef ds:uri="http://www.w3.org/XML/1998/namespace"/>
    <ds:schemaRef ds:uri="b85f4c7b-5480-4e2c-bd2d-78a3c1c92a57"/>
    <ds:schemaRef ds:uri="http://purl.org/dc/dcmitype/"/>
    <ds:schemaRef ds:uri="http://schemas.microsoft.com/office/infopath/2007/PartnerControls"/>
    <ds:schemaRef ds:uri="http://purl.org/dc/terms/"/>
    <ds:schemaRef ds:uri="http://schemas.microsoft.com/sharepoint/v3"/>
    <ds:schemaRef ds:uri="http://schemas.microsoft.com/office/2006/documentManagement/types"/>
    <ds:schemaRef ds:uri="http://purl.org/dc/elements/1.1/"/>
    <ds:schemaRef ds:uri="http://schemas.openxmlformats.org/package/2006/metadata/core-properties"/>
    <ds:schemaRef ds:uri="eeda69ec-103b-48dd-b69c-1c67078b6c8f"/>
    <ds:schemaRef ds:uri="http://schemas.microsoft.com/office/2006/metadata/properties"/>
  </ds:schemaRefs>
</ds:datastoreItem>
</file>

<file path=customXml/itemProps3.xml><?xml version="1.0" encoding="utf-8"?>
<ds:datastoreItem xmlns:ds="http://schemas.openxmlformats.org/officeDocument/2006/customXml" ds:itemID="{3A6EACB4-CFD7-4F83-9353-CAC92B4CA8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eda69ec-103b-48dd-b69c-1c67078b6c8f"/>
    <ds:schemaRef ds:uri="b85f4c7b-5480-4e2c-bd2d-78a3c1c92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27B3049-820C-478F-9C42-DB895AE376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Coversheet</vt:lpstr>
      <vt:lpstr>Pricing</vt:lpstr>
      <vt:lpstr>Exemplars</vt:lpstr>
      <vt:lpstr>KPIs</vt:lpstr>
      <vt:lpstr>Closing financials</vt:lpstr>
      <vt:lpstr>Closure</vt:lpstr>
      <vt:lpstr>Expenses</vt:lpstr>
      <vt:lpstr>Time Plan HY</vt:lpstr>
      <vt:lpstr>Variable</vt:lpstr>
      <vt:lpstr>Time Plan (Multiple Release)</vt:lpstr>
      <vt:lpstr>Time Plan (Partial Phani)</vt:lpstr>
      <vt:lpstr>Time Plan (Single Release)</vt:lpstr>
      <vt:lpstr>Milestones</vt:lpstr>
      <vt:lpstr>Time Plan (Lacy))</vt:lpstr>
      <vt:lpstr>Sheet1</vt:lpstr>
      <vt:lpstr>'Time Plan (Lacy))'!Category_New</vt:lpstr>
      <vt:lpstr>'Time Plan (Multiple Release)'!Category_New</vt:lpstr>
      <vt:lpstr>'Time Plan (Partial Phani)'!Category_New</vt:lpstr>
      <vt:lpstr>'Time Plan HY'!Category_New</vt:lpstr>
      <vt:lpstr>Category_New</vt:lpstr>
      <vt:lpstr>'Time Plan (Lacy))'!Forecast_New</vt:lpstr>
      <vt:lpstr>'Time Plan (Multiple Release)'!Forecast_New</vt:lpstr>
      <vt:lpstr>'Time Plan (Partial Phani)'!Forecast_New</vt:lpstr>
      <vt:lpstr>'Time Plan HY'!Forecast_New</vt:lpstr>
      <vt:lpstr>Forecast_New</vt:lpstr>
      <vt:lpstr>'Time Plan (Lacy))'!Panel_New</vt:lpstr>
      <vt:lpstr>'Time Plan (Multiple Release)'!Panel_New</vt:lpstr>
      <vt:lpstr>'Time Plan (Partial Phani)'!Panel_New</vt:lpstr>
      <vt:lpstr>'Time Plan HY'!Panel_New</vt:lpstr>
      <vt:lpstr>Panel_New</vt:lpstr>
      <vt:lpstr>'Time Plan (Lacy))'!ResourceNames</vt:lpstr>
      <vt:lpstr>'Time Plan (Multiple Release)'!ResourceNames</vt:lpstr>
      <vt:lpstr>'Time Plan (Partial Phani)'!ResourceNames</vt:lpstr>
      <vt:lpstr>'Time Plan HY'!ResourceNames</vt:lpstr>
      <vt:lpstr>ResourceNames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Volpato</dc:creator>
  <cp:keywords/>
  <dc:description/>
  <cp:lastModifiedBy>Anil Kinagi</cp:lastModifiedBy>
  <cp:revision/>
  <dcterms:created xsi:type="dcterms:W3CDTF">2015-05-31T04:02:51Z</dcterms:created>
  <dcterms:modified xsi:type="dcterms:W3CDTF">2026-03-06T17:53:18Z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0x010100CE2DAC1D79EACC4D84EB1E949D963424</vt:lpwstr>
  </property>
  <property fmtid="{D5CDD505-2E9C-101B-9397-08002B2CF9AE}" pid="3" name="_dlc_DocIdItemGuid">
    <vt:lpwstr>1bc51cf1-203c-4960-a8dc-cebefd0c6e84</vt:lpwstr>
  </property>
  <property fmtid="{D5CDD505-2E9C-101B-9397-08002B2CF9AE}" pid="4" name="Order">
    <vt:r8>900</vt:r8>
  </property>
  <property fmtid="{D5CDD505-2E9C-101B-9397-08002B2CF9AE}" pid="5" name="xd_Signature">
    <vt:bool>false</vt:bool>
  </property>
  <property fmtid="{D5CDD505-2E9C-101B-9397-08002B2CF9AE}" pid="6" name="xd_ProgID">
    <vt:lpwstr/>
  </property>
  <property fmtid="{D5CDD505-2E9C-101B-9397-08002B2CF9AE}" pid="7" name="_dlc_DocId">
    <vt:lpwstr>TZMSHVW457VK-766587111-53418</vt:lpwstr>
  </property>
  <property fmtid="{D5CDD505-2E9C-101B-9397-08002B2CF9AE}" pid="8" name="_dlc_DocIdUrl">
    <vt:lpwstr>https://reasongroup.sharepoint.com/_layouts/15/DocIdRedir.aspx?ID=TZMSHVW457VK-766587111-53418, TZMSHVW457VK-766587111-53418</vt:lpwstr>
  </property>
  <property fmtid="{D5CDD505-2E9C-101B-9397-08002B2CF9AE}" pid="9" name="TemplateUrl">
    <vt:lpwstr/>
  </property>
  <property fmtid="{D5CDD505-2E9C-101B-9397-08002B2CF9AE}" pid="10" name="ComplianceAssetId">
    <vt:lpwstr/>
  </property>
  <property fmtid="{D5CDD505-2E9C-101B-9397-08002B2CF9AE}" pid="11" name="Description">
    <vt:lpwstr>The Job Plan is a system that is used to track the life of an engagement, from proposal stage to closure. It is the one system that can identify risks associated with resourcing needs and budget requirements. </vt:lpwstr>
  </property>
  <property fmtid="{D5CDD505-2E9C-101B-9397-08002B2CF9AE}" pid="12" name="AuthorIds_UIVersion_1536">
    <vt:lpwstr>16</vt:lpwstr>
  </property>
  <property fmtid="{D5CDD505-2E9C-101B-9397-08002B2CF9AE}" pid="13" name="MediaServiceImageTags">
    <vt:lpwstr/>
  </property>
  <property fmtid="{D5CDD505-2E9C-101B-9397-08002B2CF9AE}" pid="14" name="Description0">
    <vt:lpwstr>The Job Plan is a system that is used to track the life of an engagement, from proposal stage to closure.</vt:lpwstr>
  </property>
  <property fmtid="{D5CDD505-2E9C-101B-9397-08002B2CF9AE}" pid="15" name="_ExtendedDescription">
    <vt:lpwstr/>
  </property>
  <property fmtid="{D5CDD505-2E9C-101B-9397-08002B2CF9AE}" pid="16" name="TriggerFlowInfo">
    <vt:lpwstr/>
  </property>
</Properties>
</file>