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4.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tables/table53.xml" ContentType="application/vnd.openxmlformats-officedocument.spreadsheetml.table+xml"/>
  <Override PartName="/xl/queryTables/queryTable1.xml" ContentType="application/vnd.openxmlformats-officedocument.spreadsheetml.queryTable+xml"/>
  <Override PartName="/xl/drawings/drawing10.xml" ContentType="application/vnd.openxmlformats-officedocument.drawing+xml"/>
  <Override PartName="/xl/tables/table54.xml" ContentType="application/vnd.openxmlformats-officedocument.spreadsheetml.table+xml"/>
  <Override PartName="/xl/queryTables/queryTable2.xml" ContentType="application/vnd.openxmlformats-officedocument.spreadsheetml.queryTable+xml"/>
  <Override PartName="/xl/slicers/slicer3.xml" ContentType="application/vnd.ms-excel.slicer+xml"/>
  <Override PartName="/xl/tables/table55.xml" ContentType="application/vnd.openxmlformats-officedocument.spreadsheetml.table+xml"/>
  <Override PartName="/xl/queryTables/queryTable3.xml" ContentType="application/vnd.openxmlformats-officedocument.spreadsheetml.queryTable+xml"/>
  <Override PartName="/xl/tables/table56.xml" ContentType="application/vnd.openxmlformats-officedocument.spreadsheetml.table+xml"/>
  <Override PartName="/xl/queryTables/queryTable4.xml" ContentType="application/vnd.openxmlformats-officedocument.spreadsheetml.queryTable+xml"/>
  <Override PartName="/xl/tables/table5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reasongroup-my.sharepoint.com/personal/siddhartha_sengupta_reason_com_au/Documents/Desktop/"/>
    </mc:Choice>
  </mc:AlternateContent>
  <xr:revisionPtr revIDLastSave="0" documentId="8_{C6717604-7C65-4A26-BF3E-40D259EF1409}" xr6:coauthVersionLast="47" xr6:coauthVersionMax="47" xr10:uidLastSave="{00000000-0000-0000-0000-000000000000}"/>
  <bookViews>
    <workbookView xWindow="-120" yWindow="-120" windowWidth="38640" windowHeight="21120" xr2:uid="{D264F48E-5528-4145-AF38-C1061762FEEF}"/>
  </bookViews>
  <sheets>
    <sheet name="Summary" sheetId="2" r:id="rId1"/>
    <sheet name="COMPANY Spread" sheetId="20" r:id="rId2"/>
    <sheet name="Open Opps Summary" sheetId="18" r:id="rId3"/>
    <sheet name="DAFF VAT Summary" sheetId="26" r:id="rId4"/>
    <sheet name="SAU VAT Summary" sheetId="27" r:id="rId5"/>
    <sheet name="VIC VAT Summary" sheetId="28" r:id="rId6"/>
    <sheet name="DISR VAT Summary" sheetId="30" r:id="rId7"/>
    <sheet name="EMERGING VAT Summary" sheetId="31" r:id="rId8"/>
    <sheet name="GROWTH VAT Summary" sheetId="29" r:id="rId9"/>
    <sheet name="Partner View" sheetId="4" r:id="rId10"/>
    <sheet name="Rev Spread Data" sheetId="19" r:id="rId11"/>
    <sheet name="Q Spread Calculation" sheetId="25" r:id="rId12"/>
    <sheet name="All GM Con Data" sheetId="22" r:id="rId13"/>
    <sheet name="Job_Status" sheetId="7" r:id="rId14"/>
    <sheet name="Pipeline Data" sheetId="1" r:id="rId15"/>
    <sheet name="Variable" sheetId="6" state="hidden" r:id="rId16"/>
    <sheet name="FY2526 VAT Financial KPIs" sheetId="17" r:id="rId17"/>
  </sheets>
  <definedNames>
    <definedName name="CompanyFairToggle">Summary!$D$61</definedName>
    <definedName name="CompanyGoodToggle">Summary!$D$60</definedName>
    <definedName name="CompanyRiskToggle">Summary!$D$62</definedName>
    <definedName name="DAFFFairToggle">'DAFF VAT Summary'!$M$3</definedName>
    <definedName name="DAFFGoodToggle">'DAFF VAT Summary'!$L$3</definedName>
    <definedName name="DAFFRiskToggle">'DAFF VAT Summary'!$N$3</definedName>
    <definedName name="DISRFairToggle">'DISR VAT Summary'!$M$3</definedName>
    <definedName name="DISRGoodToggle">'DISR VAT Summary'!$L$3</definedName>
    <definedName name="DISRRiskToggle">'DISR VAT Summary'!$N$3</definedName>
    <definedName name="EmergingFairToggle">'EMERGING VAT Summary'!$M$3</definedName>
    <definedName name="EmergingGoodToggle">'EMERGING VAT Summary'!$L$3</definedName>
    <definedName name="EmergingRiskToggle">'EMERGING VAT Summary'!$N$3</definedName>
    <definedName name="ExternalData_1" localSheetId="13" hidden="1">Job_Status!$A$1:$CA$57</definedName>
    <definedName name="ExternalData_1" localSheetId="10" hidden="1">'Rev Spread Data'!$A$1:$O$139</definedName>
    <definedName name="ExternalData_3" localSheetId="12" hidden="1">'All GM Con Data'!$A$1:$P$58</definedName>
    <definedName name="FairToggle">'COMPANY Spread'!$E$64</definedName>
    <definedName name="GoodToggle">'COMPANY Spread'!$D$64</definedName>
    <definedName name="GROWTHFairToggle">'GROWTH VAT Summary'!$M$3</definedName>
    <definedName name="GROWTHGoodToggle">'GROWTH VAT Summary'!$L$3</definedName>
    <definedName name="GROWTHRiskToggle">'GROWTH VAT Summary'!$N$3</definedName>
    <definedName name="QBlockGMC">_xlfn.LET(_xlpm.top,'Q Spread Calculation'!$A$4, OFFSET(_xlpm.top, -1, 0, ROWS(_xlfn.ANCHORARRAY(_xlpm.top))+1, COLUMNS(_xlfn.ANCHORARRAY(_xlpm.top))+12))</definedName>
    <definedName name="QBlockRev">_xlfn.LET(_xlpm.top,'Q Spread Calculation'!$S$4, OFFSET(_xlpm.top, -1, 0, ROWS(_xlfn.ANCHORARRAY(_xlpm.top))+1, COLUMNS(_xlfn.ANCHORARRAY(_xlpm.top))+12))</definedName>
    <definedName name="query" localSheetId="14" hidden="1">'Pipeline Data'!$A$1:$W$94</definedName>
    <definedName name="RiskToggle">'COMPANY Spread'!$F$64</definedName>
    <definedName name="SAUFairToggle" localSheetId="6">'DISR VAT Summary'!$M$3</definedName>
    <definedName name="SAUFairToggle" localSheetId="7">'EMERGING VAT Summary'!$M$3</definedName>
    <definedName name="SAUFairToggle">'SAU VAT Summary'!$M$3</definedName>
    <definedName name="SAUGoodToggle" localSheetId="6">'DISR VAT Summary'!$L$3</definedName>
    <definedName name="SAUGoodToggle" localSheetId="7">'EMERGING VAT Summary'!$L$3</definedName>
    <definedName name="SAUGoodToggle">'SAU VAT Summary'!$L$3</definedName>
    <definedName name="SAURiskToggle" localSheetId="6">'DISR VAT Summary'!$N$3</definedName>
    <definedName name="SAURiskToggle" localSheetId="7">'EMERGING VAT Summary'!$N$3</definedName>
    <definedName name="SAURiskToggle">'SAU VAT Summary'!$N$3</definedName>
    <definedName name="Slicer_Status">#N/A</definedName>
    <definedName name="Slicer_VAT">#N/A</definedName>
    <definedName name="Slicer_VAT1">#N/A</definedName>
    <definedName name="VATSelector">'COMPANY Spread'!$B$66</definedName>
    <definedName name="VICFairToggle">'VIC VAT Summary'!$M$3</definedName>
    <definedName name="VICGoodToggle">'VIC VAT Summary'!$L$3</definedName>
    <definedName name="VICRiskToggle">'VIC VAT Summary'!$N$3</definedName>
  </definedNames>
  <calcPr calcId="191029"/>
  <pivotCaches>
    <pivotCache cacheId="15" r:id="rId18"/>
  </pivotCaches>
  <extLst>
    <ext xmlns:x14="http://schemas.microsoft.com/office/spreadsheetml/2009/9/main" uri="{876F7934-8845-4945-9796-88D515C7AA90}">
      <x14:pivotCaches>
        <pivotCache cacheId="1"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1" i="22" l="1"/>
  <c r="Q2" i="22"/>
  <c r="Q32" i="22"/>
  <c r="Q33" i="22"/>
  <c r="Q41" i="22"/>
  <c r="Q57" i="22"/>
  <c r="Q3" i="22"/>
  <c r="Q4" i="22"/>
  <c r="Q5" i="22"/>
  <c r="Q6" i="22"/>
  <c r="Q7" i="22"/>
  <c r="Q8" i="22"/>
  <c r="Q34" i="22"/>
  <c r="Q58" i="22"/>
  <c r="Q53" i="22"/>
  <c r="Q35" i="22"/>
  <c r="Q54" i="22"/>
  <c r="Q9" i="22"/>
  <c r="Q10" i="22"/>
  <c r="Q36" i="22"/>
  <c r="Q37" i="22"/>
  <c r="Q38" i="22"/>
  <c r="Q39" i="22"/>
  <c r="Q51" i="22"/>
  <c r="Q42" i="22"/>
  <c r="Q55" i="22"/>
  <c r="Q11" i="22"/>
  <c r="Q12" i="22"/>
  <c r="Q43" i="22"/>
  <c r="Q44" i="22"/>
  <c r="Q13" i="22"/>
  <c r="Q14" i="22"/>
  <c r="Q15" i="22"/>
  <c r="Q16" i="22"/>
  <c r="Q17" i="22"/>
  <c r="Q45" i="22"/>
  <c r="Q18" i="22"/>
  <c r="Q19" i="22"/>
  <c r="Q46" i="22"/>
  <c r="Q20" i="22"/>
  <c r="Q21" i="22"/>
  <c r="Q22" i="22"/>
  <c r="Q23" i="22"/>
  <c r="Q24" i="22"/>
  <c r="Q47" i="22"/>
  <c r="Q25" i="22"/>
  <c r="Q26" i="22"/>
  <c r="Q27" i="22"/>
  <c r="Q28" i="22"/>
  <c r="Q29" i="22"/>
  <c r="Q30" i="22"/>
  <c r="Q40" i="22"/>
  <c r="Q48" i="22"/>
  <c r="Q49" i="22"/>
  <c r="Q50" i="22"/>
  <c r="Q56" i="22"/>
  <c r="Q52" i="22"/>
  <c r="R31" i="22"/>
  <c r="R2" i="22"/>
  <c r="R32" i="22"/>
  <c r="R33" i="22"/>
  <c r="R41" i="22"/>
  <c r="R57" i="22"/>
  <c r="R3" i="22"/>
  <c r="R4" i="22"/>
  <c r="R5" i="22"/>
  <c r="R6" i="22"/>
  <c r="R7" i="22"/>
  <c r="R8" i="22"/>
  <c r="R34" i="22"/>
  <c r="R58" i="22"/>
  <c r="R53" i="22"/>
  <c r="R35" i="22"/>
  <c r="R54" i="22"/>
  <c r="R9" i="22"/>
  <c r="R10" i="22"/>
  <c r="R36" i="22"/>
  <c r="R37" i="22"/>
  <c r="R38" i="22"/>
  <c r="R39" i="22"/>
  <c r="R51" i="22"/>
  <c r="R42" i="22"/>
  <c r="R55" i="22"/>
  <c r="R11" i="22"/>
  <c r="R12" i="22"/>
  <c r="R43" i="22"/>
  <c r="R44" i="22"/>
  <c r="R13" i="22"/>
  <c r="R14" i="22"/>
  <c r="R15" i="22"/>
  <c r="R16" i="22"/>
  <c r="R17" i="22"/>
  <c r="R45" i="22"/>
  <c r="R18" i="22"/>
  <c r="R19" i="22"/>
  <c r="R46" i="22"/>
  <c r="R20" i="22"/>
  <c r="R21" i="22"/>
  <c r="R22" i="22"/>
  <c r="R23" i="22"/>
  <c r="R24" i="22"/>
  <c r="R47" i="22"/>
  <c r="R25" i="22"/>
  <c r="R26" i="22"/>
  <c r="R27" i="22"/>
  <c r="R28" i="22"/>
  <c r="R29" i="22"/>
  <c r="R30" i="22"/>
  <c r="R40" i="22"/>
  <c r="R48" i="22"/>
  <c r="R49" i="22"/>
  <c r="R50" i="22"/>
  <c r="R56" i="22"/>
  <c r="R52" i="22"/>
  <c r="S31" i="22"/>
  <c r="S2" i="22"/>
  <c r="S32" i="22"/>
  <c r="S33" i="22"/>
  <c r="S41" i="22"/>
  <c r="S57" i="22"/>
  <c r="S3" i="22"/>
  <c r="S4" i="22"/>
  <c r="S5" i="22"/>
  <c r="S6" i="22"/>
  <c r="S7" i="22"/>
  <c r="S8" i="22"/>
  <c r="S34" i="22"/>
  <c r="S58" i="22"/>
  <c r="S53" i="22"/>
  <c r="S35" i="22"/>
  <c r="S54" i="22"/>
  <c r="S9" i="22"/>
  <c r="S10" i="22"/>
  <c r="S36" i="22"/>
  <c r="S37" i="22"/>
  <c r="S38" i="22"/>
  <c r="S39" i="22"/>
  <c r="S51" i="22"/>
  <c r="S42" i="22"/>
  <c r="S55" i="22"/>
  <c r="S11" i="22"/>
  <c r="S12" i="22"/>
  <c r="S43" i="22"/>
  <c r="S44" i="22"/>
  <c r="S13" i="22"/>
  <c r="S14" i="22"/>
  <c r="S15" i="22"/>
  <c r="S16" i="22"/>
  <c r="S17" i="22"/>
  <c r="S45" i="22"/>
  <c r="S18" i="22"/>
  <c r="S19" i="22"/>
  <c r="S46" i="22"/>
  <c r="S20" i="22"/>
  <c r="S21" i="22"/>
  <c r="S22" i="22"/>
  <c r="S23" i="22"/>
  <c r="S24" i="22"/>
  <c r="S47" i="22"/>
  <c r="S25" i="22"/>
  <c r="S26" i="22"/>
  <c r="S27" i="22"/>
  <c r="S28" i="22"/>
  <c r="S29" i="22"/>
  <c r="S30" i="22"/>
  <c r="S40" i="22"/>
  <c r="S48" i="22"/>
  <c r="S49" i="22"/>
  <c r="S50" i="22"/>
  <c r="S56" i="22"/>
  <c r="S52" i="22"/>
  <c r="T31" i="22"/>
  <c r="T2" i="22"/>
  <c r="T32" i="22"/>
  <c r="T33" i="22"/>
  <c r="T41" i="22"/>
  <c r="T57" i="22"/>
  <c r="T3" i="22"/>
  <c r="T4" i="22"/>
  <c r="T5" i="22"/>
  <c r="T6" i="22"/>
  <c r="T7" i="22"/>
  <c r="T8" i="22"/>
  <c r="T34" i="22"/>
  <c r="T58" i="22"/>
  <c r="T53" i="22"/>
  <c r="T35" i="22"/>
  <c r="T54" i="22"/>
  <c r="T9" i="22"/>
  <c r="T10" i="22"/>
  <c r="T36" i="22"/>
  <c r="T37" i="22"/>
  <c r="T38" i="22"/>
  <c r="T39" i="22"/>
  <c r="T51" i="22"/>
  <c r="T42" i="22"/>
  <c r="T55" i="22"/>
  <c r="T11" i="22"/>
  <c r="T12" i="22"/>
  <c r="T43" i="22"/>
  <c r="T44" i="22"/>
  <c r="T13" i="22"/>
  <c r="T14" i="22"/>
  <c r="T15" i="22"/>
  <c r="T16" i="22"/>
  <c r="T17" i="22"/>
  <c r="T45" i="22"/>
  <c r="T18" i="22"/>
  <c r="T19" i="22"/>
  <c r="T46" i="22"/>
  <c r="T20" i="22"/>
  <c r="T21" i="22"/>
  <c r="T22" i="22"/>
  <c r="T23" i="22"/>
  <c r="T24" i="22"/>
  <c r="T47" i="22"/>
  <c r="T25" i="22"/>
  <c r="T26" i="22"/>
  <c r="T27" i="22"/>
  <c r="T28" i="22"/>
  <c r="T29" i="22"/>
  <c r="T30" i="22"/>
  <c r="T40" i="22"/>
  <c r="T48" i="22"/>
  <c r="T49" i="22"/>
  <c r="T50" i="22"/>
  <c r="T56" i="22"/>
  <c r="T52" i="22"/>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B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C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P2" i="19"/>
  <c r="P3" i="19"/>
  <c r="P4" i="19"/>
  <c r="P5" i="19"/>
  <c r="P6" i="19"/>
  <c r="X55" i="20" s="1"/>
  <c r="P7" i="19"/>
  <c r="P8" i="19"/>
  <c r="P9" i="19"/>
  <c r="P10" i="19"/>
  <c r="P11" i="19"/>
  <c r="P12" i="19"/>
  <c r="P13" i="19"/>
  <c r="P14" i="19"/>
  <c r="P15" i="19"/>
  <c r="P16" i="19"/>
  <c r="P17" i="19"/>
  <c r="P18" i="19"/>
  <c r="P19" i="19"/>
  <c r="P20" i="19"/>
  <c r="P21" i="19"/>
  <c r="P22" i="19"/>
  <c r="P23" i="19"/>
  <c r="P24" i="19"/>
  <c r="P25" i="19"/>
  <c r="P26" i="19"/>
  <c r="P27" i="19"/>
  <c r="P28" i="19"/>
  <c r="P29" i="19"/>
  <c r="P30" i="19"/>
  <c r="P31" i="19"/>
  <c r="P32" i="19"/>
  <c r="P33" i="19"/>
  <c r="P34" i="19"/>
  <c r="P35" i="19"/>
  <c r="P36" i="19"/>
  <c r="P37" i="19"/>
  <c r="P38" i="19"/>
  <c r="P39" i="19"/>
  <c r="P40" i="19"/>
  <c r="P41" i="19"/>
  <c r="P42" i="19"/>
  <c r="P43" i="19"/>
  <c r="P44" i="19"/>
  <c r="P45" i="19"/>
  <c r="P46" i="19"/>
  <c r="P47" i="19"/>
  <c r="P48" i="19"/>
  <c r="P49" i="19"/>
  <c r="P50" i="19"/>
  <c r="P51" i="19"/>
  <c r="P52" i="19"/>
  <c r="P53" i="19"/>
  <c r="P54" i="19"/>
  <c r="P55" i="19"/>
  <c r="P56" i="19"/>
  <c r="P57" i="19"/>
  <c r="P58" i="19"/>
  <c r="P59" i="19"/>
  <c r="P60" i="19"/>
  <c r="P61" i="19"/>
  <c r="P62" i="19"/>
  <c r="P63" i="19"/>
  <c r="P64" i="19"/>
  <c r="P65" i="19"/>
  <c r="P66" i="19"/>
  <c r="P67" i="19"/>
  <c r="P68" i="19"/>
  <c r="P69" i="19"/>
  <c r="P70" i="19"/>
  <c r="P71" i="19"/>
  <c r="P72" i="19"/>
  <c r="P73" i="19"/>
  <c r="P74" i="19"/>
  <c r="P75" i="19"/>
  <c r="P76" i="19"/>
  <c r="P77" i="19"/>
  <c r="P78" i="19"/>
  <c r="P79" i="19"/>
  <c r="P80" i="19"/>
  <c r="P81" i="19"/>
  <c r="P82" i="19"/>
  <c r="P83" i="19"/>
  <c r="P84" i="19"/>
  <c r="P85" i="19"/>
  <c r="P86" i="19"/>
  <c r="P87" i="19"/>
  <c r="P88" i="19"/>
  <c r="P89" i="19"/>
  <c r="P90" i="19"/>
  <c r="P91" i="19"/>
  <c r="P92" i="19"/>
  <c r="P93" i="19"/>
  <c r="P94" i="19"/>
  <c r="P95" i="19"/>
  <c r="P96" i="19"/>
  <c r="P97" i="19"/>
  <c r="P98" i="19"/>
  <c r="P99" i="19"/>
  <c r="P100" i="19"/>
  <c r="P101" i="19"/>
  <c r="P102" i="19"/>
  <c r="P103" i="19"/>
  <c r="P104" i="19"/>
  <c r="P105" i="19"/>
  <c r="P106" i="19"/>
  <c r="P107" i="19"/>
  <c r="P108" i="19"/>
  <c r="P109" i="19"/>
  <c r="P110" i="19"/>
  <c r="P111" i="19"/>
  <c r="P112" i="19"/>
  <c r="P113" i="19"/>
  <c r="P114" i="19"/>
  <c r="P115" i="19"/>
  <c r="P116" i="19"/>
  <c r="P117" i="19"/>
  <c r="P118" i="19"/>
  <c r="P119" i="19"/>
  <c r="P120" i="19"/>
  <c r="P121" i="19"/>
  <c r="P122" i="19"/>
  <c r="P123" i="19"/>
  <c r="P124" i="19"/>
  <c r="P125" i="19"/>
  <c r="P126" i="19"/>
  <c r="P127" i="19"/>
  <c r="P128" i="19"/>
  <c r="P129" i="19"/>
  <c r="P130" i="19"/>
  <c r="P131" i="19"/>
  <c r="P132" i="19"/>
  <c r="P133" i="19"/>
  <c r="P134" i="19"/>
  <c r="P135" i="19"/>
  <c r="P136" i="19"/>
  <c r="P137" i="19"/>
  <c r="P138" i="19"/>
  <c r="P139" i="19"/>
  <c r="Q2" i="19"/>
  <c r="Q3" i="19"/>
  <c r="Q4" i="19"/>
  <c r="Q5" i="19"/>
  <c r="Q6" i="19"/>
  <c r="Q7" i="19"/>
  <c r="Q8" i="19"/>
  <c r="Q9" i="19"/>
  <c r="Q10" i="19"/>
  <c r="Q11" i="19"/>
  <c r="Q12" i="19"/>
  <c r="Q13" i="19"/>
  <c r="Q14" i="19"/>
  <c r="Q15" i="19"/>
  <c r="Q16" i="19"/>
  <c r="Q17" i="19"/>
  <c r="Q18" i="19"/>
  <c r="Q19" i="19"/>
  <c r="Q20" i="19"/>
  <c r="Q21" i="19"/>
  <c r="Q22" i="19"/>
  <c r="Q23" i="19"/>
  <c r="Q24" i="19"/>
  <c r="Q25" i="19"/>
  <c r="Q26" i="19"/>
  <c r="Q27" i="19"/>
  <c r="Q28" i="19"/>
  <c r="Q29" i="19"/>
  <c r="Q30" i="19"/>
  <c r="Q31" i="19"/>
  <c r="Q32" i="19"/>
  <c r="Q33" i="19"/>
  <c r="Q34" i="19"/>
  <c r="Q35" i="19"/>
  <c r="Q36" i="19"/>
  <c r="Q37" i="19"/>
  <c r="Q38" i="19"/>
  <c r="Q39" i="19"/>
  <c r="Q40" i="19"/>
  <c r="Q41" i="19"/>
  <c r="Q42" i="19"/>
  <c r="Q43" i="19"/>
  <c r="Q44" i="19"/>
  <c r="Q45" i="19"/>
  <c r="Q46" i="19"/>
  <c r="Q47" i="19"/>
  <c r="Q48" i="19"/>
  <c r="Q49" i="19"/>
  <c r="Q50" i="19"/>
  <c r="Q51" i="19"/>
  <c r="Q52" i="19"/>
  <c r="Q53" i="19"/>
  <c r="Q54" i="19"/>
  <c r="Q55" i="19"/>
  <c r="Q56" i="19"/>
  <c r="Q57" i="19"/>
  <c r="Q58" i="19"/>
  <c r="Q59" i="19"/>
  <c r="Q60" i="19"/>
  <c r="Q61" i="19"/>
  <c r="Q62" i="19"/>
  <c r="Q63" i="19"/>
  <c r="Q64" i="19"/>
  <c r="Q65" i="19"/>
  <c r="Q66" i="19"/>
  <c r="Q67" i="19"/>
  <c r="Q68" i="19"/>
  <c r="Q69" i="19"/>
  <c r="Q70" i="19"/>
  <c r="Q71" i="19"/>
  <c r="Q72" i="19"/>
  <c r="Q73" i="19"/>
  <c r="Q74" i="19"/>
  <c r="Q75" i="19"/>
  <c r="Q76" i="19"/>
  <c r="Q77" i="19"/>
  <c r="Q78" i="19"/>
  <c r="Q79" i="19"/>
  <c r="Q80" i="19"/>
  <c r="Q81" i="19"/>
  <c r="Q82" i="19"/>
  <c r="Q83" i="19"/>
  <c r="Q84" i="19"/>
  <c r="Q85" i="19"/>
  <c r="Q86" i="19"/>
  <c r="Q87" i="19"/>
  <c r="Q88" i="19"/>
  <c r="Q89" i="19"/>
  <c r="Q90" i="19"/>
  <c r="Q91" i="19"/>
  <c r="Q92" i="19"/>
  <c r="Q93" i="19"/>
  <c r="Q94" i="19"/>
  <c r="Q95" i="19"/>
  <c r="Q96" i="19"/>
  <c r="Q97" i="19"/>
  <c r="Q98" i="19"/>
  <c r="Q99" i="19"/>
  <c r="Q100" i="19"/>
  <c r="Q101" i="19"/>
  <c r="Q102" i="19"/>
  <c r="Q103" i="19"/>
  <c r="Q104" i="19"/>
  <c r="Q105" i="19"/>
  <c r="Q106" i="19"/>
  <c r="Q107" i="19"/>
  <c r="Q108" i="19"/>
  <c r="Q109" i="19"/>
  <c r="Q110" i="19"/>
  <c r="Q111" i="19"/>
  <c r="Q112" i="19"/>
  <c r="Q113" i="19"/>
  <c r="Q114" i="19"/>
  <c r="Q115" i="19"/>
  <c r="Q116" i="19"/>
  <c r="Q117" i="19"/>
  <c r="Q118" i="19"/>
  <c r="Q119" i="19"/>
  <c r="Q120" i="19"/>
  <c r="Q121" i="19"/>
  <c r="Q122" i="19"/>
  <c r="Q123" i="19"/>
  <c r="Q124" i="19"/>
  <c r="Q125" i="19"/>
  <c r="Q126" i="19"/>
  <c r="Q127" i="19"/>
  <c r="Q128" i="19"/>
  <c r="Q129" i="19"/>
  <c r="Q130" i="19"/>
  <c r="Q131" i="19"/>
  <c r="Q132" i="19"/>
  <c r="Q133" i="19"/>
  <c r="Q134" i="19"/>
  <c r="Q135" i="19"/>
  <c r="Q136" i="19"/>
  <c r="Q137" i="19"/>
  <c r="Q138" i="19"/>
  <c r="Q139" i="19"/>
  <c r="R2" i="19"/>
  <c r="R3" i="19"/>
  <c r="R4" i="19"/>
  <c r="R5" i="19"/>
  <c r="R6" i="19"/>
  <c r="R7" i="19"/>
  <c r="R8" i="19"/>
  <c r="R9" i="19"/>
  <c r="R10" i="19"/>
  <c r="R11" i="19"/>
  <c r="R12" i="19"/>
  <c r="R13" i="19"/>
  <c r="R14" i="19"/>
  <c r="R15" i="19"/>
  <c r="R16" i="19"/>
  <c r="R17" i="19"/>
  <c r="R18" i="19"/>
  <c r="R19" i="19"/>
  <c r="R20" i="19"/>
  <c r="R21" i="19"/>
  <c r="R22" i="19"/>
  <c r="R23" i="19"/>
  <c r="R24" i="19"/>
  <c r="R25" i="19"/>
  <c r="R26" i="19"/>
  <c r="R27" i="19"/>
  <c r="R28" i="19"/>
  <c r="R29" i="19"/>
  <c r="R30" i="19"/>
  <c r="R31" i="19"/>
  <c r="R32" i="19"/>
  <c r="R33" i="19"/>
  <c r="R34" i="19"/>
  <c r="R35" i="19"/>
  <c r="R36" i="19"/>
  <c r="R37" i="19"/>
  <c r="R38" i="19"/>
  <c r="R39" i="19"/>
  <c r="R40" i="19"/>
  <c r="R41" i="19"/>
  <c r="R42" i="19"/>
  <c r="R43" i="19"/>
  <c r="R44" i="19"/>
  <c r="R45" i="19"/>
  <c r="R46" i="19"/>
  <c r="R47" i="19"/>
  <c r="R48" i="19"/>
  <c r="R49" i="19"/>
  <c r="R50" i="19"/>
  <c r="R51" i="19"/>
  <c r="R52" i="19"/>
  <c r="R53" i="19"/>
  <c r="R54" i="19"/>
  <c r="R55" i="19"/>
  <c r="R56" i="19"/>
  <c r="R57" i="19"/>
  <c r="R58" i="19"/>
  <c r="R59" i="19"/>
  <c r="R60" i="19"/>
  <c r="R61" i="19"/>
  <c r="R62" i="19"/>
  <c r="R63" i="19"/>
  <c r="R64" i="19"/>
  <c r="R65" i="19"/>
  <c r="R66" i="19"/>
  <c r="R67" i="19"/>
  <c r="R68" i="19"/>
  <c r="R69" i="19"/>
  <c r="R70" i="19"/>
  <c r="R71" i="19"/>
  <c r="R72" i="19"/>
  <c r="R73" i="19"/>
  <c r="R74" i="19"/>
  <c r="R75" i="19"/>
  <c r="R76" i="19"/>
  <c r="R77" i="19"/>
  <c r="R78" i="19"/>
  <c r="R79" i="19"/>
  <c r="R80" i="19"/>
  <c r="R81" i="19"/>
  <c r="R82" i="19"/>
  <c r="R83" i="19"/>
  <c r="R84" i="19"/>
  <c r="R85" i="19"/>
  <c r="R86" i="19"/>
  <c r="R87" i="19"/>
  <c r="R88" i="19"/>
  <c r="R89" i="19"/>
  <c r="R90" i="19"/>
  <c r="R91" i="19"/>
  <c r="R92" i="19"/>
  <c r="R93" i="19"/>
  <c r="R94" i="19"/>
  <c r="R95" i="19"/>
  <c r="R96" i="19"/>
  <c r="R97" i="19"/>
  <c r="R98" i="19"/>
  <c r="R99" i="19"/>
  <c r="R100" i="19"/>
  <c r="R101" i="19"/>
  <c r="R102" i="19"/>
  <c r="R103" i="19"/>
  <c r="R104" i="19"/>
  <c r="R105" i="19"/>
  <c r="R106" i="19"/>
  <c r="R107" i="19"/>
  <c r="R108" i="19"/>
  <c r="R109" i="19"/>
  <c r="R110" i="19"/>
  <c r="R111" i="19"/>
  <c r="R112" i="19"/>
  <c r="R113" i="19"/>
  <c r="R114" i="19"/>
  <c r="R115" i="19"/>
  <c r="R116" i="19"/>
  <c r="R117" i="19"/>
  <c r="R118" i="19"/>
  <c r="R119" i="19"/>
  <c r="R120" i="19"/>
  <c r="R121" i="19"/>
  <c r="R122" i="19"/>
  <c r="R123" i="19"/>
  <c r="R124" i="19"/>
  <c r="R125" i="19"/>
  <c r="R126" i="19"/>
  <c r="R127" i="19"/>
  <c r="R128" i="19"/>
  <c r="R129" i="19"/>
  <c r="R130" i="19"/>
  <c r="R131" i="19"/>
  <c r="R132" i="19"/>
  <c r="R133" i="19"/>
  <c r="R134" i="19"/>
  <c r="R135" i="19"/>
  <c r="R136" i="19"/>
  <c r="R137" i="19"/>
  <c r="R138" i="19"/>
  <c r="R139" i="19"/>
  <c r="N58" i="7"/>
  <c r="O58" i="7"/>
  <c r="P58" i="7"/>
  <c r="Q58" i="7"/>
  <c r="R58" i="7"/>
  <c r="S58" i="7"/>
  <c r="V58" i="7" s="1"/>
  <c r="T58" i="7"/>
  <c r="W58" i="7"/>
  <c r="Y58" i="7"/>
  <c r="Z58" i="7"/>
  <c r="AA58" i="7"/>
  <c r="AB58" i="7"/>
  <c r="AC58" i="7"/>
  <c r="AD58" i="7"/>
  <c r="AE58" i="7"/>
  <c r="AF58" i="7"/>
  <c r="AH58" i="7"/>
  <c r="AJ58" i="7"/>
  <c r="Q54" i="20" s="1"/>
  <c r="AK58" i="7"/>
  <c r="R54" i="20" s="1"/>
  <c r="AL58" i="7"/>
  <c r="S54" i="20" s="1"/>
  <c r="AM58" i="7"/>
  <c r="T54" i="20" s="1"/>
  <c r="AN58" i="7"/>
  <c r="U54" i="20" s="1"/>
  <c r="AO58" i="7"/>
  <c r="V54" i="20" s="1"/>
  <c r="AP58" i="7"/>
  <c r="W54" i="20" s="1"/>
  <c r="AQ58" i="7"/>
  <c r="X54" i="20" s="1"/>
  <c r="AR58" i="7"/>
  <c r="Y54" i="20" s="1"/>
  <c r="AS58" i="7"/>
  <c r="Z54" i="20" s="1"/>
  <c r="AT58" i="7"/>
  <c r="AA54" i="20" s="1"/>
  <c r="AU58" i="7"/>
  <c r="AB54" i="20" s="1"/>
  <c r="AV58" i="7"/>
  <c r="AW58" i="7"/>
  <c r="AX58" i="7"/>
  <c r="AY58" i="7"/>
  <c r="AZ58" i="7"/>
  <c r="BA58" i="7"/>
  <c r="BB58" i="7"/>
  <c r="BC58" i="7"/>
  <c r="BD58" i="7"/>
  <c r="BE58" i="7"/>
  <c r="BF58" i="7"/>
  <c r="BG58" i="7"/>
  <c r="BH58" i="7"/>
  <c r="BI58" i="7"/>
  <c r="BJ58" i="7"/>
  <c r="BK58" i="7"/>
  <c r="BL58" i="7"/>
  <c r="BM58" i="7"/>
  <c r="BN58" i="7"/>
  <c r="BO58" i="7"/>
  <c r="BP58" i="7"/>
  <c r="BQ58" i="7"/>
  <c r="BR58" i="7"/>
  <c r="BS58" i="7"/>
  <c r="BT58" i="7"/>
  <c r="BU58" i="7"/>
  <c r="BV58" i="7"/>
  <c r="BW58" i="7"/>
  <c r="N3" i="29"/>
  <c r="M3" i="29"/>
  <c r="L3" i="29"/>
  <c r="N3" i="31"/>
  <c r="M3" i="31"/>
  <c r="L3" i="31"/>
  <c r="N3" i="30"/>
  <c r="M3" i="30"/>
  <c r="L3" i="30"/>
  <c r="N3" i="28"/>
  <c r="M3" i="28"/>
  <c r="L3" i="28"/>
  <c r="N3" i="27"/>
  <c r="M3" i="27"/>
  <c r="L3" i="27"/>
  <c r="N3" i="26"/>
  <c r="M3" i="26"/>
  <c r="L3" i="26"/>
  <c r="S4" i="25" l="1" a="1"/>
  <c r="S4" i="25" s="1"/>
  <c r="AG58" i="7"/>
  <c r="U58" i="7"/>
  <c r="W55" i="20"/>
  <c r="AA56" i="20"/>
  <c r="Y57" i="20"/>
  <c r="AB56" i="20"/>
  <c r="Z57" i="20"/>
  <c r="S57" i="20"/>
  <c r="Q55" i="20"/>
  <c r="Y55" i="20"/>
  <c r="U56" i="20"/>
  <c r="T57" i="20"/>
  <c r="R55" i="20"/>
  <c r="Z55" i="20"/>
  <c r="V56" i="20"/>
  <c r="U57" i="20"/>
  <c r="S55" i="20"/>
  <c r="AA55" i="20"/>
  <c r="W56" i="20"/>
  <c r="V57" i="20"/>
  <c r="T55" i="20"/>
  <c r="AB55" i="20"/>
  <c r="X56" i="20"/>
  <c r="AB57" i="20"/>
  <c r="W57" i="20"/>
  <c r="U55" i="20"/>
  <c r="Q56" i="20"/>
  <c r="Y56" i="20"/>
  <c r="AA57" i="20"/>
  <c r="X57" i="20"/>
  <c r="V55" i="20"/>
  <c r="R56" i="20"/>
  <c r="Z56" i="20"/>
  <c r="Q57" i="20"/>
  <c r="S56" i="20"/>
  <c r="R57" i="20"/>
  <c r="T56" i="20"/>
  <c r="A4" i="25" a="1"/>
  <c r="A4" i="25" s="1"/>
  <c r="N56" i="20"/>
  <c r="M56" i="20"/>
  <c r="L56" i="20"/>
  <c r="K56" i="20"/>
  <c r="J56" i="20"/>
  <c r="I56" i="20"/>
  <c r="H56" i="20"/>
  <c r="G56" i="20"/>
  <c r="F56" i="20"/>
  <c r="E56" i="20"/>
  <c r="D56" i="20"/>
  <c r="C56" i="20"/>
  <c r="N55" i="20"/>
  <c r="M55" i="20"/>
  <c r="L55" i="20"/>
  <c r="K55" i="20"/>
  <c r="J55" i="20"/>
  <c r="I55" i="20"/>
  <c r="H55" i="20"/>
  <c r="G55" i="20"/>
  <c r="F55" i="20"/>
  <c r="E55" i="20"/>
  <c r="D55" i="20"/>
  <c r="C55" i="20"/>
  <c r="N58" i="20"/>
  <c r="M58" i="20"/>
  <c r="L58" i="20"/>
  <c r="K58" i="20"/>
  <c r="J58" i="20"/>
  <c r="I58" i="20"/>
  <c r="H58" i="20"/>
  <c r="G58" i="20"/>
  <c r="F58" i="20"/>
  <c r="E58" i="20"/>
  <c r="D58" i="20"/>
  <c r="C58" i="20"/>
  <c r="N57" i="20"/>
  <c r="M57" i="20"/>
  <c r="L57" i="20"/>
  <c r="K57" i="20"/>
  <c r="J57" i="20"/>
  <c r="I57" i="20"/>
  <c r="H57" i="20"/>
  <c r="G57" i="20"/>
  <c r="F57" i="20"/>
  <c r="E57" i="20"/>
  <c r="D57" i="20"/>
  <c r="C57" i="20"/>
  <c r="AI58" i="7"/>
  <c r="AI14" i="25" l="1"/>
  <c r="AI15" i="25"/>
  <c r="AI16" i="25"/>
  <c r="AI17" i="25"/>
  <c r="AI18" i="25"/>
  <c r="AI19" i="25"/>
  <c r="AI20" i="25"/>
  <c r="AI21" i="25"/>
  <c r="AI22" i="25"/>
  <c r="AI23" i="25"/>
  <c r="AI24" i="25"/>
  <c r="AI25" i="25"/>
  <c r="AA20" i="29"/>
  <c r="Z19" i="30" a="1"/>
  <c r="Z19" i="30" s="1"/>
  <c r="Y19" i="27"/>
  <c r="W17" i="27"/>
  <c r="AF18" i="27"/>
  <c r="I25" i="2"/>
  <c r="E54" i="20"/>
  <c r="G54" i="20"/>
  <c r="M54" i="20"/>
  <c r="D34" i="2"/>
  <c r="G50" i="2"/>
  <c r="G57" i="2"/>
  <c r="M25" i="2"/>
  <c r="O19" i="31"/>
  <c r="N19" i="31"/>
  <c r="M19" i="31"/>
  <c r="L19" i="31"/>
  <c r="O7" i="31"/>
  <c r="N7" i="31"/>
  <c r="M7" i="31"/>
  <c r="L7" i="31"/>
  <c r="Q46" i="31"/>
  <c r="P46" i="31"/>
  <c r="M46" i="31"/>
  <c r="L46" i="31"/>
  <c r="Q45" i="31"/>
  <c r="P45" i="31"/>
  <c r="M45" i="31"/>
  <c r="L45" i="31"/>
  <c r="Q44" i="31"/>
  <c r="P44" i="31"/>
  <c r="M44" i="31"/>
  <c r="L44" i="31"/>
  <c r="Q43" i="31"/>
  <c r="P43" i="31"/>
  <c r="M43" i="31"/>
  <c r="L43" i="31"/>
  <c r="O48" i="31" a="1"/>
  <c r="O48" i="31" s="1"/>
  <c r="N48" i="31" a="1"/>
  <c r="N48" i="31" s="1"/>
  <c r="M48" i="31" a="1"/>
  <c r="M48" i="31" s="1"/>
  <c r="AF40" i="31"/>
  <c r="AE40" i="31"/>
  <c r="AD40" i="31"/>
  <c r="AC40" i="31"/>
  <c r="AB40" i="31"/>
  <c r="AA40" i="31"/>
  <c r="Z40" i="31"/>
  <c r="Y40" i="31"/>
  <c r="X40" i="31"/>
  <c r="W40" i="31"/>
  <c r="V40" i="31"/>
  <c r="U40" i="31"/>
  <c r="AF39" i="31"/>
  <c r="AE39" i="31"/>
  <c r="AD39" i="31"/>
  <c r="AC39" i="31"/>
  <c r="AB39" i="31"/>
  <c r="AA39" i="31"/>
  <c r="Z39" i="31"/>
  <c r="Y39" i="31"/>
  <c r="X39" i="31"/>
  <c r="W39" i="31"/>
  <c r="V39" i="31"/>
  <c r="U39" i="31"/>
  <c r="AF38" i="31"/>
  <c r="AE38" i="31"/>
  <c r="AD38" i="31"/>
  <c r="AC38" i="31"/>
  <c r="AB38" i="31"/>
  <c r="AA38" i="31"/>
  <c r="Z38" i="31"/>
  <c r="Y38" i="31"/>
  <c r="X38" i="31"/>
  <c r="W38" i="31"/>
  <c r="V38" i="31"/>
  <c r="U38" i="31"/>
  <c r="AF18" i="31" a="1"/>
  <c r="AF18" i="31" s="1"/>
  <c r="AE18" i="31" a="1"/>
  <c r="AE18" i="31" s="1"/>
  <c r="AD18" i="31" a="1"/>
  <c r="AD18" i="31" s="1"/>
  <c r="AC18" i="31" a="1"/>
  <c r="AC18" i="31" s="1"/>
  <c r="AB18" i="31" a="1"/>
  <c r="AB18" i="31" s="1"/>
  <c r="AA18" i="31" a="1"/>
  <c r="AA18" i="31" s="1"/>
  <c r="Z18" i="31" a="1"/>
  <c r="Z18" i="31" s="1"/>
  <c r="Y18" i="31" a="1"/>
  <c r="Y18" i="31" s="1"/>
  <c r="X18" i="31" a="1"/>
  <c r="X18" i="31" s="1"/>
  <c r="W18" i="31" a="1"/>
  <c r="W18" i="31" s="1"/>
  <c r="V18" i="31" a="1"/>
  <c r="V18" i="31" s="1"/>
  <c r="U18" i="31" a="1"/>
  <c r="U18" i="31" s="1"/>
  <c r="AF16" i="31"/>
  <c r="AE16" i="31"/>
  <c r="AD16" i="31"/>
  <c r="AC16" i="31"/>
  <c r="AB16" i="31"/>
  <c r="AA16" i="31"/>
  <c r="Z16" i="31"/>
  <c r="Y16" i="31"/>
  <c r="X16" i="31"/>
  <c r="W16" i="31"/>
  <c r="V16" i="31"/>
  <c r="U16" i="31"/>
  <c r="U5" i="31" s="1"/>
  <c r="AF19" i="31" a="1"/>
  <c r="AF19" i="31" s="1"/>
  <c r="Y19" i="31" a="1"/>
  <c r="Y19" i="31" s="1"/>
  <c r="Z19" i="31" a="1"/>
  <c r="Z19" i="31" s="1"/>
  <c r="AA19" i="31" a="1"/>
  <c r="AA19" i="31" s="1"/>
  <c r="U19" i="31" a="1"/>
  <c r="U19" i="31" s="1"/>
  <c r="AB19" i="31" a="1"/>
  <c r="AB19" i="31" s="1"/>
  <c r="V19" i="31" a="1"/>
  <c r="V19" i="31" s="1"/>
  <c r="AC19" i="31" a="1"/>
  <c r="AC19" i="31" s="1"/>
  <c r="W19" i="31" a="1"/>
  <c r="W19" i="31" s="1"/>
  <c r="AD19" i="31" a="1"/>
  <c r="AD19" i="31" s="1"/>
  <c r="X19" i="31" a="1"/>
  <c r="X19" i="31" s="1"/>
  <c r="AE19" i="31" a="1"/>
  <c r="AE19" i="31" s="1"/>
  <c r="AF21" i="28"/>
  <c r="AE21" i="28"/>
  <c r="AD21" i="28"/>
  <c r="AC21" i="28"/>
  <c r="AB21" i="28"/>
  <c r="AA21" i="28"/>
  <c r="Z21" i="28"/>
  <c r="Y21" i="28"/>
  <c r="X21" i="28"/>
  <c r="W21" i="28"/>
  <c r="V21" i="28"/>
  <c r="U21" i="28"/>
  <c r="AF22" i="28"/>
  <c r="AE22" i="28"/>
  <c r="AD22" i="28"/>
  <c r="AC22" i="28"/>
  <c r="AB22" i="28"/>
  <c r="N6" i="28" s="1"/>
  <c r="N30" i="28" s="1"/>
  <c r="AA22" i="28"/>
  <c r="Z22" i="28"/>
  <c r="Y22" i="28"/>
  <c r="X22" i="28"/>
  <c r="W22" i="28"/>
  <c r="V22" i="28"/>
  <c r="U22" i="28"/>
  <c r="AF31" i="31"/>
  <c r="AE31" i="31"/>
  <c r="AD31" i="31"/>
  <c r="AC31" i="31"/>
  <c r="AB31" i="31"/>
  <c r="AA31" i="31"/>
  <c r="Z31" i="31"/>
  <c r="Y31" i="31"/>
  <c r="X31" i="31"/>
  <c r="W31" i="31"/>
  <c r="V31" i="31"/>
  <c r="U31" i="31"/>
  <c r="AF9" i="31"/>
  <c r="AE9" i="31"/>
  <c r="AD9" i="31"/>
  <c r="AC9" i="31"/>
  <c r="AB9" i="31"/>
  <c r="AA9" i="31"/>
  <c r="Z9" i="31"/>
  <c r="Y9" i="31"/>
  <c r="X9" i="31"/>
  <c r="W9" i="31"/>
  <c r="V9" i="31"/>
  <c r="U9" i="31"/>
  <c r="G14" i="2"/>
  <c r="F14" i="2"/>
  <c r="E14" i="2"/>
  <c r="D14" i="2"/>
  <c r="G15" i="2"/>
  <c r="F15" i="2"/>
  <c r="E15" i="2"/>
  <c r="D15" i="2"/>
  <c r="H14" i="2"/>
  <c r="J14" i="2"/>
  <c r="L14" i="2"/>
  <c r="N14" i="2"/>
  <c r="H13" i="2"/>
  <c r="J13" i="2"/>
  <c r="L13" i="2"/>
  <c r="P13" i="2" s="1"/>
  <c r="R13" i="2" s="1"/>
  <c r="T13" i="2" s="1"/>
  <c r="N13" i="2"/>
  <c r="W21" i="30"/>
  <c r="V21" i="30"/>
  <c r="U21" i="30"/>
  <c r="U10" i="30" s="1"/>
  <c r="W22" i="30"/>
  <c r="W11" i="30" s="1"/>
  <c r="V22" i="30"/>
  <c r="U22" i="30"/>
  <c r="U11" i="30" s="1"/>
  <c r="W23" i="30"/>
  <c r="V23" i="30"/>
  <c r="V12" i="30" s="1"/>
  <c r="U23" i="30"/>
  <c r="AF43" i="30"/>
  <c r="AF21" i="30" s="1"/>
  <c r="AE43" i="30"/>
  <c r="AE21" i="30" s="1"/>
  <c r="AD43" i="30"/>
  <c r="AD21" i="30" s="1"/>
  <c r="AC43" i="30"/>
  <c r="AC21" i="30" s="1"/>
  <c r="AB43" i="30"/>
  <c r="AB21" i="30" s="1"/>
  <c r="AA43" i="30"/>
  <c r="AA21" i="30" s="1"/>
  <c r="Z43" i="30"/>
  <c r="Z21" i="30" s="1"/>
  <c r="Y43" i="30"/>
  <c r="Y21" i="30" s="1"/>
  <c r="X43" i="30"/>
  <c r="X21" i="30" s="1"/>
  <c r="AF44" i="30"/>
  <c r="AF22" i="30" s="1"/>
  <c r="O6" i="30" s="1"/>
  <c r="AE44" i="30"/>
  <c r="AE22" i="30" s="1"/>
  <c r="AD44" i="30"/>
  <c r="AD22" i="30" s="1"/>
  <c r="AC44" i="30"/>
  <c r="AC22" i="30" s="1"/>
  <c r="AB44" i="30"/>
  <c r="AB22" i="30" s="1"/>
  <c r="AA44" i="30"/>
  <c r="Z44" i="30"/>
  <c r="Z22" i="30" s="1"/>
  <c r="Y44" i="30"/>
  <c r="Y22" i="30" s="1"/>
  <c r="X44" i="30"/>
  <c r="X33" i="30" s="1"/>
  <c r="AF45" i="30"/>
  <c r="AF23" i="30" s="1"/>
  <c r="AE45" i="30"/>
  <c r="AE23" i="30" s="1"/>
  <c r="AD45" i="30"/>
  <c r="AD23" i="30" s="1"/>
  <c r="AC45" i="30"/>
  <c r="AC23" i="30" s="1"/>
  <c r="AB45" i="30"/>
  <c r="AB23" i="30" s="1"/>
  <c r="AA45" i="30"/>
  <c r="AA23" i="30" s="1"/>
  <c r="Z45" i="30"/>
  <c r="Z23" i="30" s="1"/>
  <c r="Y45" i="30"/>
  <c r="Y23" i="30" s="1"/>
  <c r="X45" i="30"/>
  <c r="X23" i="30" s="1"/>
  <c r="U34" i="30"/>
  <c r="AF40" i="30"/>
  <c r="AE40" i="30"/>
  <c r="AD40" i="30"/>
  <c r="AC40" i="30"/>
  <c r="AB40" i="30"/>
  <c r="AA40" i="30"/>
  <c r="Z40" i="30"/>
  <c r="Y40" i="30"/>
  <c r="X40" i="30"/>
  <c r="W40" i="30"/>
  <c r="V40" i="30"/>
  <c r="U40" i="30"/>
  <c r="AF39" i="30"/>
  <c r="AE39" i="30"/>
  <c r="AD39" i="30"/>
  <c r="AC39" i="30"/>
  <c r="AB39" i="30"/>
  <c r="AA39" i="30"/>
  <c r="Z39" i="30"/>
  <c r="Y39" i="30"/>
  <c r="X39" i="30"/>
  <c r="W39" i="30"/>
  <c r="V39" i="30"/>
  <c r="U39" i="30"/>
  <c r="AF38" i="30"/>
  <c r="AE38" i="30"/>
  <c r="AD38" i="30"/>
  <c r="AC38" i="30"/>
  <c r="AB38" i="30"/>
  <c r="AA38" i="30"/>
  <c r="Z38" i="30"/>
  <c r="Y38" i="30"/>
  <c r="X38" i="30"/>
  <c r="W38" i="30"/>
  <c r="V38" i="30"/>
  <c r="U38" i="30"/>
  <c r="AF18" i="30" a="1"/>
  <c r="AF18" i="30" s="1"/>
  <c r="AE18" i="30" a="1"/>
  <c r="AE18" i="30" s="1"/>
  <c r="AD18" i="30" a="1"/>
  <c r="AD18" i="30" s="1"/>
  <c r="AC18" i="30" a="1"/>
  <c r="AC18" i="30" s="1"/>
  <c r="AB18" i="30" a="1"/>
  <c r="AB18" i="30" s="1"/>
  <c r="AA18" i="30" a="1"/>
  <c r="AA18" i="30" s="1"/>
  <c r="Z18" i="30" a="1"/>
  <c r="Z18" i="30" s="1"/>
  <c r="Y18" i="30" a="1"/>
  <c r="Y18" i="30" s="1"/>
  <c r="X18" i="30" a="1"/>
  <c r="X18" i="30" s="1"/>
  <c r="W18" i="30" a="1"/>
  <c r="W18" i="30" s="1"/>
  <c r="V18" i="30" a="1"/>
  <c r="V18" i="30" s="1"/>
  <c r="U18" i="30" a="1"/>
  <c r="U18" i="30" s="1"/>
  <c r="AF17" i="30" a="1"/>
  <c r="AF17" i="30" s="1"/>
  <c r="AE17" i="30" a="1"/>
  <c r="AE17" i="30" s="1"/>
  <c r="AD17" i="30" a="1"/>
  <c r="AD17" i="30" s="1"/>
  <c r="AC17" i="30" a="1"/>
  <c r="AC17" i="30" s="1"/>
  <c r="AB17" i="30" a="1"/>
  <c r="AB17" i="30" s="1"/>
  <c r="AA17" i="30" a="1"/>
  <c r="AA17" i="30" s="1"/>
  <c r="Z17" i="30" a="1"/>
  <c r="Z17" i="30" s="1"/>
  <c r="Y17" i="30" a="1"/>
  <c r="Y17" i="30" s="1"/>
  <c r="X17" i="30" a="1"/>
  <c r="X17" i="30" s="1"/>
  <c r="W17" i="30" a="1"/>
  <c r="W17" i="30" s="1"/>
  <c r="V17" i="30" a="1"/>
  <c r="V17" i="30" s="1"/>
  <c r="U17" i="30" a="1"/>
  <c r="U17" i="30" s="1"/>
  <c r="AF16" i="30"/>
  <c r="AE16" i="30"/>
  <c r="AD16" i="30"/>
  <c r="AC16" i="30"/>
  <c r="AB16" i="30"/>
  <c r="AA16" i="30"/>
  <c r="Z16" i="30"/>
  <c r="Y16" i="30"/>
  <c r="X16" i="30"/>
  <c r="W16" i="30"/>
  <c r="V16" i="30"/>
  <c r="U16" i="30"/>
  <c r="Q48" i="30" a="1"/>
  <c r="Q48" i="30" s="1"/>
  <c r="O48" i="30" a="1"/>
  <c r="O48" i="30" s="1"/>
  <c r="N48" i="30" a="1"/>
  <c r="N48" i="30" s="1"/>
  <c r="Q46" i="30"/>
  <c r="P46" i="30"/>
  <c r="M46" i="30"/>
  <c r="L46" i="30"/>
  <c r="Q45" i="30"/>
  <c r="P45" i="30"/>
  <c r="M45" i="30"/>
  <c r="L45" i="30"/>
  <c r="Q44" i="30"/>
  <c r="P44" i="30"/>
  <c r="M44" i="30"/>
  <c r="L44" i="30"/>
  <c r="Q43" i="30"/>
  <c r="P43" i="30"/>
  <c r="M43" i="30"/>
  <c r="L43" i="30"/>
  <c r="O19" i="30"/>
  <c r="N19" i="30"/>
  <c r="M19" i="30"/>
  <c r="L19" i="30"/>
  <c r="O7" i="30"/>
  <c r="N7" i="30"/>
  <c r="M7" i="30"/>
  <c r="L7" i="30"/>
  <c r="AF31" i="30"/>
  <c r="AE31" i="30"/>
  <c r="AD31" i="30"/>
  <c r="AC31" i="30"/>
  <c r="AB31" i="30"/>
  <c r="AA31" i="30"/>
  <c r="Z31" i="30"/>
  <c r="Y31" i="30"/>
  <c r="X31" i="30"/>
  <c r="W31" i="30"/>
  <c r="V31" i="30"/>
  <c r="U31" i="30"/>
  <c r="AF9" i="30"/>
  <c r="AE9" i="30"/>
  <c r="AD9" i="30"/>
  <c r="AC9" i="30"/>
  <c r="AB9" i="30"/>
  <c r="AA9" i="30"/>
  <c r="Z9" i="30"/>
  <c r="Y9" i="30"/>
  <c r="X9" i="30"/>
  <c r="W9" i="30"/>
  <c r="V9" i="30"/>
  <c r="U9" i="30"/>
  <c r="O48" i="28" a="1"/>
  <c r="O48" i="28" s="1"/>
  <c r="N48" i="28" a="1"/>
  <c r="N48" i="28" s="1"/>
  <c r="M48" i="28" a="1"/>
  <c r="M48" i="28" s="1"/>
  <c r="Q46" i="28"/>
  <c r="P46" i="28"/>
  <c r="M46" i="28"/>
  <c r="L46" i="28"/>
  <c r="Q45" i="28"/>
  <c r="P45" i="28"/>
  <c r="M45" i="28"/>
  <c r="L45" i="28"/>
  <c r="N45" i="28" s="1"/>
  <c r="Q44" i="28"/>
  <c r="P44" i="28"/>
  <c r="M44" i="28"/>
  <c r="L44" i="28"/>
  <c r="Q43" i="28"/>
  <c r="P43" i="28"/>
  <c r="M43" i="28"/>
  <c r="L43" i="28"/>
  <c r="O19" i="28"/>
  <c r="N19" i="28"/>
  <c r="M19" i="28"/>
  <c r="L19" i="28"/>
  <c r="O7" i="28"/>
  <c r="N7" i="28"/>
  <c r="M7" i="28"/>
  <c r="L7" i="28"/>
  <c r="F34" i="2"/>
  <c r="G34" i="2"/>
  <c r="AF18" i="28"/>
  <c r="AE18" i="28"/>
  <c r="AD18" i="28"/>
  <c r="AC18" i="28"/>
  <c r="AB18" i="28"/>
  <c r="AA18" i="28"/>
  <c r="Z18" i="28"/>
  <c r="Y18" i="28"/>
  <c r="X18" i="28"/>
  <c r="W18" i="28"/>
  <c r="V18" i="28"/>
  <c r="U18" i="28"/>
  <c r="AF17" i="28"/>
  <c r="AE17" i="28"/>
  <c r="AD17" i="28"/>
  <c r="AC17" i="28"/>
  <c r="AB17" i="28"/>
  <c r="AA17" i="28"/>
  <c r="Z17" i="28"/>
  <c r="Y17" i="28"/>
  <c r="X17" i="28"/>
  <c r="W17" i="28"/>
  <c r="V17" i="28"/>
  <c r="U17" i="28"/>
  <c r="AF16" i="28"/>
  <c r="AE16" i="28"/>
  <c r="AD16" i="28"/>
  <c r="AC16" i="28"/>
  <c r="AB16" i="28"/>
  <c r="AA16" i="28"/>
  <c r="Z16" i="28"/>
  <c r="Y16" i="28"/>
  <c r="X16" i="28"/>
  <c r="W16" i="28"/>
  <c r="V16" i="28"/>
  <c r="U16" i="28"/>
  <c r="U5" i="28" s="1"/>
  <c r="AF40" i="28"/>
  <c r="AE40" i="28"/>
  <c r="AD40" i="28"/>
  <c r="AC40" i="28"/>
  <c r="AB40" i="28"/>
  <c r="AA40" i="28"/>
  <c r="Z40" i="28"/>
  <c r="Y40" i="28"/>
  <c r="X40" i="28"/>
  <c r="W40" i="28"/>
  <c r="V40" i="28"/>
  <c r="U40" i="28"/>
  <c r="AF39" i="28"/>
  <c r="AE39" i="28"/>
  <c r="AD39" i="28"/>
  <c r="AC39" i="28"/>
  <c r="AB39" i="28"/>
  <c r="AA39" i="28"/>
  <c r="Z39" i="28"/>
  <c r="Y39" i="28"/>
  <c r="X39" i="28"/>
  <c r="W39" i="28"/>
  <c r="V39" i="28"/>
  <c r="U39" i="28"/>
  <c r="AF38" i="28"/>
  <c r="AE38" i="28"/>
  <c r="AD38" i="28"/>
  <c r="AC38" i="28"/>
  <c r="AB38" i="28"/>
  <c r="AA38" i="28"/>
  <c r="Z38" i="28"/>
  <c r="Y38" i="28"/>
  <c r="X38" i="28"/>
  <c r="W38" i="28"/>
  <c r="V38" i="28"/>
  <c r="U38" i="28"/>
  <c r="P20" i="17"/>
  <c r="O20" i="17"/>
  <c r="N20" i="17"/>
  <c r="P19" i="17"/>
  <c r="O19" i="17"/>
  <c r="N19" i="17"/>
  <c r="M20" i="17"/>
  <c r="M19" i="17"/>
  <c r="H28" i="17"/>
  <c r="G13" i="2" s="1"/>
  <c r="G28" i="17"/>
  <c r="G2" i="17" s="1"/>
  <c r="E28" i="17"/>
  <c r="E2" i="17" s="1"/>
  <c r="E34" i="17"/>
  <c r="F28" i="17"/>
  <c r="F34" i="17" s="1"/>
  <c r="F29" i="2"/>
  <c r="E34" i="2"/>
  <c r="O6" i="27"/>
  <c r="N6" i="27"/>
  <c r="M6" i="27"/>
  <c r="D10" i="2"/>
  <c r="D29" i="2"/>
  <c r="E29" i="2"/>
  <c r="G29" i="2"/>
  <c r="AF45" i="27"/>
  <c r="AE45" i="27"/>
  <c r="AD45" i="27"/>
  <c r="AC45" i="27"/>
  <c r="AB45" i="27"/>
  <c r="AA45" i="27"/>
  <c r="Z45" i="27"/>
  <c r="Y45" i="27"/>
  <c r="X45" i="27"/>
  <c r="Z44" i="27"/>
  <c r="Y44" i="27"/>
  <c r="X44" i="27"/>
  <c r="AF44" i="27"/>
  <c r="AE44" i="27"/>
  <c r="O18" i="27" s="1"/>
  <c r="O30" i="27" s="1"/>
  <c r="AD44" i="27"/>
  <c r="AC44" i="27"/>
  <c r="AB44" i="27"/>
  <c r="AA44" i="27"/>
  <c r="AF43" i="27"/>
  <c r="AE43" i="27"/>
  <c r="AD43" i="27"/>
  <c r="AC43" i="27"/>
  <c r="AB43" i="27"/>
  <c r="AA43" i="27"/>
  <c r="Z43" i="27"/>
  <c r="Y43" i="27"/>
  <c r="X43" i="27"/>
  <c r="D13" i="2"/>
  <c r="M48" i="30" a="1"/>
  <c r="M48" i="30" s="1"/>
  <c r="V34" i="30"/>
  <c r="W34" i="30"/>
  <c r="X34" i="30" s="1"/>
  <c r="Y34" i="30" s="1"/>
  <c r="Z34" i="30" s="1"/>
  <c r="AA34" i="30" s="1"/>
  <c r="W32" i="30"/>
  <c r="AD33" i="30"/>
  <c r="V33" i="30"/>
  <c r="W33" i="30"/>
  <c r="U33" i="30"/>
  <c r="L18" i="30"/>
  <c r="Z33" i="30"/>
  <c r="Y33" i="30"/>
  <c r="V10" i="30"/>
  <c r="W12" i="30"/>
  <c r="U12" i="30"/>
  <c r="U32" i="30"/>
  <c r="V32" i="30"/>
  <c r="O18" i="28"/>
  <c r="N18" i="28"/>
  <c r="M18" i="28"/>
  <c r="E12" i="2"/>
  <c r="F12" i="2"/>
  <c r="G12" i="2"/>
  <c r="D12" i="2"/>
  <c r="E11" i="2"/>
  <c r="F11" i="2"/>
  <c r="G11" i="2"/>
  <c r="D11" i="2"/>
  <c r="E10" i="2"/>
  <c r="F10" i="2"/>
  <c r="G10" i="2"/>
  <c r="N48" i="27" a="1"/>
  <c r="N48" i="27" s="1"/>
  <c r="O48" i="27" a="1"/>
  <c r="O48" i="27" s="1"/>
  <c r="M48" i="27" a="1"/>
  <c r="M48" i="27" s="1"/>
  <c r="N48" i="29" a="1"/>
  <c r="N48" i="29" s="1"/>
  <c r="O48" i="29" a="1"/>
  <c r="O48" i="29" s="1"/>
  <c r="H7" i="2"/>
  <c r="L19" i="26"/>
  <c r="M19" i="26"/>
  <c r="N19" i="26"/>
  <c r="O19" i="26"/>
  <c r="L7" i="2"/>
  <c r="P7" i="2" s="1"/>
  <c r="R7" i="2" s="1"/>
  <c r="T7" i="2" s="1"/>
  <c r="AF32" i="29"/>
  <c r="AE32" i="29"/>
  <c r="AD32" i="29"/>
  <c r="AC32" i="29"/>
  <c r="AB32" i="29"/>
  <c r="AA32" i="29"/>
  <c r="Z32" i="29"/>
  <c r="Y32" i="29"/>
  <c r="X32" i="29"/>
  <c r="W32" i="29"/>
  <c r="V32" i="29"/>
  <c r="U32" i="29"/>
  <c r="AF10" i="29"/>
  <c r="AE10" i="29"/>
  <c r="AD10" i="29"/>
  <c r="AC10" i="29"/>
  <c r="AB10" i="29"/>
  <c r="AA10" i="29"/>
  <c r="Z10" i="29"/>
  <c r="Y10" i="29"/>
  <c r="X10" i="29"/>
  <c r="W10" i="29"/>
  <c r="V10" i="29"/>
  <c r="U10" i="29"/>
  <c r="W9" i="28"/>
  <c r="X9" i="28"/>
  <c r="Y9" i="28"/>
  <c r="Z9" i="28"/>
  <c r="AA9" i="28"/>
  <c r="AB9" i="28"/>
  <c r="AC9" i="28"/>
  <c r="AD9" i="28"/>
  <c r="AE9" i="28"/>
  <c r="AF9" i="28"/>
  <c r="V9" i="28"/>
  <c r="U9" i="28"/>
  <c r="W31" i="28"/>
  <c r="X31" i="28"/>
  <c r="Y31" i="28"/>
  <c r="Z31" i="28"/>
  <c r="AA31" i="28"/>
  <c r="AB31" i="28"/>
  <c r="AC31" i="28"/>
  <c r="AD31" i="28"/>
  <c r="AE31" i="28"/>
  <c r="AF31" i="28"/>
  <c r="V31" i="28"/>
  <c r="U31" i="28"/>
  <c r="W23" i="27" a="1"/>
  <c r="W23" i="27" s="1"/>
  <c r="V23" i="27" a="1"/>
  <c r="V23" i="27" s="1"/>
  <c r="U23" i="27" a="1"/>
  <c r="U23" i="27" s="1"/>
  <c r="U12" i="27" s="1"/>
  <c r="W21" i="27" a="1"/>
  <c r="W21" i="27" s="1"/>
  <c r="V21" i="27" a="1"/>
  <c r="V21" i="27" s="1"/>
  <c r="U21" i="27" a="1"/>
  <c r="U21" i="27" s="1"/>
  <c r="W9" i="27"/>
  <c r="X9" i="27"/>
  <c r="Y9" i="27"/>
  <c r="Z9" i="27"/>
  <c r="AA9" i="27"/>
  <c r="AB9" i="27"/>
  <c r="AC9" i="27"/>
  <c r="AD9" i="27"/>
  <c r="AE9" i="27"/>
  <c r="AF9" i="27"/>
  <c r="V9" i="27"/>
  <c r="U9" i="27"/>
  <c r="W31" i="27"/>
  <c r="X31" i="27"/>
  <c r="Y31" i="27"/>
  <c r="Z31" i="27"/>
  <c r="AA31" i="27"/>
  <c r="AB31" i="27"/>
  <c r="AC31" i="27"/>
  <c r="AD31" i="27"/>
  <c r="AE31" i="27"/>
  <c r="AF31" i="27"/>
  <c r="V31" i="27"/>
  <c r="U31" i="27"/>
  <c r="W22" i="27" a="1"/>
  <c r="W22" i="27" s="1"/>
  <c r="V22" i="27" a="1"/>
  <c r="V22" i="27" s="1"/>
  <c r="U22" i="27" a="1"/>
  <c r="U22" i="27" s="1"/>
  <c r="U11" i="27" s="1"/>
  <c r="AF21" i="26" a="1"/>
  <c r="AF21" i="26" s="1"/>
  <c r="AE21" i="26" a="1"/>
  <c r="AE21" i="26" s="1"/>
  <c r="AD21" i="26" a="1"/>
  <c r="AD21" i="26" s="1"/>
  <c r="AC21" i="26" a="1"/>
  <c r="AC21" i="26" s="1"/>
  <c r="AB21" i="26" a="1"/>
  <c r="AB21" i="26" s="1"/>
  <c r="AA21" i="26" a="1"/>
  <c r="AA21" i="26" s="1"/>
  <c r="Z21" i="26" a="1"/>
  <c r="Z21" i="26" s="1"/>
  <c r="Y21" i="26" a="1"/>
  <c r="Y21" i="26" s="1"/>
  <c r="X21" i="26" a="1"/>
  <c r="X21" i="26" s="1"/>
  <c r="W21" i="26" a="1"/>
  <c r="W21" i="26" s="1"/>
  <c r="V21" i="26" a="1"/>
  <c r="V21" i="26" s="1"/>
  <c r="AD10" i="26" s="1"/>
  <c r="U21" i="26" a="1"/>
  <c r="U21" i="26" s="1"/>
  <c r="AB10" i="26" s="1"/>
  <c r="AF23" i="26" a="1"/>
  <c r="AF23" i="26" s="1"/>
  <c r="AE23" i="26" a="1"/>
  <c r="AE23" i="26" s="1"/>
  <c r="AD23" i="26" a="1"/>
  <c r="AD23" i="26" s="1"/>
  <c r="AC23" i="26" a="1"/>
  <c r="AC23" i="26" s="1"/>
  <c r="AB23" i="26" a="1"/>
  <c r="AB23" i="26" s="1"/>
  <c r="AA23" i="26" a="1"/>
  <c r="AA23" i="26" s="1"/>
  <c r="Z23" i="26" a="1"/>
  <c r="Z23" i="26" s="1"/>
  <c r="Y23" i="26" a="1"/>
  <c r="Y23" i="26" s="1"/>
  <c r="X23" i="26" a="1"/>
  <c r="X23" i="26" s="1"/>
  <c r="W23" i="26" a="1"/>
  <c r="W23" i="26" s="1"/>
  <c r="V23" i="26" a="1"/>
  <c r="V23" i="26" s="1"/>
  <c r="U23" i="26" a="1"/>
  <c r="U23" i="26" s="1"/>
  <c r="W31" i="26"/>
  <c r="X31" i="26"/>
  <c r="Y31" i="26"/>
  <c r="Z31" i="26"/>
  <c r="AA31" i="26"/>
  <c r="AB31" i="26"/>
  <c r="AC31" i="26"/>
  <c r="AD31" i="26"/>
  <c r="AE31" i="26"/>
  <c r="AF31" i="26"/>
  <c r="V31" i="26"/>
  <c r="U31" i="26"/>
  <c r="W9" i="26"/>
  <c r="X9" i="26"/>
  <c r="Y9" i="26"/>
  <c r="Z9" i="26"/>
  <c r="AA9" i="26"/>
  <c r="AB9" i="26"/>
  <c r="AC9" i="26"/>
  <c r="AD9" i="26"/>
  <c r="AE9" i="26"/>
  <c r="AF9" i="26"/>
  <c r="V9" i="26"/>
  <c r="U9" i="26"/>
  <c r="AF17" i="29"/>
  <c r="AE17" i="29"/>
  <c r="AD17" i="29"/>
  <c r="AC17" i="29"/>
  <c r="AB17" i="29"/>
  <c r="AA17" i="29"/>
  <c r="Z17" i="29"/>
  <c r="Y17" i="29"/>
  <c r="X17" i="29"/>
  <c r="W17" i="29"/>
  <c r="V17" i="29"/>
  <c r="U17" i="29"/>
  <c r="U6" i="29" s="1"/>
  <c r="AF41" i="29"/>
  <c r="AE41" i="29"/>
  <c r="AD41" i="29"/>
  <c r="AC41" i="29"/>
  <c r="AB41" i="29"/>
  <c r="AA41" i="29"/>
  <c r="Z41" i="29"/>
  <c r="Y41" i="29"/>
  <c r="X41" i="29"/>
  <c r="W41" i="29"/>
  <c r="V41" i="29"/>
  <c r="U41" i="29"/>
  <c r="AF40" i="29"/>
  <c r="AE40" i="29"/>
  <c r="AD40" i="29"/>
  <c r="AC40" i="29"/>
  <c r="AB40" i="29"/>
  <c r="AA40" i="29"/>
  <c r="Z40" i="29"/>
  <c r="Y40" i="29"/>
  <c r="X40" i="29"/>
  <c r="W40" i="29"/>
  <c r="V40" i="29"/>
  <c r="U40" i="29"/>
  <c r="AF39" i="29"/>
  <c r="AE39" i="29"/>
  <c r="AD39" i="29"/>
  <c r="AC39" i="29"/>
  <c r="AB39" i="29"/>
  <c r="AA39" i="29"/>
  <c r="Z39" i="29"/>
  <c r="Y39" i="29"/>
  <c r="X39" i="29"/>
  <c r="W39" i="29"/>
  <c r="V39" i="29"/>
  <c r="U39" i="29"/>
  <c r="U28" i="29" s="1"/>
  <c r="Q46" i="29"/>
  <c r="P46" i="29"/>
  <c r="M46" i="29"/>
  <c r="L46" i="29"/>
  <c r="Q45" i="29"/>
  <c r="P45" i="29"/>
  <c r="M45" i="29"/>
  <c r="L45" i="29"/>
  <c r="Q44" i="29"/>
  <c r="P44" i="29"/>
  <c r="M44" i="29"/>
  <c r="L44" i="29"/>
  <c r="Q43" i="29"/>
  <c r="P43" i="29"/>
  <c r="M43" i="29"/>
  <c r="L43" i="29"/>
  <c r="O19" i="29"/>
  <c r="N19" i="29"/>
  <c r="M19" i="29"/>
  <c r="L19" i="29"/>
  <c r="P30" i="29" a="1"/>
  <c r="P30" i="29" s="1"/>
  <c r="O30" i="29" a="1"/>
  <c r="O30" i="29" s="1"/>
  <c r="N30" i="29" a="1"/>
  <c r="N30" i="29" s="1"/>
  <c r="M30" i="29" a="1"/>
  <c r="M30" i="29" s="1"/>
  <c r="L30" i="29" a="1"/>
  <c r="L30" i="29" s="1"/>
  <c r="O7" i="29"/>
  <c r="N7" i="29"/>
  <c r="M7" i="29"/>
  <c r="L7" i="29"/>
  <c r="AF16" i="27"/>
  <c r="AE16" i="27"/>
  <c r="AD16" i="27"/>
  <c r="AC16" i="27"/>
  <c r="AB16" i="27"/>
  <c r="AA16" i="27"/>
  <c r="Z16" i="27"/>
  <c r="Y16" i="27"/>
  <c r="X16" i="27"/>
  <c r="W16" i="27"/>
  <c r="V16" i="27"/>
  <c r="U16" i="27"/>
  <c r="AF40" i="27"/>
  <c r="AE40" i="27"/>
  <c r="AD40" i="27"/>
  <c r="AC40" i="27"/>
  <c r="AB40" i="27"/>
  <c r="AA40" i="27"/>
  <c r="Z40" i="27"/>
  <c r="Y40" i="27"/>
  <c r="X40" i="27"/>
  <c r="W40" i="27"/>
  <c r="V40" i="27"/>
  <c r="U40" i="27"/>
  <c r="AF39" i="27"/>
  <c r="AE39" i="27"/>
  <c r="AD39" i="27"/>
  <c r="AC39" i="27"/>
  <c r="AB39" i="27"/>
  <c r="AA39" i="27"/>
  <c r="Z39" i="27"/>
  <c r="Y39" i="27"/>
  <c r="X39" i="27"/>
  <c r="W39" i="27"/>
  <c r="V39" i="27"/>
  <c r="U39" i="27"/>
  <c r="AF38" i="27"/>
  <c r="AE38" i="27"/>
  <c r="AD38" i="27"/>
  <c r="AC38" i="27"/>
  <c r="AB38" i="27"/>
  <c r="AA38" i="27"/>
  <c r="Z38" i="27"/>
  <c r="Y38" i="27"/>
  <c r="X38" i="27"/>
  <c r="W38" i="27"/>
  <c r="V38" i="27"/>
  <c r="U38" i="27"/>
  <c r="U27" i="27" s="1"/>
  <c r="Q46" i="27"/>
  <c r="P46" i="27"/>
  <c r="M46" i="27"/>
  <c r="L46" i="27"/>
  <c r="Q45" i="27"/>
  <c r="P45" i="27"/>
  <c r="M45" i="27"/>
  <c r="L45" i="27"/>
  <c r="Q44" i="27"/>
  <c r="P44" i="27"/>
  <c r="M44" i="27"/>
  <c r="L44" i="27"/>
  <c r="Q43" i="27"/>
  <c r="P43" i="27"/>
  <c r="M43" i="27"/>
  <c r="L43" i="27"/>
  <c r="O19" i="27"/>
  <c r="N19" i="27"/>
  <c r="M19" i="27"/>
  <c r="L19" i="27"/>
  <c r="O7" i="27"/>
  <c r="N7" i="27"/>
  <c r="M7" i="27"/>
  <c r="L7" i="27"/>
  <c r="O7" i="26"/>
  <c r="N7" i="26"/>
  <c r="M7" i="26"/>
  <c r="M31" i="26" s="1"/>
  <c r="L7" i="26"/>
  <c r="M49" i="26" a="1"/>
  <c r="M49" i="26" s="1"/>
  <c r="N49" i="26" a="1"/>
  <c r="N49" i="26" s="1"/>
  <c r="O49" i="26" a="1"/>
  <c r="O49" i="26" s="1"/>
  <c r="Q45" i="26"/>
  <c r="Q46" i="26"/>
  <c r="Q47" i="26"/>
  <c r="Q44" i="26"/>
  <c r="P45" i="26"/>
  <c r="P46" i="26"/>
  <c r="P47" i="26"/>
  <c r="P44" i="26"/>
  <c r="M45" i="26"/>
  <c r="M46" i="26"/>
  <c r="M47" i="26"/>
  <c r="M44" i="26"/>
  <c r="L45" i="26"/>
  <c r="L46" i="26"/>
  <c r="L47" i="26"/>
  <c r="N47" i="26" s="1"/>
  <c r="L44" i="26"/>
  <c r="N44" i="26" s="1"/>
  <c r="AF22" i="26" a="1"/>
  <c r="AF22" i="26" s="1"/>
  <c r="AE22" i="26" a="1"/>
  <c r="AE22" i="26" s="1"/>
  <c r="AD22" i="26" a="1"/>
  <c r="AD22" i="26" s="1"/>
  <c r="AC22" i="26" a="1"/>
  <c r="AC22" i="26" s="1"/>
  <c r="AB22" i="26" a="1"/>
  <c r="AB22" i="26" s="1"/>
  <c r="AA22" i="26" a="1"/>
  <c r="AA22" i="26" s="1"/>
  <c r="Z22" i="26" a="1"/>
  <c r="Z22" i="26" s="1"/>
  <c r="Y22" i="26" a="1"/>
  <c r="Y22" i="26" s="1"/>
  <c r="X22" i="26" a="1"/>
  <c r="X22" i="26" s="1"/>
  <c r="W22" i="26" a="1"/>
  <c r="W22" i="26" s="1"/>
  <c r="V22" i="26" a="1"/>
  <c r="V22" i="26" s="1"/>
  <c r="U22" i="26" a="1"/>
  <c r="U22" i="26" s="1"/>
  <c r="AF16" i="26"/>
  <c r="AE16" i="26"/>
  <c r="AD16" i="26"/>
  <c r="AC16" i="26"/>
  <c r="AB16" i="26"/>
  <c r="AA16" i="26"/>
  <c r="Z16" i="26"/>
  <c r="Y16" i="26"/>
  <c r="X16" i="26"/>
  <c r="W16" i="26"/>
  <c r="V16" i="26"/>
  <c r="U16" i="26"/>
  <c r="U40" i="26"/>
  <c r="V40" i="26"/>
  <c r="W40" i="26"/>
  <c r="X40" i="26"/>
  <c r="Y40" i="26"/>
  <c r="Z40" i="26"/>
  <c r="AA40" i="26"/>
  <c r="AB40" i="26"/>
  <c r="AC40" i="26"/>
  <c r="AD40" i="26"/>
  <c r="AE40" i="26"/>
  <c r="AF40" i="26"/>
  <c r="AF39" i="26"/>
  <c r="AE39" i="26"/>
  <c r="AD39" i="26"/>
  <c r="AC39" i="26"/>
  <c r="AB39" i="26"/>
  <c r="AA39" i="26"/>
  <c r="Z39" i="26"/>
  <c r="Y39" i="26"/>
  <c r="X39" i="26"/>
  <c r="W39" i="26"/>
  <c r="V39" i="26"/>
  <c r="U39" i="26"/>
  <c r="AF38" i="26"/>
  <c r="AE38" i="26"/>
  <c r="AD38" i="26"/>
  <c r="AC38" i="26"/>
  <c r="AB38" i="26"/>
  <c r="AA38" i="26"/>
  <c r="Z38" i="26"/>
  <c r="Y38" i="26"/>
  <c r="X38" i="26"/>
  <c r="W38" i="26"/>
  <c r="V38" i="26"/>
  <c r="U38" i="26"/>
  <c r="AB11" i="28"/>
  <c r="AA11" i="28"/>
  <c r="Y11" i="28"/>
  <c r="Z11" i="28"/>
  <c r="AF11" i="28"/>
  <c r="X11" i="28"/>
  <c r="AE11" i="28"/>
  <c r="W11" i="28"/>
  <c r="AC11" i="28"/>
  <c r="U11" i="28"/>
  <c r="AD11" i="28"/>
  <c r="V11" i="28"/>
  <c r="Y10" i="26"/>
  <c r="AA10" i="26"/>
  <c r="AF10" i="26"/>
  <c r="W10" i="26"/>
  <c r="W12" i="26"/>
  <c r="AB10" i="28"/>
  <c r="AA10" i="28"/>
  <c r="Z10" i="28"/>
  <c r="Y10" i="28"/>
  <c r="AF10" i="28"/>
  <c r="X10" i="28"/>
  <c r="AE10" i="28"/>
  <c r="W10" i="28"/>
  <c r="AD10" i="28"/>
  <c r="V10" i="28"/>
  <c r="AC10" i="28"/>
  <c r="U10" i="28"/>
  <c r="V19" i="27"/>
  <c r="AA19" i="27"/>
  <c r="U10" i="27"/>
  <c r="N54" i="20"/>
  <c r="L54" i="20"/>
  <c r="K54" i="20"/>
  <c r="J54" i="20"/>
  <c r="I54" i="20"/>
  <c r="H54" i="20"/>
  <c r="F54" i="20"/>
  <c r="D54" i="20"/>
  <c r="C54" i="20"/>
  <c r="N25" i="25"/>
  <c r="P32" i="25"/>
  <c r="O32" i="25"/>
  <c r="N32" i="25"/>
  <c r="M32" i="25"/>
  <c r="L32" i="25"/>
  <c r="K32" i="25"/>
  <c r="J32" i="25"/>
  <c r="I32" i="25"/>
  <c r="H32" i="25"/>
  <c r="G32" i="25"/>
  <c r="F32" i="25"/>
  <c r="E32" i="25"/>
  <c r="P31" i="25"/>
  <c r="O31" i="25"/>
  <c r="N31" i="25"/>
  <c r="M31" i="25"/>
  <c r="L31" i="25"/>
  <c r="K31" i="25"/>
  <c r="J31" i="25"/>
  <c r="I31" i="25"/>
  <c r="H31" i="25"/>
  <c r="G31" i="25"/>
  <c r="F31" i="25"/>
  <c r="E31" i="25"/>
  <c r="P30" i="25"/>
  <c r="O30" i="25"/>
  <c r="N30" i="25"/>
  <c r="M30" i="25"/>
  <c r="L30" i="25"/>
  <c r="K30" i="25"/>
  <c r="J30" i="25"/>
  <c r="I30" i="25"/>
  <c r="H30" i="25"/>
  <c r="G30" i="25"/>
  <c r="F30" i="25"/>
  <c r="E30" i="25"/>
  <c r="P29" i="25"/>
  <c r="O29" i="25"/>
  <c r="N29" i="25"/>
  <c r="M29" i="25"/>
  <c r="L29" i="25"/>
  <c r="K29" i="25"/>
  <c r="J29" i="25"/>
  <c r="I29" i="25"/>
  <c r="H29" i="25"/>
  <c r="G29" i="25"/>
  <c r="F29" i="25"/>
  <c r="E29" i="25"/>
  <c r="P28" i="25"/>
  <c r="O28" i="25"/>
  <c r="N28" i="25"/>
  <c r="M28" i="25"/>
  <c r="L28" i="25"/>
  <c r="K28" i="25"/>
  <c r="J28" i="25"/>
  <c r="I28" i="25"/>
  <c r="H28" i="25"/>
  <c r="G28" i="25"/>
  <c r="F28" i="25"/>
  <c r="E28" i="25"/>
  <c r="P27" i="25"/>
  <c r="O27" i="25"/>
  <c r="N27" i="25"/>
  <c r="M27" i="25"/>
  <c r="L27" i="25"/>
  <c r="K27" i="25"/>
  <c r="J27" i="25"/>
  <c r="I27" i="25"/>
  <c r="H27" i="25"/>
  <c r="G27" i="25"/>
  <c r="F27" i="25"/>
  <c r="E27" i="25"/>
  <c r="P26" i="25"/>
  <c r="O26" i="25"/>
  <c r="N26" i="25"/>
  <c r="M26" i="25"/>
  <c r="L26" i="25"/>
  <c r="K26" i="25"/>
  <c r="J26" i="25"/>
  <c r="I26" i="25"/>
  <c r="H26" i="25"/>
  <c r="G26" i="25"/>
  <c r="F26" i="25"/>
  <c r="E26" i="25"/>
  <c r="P25" i="25"/>
  <c r="M25" i="25"/>
  <c r="I25" i="25"/>
  <c r="H25" i="25"/>
  <c r="E25" i="25"/>
  <c r="G25" i="25"/>
  <c r="O25" i="25"/>
  <c r="J25" i="25"/>
  <c r="K25" i="25"/>
  <c r="L25" i="25"/>
  <c r="F25" i="25"/>
  <c r="H22" i="2"/>
  <c r="H23" i="2"/>
  <c r="I23" i="2" s="1"/>
  <c r="H24" i="2"/>
  <c r="Q43" i="20"/>
  <c r="Q44" i="20" s="1"/>
  <c r="Q45" i="20" s="1"/>
  <c r="N22" i="2"/>
  <c r="N23" i="2"/>
  <c r="N24" i="2"/>
  <c r="N21" i="2"/>
  <c r="L22" i="2"/>
  <c r="L23" i="2"/>
  <c r="L24" i="2"/>
  <c r="L21" i="2"/>
  <c r="J22" i="2"/>
  <c r="J23" i="2"/>
  <c r="J24" i="2"/>
  <c r="J21" i="2"/>
  <c r="H21" i="2"/>
  <c r="I21" i="2" s="1"/>
  <c r="N11" i="2"/>
  <c r="N12" i="2"/>
  <c r="N15" i="2"/>
  <c r="N10" i="2"/>
  <c r="O22" i="25"/>
  <c r="G22" i="25"/>
  <c r="N22" i="25"/>
  <c r="F22" i="25"/>
  <c r="L22" i="25"/>
  <c r="J22" i="25"/>
  <c r="I22" i="25"/>
  <c r="M22" i="25"/>
  <c r="E22" i="25"/>
  <c r="K22" i="25"/>
  <c r="P22" i="25"/>
  <c r="H22" i="25"/>
  <c r="AH20" i="25"/>
  <c r="Z20" i="25"/>
  <c r="AD19" i="25"/>
  <c r="AH18" i="25"/>
  <c r="Z18" i="25"/>
  <c r="AD17" i="25"/>
  <c r="AH16" i="25"/>
  <c r="Z16" i="25"/>
  <c r="AD15" i="25"/>
  <c r="AH14" i="25"/>
  <c r="Z14" i="25"/>
  <c r="AF17" i="25"/>
  <c r="AF15" i="25"/>
  <c r="AB14" i="25"/>
  <c r="AG20" i="25"/>
  <c r="Y20" i="25"/>
  <c r="AC19" i="25"/>
  <c r="AG18" i="25"/>
  <c r="Y18" i="25"/>
  <c r="AC17" i="25"/>
  <c r="AG16" i="25"/>
  <c r="Y16" i="25"/>
  <c r="AC15" i="25"/>
  <c r="AG14" i="25"/>
  <c r="Y14" i="25"/>
  <c r="AB18" i="25"/>
  <c r="AF20" i="25"/>
  <c r="X20" i="25"/>
  <c r="AB19" i="25"/>
  <c r="AF18" i="25"/>
  <c r="X18" i="25"/>
  <c r="AB17" i="25"/>
  <c r="AF16" i="25"/>
  <c r="X16" i="25"/>
  <c r="AB15" i="25"/>
  <c r="AF14" i="25"/>
  <c r="X14" i="25"/>
  <c r="X19" i="25"/>
  <c r="AE20" i="25"/>
  <c r="W20" i="25"/>
  <c r="AA19" i="25"/>
  <c r="AE18" i="25"/>
  <c r="W18" i="25"/>
  <c r="AA17" i="25"/>
  <c r="AE16" i="25"/>
  <c r="W16" i="25"/>
  <c r="AA15" i="25"/>
  <c r="AE14" i="25"/>
  <c r="W14" i="25"/>
  <c r="X17" i="25"/>
  <c r="AD20" i="25"/>
  <c r="AH19" i="25"/>
  <c r="Z19" i="25"/>
  <c r="AD18" i="25"/>
  <c r="AH17" i="25"/>
  <c r="Z17" i="25"/>
  <c r="AD16" i="25"/>
  <c r="AH15" i="25"/>
  <c r="Z15" i="25"/>
  <c r="AD14" i="25"/>
  <c r="AB20" i="25"/>
  <c r="X15" i="25"/>
  <c r="AC20" i="25"/>
  <c r="AG19" i="25"/>
  <c r="Y19" i="25"/>
  <c r="AC18" i="25"/>
  <c r="AG17" i="25"/>
  <c r="Y17" i="25"/>
  <c r="AC16" i="25"/>
  <c r="AG15" i="25"/>
  <c r="Y15" i="25"/>
  <c r="AC14" i="25"/>
  <c r="AF19" i="25"/>
  <c r="AA20" i="25"/>
  <c r="AE19" i="25"/>
  <c r="W19" i="25"/>
  <c r="AA18" i="25"/>
  <c r="AE17" i="25"/>
  <c r="W17" i="25"/>
  <c r="AA16" i="25"/>
  <c r="AE15" i="25"/>
  <c r="W15" i="25"/>
  <c r="AA14" i="25"/>
  <c r="AB16" i="25"/>
  <c r="J21" i="25"/>
  <c r="N20" i="25"/>
  <c r="F20" i="25"/>
  <c r="J19" i="25"/>
  <c r="N18" i="25"/>
  <c r="F18" i="25"/>
  <c r="J17" i="25"/>
  <c r="N16" i="25"/>
  <c r="F16" i="25"/>
  <c r="J15" i="25"/>
  <c r="N14" i="25"/>
  <c r="F14" i="25"/>
  <c r="I21" i="25"/>
  <c r="M20" i="25"/>
  <c r="E20" i="25"/>
  <c r="I19" i="25"/>
  <c r="M18" i="25"/>
  <c r="E18" i="25"/>
  <c r="I17" i="25"/>
  <c r="M16" i="25"/>
  <c r="E16" i="25"/>
  <c r="I15" i="25"/>
  <c r="M14" i="25"/>
  <c r="E14" i="25"/>
  <c r="P21" i="25"/>
  <c r="H21" i="25"/>
  <c r="L20" i="25"/>
  <c r="P19" i="25"/>
  <c r="H19" i="25"/>
  <c r="L18" i="25"/>
  <c r="P17" i="25"/>
  <c r="H17" i="25"/>
  <c r="L16" i="25"/>
  <c r="P15" i="25"/>
  <c r="H15" i="25"/>
  <c r="L14" i="25"/>
  <c r="O21" i="25"/>
  <c r="G21" i="25"/>
  <c r="K20" i="25"/>
  <c r="O19" i="25"/>
  <c r="G19" i="25"/>
  <c r="K18" i="25"/>
  <c r="O17" i="25"/>
  <c r="G17" i="25"/>
  <c r="K16" i="25"/>
  <c r="O15" i="25"/>
  <c r="G15" i="25"/>
  <c r="K14" i="25"/>
  <c r="N21" i="25"/>
  <c r="F21" i="25"/>
  <c r="J20" i="25"/>
  <c r="N19" i="25"/>
  <c r="F19" i="25"/>
  <c r="J18" i="25"/>
  <c r="N17" i="25"/>
  <c r="F17" i="25"/>
  <c r="J16" i="25"/>
  <c r="N15" i="25"/>
  <c r="F15" i="25"/>
  <c r="J14" i="25"/>
  <c r="M21" i="25"/>
  <c r="E21" i="25"/>
  <c r="I20" i="25"/>
  <c r="M19" i="25"/>
  <c r="E19" i="25"/>
  <c r="I18" i="25"/>
  <c r="M17" i="25"/>
  <c r="E17" i="25"/>
  <c r="I16" i="25"/>
  <c r="M15" i="25"/>
  <c r="E15" i="25"/>
  <c r="I14" i="25"/>
  <c r="H20" i="25"/>
  <c r="P18" i="25"/>
  <c r="L17" i="25"/>
  <c r="H16" i="25"/>
  <c r="L21" i="25"/>
  <c r="P20" i="25"/>
  <c r="L19" i="25"/>
  <c r="H18" i="25"/>
  <c r="P16" i="25"/>
  <c r="L15" i="25"/>
  <c r="H14" i="25"/>
  <c r="G18" i="25"/>
  <c r="K17" i="25"/>
  <c r="G20" i="25"/>
  <c r="O16" i="25"/>
  <c r="K21" i="25"/>
  <c r="G16" i="25"/>
  <c r="O20" i="25"/>
  <c r="K15" i="25"/>
  <c r="P14" i="25"/>
  <c r="K19" i="25"/>
  <c r="O14" i="25"/>
  <c r="O18" i="25"/>
  <c r="G14" i="25"/>
  <c r="L11" i="2"/>
  <c r="P11" i="2" s="1"/>
  <c r="R11" i="2" s="1"/>
  <c r="T11" i="2" s="1"/>
  <c r="L12" i="2"/>
  <c r="P12" i="2" s="1"/>
  <c r="R12" i="2" s="1"/>
  <c r="T12" i="2" s="1"/>
  <c r="L15" i="2"/>
  <c r="L10" i="2"/>
  <c r="P10" i="2" s="1"/>
  <c r="R10" i="2" s="1"/>
  <c r="T10" i="2" s="1"/>
  <c r="J11" i="2"/>
  <c r="J12" i="2"/>
  <c r="J15" i="2"/>
  <c r="J10" i="2"/>
  <c r="H11" i="2"/>
  <c r="I11" i="2" s="1"/>
  <c r="H12" i="2"/>
  <c r="I12" i="2" s="1"/>
  <c r="H15" i="2"/>
  <c r="H10" i="2"/>
  <c r="I10" i="2" s="1"/>
  <c r="P23" i="25"/>
  <c r="H23" i="25"/>
  <c r="O23" i="25"/>
  <c r="G23" i="25"/>
  <c r="N23" i="25"/>
  <c r="F23" i="25"/>
  <c r="M23" i="25"/>
  <c r="E23" i="25"/>
  <c r="L23" i="25"/>
  <c r="K23" i="25"/>
  <c r="J23" i="25"/>
  <c r="I23" i="25"/>
  <c r="L21" i="17"/>
  <c r="L25" i="17"/>
  <c r="H25" i="17"/>
  <c r="G25" i="17"/>
  <c r="AF43" i="31" s="1"/>
  <c r="F25" i="17"/>
  <c r="AE44" i="31" s="1"/>
  <c r="AE22" i="31" s="1"/>
  <c r="E25" i="17"/>
  <c r="AA45" i="31" s="1"/>
  <c r="AA23" i="31" s="1"/>
  <c r="P24" i="17"/>
  <c r="O24" i="17"/>
  <c r="N24" i="17"/>
  <c r="M24" i="17"/>
  <c r="P23" i="17"/>
  <c r="O23" i="17"/>
  <c r="N23" i="17"/>
  <c r="M23" i="17"/>
  <c r="D16" i="2"/>
  <c r="P17" i="17"/>
  <c r="O17" i="17"/>
  <c r="N17" i="17"/>
  <c r="M17" i="17"/>
  <c r="L16" i="17"/>
  <c r="H16" i="17"/>
  <c r="P16" i="17" s="1"/>
  <c r="G16" i="17"/>
  <c r="W43" i="27" s="1" a="1"/>
  <c r="W43" i="27" s="1"/>
  <c r="F16" i="17"/>
  <c r="V44" i="27" s="1" a="1"/>
  <c r="V44" i="27" s="1"/>
  <c r="E16" i="17"/>
  <c r="W45" i="27" s="1" a="1"/>
  <c r="W45" i="27" s="1"/>
  <c r="P15" i="17"/>
  <c r="O15" i="17"/>
  <c r="N15" i="17"/>
  <c r="M15" i="17"/>
  <c r="L13" i="17"/>
  <c r="H13" i="17"/>
  <c r="G13" i="17"/>
  <c r="F13" i="17"/>
  <c r="Q48" i="28" a="1"/>
  <c r="Q48" i="28" s="1"/>
  <c r="E13" i="17"/>
  <c r="Y45" i="28" s="1" a="1"/>
  <c r="Y45" i="28" s="1"/>
  <c r="Y23" i="28" s="1"/>
  <c r="P12" i="17"/>
  <c r="O12" i="17"/>
  <c r="N12" i="17"/>
  <c r="M12" i="17"/>
  <c r="P11" i="17"/>
  <c r="O11" i="17"/>
  <c r="N11" i="17"/>
  <c r="M11" i="17"/>
  <c r="L9" i="17"/>
  <c r="H9" i="17"/>
  <c r="G9" i="17"/>
  <c r="Y43" i="26" s="1" a="1"/>
  <c r="Y43" i="26" s="1"/>
  <c r="F9" i="17"/>
  <c r="E9" i="17"/>
  <c r="Y45" i="26" s="1" a="1"/>
  <c r="Y45" i="26" s="1"/>
  <c r="P8" i="17"/>
  <c r="O8" i="17"/>
  <c r="N8" i="17"/>
  <c r="M8" i="17"/>
  <c r="P7" i="17"/>
  <c r="O7" i="17"/>
  <c r="N7" i="17"/>
  <c r="M7" i="17"/>
  <c r="Q48" i="31" a="1"/>
  <c r="Q48" i="31" s="1"/>
  <c r="Y45" i="31"/>
  <c r="Y23" i="31" s="1"/>
  <c r="X45" i="31"/>
  <c r="X23" i="31" s="1"/>
  <c r="AE45" i="31"/>
  <c r="AE23" i="31" s="1"/>
  <c r="AA44" i="31"/>
  <c r="Y44" i="31"/>
  <c r="Y22" i="31" s="1"/>
  <c r="AF44" i="31"/>
  <c r="AF22" i="31" s="1"/>
  <c r="Y43" i="31"/>
  <c r="Y21" i="31" s="1"/>
  <c r="X43" i="31"/>
  <c r="X21" i="31" s="1"/>
  <c r="AE43" i="31"/>
  <c r="AE21" i="31" s="1"/>
  <c r="W43" i="31"/>
  <c r="W21" i="31" s="1"/>
  <c r="AD43" i="31"/>
  <c r="AD21" i="31" s="1"/>
  <c r="M48" i="29" a="1"/>
  <c r="M48" i="29" s="1"/>
  <c r="AC43" i="26" a="1"/>
  <c r="AC43" i="26" s="1"/>
  <c r="AB43" i="26" a="1"/>
  <c r="AB43" i="26" s="1"/>
  <c r="AA43" i="26" a="1"/>
  <c r="AA43" i="26" s="1"/>
  <c r="Z43" i="26" a="1"/>
  <c r="Z43" i="26" s="1"/>
  <c r="AF43" i="26" a="1"/>
  <c r="AF43" i="26" s="1"/>
  <c r="X43" i="26" a="1"/>
  <c r="X43" i="26" s="1"/>
  <c r="AE43" i="26" a="1"/>
  <c r="AE43" i="26" s="1"/>
  <c r="AD43" i="26" a="1"/>
  <c r="AD43" i="26" s="1"/>
  <c r="V43" i="26" a="1"/>
  <c r="V43" i="26" s="1"/>
  <c r="V45" i="27" a="1"/>
  <c r="V45" i="27" s="1"/>
  <c r="U45" i="27" a="1"/>
  <c r="U45" i="27" s="1"/>
  <c r="U34" i="27" s="1"/>
  <c r="AE45" i="26" a="1"/>
  <c r="AE45" i="26" s="1"/>
  <c r="W45" i="26" a="1"/>
  <c r="W45" i="26" s="1"/>
  <c r="AD45" i="26" a="1"/>
  <c r="AD45" i="26" s="1"/>
  <c r="V45" i="26" a="1"/>
  <c r="V45" i="26" s="1"/>
  <c r="AC45" i="26" a="1"/>
  <c r="AC45" i="26" s="1"/>
  <c r="U45" i="26" a="1"/>
  <c r="U45" i="26" s="1"/>
  <c r="AB45" i="26" a="1"/>
  <c r="AB45" i="26" s="1"/>
  <c r="Z45" i="26" a="1"/>
  <c r="Z45" i="26" s="1"/>
  <c r="U43" i="27" a="1"/>
  <c r="U43" i="27" s="1"/>
  <c r="Y23" i="29" a="1"/>
  <c r="Y23" i="29" s="1"/>
  <c r="AF23" i="29" a="1"/>
  <c r="AF23" i="29" s="1"/>
  <c r="X23" i="29" a="1"/>
  <c r="X23" i="29"/>
  <c r="M6" i="29" s="1"/>
  <c r="AE23" i="29" a="1"/>
  <c r="AE23" i="29" s="1"/>
  <c r="W23" i="29" a="1"/>
  <c r="W23" i="29" s="1"/>
  <c r="AD23" i="29" a="1"/>
  <c r="AD23" i="29" s="1"/>
  <c r="V23" i="29" a="1"/>
  <c r="V23" i="29" s="1"/>
  <c r="AC23" i="29" a="1"/>
  <c r="AC23" i="29" s="1"/>
  <c r="N6" i="29" s="1"/>
  <c r="U23" i="29" a="1"/>
  <c r="U23" i="29" s="1"/>
  <c r="V12" i="29" s="1"/>
  <c r="AB23" i="29" a="1"/>
  <c r="AB23" i="29" s="1"/>
  <c r="AA23" i="29" a="1"/>
  <c r="AA23" i="29"/>
  <c r="Z23" i="29" a="1"/>
  <c r="Z23" i="29"/>
  <c r="Y22" i="29" a="1"/>
  <c r="Y22" i="29" s="1"/>
  <c r="AF22" i="29" a="1"/>
  <c r="AF22" i="29" s="1"/>
  <c r="X22" i="29" a="1"/>
  <c r="X22" i="29" s="1"/>
  <c r="AE22" i="29" a="1"/>
  <c r="AE22" i="29" s="1"/>
  <c r="W22" i="29" a="1"/>
  <c r="W22" i="29" s="1"/>
  <c r="AD22" i="29" a="1"/>
  <c r="AD22" i="29" s="1"/>
  <c r="V22" i="29" a="1"/>
  <c r="V22" i="29" s="1"/>
  <c r="AC22" i="29" a="1"/>
  <c r="AC22" i="29"/>
  <c r="U22" i="29" a="1"/>
  <c r="U22" i="29" s="1"/>
  <c r="AB22" i="29" a="1"/>
  <c r="AB22" i="29" s="1"/>
  <c r="AA22" i="29" a="1"/>
  <c r="AA22" i="29" s="1"/>
  <c r="Z22" i="29" a="1"/>
  <c r="Z22" i="29" s="1"/>
  <c r="E21" i="17"/>
  <c r="M21" i="17" s="1"/>
  <c r="AC24" i="29" a="1"/>
  <c r="AC24" i="29" s="1"/>
  <c r="U24" i="29" a="1"/>
  <c r="U24" i="29" s="1"/>
  <c r="U13" i="29" s="1"/>
  <c r="V13" i="29" s="1"/>
  <c r="AB24" i="29" a="1"/>
  <c r="AB24" i="29" s="1"/>
  <c r="AA24" i="29" a="1"/>
  <c r="AA24" i="29" s="1"/>
  <c r="Z24" i="29" a="1"/>
  <c r="Z24" i="29" s="1"/>
  <c r="Y24" i="29" a="1"/>
  <c r="Y24" i="29" s="1"/>
  <c r="AF24" i="29" a="1"/>
  <c r="AF24" i="29" s="1"/>
  <c r="X24" i="29" a="1"/>
  <c r="X24" i="29" s="1"/>
  <c r="AE24" i="29" a="1"/>
  <c r="AE24" i="29" s="1"/>
  <c r="W24" i="29" a="1"/>
  <c r="W24" i="29" s="1"/>
  <c r="AD24" i="29" a="1"/>
  <c r="AD24" i="29" s="1"/>
  <c r="V24" i="29" a="1"/>
  <c r="V24" i="29" s="1"/>
  <c r="F21" i="17"/>
  <c r="F33" i="17" s="1"/>
  <c r="U44" i="26" a="1"/>
  <c r="U44" i="26" s="1"/>
  <c r="AB44" i="26" a="1"/>
  <c r="AB44" i="26" s="1"/>
  <c r="Q49" i="26" a="1"/>
  <c r="Q49" i="26" s="1"/>
  <c r="Z44" i="26" a="1"/>
  <c r="Z44" i="26" s="1"/>
  <c r="W44" i="26" a="1"/>
  <c r="W44" i="26" s="1"/>
  <c r="Y44" i="26" a="1"/>
  <c r="Y44" i="26" s="1"/>
  <c r="AF44" i="26" a="1"/>
  <c r="AF44" i="26" s="1"/>
  <c r="V44" i="26" a="1"/>
  <c r="V44" i="26" s="1"/>
  <c r="X44" i="26" a="1"/>
  <c r="X44" i="26" s="1"/>
  <c r="AD44" i="26" a="1"/>
  <c r="AD44" i="26" s="1"/>
  <c r="AE44" i="26" a="1"/>
  <c r="AE44" i="26" s="1"/>
  <c r="AC44" i="26" a="1"/>
  <c r="AC44" i="26" s="1"/>
  <c r="AA44" i="26" a="1"/>
  <c r="AA44" i="26" s="1"/>
  <c r="L24" i="25"/>
  <c r="H24" i="25"/>
  <c r="J24" i="25"/>
  <c r="I24" i="25"/>
  <c r="N24" i="25"/>
  <c r="E24" i="25"/>
  <c r="F24" i="25"/>
  <c r="O24" i="25"/>
  <c r="P24" i="25"/>
  <c r="G24" i="25"/>
  <c r="K24" i="25"/>
  <c r="M24" i="25"/>
  <c r="P25" i="17"/>
  <c r="O13" i="17"/>
  <c r="M9" i="17"/>
  <c r="N25" i="17"/>
  <c r="N16" i="17"/>
  <c r="L2" i="17"/>
  <c r="L3" i="17" s="1"/>
  <c r="P13" i="17"/>
  <c r="M25" i="17"/>
  <c r="G21" i="17"/>
  <c r="X44" i="29" s="1" a="1"/>
  <c r="X44" i="29" s="1"/>
  <c r="L4" i="17"/>
  <c r="M16" i="17"/>
  <c r="H21" i="17"/>
  <c r="P21" i="17" s="1"/>
  <c r="N9" i="17"/>
  <c r="O9" i="17"/>
  <c r="N13" i="17"/>
  <c r="M13" i="17"/>
  <c r="P9" i="17"/>
  <c r="O25" i="17"/>
  <c r="E33" i="17"/>
  <c r="E35" i="17" s="1"/>
  <c r="H4" i="17"/>
  <c r="G7" i="2" s="1"/>
  <c r="E4" i="17"/>
  <c r="D7" i="2" s="1"/>
  <c r="D17" i="2" s="1"/>
  <c r="AA22" i="31"/>
  <c r="L18" i="28"/>
  <c r="I15" i="2"/>
  <c r="AC45" i="29" a="1"/>
  <c r="AC45" i="29" s="1"/>
  <c r="AA45" i="29" a="1"/>
  <c r="AA45" i="29" s="1"/>
  <c r="Z45" i="29" a="1"/>
  <c r="Z45" i="29" s="1"/>
  <c r="X45" i="29" a="1"/>
  <c r="X45" i="29" s="1"/>
  <c r="AD45" i="29" a="1"/>
  <c r="AD45" i="29" s="1"/>
  <c r="AA46" i="29" a="1"/>
  <c r="AA46" i="29" s="1"/>
  <c r="Z46" i="29" a="1"/>
  <c r="Z46" i="29" s="1"/>
  <c r="Y46" i="29" a="1"/>
  <c r="Y46" i="29" s="1"/>
  <c r="AF46" i="29" a="1"/>
  <c r="AF46" i="29" s="1"/>
  <c r="X46" i="29" a="1"/>
  <c r="X46" i="29" s="1"/>
  <c r="AE46" i="29" a="1"/>
  <c r="AE46" i="29" s="1"/>
  <c r="W46" i="29" a="1"/>
  <c r="W46" i="29" s="1"/>
  <c r="AD46" i="29" a="1"/>
  <c r="AD46" i="29" s="1"/>
  <c r="V46" i="29" a="1"/>
  <c r="V46" i="29" s="1"/>
  <c r="Y33" i="28"/>
  <c r="AF33" i="28"/>
  <c r="X33" i="28"/>
  <c r="AE33" i="28"/>
  <c r="W33" i="28"/>
  <c r="AD33" i="28"/>
  <c r="V33" i="28"/>
  <c r="AC33" i="28"/>
  <c r="U33" i="28"/>
  <c r="AB33" i="28"/>
  <c r="AA33" i="28"/>
  <c r="Z33" i="28"/>
  <c r="U34" i="26"/>
  <c r="U32" i="27"/>
  <c r="Z32" i="28"/>
  <c r="AC32" i="28"/>
  <c r="Y32" i="28"/>
  <c r="U32" i="28"/>
  <c r="AF32" i="28"/>
  <c r="X32" i="28"/>
  <c r="AE32" i="28"/>
  <c r="W32" i="28"/>
  <c r="AB32" i="28"/>
  <c r="AD32" i="28"/>
  <c r="AA32" i="28"/>
  <c r="V32" i="28"/>
  <c r="N18" i="29" a="1"/>
  <c r="N18" i="29" s="1"/>
  <c r="M18" i="29" a="1"/>
  <c r="M18" i="29" s="1"/>
  <c r="L18" i="29" a="1"/>
  <c r="L18" i="29" s="1"/>
  <c r="O18" i="29" a="1"/>
  <c r="O18" i="29" s="1"/>
  <c r="E3" i="17"/>
  <c r="O2" i="17"/>
  <c r="M2" i="17"/>
  <c r="P18" i="28"/>
  <c r="G16" i="2"/>
  <c r="G43" i="2"/>
  <c r="F43" i="2"/>
  <c r="E43" i="2"/>
  <c r="D43" i="2"/>
  <c r="C43" i="2"/>
  <c r="G42" i="2"/>
  <c r="F42" i="2"/>
  <c r="E42" i="2"/>
  <c r="D42" i="2"/>
  <c r="C42" i="2"/>
  <c r="G41" i="2"/>
  <c r="F41" i="2"/>
  <c r="D41" i="2"/>
  <c r="C41" i="2"/>
  <c r="L6" i="29" l="1"/>
  <c r="W12" i="29"/>
  <c r="AD12" i="29"/>
  <c r="V45" i="31"/>
  <c r="V23" i="31" s="1"/>
  <c r="AD45" i="31"/>
  <c r="AD23" i="31" s="1"/>
  <c r="AB34" i="30"/>
  <c r="AC34" i="30" s="1"/>
  <c r="AD34" i="30" s="1"/>
  <c r="AE34" i="30" s="1"/>
  <c r="AF34" i="30" s="1"/>
  <c r="AA45" i="26" a="1"/>
  <c r="AA45" i="26" s="1"/>
  <c r="AB43" i="31"/>
  <c r="AB21" i="31" s="1"/>
  <c r="AB45" i="31"/>
  <c r="AB23" i="31" s="1"/>
  <c r="M60" i="20"/>
  <c r="W10" i="30"/>
  <c r="O45" i="31"/>
  <c r="AC45" i="31"/>
  <c r="AC23" i="31" s="1"/>
  <c r="W45" i="31"/>
  <c r="W23" i="31" s="1"/>
  <c r="X12" i="29"/>
  <c r="AB44" i="29" a="1"/>
  <c r="AB44" i="29" s="1"/>
  <c r="AD44" i="29" a="1"/>
  <c r="AD44" i="29" s="1"/>
  <c r="Z59" i="20" s="1"/>
  <c r="L6" i="28"/>
  <c r="L30" i="28" s="1"/>
  <c r="Y12" i="29"/>
  <c r="AC44" i="31"/>
  <c r="AC22" i="31" s="1"/>
  <c r="O46" i="26"/>
  <c r="X32" i="30"/>
  <c r="AA12" i="29"/>
  <c r="Z45" i="31"/>
  <c r="Z23" i="31" s="1"/>
  <c r="AB12" i="29"/>
  <c r="X45" i="26" a="1"/>
  <c r="X45" i="26" s="1"/>
  <c r="Y34" i="26" s="1"/>
  <c r="U12" i="29"/>
  <c r="AB46" i="29" a="1"/>
  <c r="AB46" i="29" s="1"/>
  <c r="AF45" i="26" a="1"/>
  <c r="AF45" i="26" s="1"/>
  <c r="V44" i="31"/>
  <c r="V22" i="31" s="1"/>
  <c r="AC45" i="28" a="1"/>
  <c r="AC45" i="28" s="1"/>
  <c r="AC23" i="28" s="1"/>
  <c r="K61" i="20" s="1"/>
  <c r="V10" i="26"/>
  <c r="AD32" i="30"/>
  <c r="Z12" i="29"/>
  <c r="O16" i="17"/>
  <c r="M4" i="17"/>
  <c r="AC12" i="29"/>
  <c r="U46" i="29" a="1"/>
  <c r="U46" i="29" s="1"/>
  <c r="U35" i="29" s="1"/>
  <c r="Q48" i="29" a="1"/>
  <c r="Q48" i="29" s="1"/>
  <c r="V43" i="27" a="1"/>
  <c r="V43" i="27" s="1"/>
  <c r="W32" i="27" s="1"/>
  <c r="U44" i="27" a="1"/>
  <c r="U44" i="27" s="1"/>
  <c r="V33" i="27" s="1"/>
  <c r="AD44" i="31"/>
  <c r="W45" i="28" a="1"/>
  <c r="W45" i="28" s="1"/>
  <c r="W23" i="28" s="1"/>
  <c r="E61" i="20" s="1"/>
  <c r="AC10" i="26"/>
  <c r="AB33" i="30"/>
  <c r="AC46" i="29" a="1"/>
  <c r="AC46" i="29" s="1"/>
  <c r="W44" i="27" a="1"/>
  <c r="W44" i="27" s="1"/>
  <c r="W44" i="31"/>
  <c r="W22" i="31" s="1"/>
  <c r="AA45" i="28" a="1"/>
  <c r="AA45" i="28" s="1"/>
  <c r="AA23" i="28" s="1"/>
  <c r="I61" i="20" s="1"/>
  <c r="Y32" i="30"/>
  <c r="AA33" i="26"/>
  <c r="W33" i="26"/>
  <c r="X33" i="26"/>
  <c r="Y33" i="26"/>
  <c r="U33" i="27"/>
  <c r="Y33" i="27"/>
  <c r="AF33" i="27"/>
  <c r="X33" i="27"/>
  <c r="AA33" i="27"/>
  <c r="AE11" i="29"/>
  <c r="Y11" i="29"/>
  <c r="W11" i="29"/>
  <c r="U11" i="29"/>
  <c r="AD11" i="29"/>
  <c r="AB11" i="29"/>
  <c r="AF11" i="29"/>
  <c r="X11" i="29"/>
  <c r="AC11" i="29"/>
  <c r="AA11" i="29"/>
  <c r="V11" i="29"/>
  <c r="Z11" i="29"/>
  <c r="V34" i="26"/>
  <c r="AF12" i="29"/>
  <c r="AE12" i="29"/>
  <c r="R43" i="20"/>
  <c r="R44" i="20" s="1"/>
  <c r="R45" i="20" s="1"/>
  <c r="V27" i="26"/>
  <c r="K60" i="20"/>
  <c r="O31" i="29"/>
  <c r="E59" i="20"/>
  <c r="M59" i="20"/>
  <c r="E13" i="2"/>
  <c r="E16" i="2" s="1"/>
  <c r="I14" i="2"/>
  <c r="X59" i="20"/>
  <c r="D60" i="20"/>
  <c r="F59" i="20"/>
  <c r="N18" i="30"/>
  <c r="AF45" i="29" a="1"/>
  <c r="AF45" i="29" s="1"/>
  <c r="AB60" i="20" s="1"/>
  <c r="AC44" i="29" a="1"/>
  <c r="AC44" i="29" s="1"/>
  <c r="W43" i="26" a="1"/>
  <c r="W43" i="26" s="1"/>
  <c r="U43" i="26" a="1"/>
  <c r="U43" i="26" s="1"/>
  <c r="V43" i="31"/>
  <c r="V21" i="31" s="1"/>
  <c r="D59" i="20" s="1"/>
  <c r="E60" i="20"/>
  <c r="Y12" i="26"/>
  <c r="G59" i="20"/>
  <c r="M18" i="27"/>
  <c r="M30" i="27" s="1"/>
  <c r="Z33" i="26"/>
  <c r="U33" i="26"/>
  <c r="V45" i="29" a="1"/>
  <c r="V45" i="29" s="1"/>
  <c r="Y45" i="29" a="1"/>
  <c r="Y45" i="29" s="1"/>
  <c r="U60" i="20" s="1"/>
  <c r="V44" i="29" a="1"/>
  <c r="V44" i="29" s="1"/>
  <c r="R59" i="20" s="1"/>
  <c r="W60" i="20"/>
  <c r="U61" i="20"/>
  <c r="H59" i="20"/>
  <c r="Y60" i="20"/>
  <c r="T59" i="20"/>
  <c r="Q48" i="27" a="1"/>
  <c r="Q48" i="27" s="1"/>
  <c r="G60" i="20"/>
  <c r="N60" i="20"/>
  <c r="M6" i="28"/>
  <c r="P6" i="28" s="1"/>
  <c r="P30" i="28" s="1"/>
  <c r="O6" i="28"/>
  <c r="O30" i="28" s="1"/>
  <c r="G17" i="2"/>
  <c r="P4" i="17"/>
  <c r="V33" i="26"/>
  <c r="J59" i="20"/>
  <c r="W45" i="29" a="1"/>
  <c r="W45" i="29" s="1"/>
  <c r="S60" i="20" s="1"/>
  <c r="AB45" i="29" a="1"/>
  <c r="AB45" i="29" s="1"/>
  <c r="Z60" i="20"/>
  <c r="S61" i="20"/>
  <c r="V34" i="27"/>
  <c r="W34" i="27" s="1"/>
  <c r="X34" i="27" s="1"/>
  <c r="Y34" i="27" s="1"/>
  <c r="Z34" i="27" s="1"/>
  <c r="AA34" i="27" s="1"/>
  <c r="AB34" i="27" s="1"/>
  <c r="AC34" i="27" s="1"/>
  <c r="AD34" i="27" s="1"/>
  <c r="AE34" i="27" s="1"/>
  <c r="AF34" i="27" s="1"/>
  <c r="U43" i="31"/>
  <c r="Z43" i="31"/>
  <c r="Z21" i="31" s="1"/>
  <c r="V45" i="28" a="1"/>
  <c r="V45" i="28" s="1"/>
  <c r="V23" i="28" s="1"/>
  <c r="D61" i="20" s="1"/>
  <c r="G61" i="20"/>
  <c r="AB32" i="30"/>
  <c r="F35" i="17"/>
  <c r="AF33" i="30"/>
  <c r="AD33" i="26"/>
  <c r="AE33" i="26"/>
  <c r="AB33" i="26"/>
  <c r="V35" i="29"/>
  <c r="W35" i="29" s="1"/>
  <c r="X35" i="29" s="1"/>
  <c r="Y35" i="29" s="1"/>
  <c r="Z35" i="29" s="1"/>
  <c r="AA35" i="29" s="1"/>
  <c r="AB35" i="29" s="1"/>
  <c r="AC35" i="29" s="1"/>
  <c r="AD35" i="29" s="1"/>
  <c r="AE35" i="29" s="1"/>
  <c r="AF35" i="29" s="1"/>
  <c r="AE45" i="29" a="1"/>
  <c r="AE45" i="29" s="1"/>
  <c r="AA60" i="20" s="1"/>
  <c r="G28" i="2" s="1"/>
  <c r="U45" i="29" a="1"/>
  <c r="U45" i="29" s="1"/>
  <c r="Y34" i="29" s="1"/>
  <c r="F4" i="17"/>
  <c r="M18" i="26"/>
  <c r="AC43" i="31"/>
  <c r="AC21" i="31" s="1"/>
  <c r="K59" i="20" s="1"/>
  <c r="AA43" i="31"/>
  <c r="AA21" i="31" s="1"/>
  <c r="I59" i="20" s="1"/>
  <c r="AF45" i="28" a="1"/>
  <c r="AF45" i="28" s="1"/>
  <c r="AF23" i="28" s="1"/>
  <c r="N31" i="27"/>
  <c r="N43" i="27"/>
  <c r="N45" i="27"/>
  <c r="L59" i="20"/>
  <c r="AA33" i="30"/>
  <c r="F2" i="17"/>
  <c r="AC34" i="26"/>
  <c r="AE34" i="26"/>
  <c r="Z34" i="26"/>
  <c r="AB34" i="26"/>
  <c r="W34" i="26"/>
  <c r="AF34" i="26"/>
  <c r="AA34" i="26"/>
  <c r="AD34" i="26"/>
  <c r="X34" i="26"/>
  <c r="AD12" i="26"/>
  <c r="V12" i="26"/>
  <c r="U12" i="26"/>
  <c r="AC12" i="26"/>
  <c r="M14" i="2"/>
  <c r="P14" i="2"/>
  <c r="R14" i="2" s="1"/>
  <c r="T14" i="2" s="1"/>
  <c r="P21" i="2"/>
  <c r="R21" i="2" s="1"/>
  <c r="Q21" i="2" a="1"/>
  <c r="Q21" i="2" s="1"/>
  <c r="O47" i="26"/>
  <c r="P24" i="2"/>
  <c r="R24" i="2" s="1"/>
  <c r="Q24" i="2" a="1"/>
  <c r="Q24" i="2" s="1"/>
  <c r="N46" i="26"/>
  <c r="M15" i="2"/>
  <c r="P15" i="2"/>
  <c r="R15" i="2" s="1"/>
  <c r="T15" i="2" s="1"/>
  <c r="U15" i="2" s="1"/>
  <c r="P23" i="2"/>
  <c r="R23" i="2" s="1"/>
  <c r="Q23" i="2" a="1"/>
  <c r="Q23" i="2" s="1"/>
  <c r="P22" i="2"/>
  <c r="R22" i="2" s="1"/>
  <c r="Q22" i="2" a="1"/>
  <c r="Q22" i="2" s="1"/>
  <c r="M47" i="31"/>
  <c r="N20" i="29"/>
  <c r="M20" i="28"/>
  <c r="M21" i="28" s="1"/>
  <c r="O45" i="28"/>
  <c r="O23" i="2"/>
  <c r="O44" i="31"/>
  <c r="O46" i="31"/>
  <c r="N43" i="31"/>
  <c r="N45" i="31"/>
  <c r="K12" i="2"/>
  <c r="O8" i="30"/>
  <c r="O9" i="30" s="1"/>
  <c r="O14" i="2"/>
  <c r="L31" i="27"/>
  <c r="L47" i="27"/>
  <c r="Q47" i="29"/>
  <c r="N31" i="28"/>
  <c r="P47" i="28"/>
  <c r="M10" i="2"/>
  <c r="N44" i="28"/>
  <c r="O45" i="26"/>
  <c r="V20" i="29"/>
  <c r="AB18" i="26"/>
  <c r="W20" i="29"/>
  <c r="X19" i="27"/>
  <c r="AC19" i="27"/>
  <c r="U11" i="2"/>
  <c r="U12" i="2"/>
  <c r="U10" i="2"/>
  <c r="I13" i="2"/>
  <c r="O43" i="29"/>
  <c r="O45" i="29"/>
  <c r="V28" i="29"/>
  <c r="V29" i="29" s="1"/>
  <c r="V30" i="29" s="1"/>
  <c r="L8" i="28"/>
  <c r="L9" i="28" s="1"/>
  <c r="O43" i="28"/>
  <c r="AA27" i="30"/>
  <c r="AA28" i="30" s="1"/>
  <c r="AA29" i="30" s="1"/>
  <c r="N20" i="30"/>
  <c r="N21" i="30" s="1"/>
  <c r="O46" i="27"/>
  <c r="N43" i="29"/>
  <c r="N45" i="29"/>
  <c r="L31" i="28"/>
  <c r="M31" i="30"/>
  <c r="M47" i="30"/>
  <c r="O47" i="30" s="1"/>
  <c r="N46" i="31"/>
  <c r="O15" i="2"/>
  <c r="Y27" i="28"/>
  <c r="Y28" i="28" s="1"/>
  <c r="Y29" i="28" s="1"/>
  <c r="M31" i="28"/>
  <c r="O44" i="28"/>
  <c r="O46" i="28"/>
  <c r="N31" i="30"/>
  <c r="N8" i="30"/>
  <c r="M47" i="27"/>
  <c r="L31" i="29"/>
  <c r="N31" i="31"/>
  <c r="H29" i="2"/>
  <c r="O20" i="28"/>
  <c r="O21" i="28" s="1"/>
  <c r="N8" i="28"/>
  <c r="N9" i="28" s="1"/>
  <c r="P19" i="30"/>
  <c r="N44" i="30"/>
  <c r="N46" i="30"/>
  <c r="M8" i="30"/>
  <c r="N16" i="2"/>
  <c r="E30" i="2"/>
  <c r="U27" i="30"/>
  <c r="U28" i="30" s="1"/>
  <c r="U29" i="30" s="1"/>
  <c r="N20" i="28"/>
  <c r="N21" i="28" s="1"/>
  <c r="N43" i="30"/>
  <c r="N45" i="30"/>
  <c r="AA27" i="31"/>
  <c r="AA28" i="31" s="1"/>
  <c r="AA29" i="31" s="1"/>
  <c r="P7" i="31"/>
  <c r="O24" i="2"/>
  <c r="O31" i="28"/>
  <c r="O31" i="31"/>
  <c r="M47" i="28"/>
  <c r="Q48" i="26"/>
  <c r="Q50" i="26" s="1"/>
  <c r="O8" i="27"/>
  <c r="O9" i="27" s="1"/>
  <c r="AB28" i="29"/>
  <c r="AB29" i="29" s="1"/>
  <c r="AB30" i="29" s="1"/>
  <c r="P7" i="28"/>
  <c r="L31" i="31"/>
  <c r="K22" i="2"/>
  <c r="W5" i="28"/>
  <c r="W6" i="28" s="1"/>
  <c r="W7" i="28" s="1"/>
  <c r="N31" i="26"/>
  <c r="Q47" i="28"/>
  <c r="Q47" i="31"/>
  <c r="AB27" i="28"/>
  <c r="AB28" i="28" s="1"/>
  <c r="AB29" i="28" s="1"/>
  <c r="X27" i="27"/>
  <c r="X28" i="27" s="1"/>
  <c r="X29" i="27" s="1"/>
  <c r="N44" i="29"/>
  <c r="N46" i="29"/>
  <c r="M20" i="29"/>
  <c r="M21" i="29" s="1"/>
  <c r="Z19" i="27"/>
  <c r="U19" i="27"/>
  <c r="AC19" i="30" a="1"/>
  <c r="AC19" i="30" s="1"/>
  <c r="Y19" i="30" a="1"/>
  <c r="Y19" i="30" s="1"/>
  <c r="Y17" i="27"/>
  <c r="AF19" i="27"/>
  <c r="X18" i="26"/>
  <c r="AE19" i="27"/>
  <c r="AD20" i="29"/>
  <c r="U19" i="28"/>
  <c r="W18" i="26"/>
  <c r="AF20" i="29"/>
  <c r="AD19" i="27"/>
  <c r="U20" i="29"/>
  <c r="AE20" i="29"/>
  <c r="AB19" i="30" a="1"/>
  <c r="AB19" i="30" s="1"/>
  <c r="X20" i="29"/>
  <c r="Y20" i="29"/>
  <c r="AF18" i="26"/>
  <c r="AB20" i="29"/>
  <c r="X19" i="30" a="1"/>
  <c r="X19" i="30" s="1"/>
  <c r="AC20" i="29"/>
  <c r="AE19" i="30" a="1"/>
  <c r="AE19" i="30" s="1"/>
  <c r="W19" i="27"/>
  <c r="AB19" i="27"/>
  <c r="AA19" i="30" a="1"/>
  <c r="AA19" i="30" s="1"/>
  <c r="AB18" i="29"/>
  <c r="U18" i="26"/>
  <c r="AD19" i="30" a="1"/>
  <c r="AD19" i="30" s="1"/>
  <c r="AE18" i="26"/>
  <c r="V19" i="30" a="1"/>
  <c r="V19" i="30" s="1"/>
  <c r="Y18" i="27"/>
  <c r="AD18" i="26"/>
  <c r="AF19" i="30" a="1"/>
  <c r="AF19" i="30" s="1"/>
  <c r="U19" i="30" a="1"/>
  <c r="U19" i="30" s="1"/>
  <c r="Y18" i="26"/>
  <c r="W19" i="30" a="1"/>
  <c r="W19" i="30" s="1"/>
  <c r="Z19" i="28"/>
  <c r="U28" i="27"/>
  <c r="U29" i="27" s="1"/>
  <c r="N22" i="27"/>
  <c r="O22" i="29"/>
  <c r="O23" i="29" s="1"/>
  <c r="G49" i="2"/>
  <c r="G48" i="2"/>
  <c r="G47" i="2"/>
  <c r="AC17" i="27"/>
  <c r="AC18" i="26"/>
  <c r="AB19" i="26"/>
  <c r="AA17" i="27"/>
  <c r="V17" i="27"/>
  <c r="AA18" i="26"/>
  <c r="V18" i="26"/>
  <c r="Z20" i="29"/>
  <c r="AB17" i="27"/>
  <c r="AF17" i="27"/>
  <c r="AD17" i="27"/>
  <c r="X17" i="27"/>
  <c r="Z18" i="26"/>
  <c r="Z17" i="27"/>
  <c r="AE17" i="27"/>
  <c r="U17" i="27"/>
  <c r="M24" i="30"/>
  <c r="M24" i="27"/>
  <c r="M25" i="27" s="1"/>
  <c r="G55" i="2"/>
  <c r="O24" i="27"/>
  <c r="O25" i="27" s="1"/>
  <c r="V27" i="28"/>
  <c r="V28" i="28" s="1"/>
  <c r="V29" i="28" s="1"/>
  <c r="Y28" i="29"/>
  <c r="Y29" i="29" s="1"/>
  <c r="Y30" i="29" s="1"/>
  <c r="L20" i="27"/>
  <c r="AC5" i="31"/>
  <c r="L47" i="31"/>
  <c r="W6" i="29"/>
  <c r="L48" i="26"/>
  <c r="AF5" i="27"/>
  <c r="N31" i="29"/>
  <c r="P47" i="30"/>
  <c r="Y27" i="31"/>
  <c r="Y28" i="31" s="1"/>
  <c r="Y29" i="31" s="1"/>
  <c r="G35" i="2"/>
  <c r="S43" i="20"/>
  <c r="S44" i="20" s="1"/>
  <c r="S45" i="20" s="1"/>
  <c r="O44" i="26"/>
  <c r="L31" i="26"/>
  <c r="N46" i="27"/>
  <c r="AB5" i="27"/>
  <c r="M8" i="29"/>
  <c r="M9" i="29" s="1"/>
  <c r="M22" i="28"/>
  <c r="M23" i="28" s="1"/>
  <c r="AB5" i="28"/>
  <c r="AB6" i="28" s="1"/>
  <c r="AB7" i="28" s="1"/>
  <c r="O8" i="28"/>
  <c r="O9" i="28" s="1"/>
  <c r="O43" i="31"/>
  <c r="M24" i="31"/>
  <c r="N44" i="31"/>
  <c r="K23" i="2"/>
  <c r="L47" i="29"/>
  <c r="M12" i="2"/>
  <c r="U5" i="27"/>
  <c r="U27" i="28"/>
  <c r="U28" i="28" s="1"/>
  <c r="U29" i="28" s="1"/>
  <c r="N44" i="27"/>
  <c r="O24" i="29"/>
  <c r="O25" i="29" s="1"/>
  <c r="N8" i="26"/>
  <c r="N22" i="28"/>
  <c r="N23" i="28" s="1"/>
  <c r="AD5" i="28"/>
  <c r="AD6" i="28" s="1"/>
  <c r="AD7" i="28" s="1"/>
  <c r="AB27" i="30"/>
  <c r="AB28" i="30" s="1"/>
  <c r="AB29" i="30" s="1"/>
  <c r="O22" i="30"/>
  <c r="AE5" i="28"/>
  <c r="AE6" i="28" s="1"/>
  <c r="AE7" i="28" s="1"/>
  <c r="N24" i="29"/>
  <c r="N25" i="29" s="1"/>
  <c r="H34" i="2"/>
  <c r="AD27" i="28"/>
  <c r="AD28" i="28" s="1"/>
  <c r="AD29" i="28" s="1"/>
  <c r="O22" i="28"/>
  <c r="O23" i="28" s="1"/>
  <c r="M8" i="28"/>
  <c r="N46" i="28"/>
  <c r="O31" i="30"/>
  <c r="Q47" i="30"/>
  <c r="O45" i="30"/>
  <c r="AC27" i="30"/>
  <c r="AC28" i="30" s="1"/>
  <c r="AC29" i="30" s="1"/>
  <c r="Y5" i="31"/>
  <c r="L20" i="31"/>
  <c r="P47" i="31"/>
  <c r="AA28" i="29"/>
  <c r="AA29" i="29" s="1"/>
  <c r="AA30" i="29" s="1"/>
  <c r="N8" i="29"/>
  <c r="W43" i="20"/>
  <c r="W44" i="20" s="1"/>
  <c r="W45" i="20" s="1"/>
  <c r="AF5" i="28"/>
  <c r="AF6" i="28" s="1"/>
  <c r="AF7" i="28" s="1"/>
  <c r="AC5" i="28"/>
  <c r="AC6" i="28" s="1"/>
  <c r="AC7" i="28" s="1"/>
  <c r="O24" i="28"/>
  <c r="O25" i="28" s="1"/>
  <c r="X27" i="26"/>
  <c r="X28" i="26" s="1"/>
  <c r="X29" i="26" s="1"/>
  <c r="AD27" i="30"/>
  <c r="AD28" i="30" s="1"/>
  <c r="AD29" i="30" s="1"/>
  <c r="AF5" i="30"/>
  <c r="AF6" i="30" s="1"/>
  <c r="AF7" i="30" s="1"/>
  <c r="M20" i="30"/>
  <c r="M31" i="31"/>
  <c r="L16" i="2"/>
  <c r="M11" i="2"/>
  <c r="K11" i="2"/>
  <c r="D43" i="20"/>
  <c r="D44" i="20" s="1"/>
  <c r="D45" i="20" s="1"/>
  <c r="D46" i="20" s="1"/>
  <c r="AF27" i="27"/>
  <c r="AF28" i="27" s="1"/>
  <c r="AF29" i="27" s="1"/>
  <c r="AA5" i="28"/>
  <c r="AA6" i="28" s="1"/>
  <c r="AA7" i="28" s="1"/>
  <c r="X5" i="28"/>
  <c r="X6" i="28" s="1"/>
  <c r="X7" i="28" s="1"/>
  <c r="AE27" i="28"/>
  <c r="AE28" i="28" s="1"/>
  <c r="AE29" i="28" s="1"/>
  <c r="N43" i="28"/>
  <c r="AD6" i="29"/>
  <c r="L47" i="28"/>
  <c r="N45" i="26"/>
  <c r="N24" i="28"/>
  <c r="N25" i="28" s="1"/>
  <c r="M24" i="28"/>
  <c r="M25" i="28" s="1"/>
  <c r="L20" i="28"/>
  <c r="P19" i="28"/>
  <c r="P7" i="26"/>
  <c r="M22" i="27"/>
  <c r="V5" i="27"/>
  <c r="V27" i="30"/>
  <c r="V28" i="30" s="1"/>
  <c r="V29" i="30" s="1"/>
  <c r="U5" i="30"/>
  <c r="U6" i="30" s="1"/>
  <c r="U7" i="30" s="1"/>
  <c r="O43" i="30"/>
  <c r="O44" i="30"/>
  <c r="O46" i="30"/>
  <c r="U27" i="31"/>
  <c r="U28" i="31" s="1"/>
  <c r="U29" i="31" s="1"/>
  <c r="P19" i="31"/>
  <c r="N8" i="31"/>
  <c r="N24" i="31"/>
  <c r="M22" i="31"/>
  <c r="W27" i="28"/>
  <c r="W28" i="28" s="1"/>
  <c r="W29" i="28" s="1"/>
  <c r="AC27" i="28"/>
  <c r="AC28" i="28" s="1"/>
  <c r="AC29" i="28" s="1"/>
  <c r="V6" i="29"/>
  <c r="O43" i="27"/>
  <c r="L24" i="28"/>
  <c r="L8" i="27"/>
  <c r="Y27" i="30"/>
  <c r="Y28" i="30" s="1"/>
  <c r="Y29" i="30" s="1"/>
  <c r="V5" i="30"/>
  <c r="V6" i="30" s="1"/>
  <c r="V7" i="30" s="1"/>
  <c r="N24" i="30"/>
  <c r="N25" i="30" s="1"/>
  <c r="K14" i="2"/>
  <c r="W5" i="27"/>
  <c r="AA27" i="28"/>
  <c r="AA28" i="28" s="1"/>
  <c r="AA29" i="28" s="1"/>
  <c r="AF27" i="28"/>
  <c r="AF28" i="28" s="1"/>
  <c r="AF29" i="28" s="1"/>
  <c r="L22" i="28"/>
  <c r="O31" i="26"/>
  <c r="P19" i="27"/>
  <c r="Q47" i="27"/>
  <c r="AA5" i="27"/>
  <c r="P47" i="29"/>
  <c r="AE28" i="29"/>
  <c r="AE29" i="29" s="1"/>
  <c r="AE30" i="29" s="1"/>
  <c r="AE6" i="29"/>
  <c r="M22" i="30"/>
  <c r="L24" i="30"/>
  <c r="L25" i="30" s="1"/>
  <c r="L47" i="30"/>
  <c r="AB5" i="31"/>
  <c r="O8" i="31"/>
  <c r="O22" i="31"/>
  <c r="O10" i="2"/>
  <c r="H16" i="2"/>
  <c r="K24" i="2"/>
  <c r="E35" i="2"/>
  <c r="Z5" i="28"/>
  <c r="Z6" i="28" s="1"/>
  <c r="Z7" i="28" s="1"/>
  <c r="V5" i="28"/>
  <c r="V6" i="28" s="1"/>
  <c r="V7" i="28" s="1"/>
  <c r="Z28" i="29"/>
  <c r="Z29" i="29" s="1"/>
  <c r="Z30" i="29" s="1"/>
  <c r="AC6" i="29"/>
  <c r="L8" i="29"/>
  <c r="Y5" i="30"/>
  <c r="Y6" i="30" s="1"/>
  <c r="Y7" i="30" s="1"/>
  <c r="AE5" i="30"/>
  <c r="AE6" i="30" s="1"/>
  <c r="AE7" i="30" s="1"/>
  <c r="AB5" i="30"/>
  <c r="AB6" i="30" s="1"/>
  <c r="AB7" i="30" s="1"/>
  <c r="Z5" i="30"/>
  <c r="Z6" i="30" s="1"/>
  <c r="Z7" i="30" s="1"/>
  <c r="L31" i="30"/>
  <c r="AE27" i="30"/>
  <c r="AE28" i="30" s="1"/>
  <c r="AE29" i="30" s="1"/>
  <c r="O13" i="2"/>
  <c r="U27" i="26"/>
  <c r="U28" i="26" s="1"/>
  <c r="U29" i="26" s="1"/>
  <c r="AD27" i="27"/>
  <c r="AD28" i="27" s="1"/>
  <c r="AD29" i="27" s="1"/>
  <c r="Z27" i="28"/>
  <c r="Z28" i="28" s="1"/>
  <c r="Z29" i="28" s="1"/>
  <c r="X27" i="28"/>
  <c r="X28" i="28" s="1"/>
  <c r="X29" i="28" s="1"/>
  <c r="AC28" i="29"/>
  <c r="AC29" i="29" s="1"/>
  <c r="AC30" i="29" s="1"/>
  <c r="N20" i="26"/>
  <c r="P48" i="26"/>
  <c r="O45" i="27"/>
  <c r="AC27" i="27"/>
  <c r="AC28" i="27" s="1"/>
  <c r="AC29" i="27" s="1"/>
  <c r="O22" i="27"/>
  <c r="O23" i="27" s="1"/>
  <c r="O24" i="30"/>
  <c r="AB27" i="31"/>
  <c r="AB28" i="31" s="1"/>
  <c r="AB29" i="31" s="1"/>
  <c r="K10" i="2"/>
  <c r="I22" i="2"/>
  <c r="V27" i="27"/>
  <c r="V28" i="27" s="1"/>
  <c r="V29" i="27" s="1"/>
  <c r="Y5" i="28"/>
  <c r="Y6" i="28" s="1"/>
  <c r="Y7" i="28" s="1"/>
  <c r="X6" i="29"/>
  <c r="L24" i="27"/>
  <c r="M8" i="26"/>
  <c r="O44" i="29"/>
  <c r="O46" i="29"/>
  <c r="M22" i="29"/>
  <c r="M23" i="29" s="1"/>
  <c r="O8" i="29"/>
  <c r="X27" i="30"/>
  <c r="X28" i="30" s="1"/>
  <c r="X29" i="30" s="1"/>
  <c r="W5" i="30"/>
  <c r="W6" i="30" s="1"/>
  <c r="W7" i="30" s="1"/>
  <c r="AA5" i="30"/>
  <c r="AA6" i="30" s="1"/>
  <c r="AA7" i="30" s="1"/>
  <c r="AF27" i="30"/>
  <c r="AF28" i="30" s="1"/>
  <c r="AF29" i="30" s="1"/>
  <c r="L22" i="31"/>
  <c r="K13" i="2"/>
  <c r="M8" i="31"/>
  <c r="G56" i="2"/>
  <c r="G58" i="2"/>
  <c r="AC19" i="28"/>
  <c r="X17" i="26"/>
  <c r="V10" i="27"/>
  <c r="AB10" i="27"/>
  <c r="AA10" i="27"/>
  <c r="Y10" i="27"/>
  <c r="AF10" i="27"/>
  <c r="X10" i="27"/>
  <c r="W10" i="27"/>
  <c r="AD10" i="27"/>
  <c r="L18" i="26"/>
  <c r="X10" i="30"/>
  <c r="Z10" i="30"/>
  <c r="Y10" i="30"/>
  <c r="M3" i="17"/>
  <c r="W33" i="27"/>
  <c r="AC33" i="27"/>
  <c r="Z33" i="27"/>
  <c r="AD33" i="27"/>
  <c r="AC12" i="30"/>
  <c r="AF33" i="26"/>
  <c r="N18" i="26"/>
  <c r="O6" i="29"/>
  <c r="AF21" i="31"/>
  <c r="Y11" i="27"/>
  <c r="AF11" i="27"/>
  <c r="AE11" i="27"/>
  <c r="W11" i="27"/>
  <c r="AB11" i="27"/>
  <c r="L6" i="27"/>
  <c r="P6" i="27" s="1"/>
  <c r="AA11" i="27"/>
  <c r="V11" i="27"/>
  <c r="Y12" i="27"/>
  <c r="W12" i="27"/>
  <c r="AF12" i="27"/>
  <c r="X12" i="27"/>
  <c r="AD12" i="27"/>
  <c r="V12" i="27"/>
  <c r="AC12" i="27"/>
  <c r="AB12" i="27"/>
  <c r="AA12" i="27"/>
  <c r="Z12" i="27"/>
  <c r="AE12" i="27"/>
  <c r="Y12" i="30"/>
  <c r="X12" i="30"/>
  <c r="AA44" i="29" a="1"/>
  <c r="AA44" i="29" s="1"/>
  <c r="X44" i="31"/>
  <c r="T60" i="20" s="1"/>
  <c r="U44" i="31"/>
  <c r="O11" i="2"/>
  <c r="V43" i="20"/>
  <c r="V44" i="20" s="1"/>
  <c r="V45" i="20" s="1"/>
  <c r="H25" i="2"/>
  <c r="K21" i="2"/>
  <c r="L43" i="20"/>
  <c r="L44" i="20" s="1"/>
  <c r="L45" i="20" s="1"/>
  <c r="L46" i="20" s="1"/>
  <c r="W27" i="26"/>
  <c r="W28" i="26" s="1"/>
  <c r="W29" i="26" s="1"/>
  <c r="P7" i="27"/>
  <c r="AE5" i="27"/>
  <c r="AC5" i="27"/>
  <c r="X28" i="29"/>
  <c r="X29" i="29" s="1"/>
  <c r="X30" i="29" s="1"/>
  <c r="AD28" i="29"/>
  <c r="AD29" i="29" s="1"/>
  <c r="AD30" i="29" s="1"/>
  <c r="P47" i="27"/>
  <c r="AF12" i="26"/>
  <c r="N20" i="27"/>
  <c r="L20" i="29"/>
  <c r="L21" i="29" s="1"/>
  <c r="L22" i="30"/>
  <c r="L23" i="30" s="1"/>
  <c r="X5" i="30"/>
  <c r="X6" i="30" s="1"/>
  <c r="X7" i="30" s="1"/>
  <c r="AD5" i="30"/>
  <c r="AD6" i="30" s="1"/>
  <c r="AD7" i="30" s="1"/>
  <c r="W27" i="30"/>
  <c r="W28" i="30" s="1"/>
  <c r="W29" i="30" s="1"/>
  <c r="L6" i="30"/>
  <c r="L30" i="30" s="1"/>
  <c r="M18" i="30"/>
  <c r="H2" i="17"/>
  <c r="O18" i="30"/>
  <c r="AF27" i="31"/>
  <c r="AF28" i="31" s="1"/>
  <c r="AF29" i="31" s="1"/>
  <c r="AD5" i="31"/>
  <c r="M20" i="31"/>
  <c r="O20" i="31"/>
  <c r="AE45" i="28" a="1"/>
  <c r="AE45" i="28" s="1"/>
  <c r="AE23" i="28" s="1"/>
  <c r="M61" i="20" s="1"/>
  <c r="Z45" i="28" a="1"/>
  <c r="Z45" i="28" s="1"/>
  <c r="Z23" i="28" s="1"/>
  <c r="H61" i="20" s="1"/>
  <c r="O22" i="2"/>
  <c r="M23" i="2"/>
  <c r="T43" i="20"/>
  <c r="T44" i="20" s="1"/>
  <c r="T45" i="20" s="1"/>
  <c r="I24" i="2"/>
  <c r="G30" i="2"/>
  <c r="Y5" i="27"/>
  <c r="O44" i="27"/>
  <c r="X12" i="26"/>
  <c r="L20" i="26"/>
  <c r="L21" i="26" s="1"/>
  <c r="N24" i="27"/>
  <c r="L22" i="29"/>
  <c r="L23" i="29" s="1"/>
  <c r="L20" i="30"/>
  <c r="AC5" i="30"/>
  <c r="AC6" i="30" s="1"/>
  <c r="AC7" i="30" s="1"/>
  <c r="AC32" i="30"/>
  <c r="AA32" i="30"/>
  <c r="AC33" i="30"/>
  <c r="AE32" i="30"/>
  <c r="L8" i="30"/>
  <c r="Z27" i="30"/>
  <c r="Z28" i="30" s="1"/>
  <c r="Z29" i="30" s="1"/>
  <c r="F13" i="2"/>
  <c r="F16" i="2" s="1"/>
  <c r="N20" i="31"/>
  <c r="X27" i="31"/>
  <c r="X28" i="31" s="1"/>
  <c r="X29" i="31" s="1"/>
  <c r="AD27" i="31"/>
  <c r="AD28" i="31" s="1"/>
  <c r="AD29" i="31" s="1"/>
  <c r="Z5" i="31"/>
  <c r="V5" i="31"/>
  <c r="O24" i="31"/>
  <c r="V27" i="31"/>
  <c r="V28" i="31" s="1"/>
  <c r="V29" i="31" s="1"/>
  <c r="AF19" i="29"/>
  <c r="N18" i="27"/>
  <c r="AA5" i="31"/>
  <c r="Z27" i="31"/>
  <c r="Z28" i="31" s="1"/>
  <c r="Z29" i="31" s="1"/>
  <c r="N21" i="17"/>
  <c r="AB45" i="28" a="1"/>
  <c r="AB45" i="28" s="1"/>
  <c r="AB23" i="28" s="1"/>
  <c r="J61" i="20" s="1"/>
  <c r="X45" i="28" a="1"/>
  <c r="X45" i="28" s="1"/>
  <c r="X23" i="28" s="1"/>
  <c r="F61" i="20" s="1"/>
  <c r="U45" i="28" a="1"/>
  <c r="U45" i="28" s="1"/>
  <c r="Y43" i="20"/>
  <c r="Y44" i="20" s="1"/>
  <c r="Y45" i="20" s="1"/>
  <c r="Y27" i="27"/>
  <c r="Y28" i="27" s="1"/>
  <c r="Y29" i="27" s="1"/>
  <c r="W27" i="27"/>
  <c r="W28" i="27" s="1"/>
  <c r="W29" i="27" s="1"/>
  <c r="AA11" i="26"/>
  <c r="AF32" i="30"/>
  <c r="Z32" i="30"/>
  <c r="AE33" i="30"/>
  <c r="V11" i="30"/>
  <c r="AE27" i="31"/>
  <c r="AE28" i="31" s="1"/>
  <c r="AE29" i="31" s="1"/>
  <c r="AC27" i="31"/>
  <c r="AC28" i="31" s="1"/>
  <c r="AC29" i="31" s="1"/>
  <c r="L8" i="31"/>
  <c r="AF5" i="31"/>
  <c r="AA22" i="30"/>
  <c r="I60" i="20" s="1"/>
  <c r="M31" i="27"/>
  <c r="Z5" i="27"/>
  <c r="P19" i="29"/>
  <c r="F30" i="2"/>
  <c r="X5" i="27"/>
  <c r="AD5" i="27"/>
  <c r="AB27" i="27"/>
  <c r="AB28" i="27" s="1"/>
  <c r="AB29" i="27" s="1"/>
  <c r="M8" i="27"/>
  <c r="L24" i="31"/>
  <c r="W27" i="31"/>
  <c r="W28" i="31" s="1"/>
  <c r="W29" i="31" s="1"/>
  <c r="W5" i="31"/>
  <c r="X22" i="30"/>
  <c r="Y11" i="30" s="1"/>
  <c r="Z44" i="29" a="1"/>
  <c r="Z44" i="29" s="1"/>
  <c r="V59" i="20" s="1"/>
  <c r="AE44" i="29" a="1"/>
  <c r="AE44" i="29" s="1"/>
  <c r="AA59" i="20" s="1"/>
  <c r="Z5" i="26"/>
  <c r="O20" i="26"/>
  <c r="O31" i="27"/>
  <c r="M20" i="27"/>
  <c r="M21" i="27" s="1"/>
  <c r="N22" i="31"/>
  <c r="AE5" i="31"/>
  <c r="Z44" i="31"/>
  <c r="Z22" i="31" s="1"/>
  <c r="H60" i="20" s="1"/>
  <c r="AB44" i="31"/>
  <c r="AD45" i="28" a="1"/>
  <c r="AD45" i="28" s="1"/>
  <c r="Z61" i="20" s="1"/>
  <c r="AD27" i="26"/>
  <c r="AD28" i="26" s="1"/>
  <c r="AD29" i="26" s="1"/>
  <c r="N22" i="26"/>
  <c r="N23" i="26" s="1"/>
  <c r="AE5" i="26"/>
  <c r="AB11" i="26"/>
  <c r="M48" i="26"/>
  <c r="P7" i="30"/>
  <c r="O20" i="30"/>
  <c r="N22" i="30"/>
  <c r="N23" i="30" s="1"/>
  <c r="X5" i="31"/>
  <c r="F57" i="2"/>
  <c r="F55" i="2"/>
  <c r="F48" i="2"/>
  <c r="D47" i="2"/>
  <c r="E48" i="2"/>
  <c r="C47" i="2"/>
  <c r="AD19" i="26"/>
  <c r="Z19" i="26"/>
  <c r="V19" i="26"/>
  <c r="AA19" i="26"/>
  <c r="Y19" i="26"/>
  <c r="W19" i="28"/>
  <c r="AB19" i="28"/>
  <c r="F50" i="2"/>
  <c r="AF19" i="26"/>
  <c r="Y17" i="26"/>
  <c r="Y19" i="28"/>
  <c r="X19" i="26"/>
  <c r="AC19" i="26"/>
  <c r="AD19" i="28"/>
  <c r="AA17" i="31" a="1"/>
  <c r="AA17" i="31" s="1"/>
  <c r="AE19" i="28"/>
  <c r="F49" i="2"/>
  <c r="F47" i="2"/>
  <c r="U19" i="26"/>
  <c r="V19" i="28"/>
  <c r="AE19" i="26"/>
  <c r="AF19" i="28"/>
  <c r="AA19" i="28"/>
  <c r="W19" i="26"/>
  <c r="X19" i="28"/>
  <c r="X19" i="29"/>
  <c r="E56" i="2"/>
  <c r="D49" i="2"/>
  <c r="AC18" i="27"/>
  <c r="E50" i="2"/>
  <c r="C50" i="2"/>
  <c r="W18" i="27"/>
  <c r="U18" i="27"/>
  <c r="AE18" i="27"/>
  <c r="V17" i="31" a="1"/>
  <c r="V17" i="31" s="1"/>
  <c r="AC17" i="31" a="1"/>
  <c r="AC17" i="31" s="1"/>
  <c r="Q46" i="20"/>
  <c r="AA18" i="27"/>
  <c r="W17" i="31" a="1"/>
  <c r="W17" i="31" s="1"/>
  <c r="AD17" i="31" a="1"/>
  <c r="AD17" i="31" s="1"/>
  <c r="X17" i="31" a="1"/>
  <c r="X17" i="31" s="1"/>
  <c r="AE17" i="31" a="1"/>
  <c r="AE17" i="31" s="1"/>
  <c r="Y17" i="31" a="1"/>
  <c r="Y17" i="31" s="1"/>
  <c r="AF17" i="31" a="1"/>
  <c r="AF17" i="31" s="1"/>
  <c r="AB17" i="31" a="1"/>
  <c r="AB17" i="31" s="1"/>
  <c r="AD18" i="27"/>
  <c r="V18" i="27"/>
  <c r="AB18" i="27"/>
  <c r="Z17" i="31" a="1"/>
  <c r="Z17" i="31" s="1"/>
  <c r="U17" i="31" a="1"/>
  <c r="U17" i="31" s="1"/>
  <c r="U6" i="31" s="1"/>
  <c r="U7" i="31" s="1"/>
  <c r="U8" i="31" s="1"/>
  <c r="X18" i="27"/>
  <c r="Z18" i="27"/>
  <c r="E47" i="2"/>
  <c r="D50" i="2"/>
  <c r="E49" i="2"/>
  <c r="C49" i="2"/>
  <c r="C48" i="2"/>
  <c r="D48" i="2"/>
  <c r="S12" i="2"/>
  <c r="C57" i="2"/>
  <c r="E58" i="2"/>
  <c r="AA19" i="29"/>
  <c r="AB17" i="26"/>
  <c r="AE18" i="29"/>
  <c r="Q12" i="2"/>
  <c r="F58" i="2"/>
  <c r="W17" i="26"/>
  <c r="AF17" i="26"/>
  <c r="Y18" i="29"/>
  <c r="U19" i="29"/>
  <c r="AC19" i="29"/>
  <c r="O12" i="30"/>
  <c r="S10" i="2"/>
  <c r="AC17" i="26"/>
  <c r="Z18" i="29"/>
  <c r="V19" i="29"/>
  <c r="AD19" i="29"/>
  <c r="AE17" i="26"/>
  <c r="X18" i="29"/>
  <c r="AF18" i="29"/>
  <c r="AB19" i="29"/>
  <c r="S11" i="2"/>
  <c r="Q10" i="2"/>
  <c r="C55" i="2"/>
  <c r="D55" i="2"/>
  <c r="D57" i="2"/>
  <c r="U17" i="26"/>
  <c r="AA17" i="26"/>
  <c r="AA18" i="29"/>
  <c r="W19" i="29"/>
  <c r="AE19" i="29"/>
  <c r="AD17" i="26"/>
  <c r="Z17" i="26"/>
  <c r="U18" i="29"/>
  <c r="AC18" i="29"/>
  <c r="Y19" i="29"/>
  <c r="V17" i="26"/>
  <c r="V18" i="29"/>
  <c r="AD18" i="29"/>
  <c r="Z19" i="29"/>
  <c r="N10" i="28"/>
  <c r="N11" i="28" s="1"/>
  <c r="E55" i="2"/>
  <c r="D58" i="2"/>
  <c r="D56" i="2"/>
  <c r="W18" i="29"/>
  <c r="M10" i="30"/>
  <c r="C58" i="2"/>
  <c r="E57" i="2"/>
  <c r="M12" i="30"/>
  <c r="M12" i="28"/>
  <c r="M13" i="28" s="1"/>
  <c r="N12" i="28"/>
  <c r="L12" i="28"/>
  <c r="L13" i="28" s="1"/>
  <c r="O10" i="28"/>
  <c r="O11" i="28" s="1"/>
  <c r="C56" i="2"/>
  <c r="F56" i="2"/>
  <c r="O10" i="30"/>
  <c r="O11" i="30" s="1"/>
  <c r="N12" i="30"/>
  <c r="N10" i="30"/>
  <c r="L10" i="28"/>
  <c r="L10" i="30"/>
  <c r="L12" i="30"/>
  <c r="Q11" i="2"/>
  <c r="M10" i="28"/>
  <c r="O12" i="28"/>
  <c r="U6" i="28"/>
  <c r="U7" i="28" s="1"/>
  <c r="N21" i="29"/>
  <c r="P18" i="29"/>
  <c r="AC33" i="26"/>
  <c r="O18" i="26"/>
  <c r="W13" i="29"/>
  <c r="X13" i="29" s="1"/>
  <c r="Y13" i="29" s="1"/>
  <c r="Z13" i="29" s="1"/>
  <c r="AA13" i="29" s="1"/>
  <c r="AB13" i="29" s="1"/>
  <c r="AC13" i="29" s="1"/>
  <c r="AD13" i="29" s="1"/>
  <c r="AE13" i="29" s="1"/>
  <c r="AF13" i="29" s="1"/>
  <c r="W44" i="29" a="1"/>
  <c r="W44" i="29" s="1"/>
  <c r="G4" i="17"/>
  <c r="AF44" i="29" a="1"/>
  <c r="AF44" i="29" s="1"/>
  <c r="AB59" i="20" s="1"/>
  <c r="O21" i="17"/>
  <c r="U44" i="29" a="1"/>
  <c r="U44" i="29" s="1"/>
  <c r="Y44" i="29" a="1"/>
  <c r="Y44" i="29" s="1"/>
  <c r="U59" i="20" s="1"/>
  <c r="K15" i="2"/>
  <c r="M22" i="2"/>
  <c r="AB43" i="20"/>
  <c r="AB44" i="20" s="1"/>
  <c r="AB45" i="20" s="1"/>
  <c r="M43" i="20"/>
  <c r="M44" i="20" s="1"/>
  <c r="M45" i="20" s="1"/>
  <c r="M46" i="20" s="1"/>
  <c r="AF27" i="26"/>
  <c r="AF28" i="26" s="1"/>
  <c r="AF29" i="26" s="1"/>
  <c r="AD11" i="26"/>
  <c r="I43" i="20"/>
  <c r="I44" i="20" s="1"/>
  <c r="I45" i="20" s="1"/>
  <c r="I46" i="20" s="1"/>
  <c r="Y27" i="26"/>
  <c r="Y28" i="26" s="1"/>
  <c r="Y29" i="26" s="1"/>
  <c r="W11" i="26"/>
  <c r="M22" i="26"/>
  <c r="L6" i="26"/>
  <c r="U45" i="31"/>
  <c r="AF45" i="31"/>
  <c r="O12" i="2"/>
  <c r="M24" i="2"/>
  <c r="D30" i="2"/>
  <c r="Z43" i="20"/>
  <c r="Z44" i="20" s="1"/>
  <c r="Z45" i="20" s="1"/>
  <c r="U43" i="20"/>
  <c r="U44" i="20" s="1"/>
  <c r="U45" i="20" s="1"/>
  <c r="AA43" i="20"/>
  <c r="AA44" i="20" s="1"/>
  <c r="AA45" i="20" s="1"/>
  <c r="G43" i="20"/>
  <c r="G44" i="20" s="1"/>
  <c r="G45" i="20" s="1"/>
  <c r="G46" i="20" s="1"/>
  <c r="AE11" i="26"/>
  <c r="M6" i="26"/>
  <c r="M30" i="26" s="1"/>
  <c r="M20" i="26"/>
  <c r="M21" i="26" s="1"/>
  <c r="M24" i="26"/>
  <c r="M25" i="26" s="1"/>
  <c r="AC27" i="26"/>
  <c r="AC28" i="26" s="1"/>
  <c r="AC29" i="26" s="1"/>
  <c r="N24" i="26"/>
  <c r="N25" i="26" s="1"/>
  <c r="L25" i="2"/>
  <c r="M21" i="2"/>
  <c r="AD5" i="26"/>
  <c r="AC5" i="26"/>
  <c r="W5" i="26"/>
  <c r="Y5" i="26"/>
  <c r="L8" i="26"/>
  <c r="AB5" i="26"/>
  <c r="O6" i="26"/>
  <c r="X43" i="20"/>
  <c r="X44" i="20" s="1"/>
  <c r="X45" i="20" s="1"/>
  <c r="J43" i="20"/>
  <c r="J44" i="20" s="1"/>
  <c r="J45" i="20" s="1"/>
  <c r="J46" i="20" s="1"/>
  <c r="AE27" i="26"/>
  <c r="AE28" i="26" s="1"/>
  <c r="AE29" i="26" s="1"/>
  <c r="AA5" i="26"/>
  <c r="U5" i="26"/>
  <c r="H43" i="20"/>
  <c r="H44" i="20" s="1"/>
  <c r="H45" i="20" s="1"/>
  <c r="H46" i="20" s="1"/>
  <c r="F35" i="2"/>
  <c r="V5" i="26"/>
  <c r="O8" i="26"/>
  <c r="O21" i="2"/>
  <c r="AF5" i="26"/>
  <c r="J16" i="2"/>
  <c r="D35" i="2"/>
  <c r="N43" i="20"/>
  <c r="N44" i="20" s="1"/>
  <c r="N45" i="20" s="1"/>
  <c r="N46" i="20" s="1"/>
  <c r="E43" i="20"/>
  <c r="E44" i="20" s="1"/>
  <c r="E45" i="20" s="1"/>
  <c r="E46" i="20" s="1"/>
  <c r="K43" i="20"/>
  <c r="K44" i="20" s="1"/>
  <c r="K45" i="20" s="1"/>
  <c r="K46" i="20" s="1"/>
  <c r="F43" i="20"/>
  <c r="F44" i="20" s="1"/>
  <c r="F45" i="20" s="1"/>
  <c r="F46" i="20" s="1"/>
  <c r="C43" i="20"/>
  <c r="C44" i="20" s="1"/>
  <c r="C45" i="20" s="1"/>
  <c r="X5" i="26"/>
  <c r="X11" i="26"/>
  <c r="Y11" i="26"/>
  <c r="AC11" i="26"/>
  <c r="U11" i="26"/>
  <c r="V11" i="26"/>
  <c r="Z11" i="26"/>
  <c r="AF11" i="26"/>
  <c r="N6" i="26"/>
  <c r="N30" i="26" s="1"/>
  <c r="AA27" i="27"/>
  <c r="AA28" i="27" s="1"/>
  <c r="AA29" i="27" s="1"/>
  <c r="L22" i="27"/>
  <c r="Z27" i="27"/>
  <c r="Z28" i="27" s="1"/>
  <c r="Z29" i="27" s="1"/>
  <c r="AE27" i="27"/>
  <c r="AE28" i="27" s="1"/>
  <c r="AE29" i="27" s="1"/>
  <c r="O20" i="27"/>
  <c r="O21" i="27" s="1"/>
  <c r="M31" i="29"/>
  <c r="P7" i="29"/>
  <c r="N8" i="27"/>
  <c r="X10" i="26"/>
  <c r="U10" i="26"/>
  <c r="AE10" i="26"/>
  <c r="Z10" i="26"/>
  <c r="AE12" i="26"/>
  <c r="AA12" i="26"/>
  <c r="Z12" i="26"/>
  <c r="AB12" i="26"/>
  <c r="V28" i="26"/>
  <c r="V29" i="26" s="1"/>
  <c r="L24" i="26"/>
  <c r="O22" i="26"/>
  <c r="O24" i="26"/>
  <c r="Z27" i="26"/>
  <c r="Z28" i="26" s="1"/>
  <c r="Z29" i="26" s="1"/>
  <c r="L22" i="26"/>
  <c r="AB27" i="26"/>
  <c r="AB28" i="26" s="1"/>
  <c r="AB29" i="26" s="1"/>
  <c r="AA27" i="26"/>
  <c r="AA28" i="26" s="1"/>
  <c r="AA29" i="26" s="1"/>
  <c r="N22" i="29"/>
  <c r="AF28" i="29"/>
  <c r="AF29" i="29" s="1"/>
  <c r="AF30" i="29" s="1"/>
  <c r="L24" i="29"/>
  <c r="W28" i="29"/>
  <c r="W29" i="29" s="1"/>
  <c r="W30" i="29" s="1"/>
  <c r="AF12" i="30"/>
  <c r="AE12" i="30"/>
  <c r="AA12" i="30"/>
  <c r="AD12" i="30"/>
  <c r="Z12" i="30"/>
  <c r="AB12" i="30"/>
  <c r="X11" i="30"/>
  <c r="AA11" i="30"/>
  <c r="AC10" i="30"/>
  <c r="AB10" i="30"/>
  <c r="AE10" i="30"/>
  <c r="AA10" i="30"/>
  <c r="AF10" i="30"/>
  <c r="AD10" i="30"/>
  <c r="M47" i="29"/>
  <c r="O20" i="29"/>
  <c r="O21" i="29" s="1"/>
  <c r="AE10" i="27"/>
  <c r="Z10" i="27"/>
  <c r="AC10" i="27"/>
  <c r="M24" i="29"/>
  <c r="M25" i="29" s="1"/>
  <c r="U29" i="29"/>
  <c r="U30" i="29" s="1"/>
  <c r="Y6" i="29"/>
  <c r="AA6" i="29"/>
  <c r="AB6" i="29"/>
  <c r="AF6" i="29"/>
  <c r="Z6" i="29"/>
  <c r="AC11" i="27"/>
  <c r="X11" i="27"/>
  <c r="AD11" i="27"/>
  <c r="Z11" i="27"/>
  <c r="P19" i="26"/>
  <c r="M13" i="2"/>
  <c r="P18" i="30"/>
  <c r="L25" i="27" l="1"/>
  <c r="X34" i="29"/>
  <c r="Y32" i="27"/>
  <c r="AE32" i="27"/>
  <c r="AD32" i="27"/>
  <c r="Z32" i="27"/>
  <c r="L21" i="27"/>
  <c r="AC11" i="30"/>
  <c r="W34" i="29"/>
  <c r="M23" i="30"/>
  <c r="AE11" i="30"/>
  <c r="AC34" i="29"/>
  <c r="AC32" i="27"/>
  <c r="S13" i="2"/>
  <c r="Q61" i="20"/>
  <c r="M30" i="28"/>
  <c r="L9" i="27"/>
  <c r="Y61" i="20"/>
  <c r="X32" i="27"/>
  <c r="AE34" i="29"/>
  <c r="AF34" i="29"/>
  <c r="AB33" i="27"/>
  <c r="AB34" i="29"/>
  <c r="AE33" i="27"/>
  <c r="AA32" i="27"/>
  <c r="AB11" i="30"/>
  <c r="V32" i="27"/>
  <c r="X60" i="20"/>
  <c r="F28" i="2" s="1"/>
  <c r="M11" i="28"/>
  <c r="AF32" i="27"/>
  <c r="L18" i="27"/>
  <c r="O23" i="26"/>
  <c r="W61" i="20"/>
  <c r="AB32" i="27"/>
  <c r="L13" i="30"/>
  <c r="Q60" i="20"/>
  <c r="Q49" i="20" s="1"/>
  <c r="AD22" i="31"/>
  <c r="O18" i="31"/>
  <c r="O21" i="31" s="1"/>
  <c r="N48" i="26"/>
  <c r="V60" i="20"/>
  <c r="AF11" i="30"/>
  <c r="O25" i="26"/>
  <c r="M23" i="27"/>
  <c r="F3" i="17"/>
  <c r="N3" i="17" s="1"/>
  <c r="N2" i="17"/>
  <c r="W59" i="20"/>
  <c r="E7" i="2"/>
  <c r="N4" i="17"/>
  <c r="W32" i="31"/>
  <c r="U21" i="31"/>
  <c r="V32" i="31"/>
  <c r="Z32" i="31"/>
  <c r="X32" i="31"/>
  <c r="AC32" i="31"/>
  <c r="Y32" i="31"/>
  <c r="AB32" i="31"/>
  <c r="AD32" i="31"/>
  <c r="AE32" i="31"/>
  <c r="U32" i="31"/>
  <c r="AA32" i="31"/>
  <c r="AF32" i="31"/>
  <c r="V34" i="29"/>
  <c r="AA34" i="29"/>
  <c r="U34" i="29"/>
  <c r="X61" i="20"/>
  <c r="AF10" i="31"/>
  <c r="Y59" i="20"/>
  <c r="T61" i="20"/>
  <c r="R61" i="20"/>
  <c r="N32" i="29"/>
  <c r="N33" i="29" s="1"/>
  <c r="V61" i="20"/>
  <c r="Q59" i="20"/>
  <c r="Z32" i="26"/>
  <c r="W32" i="26"/>
  <c r="V32" i="26"/>
  <c r="AC32" i="26"/>
  <c r="AB32" i="26"/>
  <c r="AD32" i="26"/>
  <c r="AE32" i="26"/>
  <c r="Y32" i="26"/>
  <c r="U32" i="26"/>
  <c r="AF32" i="26"/>
  <c r="AA32" i="26"/>
  <c r="X32" i="26"/>
  <c r="N59" i="20"/>
  <c r="R60" i="20"/>
  <c r="O21" i="30"/>
  <c r="M25" i="30"/>
  <c r="S59" i="20"/>
  <c r="N47" i="27"/>
  <c r="Z34" i="29"/>
  <c r="AD34" i="29"/>
  <c r="M9" i="28"/>
  <c r="P9" i="28" s="1"/>
  <c r="AB61" i="20"/>
  <c r="AA61" i="20"/>
  <c r="U8" i="28"/>
  <c r="O48" i="26"/>
  <c r="M32" i="28"/>
  <c r="M33" i="28" s="1"/>
  <c r="T24" i="2"/>
  <c r="U24" i="2" s="1"/>
  <c r="S24" i="2"/>
  <c r="T22" i="2"/>
  <c r="U22" i="2" s="1"/>
  <c r="S22" i="2"/>
  <c r="T23" i="2"/>
  <c r="S23" i="2"/>
  <c r="T21" i="2"/>
  <c r="S21" i="2"/>
  <c r="O47" i="31"/>
  <c r="N47" i="28"/>
  <c r="M32" i="30"/>
  <c r="O47" i="29"/>
  <c r="K16" i="2"/>
  <c r="P31" i="28"/>
  <c r="P8" i="30"/>
  <c r="P31" i="31"/>
  <c r="P31" i="29"/>
  <c r="L9" i="30"/>
  <c r="L32" i="30"/>
  <c r="L33" i="30" s="1"/>
  <c r="Q15" i="2"/>
  <c r="O10" i="27"/>
  <c r="O11" i="27" s="1"/>
  <c r="M36" i="30"/>
  <c r="N14" i="30"/>
  <c r="S14" i="2"/>
  <c r="M32" i="31"/>
  <c r="O32" i="31"/>
  <c r="O47" i="27"/>
  <c r="O47" i="28"/>
  <c r="S15" i="2"/>
  <c r="Q14" i="2"/>
  <c r="P8" i="28"/>
  <c r="P31" i="30"/>
  <c r="N32" i="28"/>
  <c r="N33" i="28" s="1"/>
  <c r="M34" i="30"/>
  <c r="L32" i="28"/>
  <c r="L33" i="28" s="1"/>
  <c r="N32" i="31"/>
  <c r="O32" i="28"/>
  <c r="O33" i="28" s="1"/>
  <c r="U8" i="30"/>
  <c r="N10" i="27"/>
  <c r="N34" i="27" s="1"/>
  <c r="M10" i="27"/>
  <c r="M11" i="27" s="1"/>
  <c r="V8" i="30"/>
  <c r="Q5" i="25"/>
  <c r="Q13" i="25"/>
  <c r="Q6" i="25"/>
  <c r="Q7" i="25"/>
  <c r="Q8" i="25"/>
  <c r="Q9" i="25"/>
  <c r="Q12" i="25"/>
  <c r="Q10" i="25"/>
  <c r="Q11" i="25"/>
  <c r="AI5" i="25"/>
  <c r="AI13" i="25"/>
  <c r="AI6" i="25"/>
  <c r="AI7" i="25"/>
  <c r="AI8" i="25"/>
  <c r="AI9" i="25"/>
  <c r="AI10" i="25"/>
  <c r="AI11" i="25"/>
  <c r="AI12" i="25"/>
  <c r="AC8" i="30"/>
  <c r="AB8" i="30"/>
  <c r="M14" i="30"/>
  <c r="N9" i="29"/>
  <c r="N32" i="26"/>
  <c r="N33" i="26" s="1"/>
  <c r="M21" i="30"/>
  <c r="G31" i="2"/>
  <c r="N47" i="29"/>
  <c r="N32" i="30"/>
  <c r="N47" i="30"/>
  <c r="M32" i="29"/>
  <c r="M33" i="29" s="1"/>
  <c r="U6" i="27"/>
  <c r="U7" i="27" s="1"/>
  <c r="U8" i="27" s="1"/>
  <c r="L34" i="30"/>
  <c r="L35" i="30" s="1"/>
  <c r="N36" i="28"/>
  <c r="N37" i="28" s="1"/>
  <c r="L32" i="27"/>
  <c r="O14" i="30"/>
  <c r="O15" i="30" s="1"/>
  <c r="L14" i="30"/>
  <c r="L15" i="30" s="1"/>
  <c r="V6" i="27"/>
  <c r="V7" i="27" s="1"/>
  <c r="V8" i="27" s="1"/>
  <c r="Y8" i="30"/>
  <c r="Z6" i="27"/>
  <c r="Z7" i="27" s="1"/>
  <c r="Z8" i="27" s="1"/>
  <c r="L10" i="27"/>
  <c r="L11" i="27" s="1"/>
  <c r="W6" i="27"/>
  <c r="W7" i="27" s="1"/>
  <c r="W8" i="27" s="1"/>
  <c r="AA6" i="27"/>
  <c r="AA7" i="27" s="1"/>
  <c r="AA8" i="27" s="1"/>
  <c r="Y6" i="27"/>
  <c r="Y7" i="27" s="1"/>
  <c r="Y8" i="27" s="1"/>
  <c r="AD8" i="30"/>
  <c r="X6" i="27"/>
  <c r="X7" i="27" s="1"/>
  <c r="X8" i="27" s="1"/>
  <c r="X8" i="30"/>
  <c r="Z8" i="30"/>
  <c r="W8" i="30"/>
  <c r="L14" i="28"/>
  <c r="L15" i="28" s="1"/>
  <c r="AF6" i="27"/>
  <c r="AF7" i="27" s="1"/>
  <c r="AF8" i="27" s="1"/>
  <c r="AA8" i="30"/>
  <c r="M12" i="27"/>
  <c r="M13" i="27" s="1"/>
  <c r="AE8" i="30"/>
  <c r="AF8" i="30"/>
  <c r="O36" i="30"/>
  <c r="AB6" i="27"/>
  <c r="AB7" i="27" s="1"/>
  <c r="AB8" i="27" s="1"/>
  <c r="N10" i="31"/>
  <c r="N34" i="31" s="1"/>
  <c r="X8" i="28"/>
  <c r="N14" i="28"/>
  <c r="N15" i="28" s="1"/>
  <c r="O12" i="27"/>
  <c r="O13" i="27" s="1"/>
  <c r="AE6" i="27"/>
  <c r="AE7" i="27" s="1"/>
  <c r="AE8" i="27" s="1"/>
  <c r="L14" i="27"/>
  <c r="L15" i="27" s="1"/>
  <c r="AC6" i="27"/>
  <c r="AC7" i="27" s="1"/>
  <c r="AC8" i="27" s="1"/>
  <c r="AD6" i="27"/>
  <c r="AD7" i="27" s="1"/>
  <c r="AD8" i="27" s="1"/>
  <c r="W8" i="28"/>
  <c r="P24" i="30"/>
  <c r="O23" i="30"/>
  <c r="P23" i="30" s="1"/>
  <c r="N47" i="31"/>
  <c r="P31" i="27"/>
  <c r="L25" i="28"/>
  <c r="P25" i="28" s="1"/>
  <c r="P24" i="28"/>
  <c r="O21" i="26"/>
  <c r="M16" i="2"/>
  <c r="L17" i="2"/>
  <c r="P31" i="26"/>
  <c r="O16" i="2"/>
  <c r="P20" i="28"/>
  <c r="L21" i="28"/>
  <c r="P21" i="28" s="1"/>
  <c r="H17" i="2"/>
  <c r="I16" i="2"/>
  <c r="L23" i="28"/>
  <c r="P23" i="28" s="1"/>
  <c r="P22" i="28"/>
  <c r="N21" i="26"/>
  <c r="L9" i="29"/>
  <c r="P8" i="29"/>
  <c r="Q13" i="2"/>
  <c r="N12" i="31"/>
  <c r="N36" i="31" s="1"/>
  <c r="L36" i="28"/>
  <c r="L37" i="28" s="1"/>
  <c r="Z8" i="28"/>
  <c r="V8" i="28"/>
  <c r="L12" i="27"/>
  <c r="L13" i="27" s="1"/>
  <c r="M12" i="26"/>
  <c r="M36" i="26" s="1"/>
  <c r="M37" i="26" s="1"/>
  <c r="AD13" i="25"/>
  <c r="AA13" i="25"/>
  <c r="AD12" i="25"/>
  <c r="Y13" i="25"/>
  <c r="AH12" i="25"/>
  <c r="AB13" i="25"/>
  <c r="AE12" i="25"/>
  <c r="AC12" i="25"/>
  <c r="Z12" i="25"/>
  <c r="AC13" i="25"/>
  <c r="AF12" i="25"/>
  <c r="W12" i="25"/>
  <c r="AG12" i="25"/>
  <c r="X12" i="25"/>
  <c r="AF13" i="25"/>
  <c r="Y12" i="25"/>
  <c r="AB12" i="25"/>
  <c r="AE13" i="25"/>
  <c r="X13" i="25"/>
  <c r="AH13" i="25"/>
  <c r="W13" i="25"/>
  <c r="Z13" i="25"/>
  <c r="AG13" i="25"/>
  <c r="AA12" i="25"/>
  <c r="K5" i="25"/>
  <c r="M13" i="25"/>
  <c r="G12" i="25"/>
  <c r="N13" i="25"/>
  <c r="E13" i="25"/>
  <c r="K13" i="25"/>
  <c r="O13" i="25"/>
  <c r="F13" i="25"/>
  <c r="I12" i="25"/>
  <c r="P13" i="25"/>
  <c r="G13" i="25"/>
  <c r="J12" i="25"/>
  <c r="H12" i="25"/>
  <c r="I13" i="25"/>
  <c r="H13" i="25"/>
  <c r="K12" i="25"/>
  <c r="P12" i="25"/>
  <c r="J13" i="25"/>
  <c r="M12" i="25"/>
  <c r="L12" i="25"/>
  <c r="N12" i="25"/>
  <c r="E12" i="25"/>
  <c r="F12" i="25"/>
  <c r="L13" i="25"/>
  <c r="O12" i="25"/>
  <c r="O14" i="28"/>
  <c r="O15" i="28" s="1"/>
  <c r="U13" i="2"/>
  <c r="AE6" i="31"/>
  <c r="AE7" i="31" s="1"/>
  <c r="AE8" i="31" s="1"/>
  <c r="L10" i="31"/>
  <c r="L34" i="31" s="1"/>
  <c r="U14" i="2"/>
  <c r="O12" i="31"/>
  <c r="N14" i="27"/>
  <c r="N15" i="27" s="1"/>
  <c r="M14" i="28"/>
  <c r="M15" i="28" s="1"/>
  <c r="M10" i="31"/>
  <c r="M34" i="31" s="1"/>
  <c r="N12" i="27"/>
  <c r="N36" i="27" s="1"/>
  <c r="C46" i="20"/>
  <c r="C47" i="20" s="1"/>
  <c r="P20" i="27"/>
  <c r="O14" i="27"/>
  <c r="O15" i="27" s="1"/>
  <c r="N25" i="27"/>
  <c r="P25" i="27" s="1"/>
  <c r="P24" i="27"/>
  <c r="Y33" i="31"/>
  <c r="V33" i="31"/>
  <c r="AC33" i="31"/>
  <c r="L18" i="31"/>
  <c r="U22" i="31"/>
  <c r="C60" i="20" s="1"/>
  <c r="C49" i="20" s="1"/>
  <c r="Z33" i="31"/>
  <c r="X33" i="31"/>
  <c r="AE33" i="31"/>
  <c r="AA33" i="31"/>
  <c r="W33" i="31"/>
  <c r="AF33" i="31"/>
  <c r="AB33" i="31"/>
  <c r="U33" i="31"/>
  <c r="AD33" i="31"/>
  <c r="O25" i="30"/>
  <c r="P25" i="30" s="1"/>
  <c r="N30" i="27"/>
  <c r="P18" i="27"/>
  <c r="P30" i="27" s="1"/>
  <c r="Y8" i="28"/>
  <c r="P24" i="31"/>
  <c r="L32" i="31"/>
  <c r="P2" i="17"/>
  <c r="H3" i="17"/>
  <c r="P3" i="17" s="1"/>
  <c r="N21" i="27"/>
  <c r="X22" i="31"/>
  <c r="M18" i="31"/>
  <c r="N6" i="30"/>
  <c r="M32" i="27"/>
  <c r="M33" i="27" s="1"/>
  <c r="M9" i="27"/>
  <c r="P6" i="29"/>
  <c r="O9" i="29"/>
  <c r="N23" i="27"/>
  <c r="N11" i="30"/>
  <c r="U23" i="28"/>
  <c r="W34" i="28"/>
  <c r="U34" i="28"/>
  <c r="V34" i="28"/>
  <c r="AE34" i="28"/>
  <c r="X34" i="28"/>
  <c r="AB34" i="28"/>
  <c r="Z34" i="28"/>
  <c r="AF34" i="28"/>
  <c r="Y34" i="28"/>
  <c r="AD34" i="28"/>
  <c r="AA34" i="28"/>
  <c r="AC34" i="28"/>
  <c r="O32" i="30"/>
  <c r="N21" i="31"/>
  <c r="P20" i="31"/>
  <c r="L30" i="27"/>
  <c r="O30" i="30"/>
  <c r="P20" i="30"/>
  <c r="L21" i="30"/>
  <c r="M21" i="31"/>
  <c r="P8" i="31"/>
  <c r="P22" i="31"/>
  <c r="D49" i="20"/>
  <c r="E49" i="20"/>
  <c r="AD23" i="28"/>
  <c r="L61" i="20" s="1"/>
  <c r="M6" i="30"/>
  <c r="M11" i="30" s="1"/>
  <c r="AD11" i="30"/>
  <c r="O30" i="26"/>
  <c r="N9" i="26"/>
  <c r="O32" i="27"/>
  <c r="O33" i="27" s="1"/>
  <c r="P16" i="2"/>
  <c r="Q16" i="2" s="1"/>
  <c r="AB22" i="31"/>
  <c r="N18" i="31"/>
  <c r="N25" i="31" s="1"/>
  <c r="P22" i="30"/>
  <c r="Z11" i="30"/>
  <c r="L32" i="29"/>
  <c r="L33" i="29" s="1"/>
  <c r="D33" i="2"/>
  <c r="F31" i="2"/>
  <c r="O10" i="29"/>
  <c r="O34" i="29" s="1"/>
  <c r="O35" i="29" s="1"/>
  <c r="M12" i="31"/>
  <c r="M36" i="31" s="1"/>
  <c r="AD6" i="31"/>
  <c r="AD7" i="31" s="1"/>
  <c r="AD8" i="31" s="1"/>
  <c r="M14" i="31"/>
  <c r="AA6" i="31"/>
  <c r="AA7" i="31" s="1"/>
  <c r="AA8" i="31" s="1"/>
  <c r="N14" i="31"/>
  <c r="AF8" i="28"/>
  <c r="AB8" i="28"/>
  <c r="M14" i="26"/>
  <c r="M15" i="26" s="1"/>
  <c r="V46" i="20"/>
  <c r="AA8" i="28"/>
  <c r="U46" i="20"/>
  <c r="AC6" i="31"/>
  <c r="AC7" i="31" s="1"/>
  <c r="AC8" i="31" s="1"/>
  <c r="AD8" i="28"/>
  <c r="Z6" i="31"/>
  <c r="Z7" i="31" s="1"/>
  <c r="Z8" i="31" s="1"/>
  <c r="AC8" i="28"/>
  <c r="X6" i="31"/>
  <c r="X7" i="31" s="1"/>
  <c r="X8" i="31" s="1"/>
  <c r="AE8" i="28"/>
  <c r="O10" i="31"/>
  <c r="O34" i="31" s="1"/>
  <c r="W6" i="31"/>
  <c r="W7" i="31" s="1"/>
  <c r="W8" i="31" s="1"/>
  <c r="W6" i="26"/>
  <c r="W7" i="26" s="1"/>
  <c r="W8" i="26" s="1"/>
  <c r="P10" i="28"/>
  <c r="AB6" i="31"/>
  <c r="AB7" i="31" s="1"/>
  <c r="AB8" i="31" s="1"/>
  <c r="L14" i="31"/>
  <c r="Y6" i="31"/>
  <c r="Y7" i="31" s="1"/>
  <c r="Y8" i="31" s="1"/>
  <c r="L12" i="31"/>
  <c r="L36" i="31" s="1"/>
  <c r="V6" i="31"/>
  <c r="V7" i="31" s="1"/>
  <c r="V8" i="31" s="1"/>
  <c r="D47" i="20"/>
  <c r="L14" i="26"/>
  <c r="L15" i="26" s="1"/>
  <c r="M34" i="28"/>
  <c r="M35" i="28" s="1"/>
  <c r="M14" i="27"/>
  <c r="M15" i="27" s="1"/>
  <c r="V7" i="29"/>
  <c r="V8" i="29" s="1"/>
  <c r="V9" i="29" s="1"/>
  <c r="O14" i="29"/>
  <c r="O15" i="29" s="1"/>
  <c r="O14" i="31"/>
  <c r="Z46" i="20"/>
  <c r="N12" i="29"/>
  <c r="N13" i="29" s="1"/>
  <c r="S46" i="20"/>
  <c r="E47" i="20"/>
  <c r="AF6" i="31"/>
  <c r="AF7" i="31" s="1"/>
  <c r="AF8" i="31" s="1"/>
  <c r="L10" i="26"/>
  <c r="L11" i="26" s="1"/>
  <c r="X46" i="20"/>
  <c r="AB46" i="20"/>
  <c r="W46" i="20"/>
  <c r="R46" i="20"/>
  <c r="L36" i="30"/>
  <c r="L37" i="30" s="1"/>
  <c r="U6" i="26"/>
  <c r="U7" i="26" s="1"/>
  <c r="U8" i="26" s="1"/>
  <c r="Y46" i="20"/>
  <c r="AA46" i="20"/>
  <c r="T46" i="20"/>
  <c r="M10" i="26"/>
  <c r="H11" i="25"/>
  <c r="P11" i="25"/>
  <c r="O11" i="25"/>
  <c r="I11" i="25"/>
  <c r="J11" i="25"/>
  <c r="G11" i="25"/>
  <c r="L11" i="25"/>
  <c r="E11" i="25"/>
  <c r="F11" i="25"/>
  <c r="M11" i="25"/>
  <c r="K11" i="25"/>
  <c r="N11" i="25"/>
  <c r="O34" i="30"/>
  <c r="U7" i="29"/>
  <c r="U8" i="29" s="1"/>
  <c r="U9" i="29" s="1"/>
  <c r="O10" i="26"/>
  <c r="O11" i="26" s="1"/>
  <c r="G47" i="20"/>
  <c r="M36" i="28"/>
  <c r="M37" i="28" s="1"/>
  <c r="AE7" i="29"/>
  <c r="AE8" i="29" s="1"/>
  <c r="AE9" i="29" s="1"/>
  <c r="N14" i="26"/>
  <c r="N15" i="26" s="1"/>
  <c r="O5" i="25"/>
  <c r="N34" i="30"/>
  <c r="AA7" i="29"/>
  <c r="AA8" i="29" s="1"/>
  <c r="AA9" i="29" s="1"/>
  <c r="M8" i="25"/>
  <c r="L12" i="29"/>
  <c r="L13" i="29" s="1"/>
  <c r="AB6" i="26"/>
  <c r="AB7" i="26" s="1"/>
  <c r="AB8" i="26" s="1"/>
  <c r="I5" i="25"/>
  <c r="G7" i="25"/>
  <c r="M6" i="25"/>
  <c r="I7" i="25"/>
  <c r="E8" i="25"/>
  <c r="H9" i="25"/>
  <c r="F5" i="25"/>
  <c r="G10" i="25"/>
  <c r="H5" i="25"/>
  <c r="W7" i="29"/>
  <c r="W8" i="29" s="1"/>
  <c r="W9" i="29" s="1"/>
  <c r="P9" i="25"/>
  <c r="L12" i="26"/>
  <c r="L36" i="26" s="1"/>
  <c r="AA6" i="26"/>
  <c r="AA7" i="26" s="1"/>
  <c r="AA8" i="26" s="1"/>
  <c r="Z55" i="26" s="1"/>
  <c r="X6" i="26"/>
  <c r="X7" i="26" s="1"/>
  <c r="X8" i="26" s="1"/>
  <c r="Y6" i="26"/>
  <c r="Y7" i="26" s="1"/>
  <c r="Y8" i="26" s="1"/>
  <c r="G8" i="25"/>
  <c r="J5" i="25"/>
  <c r="E6" i="25"/>
  <c r="H6" i="25"/>
  <c r="K9" i="25"/>
  <c r="J9" i="25"/>
  <c r="K10" i="25"/>
  <c r="P10" i="25"/>
  <c r="M10" i="25"/>
  <c r="N34" i="28"/>
  <c r="N35" i="28" s="1"/>
  <c r="L10" i="29"/>
  <c r="F6" i="25"/>
  <c r="H10" i="25"/>
  <c r="O6" i="25"/>
  <c r="G6" i="25"/>
  <c r="L10" i="25"/>
  <c r="I6" i="25"/>
  <c r="N10" i="25"/>
  <c r="L9" i="25"/>
  <c r="M9" i="25"/>
  <c r="I10" i="25"/>
  <c r="K7" i="25"/>
  <c r="E10" i="25"/>
  <c r="N5" i="25"/>
  <c r="I8" i="25"/>
  <c r="K47" i="20"/>
  <c r="X7" i="29"/>
  <c r="X8" i="29" s="1"/>
  <c r="X9" i="29" s="1"/>
  <c r="N12" i="26"/>
  <c r="N36" i="26" s="1"/>
  <c r="N37" i="26" s="1"/>
  <c r="K6" i="25"/>
  <c r="O10" i="25"/>
  <c r="J8" i="25"/>
  <c r="F9" i="25"/>
  <c r="N9" i="25"/>
  <c r="H8" i="25"/>
  <c r="F10" i="25"/>
  <c r="Z6" i="26"/>
  <c r="Z7" i="26" s="1"/>
  <c r="Z8" i="26" s="1"/>
  <c r="P5" i="25"/>
  <c r="M7" i="25"/>
  <c r="O7" i="25"/>
  <c r="K8" i="25"/>
  <c r="G9" i="25"/>
  <c r="J10" i="25"/>
  <c r="M5" i="25"/>
  <c r="G5" i="25"/>
  <c r="N10" i="26"/>
  <c r="N11" i="26" s="1"/>
  <c r="AC7" i="29"/>
  <c r="AC8" i="29" s="1"/>
  <c r="AC9" i="29" s="1"/>
  <c r="E7" i="25"/>
  <c r="L5" i="25"/>
  <c r="O13" i="30"/>
  <c r="L14" i="29"/>
  <c r="L15" i="29" s="1"/>
  <c r="F7" i="25"/>
  <c r="F47" i="20"/>
  <c r="H47" i="20"/>
  <c r="J47" i="20"/>
  <c r="AC6" i="26"/>
  <c r="AC7" i="26" s="1"/>
  <c r="AC8" i="26" s="1"/>
  <c r="J6" i="25"/>
  <c r="E9" i="25"/>
  <c r="E5" i="25"/>
  <c r="F8" i="25"/>
  <c r="Z7" i="29"/>
  <c r="Z8" i="29" s="1"/>
  <c r="Z9" i="29" s="1"/>
  <c r="L7" i="25"/>
  <c r="L47" i="20"/>
  <c r="N10" i="29"/>
  <c r="N11" i="29" s="1"/>
  <c r="AB7" i="29"/>
  <c r="AB8" i="29" s="1"/>
  <c r="AB9" i="29" s="1"/>
  <c r="P8" i="25"/>
  <c r="N7" i="25"/>
  <c r="H7" i="25"/>
  <c r="P7" i="25"/>
  <c r="L8" i="25"/>
  <c r="O9" i="25"/>
  <c r="O8" i="25"/>
  <c r="P6" i="25"/>
  <c r="L6" i="25"/>
  <c r="N6" i="25"/>
  <c r="J7" i="25"/>
  <c r="N8" i="25"/>
  <c r="I9" i="25"/>
  <c r="AE6" i="26"/>
  <c r="AE7" i="26" s="1"/>
  <c r="AE8" i="26" s="1"/>
  <c r="O14" i="26"/>
  <c r="O15" i="26" s="1"/>
  <c r="N14" i="29"/>
  <c r="N15" i="29" s="1"/>
  <c r="M14" i="29"/>
  <c r="M15" i="29" s="1"/>
  <c r="AF7" i="29"/>
  <c r="AF8" i="29" s="1"/>
  <c r="AF9" i="29" s="1"/>
  <c r="M12" i="29"/>
  <c r="M36" i="29" s="1"/>
  <c r="M37" i="29" s="1"/>
  <c r="R16" i="2"/>
  <c r="O12" i="29"/>
  <c r="AD7" i="29"/>
  <c r="AD8" i="29" s="1"/>
  <c r="AD9" i="29" s="1"/>
  <c r="M10" i="29"/>
  <c r="Y7" i="29"/>
  <c r="Y8" i="29" s="1"/>
  <c r="Y9" i="29" s="1"/>
  <c r="N47" i="20"/>
  <c r="O12" i="26"/>
  <c r="O13" i="26" s="1"/>
  <c r="AD6" i="26"/>
  <c r="AD7" i="26" s="1"/>
  <c r="AD8" i="26" s="1"/>
  <c r="I47" i="20"/>
  <c r="M47" i="20"/>
  <c r="P12" i="30"/>
  <c r="N13" i="28"/>
  <c r="N36" i="30"/>
  <c r="L11" i="30"/>
  <c r="P10" i="30"/>
  <c r="O34" i="28"/>
  <c r="O35" i="28" s="1"/>
  <c r="Z6" i="25"/>
  <c r="AD11" i="25"/>
  <c r="AD10" i="25"/>
  <c r="O13" i="28"/>
  <c r="O36" i="28"/>
  <c r="O37" i="28" s="1"/>
  <c r="P12" i="28"/>
  <c r="L11" i="28"/>
  <c r="P11" i="28" s="1"/>
  <c r="L34" i="28"/>
  <c r="L35" i="28" s="1"/>
  <c r="W10" i="25"/>
  <c r="AB6" i="25"/>
  <c r="U23" i="31"/>
  <c r="U34" i="31"/>
  <c r="V34" i="31" s="1"/>
  <c r="W34" i="31" s="1"/>
  <c r="X34" i="31" s="1"/>
  <c r="Y34" i="31" s="1"/>
  <c r="Z34" i="31" s="1"/>
  <c r="AA34" i="31" s="1"/>
  <c r="AB34" i="31" s="1"/>
  <c r="AC34" i="31" s="1"/>
  <c r="AD34" i="31" s="1"/>
  <c r="AE34" i="31" s="1"/>
  <c r="AF34" i="31" s="1"/>
  <c r="AE5" i="25"/>
  <c r="AF8" i="25"/>
  <c r="AG10" i="25"/>
  <c r="P6" i="26"/>
  <c r="L30" i="26"/>
  <c r="G3" i="17"/>
  <c r="O3" i="17" s="1"/>
  <c r="F7" i="2"/>
  <c r="F17" i="2" s="1"/>
  <c r="O4" i="17"/>
  <c r="T49" i="20"/>
  <c r="V49" i="20"/>
  <c r="E28" i="2"/>
  <c r="E31" i="2" s="1"/>
  <c r="P18" i="26"/>
  <c r="Z33" i="29"/>
  <c r="AB33" i="29"/>
  <c r="AF33" i="29"/>
  <c r="X33" i="29"/>
  <c r="Y33" i="29"/>
  <c r="AE33" i="29"/>
  <c r="U33" i="29"/>
  <c r="W33" i="29"/>
  <c r="AD33" i="29"/>
  <c r="AA33" i="29"/>
  <c r="V33" i="29"/>
  <c r="AC33" i="29"/>
  <c r="P21" i="29"/>
  <c r="P24" i="29"/>
  <c r="L25" i="29"/>
  <c r="P25" i="29" s="1"/>
  <c r="W11" i="25"/>
  <c r="Y8" i="25"/>
  <c r="AF10" i="25"/>
  <c r="M23" i="26"/>
  <c r="N23" i="29"/>
  <c r="P23" i="29" s="1"/>
  <c r="AC10" i="25"/>
  <c r="AA5" i="25"/>
  <c r="H35" i="2"/>
  <c r="L35" i="2" s="1"/>
  <c r="D36" i="2"/>
  <c r="AD9" i="25"/>
  <c r="AF5" i="25"/>
  <c r="X9" i="25"/>
  <c r="H30" i="2"/>
  <c r="L30" i="2" s="1"/>
  <c r="P22" i="26"/>
  <c r="L23" i="26"/>
  <c r="Y5" i="25"/>
  <c r="AH8" i="25"/>
  <c r="P22" i="29"/>
  <c r="AA11" i="25"/>
  <c r="P22" i="27"/>
  <c r="L23" i="27"/>
  <c r="P24" i="26"/>
  <c r="L25" i="26"/>
  <c r="AC7" i="25"/>
  <c r="Z5" i="25"/>
  <c r="AF23" i="31"/>
  <c r="N61" i="20" s="1"/>
  <c r="AD5" i="25"/>
  <c r="AH6" i="25"/>
  <c r="AC9" i="25"/>
  <c r="AB7" i="25"/>
  <c r="AA7" i="25"/>
  <c r="AD6" i="25"/>
  <c r="AF7" i="25"/>
  <c r="AG9" i="25"/>
  <c r="W9" i="25"/>
  <c r="AG8" i="25"/>
  <c r="AF6" i="25"/>
  <c r="AE6" i="25"/>
  <c r="AH11" i="25"/>
  <c r="AH5" i="25"/>
  <c r="Y9" i="25"/>
  <c r="AA8" i="25"/>
  <c r="AG6" i="25"/>
  <c r="X6" i="25"/>
  <c r="W6" i="25"/>
  <c r="Z11" i="25"/>
  <c r="AC8" i="25"/>
  <c r="AE7" i="25"/>
  <c r="Y6" i="25"/>
  <c r="AB5" i="25"/>
  <c r="AH9" i="25"/>
  <c r="AG7" i="25"/>
  <c r="W7" i="25"/>
  <c r="AH10" i="25"/>
  <c r="AC5" i="25"/>
  <c r="AB11" i="25"/>
  <c r="AE10" i="25"/>
  <c r="Z9" i="25"/>
  <c r="Y7" i="25"/>
  <c r="AA6" i="25"/>
  <c r="Z10" i="25"/>
  <c r="AF11" i="25"/>
  <c r="X10" i="25"/>
  <c r="X5" i="25"/>
  <c r="AA9" i="25"/>
  <c r="AD8" i="25"/>
  <c r="AC6" i="25"/>
  <c r="AE11" i="25"/>
  <c r="W5" i="25"/>
  <c r="Z8" i="25"/>
  <c r="AB10" i="25"/>
  <c r="AC11" i="25"/>
  <c r="AB9" i="25"/>
  <c r="AE8" i="25"/>
  <c r="AH7" i="25"/>
  <c r="X11" i="25"/>
  <c r="AG11" i="25"/>
  <c r="AG5" i="25"/>
  <c r="AA10" i="25"/>
  <c r="AD7" i="25"/>
  <c r="AB8" i="25"/>
  <c r="Y10" i="25"/>
  <c r="X8" i="25"/>
  <c r="W8" i="25"/>
  <c r="Z7" i="25"/>
  <c r="AF9" i="25"/>
  <c r="Y11" i="25"/>
  <c r="AE9" i="25"/>
  <c r="X7" i="25"/>
  <c r="O32" i="29"/>
  <c r="O33" i="29" s="1"/>
  <c r="P20" i="29"/>
  <c r="N9" i="27"/>
  <c r="P8" i="27"/>
  <c r="N32" i="27"/>
  <c r="N33" i="27" s="1"/>
  <c r="P25" i="2"/>
  <c r="Q25" i="2" s="1"/>
  <c r="AA52" i="26"/>
  <c r="AB52" i="26"/>
  <c r="Z52" i="26"/>
  <c r="AF6" i="26"/>
  <c r="O32" i="26"/>
  <c r="O9" i="26"/>
  <c r="W52" i="26"/>
  <c r="V52" i="26"/>
  <c r="V6" i="26"/>
  <c r="U52" i="26"/>
  <c r="L32" i="26"/>
  <c r="L9" i="26"/>
  <c r="P8" i="26"/>
  <c r="P20" i="26"/>
  <c r="M32" i="26"/>
  <c r="M33" i="26" s="1"/>
  <c r="M9" i="26"/>
  <c r="L60" i="20" l="1"/>
  <c r="G33" i="2" s="1"/>
  <c r="G36" i="2" s="1"/>
  <c r="O6" i="31"/>
  <c r="R49" i="20"/>
  <c r="AA49" i="20"/>
  <c r="O15" i="31"/>
  <c r="M13" i="30"/>
  <c r="O25" i="31"/>
  <c r="L33" i="27"/>
  <c r="O23" i="31"/>
  <c r="P21" i="27"/>
  <c r="P25" i="26"/>
  <c r="W49" i="20"/>
  <c r="X49" i="20"/>
  <c r="D28" i="2"/>
  <c r="D31" i="2" s="1"/>
  <c r="H31" i="2" s="1"/>
  <c r="S49" i="20"/>
  <c r="Z49" i="20"/>
  <c r="Y49" i="20"/>
  <c r="N35" i="27"/>
  <c r="U49" i="20"/>
  <c r="AB49" i="20"/>
  <c r="O35" i="30"/>
  <c r="C61" i="20"/>
  <c r="Y10" i="31"/>
  <c r="AD10" i="31"/>
  <c r="V10" i="31"/>
  <c r="X10" i="31"/>
  <c r="U10" i="31"/>
  <c r="AC10" i="31"/>
  <c r="Z10" i="31"/>
  <c r="W10" i="31"/>
  <c r="AE10" i="31"/>
  <c r="AA10" i="31"/>
  <c r="AB10" i="31"/>
  <c r="C59" i="20"/>
  <c r="M6" i="31"/>
  <c r="M13" i="31" s="1"/>
  <c r="F60" i="20"/>
  <c r="E17" i="2"/>
  <c r="I7" i="2"/>
  <c r="U7" i="2"/>
  <c r="S7" i="2"/>
  <c r="Q7" i="2"/>
  <c r="M7" i="2"/>
  <c r="O33" i="26"/>
  <c r="P21" i="30"/>
  <c r="N6" i="31"/>
  <c r="N15" i="31" s="1"/>
  <c r="J60" i="20"/>
  <c r="F33" i="2" s="1"/>
  <c r="F36" i="2" s="1"/>
  <c r="P36" i="30"/>
  <c r="M13" i="26"/>
  <c r="P32" i="30"/>
  <c r="AB50" i="20"/>
  <c r="U50" i="20"/>
  <c r="T50" i="20"/>
  <c r="AA50" i="20"/>
  <c r="Y50" i="20"/>
  <c r="S50" i="20"/>
  <c r="X50" i="20"/>
  <c r="W50" i="20"/>
  <c r="V50" i="20"/>
  <c r="O34" i="27"/>
  <c r="O35" i="27" s="1"/>
  <c r="S16" i="2"/>
  <c r="O36" i="27"/>
  <c r="O37" i="27" s="1"/>
  <c r="O37" i="30"/>
  <c r="P36" i="28"/>
  <c r="P37" i="28" s="1"/>
  <c r="P10" i="27"/>
  <c r="P34" i="27" s="1"/>
  <c r="P35" i="27" s="1"/>
  <c r="N11" i="27"/>
  <c r="P32" i="28"/>
  <c r="P33" i="28" s="1"/>
  <c r="P32" i="29"/>
  <c r="P33" i="29" s="1"/>
  <c r="M34" i="27"/>
  <c r="M35" i="27" s="1"/>
  <c r="U23" i="2"/>
  <c r="L34" i="27"/>
  <c r="L35" i="27" s="1"/>
  <c r="P4" i="25"/>
  <c r="Q4" i="25"/>
  <c r="AF4" i="25"/>
  <c r="Z58" i="20" s="1" a="1"/>
  <c r="Z58" i="20" s="1"/>
  <c r="AI4" i="25"/>
  <c r="M36" i="27"/>
  <c r="M37" i="27" s="1"/>
  <c r="P9" i="29"/>
  <c r="P14" i="30"/>
  <c r="P21" i="26"/>
  <c r="O11" i="29"/>
  <c r="P15" i="28"/>
  <c r="P14" i="28"/>
  <c r="P10" i="29"/>
  <c r="P34" i="29" s="1"/>
  <c r="P35" i="29" s="1"/>
  <c r="L34" i="26"/>
  <c r="L35" i="26" s="1"/>
  <c r="N13" i="27"/>
  <c r="P23" i="27"/>
  <c r="P23" i="26"/>
  <c r="P34" i="28"/>
  <c r="P35" i="28" s="1"/>
  <c r="P12" i="31"/>
  <c r="P36" i="31" s="1"/>
  <c r="O36" i="31"/>
  <c r="O13" i="31"/>
  <c r="P12" i="27"/>
  <c r="P13" i="27" s="1"/>
  <c r="L36" i="27"/>
  <c r="L37" i="27" s="1"/>
  <c r="P17" i="2"/>
  <c r="N34" i="29"/>
  <c r="N35" i="29" s="1"/>
  <c r="N36" i="29"/>
  <c r="N37" i="29" s="1"/>
  <c r="O11" i="31"/>
  <c r="P10" i="31"/>
  <c r="P34" i="31" s="1"/>
  <c r="P14" i="26"/>
  <c r="P15" i="26" s="1"/>
  <c r="T16" i="2"/>
  <c r="U16" i="2" s="1"/>
  <c r="P14" i="31"/>
  <c r="L37" i="26"/>
  <c r="N35" i="30"/>
  <c r="L21" i="31"/>
  <c r="P21" i="31" s="1"/>
  <c r="L23" i="31"/>
  <c r="P18" i="31"/>
  <c r="N23" i="31"/>
  <c r="N9" i="31"/>
  <c r="N30" i="31"/>
  <c r="N35" i="31" s="1"/>
  <c r="M30" i="30"/>
  <c r="P6" i="30"/>
  <c r="M9" i="30"/>
  <c r="N30" i="30"/>
  <c r="N33" i="30" s="1"/>
  <c r="N9" i="30"/>
  <c r="N13" i="31"/>
  <c r="U12" i="28"/>
  <c r="V12" i="28"/>
  <c r="W12" i="28"/>
  <c r="AC12" i="28"/>
  <c r="AD12" i="28"/>
  <c r="Y12" i="28"/>
  <c r="AB12" i="28"/>
  <c r="AF12" i="28"/>
  <c r="X12" i="28"/>
  <c r="Z12" i="28"/>
  <c r="AE12" i="28"/>
  <c r="AA12" i="28"/>
  <c r="N15" i="30"/>
  <c r="N37" i="27"/>
  <c r="L33" i="26"/>
  <c r="P32" i="31"/>
  <c r="L25" i="31"/>
  <c r="N13" i="30"/>
  <c r="V11" i="31"/>
  <c r="W11" i="31"/>
  <c r="AB11" i="31"/>
  <c r="L6" i="31"/>
  <c r="X11" i="31"/>
  <c r="AA11" i="31"/>
  <c r="AE11" i="31"/>
  <c r="AF11" i="31"/>
  <c r="AD11" i="31"/>
  <c r="Z11" i="31"/>
  <c r="Y11" i="31"/>
  <c r="U11" i="31"/>
  <c r="AC11" i="31"/>
  <c r="P10" i="26"/>
  <c r="P11" i="26" s="1"/>
  <c r="O33" i="30"/>
  <c r="Q50" i="20"/>
  <c r="Z50" i="20"/>
  <c r="R50" i="20"/>
  <c r="M25" i="31"/>
  <c r="M23" i="31"/>
  <c r="M15" i="30"/>
  <c r="AG4" i="25"/>
  <c r="AA58" i="20" s="1" a="1"/>
  <c r="AA58" i="20" s="1"/>
  <c r="AD4" i="25"/>
  <c r="X58" i="20" s="1" a="1"/>
  <c r="X58" i="20" s="1"/>
  <c r="AB4" i="25"/>
  <c r="V58" i="20" s="1" a="1"/>
  <c r="V58" i="20" s="1"/>
  <c r="M11" i="26"/>
  <c r="O4" i="25"/>
  <c r="AA55" i="26"/>
  <c r="AB55" i="26"/>
  <c r="M34" i="26"/>
  <c r="M35" i="26" s="1"/>
  <c r="N34" i="26"/>
  <c r="N35" i="26" s="1"/>
  <c r="O34" i="26"/>
  <c r="O35" i="26" s="1"/>
  <c r="L4" i="25"/>
  <c r="L13" i="26"/>
  <c r="I4" i="25"/>
  <c r="N13" i="26"/>
  <c r="L15" i="31"/>
  <c r="P14" i="27"/>
  <c r="X4" i="25"/>
  <c r="R58" i="20" s="1" a="1"/>
  <c r="R58" i="20" s="1"/>
  <c r="AA4" i="25"/>
  <c r="U58" i="20" s="1" a="1"/>
  <c r="U58" i="20" s="1"/>
  <c r="AH4" i="25"/>
  <c r="AB58" i="20" s="1" a="1"/>
  <c r="AB58" i="20" s="1"/>
  <c r="P14" i="29"/>
  <c r="P13" i="28"/>
  <c r="H4" i="25"/>
  <c r="J4" i="25"/>
  <c r="M4" i="25"/>
  <c r="K4" i="25"/>
  <c r="F4" i="25"/>
  <c r="R17" i="2"/>
  <c r="L34" i="29"/>
  <c r="L35" i="29" s="1"/>
  <c r="L11" i="29"/>
  <c r="P12" i="29"/>
  <c r="P36" i="29" s="1"/>
  <c r="P37" i="29" s="1"/>
  <c r="P34" i="30"/>
  <c r="G4" i="25"/>
  <c r="L36" i="29"/>
  <c r="L37" i="29" s="1"/>
  <c r="N4" i="25"/>
  <c r="E4" i="25"/>
  <c r="AC4" i="25"/>
  <c r="W58" i="20" s="1" a="1"/>
  <c r="W58" i="20" s="1"/>
  <c r="P12" i="26"/>
  <c r="P13" i="26" s="1"/>
  <c r="M34" i="29"/>
  <c r="M35" i="29" s="1"/>
  <c r="M11" i="29"/>
  <c r="M13" i="29"/>
  <c r="O36" i="26"/>
  <c r="O37" i="26" s="1"/>
  <c r="AE4" i="25"/>
  <c r="Y58" i="20" s="1" a="1"/>
  <c r="Y58" i="20" s="1"/>
  <c r="O36" i="29"/>
  <c r="O37" i="29" s="1"/>
  <c r="O13" i="29"/>
  <c r="Z4" i="25"/>
  <c r="T58" i="20" s="1" a="1"/>
  <c r="T58" i="20" s="1"/>
  <c r="Y4" i="25"/>
  <c r="S58" i="20" s="1" a="1"/>
  <c r="S58" i="20" s="1"/>
  <c r="W4" i="25"/>
  <c r="Q58" i="20" s="1" a="1"/>
  <c r="Q58" i="20" s="1"/>
  <c r="P15" i="29"/>
  <c r="P30" i="26"/>
  <c r="AE12" i="31"/>
  <c r="AF12" i="31"/>
  <c r="AA12" i="31"/>
  <c r="Y12" i="31"/>
  <c r="AC12" i="31"/>
  <c r="U12" i="31"/>
  <c r="W12" i="31"/>
  <c r="Z12" i="31"/>
  <c r="AB12" i="31"/>
  <c r="V12" i="31"/>
  <c r="AD12" i="31"/>
  <c r="X12" i="31"/>
  <c r="T48" i="20"/>
  <c r="S48" i="20"/>
  <c r="V48" i="20"/>
  <c r="W48" i="20"/>
  <c r="AB48" i="20"/>
  <c r="Y48" i="20"/>
  <c r="Z48" i="20"/>
  <c r="U48" i="20"/>
  <c r="R48" i="20"/>
  <c r="AA48" i="20"/>
  <c r="Q48" i="20"/>
  <c r="X48" i="20"/>
  <c r="H28" i="2"/>
  <c r="P15" i="27"/>
  <c r="P9" i="26"/>
  <c r="P32" i="26"/>
  <c r="V53" i="26"/>
  <c r="U53" i="26"/>
  <c r="W53" i="26"/>
  <c r="V7" i="26"/>
  <c r="AB53" i="26"/>
  <c r="Z53" i="26"/>
  <c r="AF7" i="26"/>
  <c r="AA53" i="26"/>
  <c r="U21" i="2"/>
  <c r="R25" i="2"/>
  <c r="P9" i="27"/>
  <c r="P32" i="27"/>
  <c r="P33" i="27" s="1"/>
  <c r="M30" i="31" l="1"/>
  <c r="M33" i="31" s="1"/>
  <c r="M9" i="31"/>
  <c r="M11" i="31"/>
  <c r="M15" i="31"/>
  <c r="N11" i="31"/>
  <c r="O30" i="31"/>
  <c r="O9" i="31"/>
  <c r="O37" i="31"/>
  <c r="AC41" i="26" a="1"/>
  <c r="AC41" i="26" s="1"/>
  <c r="Q47" i="20"/>
  <c r="U41" i="26" a="1"/>
  <c r="U41" i="26" s="1"/>
  <c r="U30" i="26" s="1"/>
  <c r="Z41" i="26" a="1"/>
  <c r="Z41" i="26" s="1"/>
  <c r="X41" i="26" a="1"/>
  <c r="X41" i="26" s="1"/>
  <c r="AA41" i="26" a="1"/>
  <c r="AA41" i="26" s="1"/>
  <c r="V41" i="26" a="1"/>
  <c r="V41" i="26" s="1"/>
  <c r="AE41" i="26" a="1"/>
  <c r="AE41" i="26" s="1"/>
  <c r="Y41" i="26" a="1"/>
  <c r="Y41" i="26" s="1"/>
  <c r="AB41" i="26" a="1"/>
  <c r="AB41" i="26" s="1"/>
  <c r="AD41" i="26" a="1"/>
  <c r="AD41" i="26" s="1"/>
  <c r="W41" i="26" a="1"/>
  <c r="W41" i="26" s="1"/>
  <c r="AF41" i="27" a="1"/>
  <c r="AF41" i="27" s="1"/>
  <c r="AF41" i="26" a="1"/>
  <c r="AF41" i="26" s="1"/>
  <c r="Z41" i="28" a="1"/>
  <c r="Z41" i="28" s="1"/>
  <c r="Z41" i="27" a="1"/>
  <c r="Z41" i="27" s="1"/>
  <c r="AD41" i="28" a="1"/>
  <c r="AD41" i="28" s="1"/>
  <c r="AD41" i="27" a="1"/>
  <c r="AD41" i="27" s="1"/>
  <c r="Y41" i="28" a="1"/>
  <c r="Y41" i="28" s="1"/>
  <c r="Y41" i="27" a="1"/>
  <c r="Y41" i="27" s="1"/>
  <c r="V41" i="28" a="1"/>
  <c r="V41" i="28" s="1"/>
  <c r="V41" i="27" a="1"/>
  <c r="V41" i="27" s="1"/>
  <c r="AE41" i="28" a="1"/>
  <c r="AE41" i="28" s="1"/>
  <c r="AE41" i="27" a="1"/>
  <c r="AE41" i="27" s="1"/>
  <c r="AC41" i="28" a="1"/>
  <c r="AC41" i="28" s="1"/>
  <c r="AC41" i="27" a="1"/>
  <c r="AC41" i="27" s="1"/>
  <c r="U41" i="28" a="1"/>
  <c r="U41" i="28" s="1"/>
  <c r="U41" i="27" a="1"/>
  <c r="U41" i="27" s="1"/>
  <c r="U30" i="27" s="1"/>
  <c r="W41" i="28" a="1"/>
  <c r="W41" i="28" s="1"/>
  <c r="W41" i="27" a="1"/>
  <c r="W41" i="27" s="1"/>
  <c r="AA41" i="28" a="1"/>
  <c r="AA41" i="28" s="1"/>
  <c r="AA41" i="27" a="1"/>
  <c r="AA41" i="27" s="1"/>
  <c r="AB41" i="28" a="1"/>
  <c r="AB41" i="28" s="1"/>
  <c r="AB41" i="27" a="1"/>
  <c r="AB41" i="27" s="1"/>
  <c r="X41" i="28" a="1"/>
  <c r="X41" i="28" s="1"/>
  <c r="X41" i="27" a="1"/>
  <c r="X41" i="27" s="1"/>
  <c r="AF41" i="30" a="1"/>
  <c r="AF41" i="30" s="1"/>
  <c r="AF41" i="28" a="1"/>
  <c r="AF41" i="28" s="1"/>
  <c r="Y42" i="29" a="1"/>
  <c r="Y42" i="29" s="1"/>
  <c r="Y41" i="30" a="1"/>
  <c r="Y41" i="30" s="1"/>
  <c r="AB42" i="29" a="1"/>
  <c r="AB42" i="29" s="1"/>
  <c r="AB41" i="30" a="1"/>
  <c r="AB41" i="30" s="1"/>
  <c r="AD42" i="29" a="1"/>
  <c r="AD42" i="29" s="1"/>
  <c r="AD41" i="30" a="1"/>
  <c r="AD41" i="30" s="1"/>
  <c r="V42" i="29" a="1"/>
  <c r="V42" i="29" s="1"/>
  <c r="V41" i="30" a="1"/>
  <c r="V41" i="30" s="1"/>
  <c r="AE42" i="29" a="1"/>
  <c r="AE42" i="29" s="1"/>
  <c r="AE41" i="30" a="1"/>
  <c r="AE41" i="30" s="1"/>
  <c r="AC42" i="29" a="1"/>
  <c r="AC42" i="29" s="1"/>
  <c r="AC41" i="30" a="1"/>
  <c r="AC41" i="30" s="1"/>
  <c r="U42" i="29" a="1"/>
  <c r="U42" i="29" s="1"/>
  <c r="U41" i="30" a="1"/>
  <c r="U41" i="30" s="1"/>
  <c r="W42" i="29" a="1"/>
  <c r="W42" i="29" s="1"/>
  <c r="W41" i="30" a="1"/>
  <c r="W41" i="30" s="1"/>
  <c r="AA42" i="29" a="1"/>
  <c r="AA42" i="29" s="1"/>
  <c r="AA41" i="30" a="1"/>
  <c r="AA41" i="30" s="1"/>
  <c r="Z42" i="29" a="1"/>
  <c r="Z42" i="29" s="1"/>
  <c r="Z41" i="30" a="1"/>
  <c r="Z41" i="30" s="1"/>
  <c r="X42" i="29" a="1"/>
  <c r="X42" i="29" s="1"/>
  <c r="X41" i="30" a="1"/>
  <c r="X41" i="30" s="1"/>
  <c r="AF41" i="31" a="1"/>
  <c r="AF41" i="31" s="1"/>
  <c r="AF42" i="29" a="1"/>
  <c r="AF42" i="29" s="1"/>
  <c r="U41" i="31" a="1"/>
  <c r="U41" i="31" s="1"/>
  <c r="AE41" i="31" a="1"/>
  <c r="AE41" i="31" s="1"/>
  <c r="AD41" i="31" a="1"/>
  <c r="AD41" i="31" s="1"/>
  <c r="AC41" i="31" a="1"/>
  <c r="AC41" i="31" s="1"/>
  <c r="AB41" i="31" a="1"/>
  <c r="AB41" i="31" s="1"/>
  <c r="AA41" i="31" a="1"/>
  <c r="AA41" i="31" s="1"/>
  <c r="Z41" i="31" a="1"/>
  <c r="Z41" i="31" s="1"/>
  <c r="Y41" i="31" a="1"/>
  <c r="Y41" i="31" s="1"/>
  <c r="X41" i="31" a="1"/>
  <c r="X41" i="31" s="1"/>
  <c r="W41" i="31" a="1"/>
  <c r="W41" i="31" s="1"/>
  <c r="V41" i="31" a="1"/>
  <c r="V41" i="31" s="1"/>
  <c r="M35" i="31"/>
  <c r="C48" i="20"/>
  <c r="N48" i="20"/>
  <c r="L48" i="20"/>
  <c r="H48" i="20"/>
  <c r="E48" i="20"/>
  <c r="I48" i="20"/>
  <c r="G48" i="20"/>
  <c r="D48" i="20"/>
  <c r="F48" i="20"/>
  <c r="K48" i="20"/>
  <c r="J48" i="20"/>
  <c r="M48" i="20"/>
  <c r="I49" i="20"/>
  <c r="M49" i="20"/>
  <c r="F49" i="20"/>
  <c r="N49" i="20"/>
  <c r="E33" i="2"/>
  <c r="H49" i="20"/>
  <c r="L49" i="20"/>
  <c r="G49" i="20"/>
  <c r="K49" i="20"/>
  <c r="J49" i="20"/>
  <c r="P11" i="27"/>
  <c r="S25" i="2"/>
  <c r="T17" i="2"/>
  <c r="P34" i="26"/>
  <c r="P35" i="26" s="1"/>
  <c r="P36" i="27"/>
  <c r="P37" i="27" s="1"/>
  <c r="P33" i="26"/>
  <c r="D50" i="20"/>
  <c r="C50" i="20"/>
  <c r="N50" i="20"/>
  <c r="G50" i="20"/>
  <c r="H50" i="20"/>
  <c r="J50" i="20"/>
  <c r="I50" i="20"/>
  <c r="E50" i="20"/>
  <c r="K50" i="20"/>
  <c r="F50" i="20"/>
  <c r="M50" i="20"/>
  <c r="L50" i="20"/>
  <c r="P30" i="30"/>
  <c r="P9" i="30"/>
  <c r="P13" i="30"/>
  <c r="P11" i="30"/>
  <c r="M33" i="30"/>
  <c r="M37" i="30"/>
  <c r="M35" i="30"/>
  <c r="P25" i="31"/>
  <c r="N33" i="31"/>
  <c r="N37" i="31"/>
  <c r="L30" i="31"/>
  <c r="P6" i="31"/>
  <c r="L11" i="31"/>
  <c r="L9" i="31"/>
  <c r="P23" i="31"/>
  <c r="L13" i="31"/>
  <c r="P15" i="30"/>
  <c r="M37" i="31"/>
  <c r="N37" i="30"/>
  <c r="P13" i="29"/>
  <c r="P11" i="29"/>
  <c r="P36" i="26"/>
  <c r="P37" i="26" s="1"/>
  <c r="T25" i="2"/>
  <c r="U25" i="2" s="1"/>
  <c r="AB54" i="26"/>
  <c r="Z54" i="26"/>
  <c r="AF8" i="26"/>
  <c r="AA54" i="26"/>
  <c r="V8" i="26"/>
  <c r="V54" i="26"/>
  <c r="W54" i="26"/>
  <c r="U54" i="26"/>
  <c r="O33" i="31" l="1"/>
  <c r="O35" i="31"/>
  <c r="O26" i="31"/>
  <c r="O27" i="31" s="1"/>
  <c r="N26" i="31"/>
  <c r="N38" i="31" s="1"/>
  <c r="N39" i="31" s="1"/>
  <c r="V30" i="28"/>
  <c r="Y30" i="31"/>
  <c r="M26" i="31"/>
  <c r="M38" i="31" s="1"/>
  <c r="M39" i="31" s="1"/>
  <c r="S47" i="20"/>
  <c r="E36" i="2"/>
  <c r="H36" i="2" s="1"/>
  <c r="H33" i="2"/>
  <c r="O26" i="29"/>
  <c r="O27" i="29" s="1"/>
  <c r="O26" i="30"/>
  <c r="O27" i="30" s="1"/>
  <c r="M26" i="29"/>
  <c r="M27" i="29" s="1"/>
  <c r="O26" i="28"/>
  <c r="O27" i="28" s="1"/>
  <c r="O26" i="26"/>
  <c r="O38" i="26" s="1"/>
  <c r="O39" i="26" s="1"/>
  <c r="O26" i="27"/>
  <c r="O27" i="27" s="1"/>
  <c r="U30" i="28"/>
  <c r="Z30" i="31"/>
  <c r="L26" i="28"/>
  <c r="L38" i="28" s="1"/>
  <c r="L39" i="28" s="1"/>
  <c r="W30" i="28"/>
  <c r="R47" i="20"/>
  <c r="T47" i="20"/>
  <c r="V30" i="30"/>
  <c r="L33" i="31"/>
  <c r="L37" i="31"/>
  <c r="L35" i="31"/>
  <c r="P33" i="30"/>
  <c r="P37" i="30"/>
  <c r="W30" i="27"/>
  <c r="V30" i="27"/>
  <c r="X30" i="28"/>
  <c r="P35" i="30"/>
  <c r="AF30" i="31"/>
  <c r="AC30" i="31"/>
  <c r="AA30" i="31"/>
  <c r="P30" i="31"/>
  <c r="P9" i="31"/>
  <c r="P11" i="31"/>
  <c r="P13" i="31"/>
  <c r="P15" i="31"/>
  <c r="Y30" i="30"/>
  <c r="V31" i="29"/>
  <c r="N26" i="27"/>
  <c r="N27" i="27" s="1"/>
  <c r="Y30" i="26"/>
  <c r="M26" i="26"/>
  <c r="M38" i="26" s="1"/>
  <c r="M39" i="26" s="1"/>
  <c r="L26" i="27"/>
  <c r="L38" i="27" s="1"/>
  <c r="L39" i="27" s="1"/>
  <c r="AD30" i="31"/>
  <c r="AE30" i="31"/>
  <c r="U30" i="31"/>
  <c r="U30" i="30"/>
  <c r="AA30" i="28"/>
  <c r="V30" i="31"/>
  <c r="Y30" i="28"/>
  <c r="AC31" i="29"/>
  <c r="U31" i="29"/>
  <c r="W30" i="31"/>
  <c r="Z30" i="28"/>
  <c r="AB30" i="31"/>
  <c r="M26" i="28"/>
  <c r="M27" i="28" s="1"/>
  <c r="W30" i="30"/>
  <c r="X30" i="31"/>
  <c r="L26" i="31"/>
  <c r="AB30" i="28"/>
  <c r="X31" i="29"/>
  <c r="W31" i="29"/>
  <c r="AB31" i="29"/>
  <c r="Y31" i="29"/>
  <c r="AA31" i="29"/>
  <c r="AF30" i="30"/>
  <c r="L26" i="26"/>
  <c r="L27" i="26" s="1"/>
  <c r="L26" i="29"/>
  <c r="L27" i="29" s="1"/>
  <c r="AA30" i="26"/>
  <c r="AD31" i="29"/>
  <c r="Z31" i="29"/>
  <c r="AE31" i="29"/>
  <c r="W30" i="26"/>
  <c r="V30" i="26"/>
  <c r="AB30" i="27"/>
  <c r="Y47" i="20"/>
  <c r="L26" i="30"/>
  <c r="L27" i="30" s="1"/>
  <c r="Z30" i="30"/>
  <c r="N26" i="29"/>
  <c r="N38" i="29" s="1"/>
  <c r="N39" i="29" s="1"/>
  <c r="X30" i="30"/>
  <c r="AE30" i="30"/>
  <c r="AD30" i="30"/>
  <c r="AB30" i="30"/>
  <c r="Z30" i="26"/>
  <c r="AA47" i="20"/>
  <c r="AC30" i="28"/>
  <c r="X30" i="26"/>
  <c r="AF30" i="26"/>
  <c r="AB30" i="26"/>
  <c r="AC30" i="30"/>
  <c r="AE30" i="27"/>
  <c r="M26" i="30"/>
  <c r="M38" i="30" s="1"/>
  <c r="M39" i="30" s="1"/>
  <c r="AF30" i="28"/>
  <c r="W47" i="20"/>
  <c r="Z30" i="27"/>
  <c r="X30" i="27"/>
  <c r="AF30" i="27"/>
  <c r="X47" i="20"/>
  <c r="M26" i="27"/>
  <c r="AF31" i="29"/>
  <c r="AA30" i="30"/>
  <c r="AD30" i="27"/>
  <c r="AC30" i="27"/>
  <c r="AC30" i="26"/>
  <c r="AB47" i="20"/>
  <c r="N26" i="30"/>
  <c r="N38" i="30" s="1"/>
  <c r="N39" i="30" s="1"/>
  <c r="Y30" i="27"/>
  <c r="Z47" i="20"/>
  <c r="V47" i="20"/>
  <c r="AA30" i="27"/>
  <c r="U47" i="20"/>
  <c r="N26" i="26"/>
  <c r="N38" i="26" s="1"/>
  <c r="N39" i="26" s="1"/>
  <c r="AE30" i="26"/>
  <c r="AD30" i="28"/>
  <c r="AD30" i="26"/>
  <c r="AE30" i="28"/>
  <c r="N26" i="28"/>
  <c r="N27" i="28" s="1"/>
  <c r="W55" i="26"/>
  <c r="U55" i="26"/>
  <c r="V55" i="26"/>
  <c r="O38" i="31" l="1"/>
  <c r="O39" i="31" s="1"/>
  <c r="N27" i="31"/>
  <c r="P26" i="31"/>
  <c r="P38" i="31" s="1"/>
  <c r="P39" i="31" s="1"/>
  <c r="M27" i="31"/>
  <c r="O27" i="26"/>
  <c r="O38" i="30"/>
  <c r="O39" i="30" s="1"/>
  <c r="O38" i="29"/>
  <c r="O39" i="29" s="1"/>
  <c r="O38" i="28"/>
  <c r="O39" i="28" s="1"/>
  <c r="M38" i="29"/>
  <c r="M39" i="29" s="1"/>
  <c r="L27" i="28"/>
  <c r="P27" i="28" s="1"/>
  <c r="O38" i="27"/>
  <c r="O39" i="27" s="1"/>
  <c r="P26" i="27"/>
  <c r="P38" i="27" s="1"/>
  <c r="P39" i="27" s="1"/>
  <c r="M27" i="26"/>
  <c r="N38" i="27"/>
  <c r="N39" i="27" s="1"/>
  <c r="P37" i="31"/>
  <c r="P33" i="31"/>
  <c r="P35" i="31"/>
  <c r="L27" i="31"/>
  <c r="L38" i="26"/>
  <c r="L39" i="26" s="1"/>
  <c r="L27" i="27"/>
  <c r="L38" i="31"/>
  <c r="L39" i="31" s="1"/>
  <c r="N27" i="29"/>
  <c r="P27" i="29" s="1"/>
  <c r="M38" i="28"/>
  <c r="M39" i="28" s="1"/>
  <c r="P26" i="29"/>
  <c r="P38" i="29" s="1"/>
  <c r="P39" i="29" s="1"/>
  <c r="L38" i="30"/>
  <c r="L39" i="30" s="1"/>
  <c r="M27" i="30"/>
  <c r="L38" i="29"/>
  <c r="L39" i="29" s="1"/>
  <c r="P26" i="30"/>
  <c r="P38" i="30" s="1"/>
  <c r="P39" i="30" s="1"/>
  <c r="N27" i="30"/>
  <c r="P26" i="26"/>
  <c r="P38" i="26" s="1"/>
  <c r="P39" i="26" s="1"/>
  <c r="N27" i="26"/>
  <c r="M27" i="27"/>
  <c r="M38" i="27"/>
  <c r="M39" i="27" s="1"/>
  <c r="P26" i="28"/>
  <c r="P38" i="28" s="1"/>
  <c r="P39" i="28" s="1"/>
  <c r="N38" i="28"/>
  <c r="N39" i="28" s="1"/>
  <c r="P27" i="31" l="1"/>
  <c r="P27" i="26"/>
  <c r="P27" i="27"/>
  <c r="P27" i="3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odcFile="C:\Users\WilliamScheer\Downloads\query.iqy" keepAlive="1" name="query" type="5" refreshedVersion="8" minRefreshableVersion="3" saveData="1">
    <dbPr connection="Provider=Microsoft.Office.List.OLEDB.2.0;Data Source=&quot;&quot;;ApplicationName=Excel;Version=12.0.0.0" command="&lt;LIST&gt;&lt;VIEWGUID&gt;4A0CDA32-2AB6-495C-B3DE-F2940D85B444&lt;/VIEWGUID&gt;&lt;LISTNAME&gt;775579a0-0a65-42dd-a416-1a309cb5f656&lt;/LISTNAME&gt;&lt;LISTWEB&gt;https://reasongroup.sharepoint.com/sites/RGSales/_vti_bin&lt;/LISTWEB&gt;&lt;LISTSUBWEB&gt;&lt;/LISTSUBWEB&gt;&lt;ROOTFOLDER&gt;/sites/RGSales/Shared%20Documents/General/1%2eOpen%20Opportunities&lt;/ROOTFOLDER&gt;&lt;/LIST&gt;" commandType="5"/>
  </connection>
  <connection id="2" xr16:uid="{00000000-0015-0000-FFFF-FFFF01000000}" keepAlive="1" name="Query - GMContribution-CBlock" description="Connection to the 'GMContribution-CBlock' query in the workbook." type="5" refreshedVersion="0" background="1" saveData="1">
    <dbPr connection="Provider=Microsoft.Mashup.OleDb.1;Data Source=$Workbook$;Location=GMContribution-CBlock;Extended Properties=&quot;&quot;" command="SELECT * FROM [GMContribution-CBlock]"/>
  </connection>
  <connection id="3" xr16:uid="{00000000-0015-0000-FFFF-FFFF02000000}" keepAlive="1" name="Query - GrossProfit" description="Connection to the 'GrossProfit' query in the workbook." type="5" refreshedVersion="0" background="1" saveData="1">
    <dbPr connection="Provider=Microsoft.Mashup.OleDb.1;Data Source=$Workbook$;Location=GrossProfit;Extended Properties=&quot;&quot;" command="SELECT * FROM [GrossProfit]"/>
  </connection>
  <connection id="4" xr16:uid="{00000000-0015-0000-FFFF-FFFF03000000}" keepAlive="1" name="Query - Job_Status" description="Connection to the 'Job_Status' query in the workbook." type="5" refreshedVersion="8" background="1" saveData="1">
    <dbPr connection="Provider=Microsoft.Mashup.OleDb.1;Data Source=$Workbook$;Location=Job_Status;Extended Properties=&quot;&quot;" command="SELECT * FROM [Job_Status]"/>
  </connection>
  <connection id="5" xr16:uid="{00000000-0015-0000-FFFF-FFFF04000000}" keepAlive="1" name="Query - QBlock" description="Connection to the 'QBlock' query in the workbook." type="5" refreshedVersion="0" background="1" saveData="1">
    <dbPr connection="Provider=Microsoft.Mashup.OleDb.1;Data Source=$Workbook$;Location=QBlock;Extended Properties=&quot;&quot;" command="SELECT * FROM [QBlock]"/>
  </connection>
  <connection id="6" xr16:uid="{00000000-0015-0000-FFFF-FFFF05000000}" keepAlive="1" name="Query - Resource Plan Opps" description="Connection to the 'Resource Plan Opps' query in the workbook." type="5" refreshedVersion="8" background="1" saveData="1">
    <dbPr connection="Provider=Microsoft.Mashup.OleDb.1;Data Source=$Workbook$;Location=&quot;Resource Plan Opps&quot;;Extended Properties=&quot;&quot;" command="SELECT * FROM [Resource Plan Opps]"/>
  </connection>
  <connection id="7" xr16:uid="{00000000-0015-0000-FFFF-FFFF06000000}" keepAlive="1" name="Query - TotalGMContribution" description="Connection to the 'TotalGMContribution' query in the workbook." type="5" refreshedVersion="8" background="1" saveData="1">
    <dbPr connection="Provider=Microsoft.Mashup.OleDb.1;Data Source=$Workbook$;Location=TotalGMContribution;Extended Properties=&quot;&quot;" command="SELECT * FROM [TotalGMContribution]"/>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<sst xmlns="http://schemas.openxmlformats.org/spreadsheetml/2006/main" count="4366" uniqueCount="622">
  <si>
    <t>SALES DASHBOARD</t>
  </si>
  <si>
    <t>TOTAL</t>
  </si>
  <si>
    <t>Revenue Target</t>
  </si>
  <si>
    <t>Revenue</t>
  </si>
  <si>
    <t>OK</t>
  </si>
  <si>
    <t>Good</t>
  </si>
  <si>
    <t>Great</t>
  </si>
  <si>
    <t>Amazing</t>
  </si>
  <si>
    <t>Earned to Date</t>
  </si>
  <si>
    <t>GM %</t>
  </si>
  <si>
    <t>Current Jobs @ Completion</t>
  </si>
  <si>
    <t>Plus Selected</t>
  </si>
  <si>
    <t>Plus Shortlisted (DVF)</t>
  </si>
  <si>
    <t>Plus Submitted (DF)</t>
  </si>
  <si>
    <t>Gross Margin Contribution Target</t>
  </si>
  <si>
    <t>GM Contribution</t>
  </si>
  <si>
    <t>VAT</t>
  </si>
  <si>
    <t>DAFF</t>
  </si>
  <si>
    <t>SAU</t>
  </si>
  <si>
    <t>VIC Gov</t>
  </si>
  <si>
    <t>DISR</t>
  </si>
  <si>
    <t>Emerging</t>
  </si>
  <si>
    <t>GROWTH</t>
  </si>
  <si>
    <t>GM%</t>
  </si>
  <si>
    <t>GM Contribution Earned</t>
  </si>
  <si>
    <t>GM Contribution @ Completion</t>
  </si>
  <si>
    <t>WORK TYPE</t>
  </si>
  <si>
    <t>Plus Dev. Forecast (DVF)</t>
  </si>
  <si>
    <t>Plus Defined (DF)</t>
  </si>
  <si>
    <t>Path</t>
  </si>
  <si>
    <t>sites/RGSales/Shared Documents/General/1.Open Opportunities</t>
  </si>
  <si>
    <t>Advisory</t>
  </si>
  <si>
    <t>Work Type</t>
  </si>
  <si>
    <t>(Multiple Items)</t>
  </si>
  <si>
    <t>Delivery</t>
  </si>
  <si>
    <t>Resource Pool</t>
  </si>
  <si>
    <t>Phase</t>
  </si>
  <si>
    <t>Name</t>
  </si>
  <si>
    <t>Status</t>
  </si>
  <si>
    <t>Labour Hire</t>
  </si>
  <si>
    <t>5.S - Selected</t>
  </si>
  <si>
    <t>DAFXXX STEPS PMO Support Resource</t>
  </si>
  <si>
    <t>4.DVF - Shortlisted</t>
  </si>
  <si>
    <t>ATOXXX RFQ ERP Solution Detailed Analysis and Design 202510</t>
  </si>
  <si>
    <t>Risk</t>
  </si>
  <si>
    <t>DPSXXX RFQ Cyber Security Assessor 202601</t>
  </si>
  <si>
    <t>REVENUE</t>
  </si>
  <si>
    <t>Q1</t>
  </si>
  <si>
    <t>Q2</t>
  </si>
  <si>
    <t>Q3</t>
  </si>
  <si>
    <t>Q4</t>
  </si>
  <si>
    <t>FY25-26</t>
  </si>
  <si>
    <t>FWO001-XX Digital Transformation CPBC - PoC</t>
  </si>
  <si>
    <t>Good' Target</t>
  </si>
  <si>
    <t>FWO001-XX Digital Transformation CPBC - Revision and Submission Support</t>
  </si>
  <si>
    <t>Fair</t>
  </si>
  <si>
    <t>YTD</t>
  </si>
  <si>
    <t>LAB001-01 DCC Program Plan (Extension)</t>
  </si>
  <si>
    <t>Forecast</t>
  </si>
  <si>
    <t>SAU045-XX Senior Technology Architect (Sidd)</t>
  </si>
  <si>
    <t>Variance</t>
  </si>
  <si>
    <t>SAU052-XX Senior Solution Architect (Aniket)</t>
  </si>
  <si>
    <t>GM CONT.</t>
  </si>
  <si>
    <t>TECXXX DEWR DE RFQ ERP 202510</t>
  </si>
  <si>
    <t>TECXXX INF RFQ TechOne - ERP Products, Implementation, Operational</t>
  </si>
  <si>
    <t>VICXXX DEECA RFQ Permissions System 202512</t>
  </si>
  <si>
    <t>3.DF - Submitted</t>
  </si>
  <si>
    <t>AFPXXX LH-05147 One (1) Lead Business Architect 202512</t>
  </si>
  <si>
    <t>AGDXXX RFQ Review of ICT Services for AGS 202512</t>
  </si>
  <si>
    <t>AREXXX RFQ Design Future Data Platform 202601</t>
  </si>
  <si>
    <t>DAFXXX Digital solution for Food &amp; Residues reform</t>
  </si>
  <si>
    <t>Opportunity Tracker</t>
  </si>
  <si>
    <t>DAFXXX TRACE ServiceNow</t>
  </si>
  <si>
    <t>Opportunity Status</t>
  </si>
  <si>
    <t>A</t>
  </si>
  <si>
    <t>Q</t>
  </si>
  <si>
    <t>DF</t>
  </si>
  <si>
    <t>DVF</t>
  </si>
  <si>
    <t>S</t>
  </si>
  <si>
    <t>DHAXXX LH-04367 Two Senior Pega Analyst 202508</t>
  </si>
  <si>
    <t>DHAXXX LH-04634 One Senior Pega Developer 202509</t>
  </si>
  <si>
    <t>DHAXXX RFQ On-demand services for mainframe Capability 202511</t>
  </si>
  <si>
    <t>DODXXX RFQ Workforce Prioritisation Workshops 202512</t>
  </si>
  <si>
    <t>SAUXXX SPES Micro-Panel - RFQLH-02700 EL1 Senior Software Engineer</t>
  </si>
  <si>
    <t>Likelihood and relevance - Days since submitted</t>
  </si>
  <si>
    <t>Grand Total</t>
  </si>
  <si>
    <t>&lt;=7 days</t>
  </si>
  <si>
    <t>8-14 days</t>
  </si>
  <si>
    <t>15-30 days</t>
  </si>
  <si>
    <t>31 days+</t>
  </si>
  <si>
    <t>Pursuit Intensity - Days since last modified</t>
  </si>
  <si>
    <t>What open opps to include</t>
  </si>
  <si>
    <t>Cumulative View - Gross Margin Contribution</t>
  </si>
  <si>
    <t>Cumulative View - Revenue</t>
  </si>
  <si>
    <t>STATUS</t>
  </si>
  <si>
    <t>July</t>
  </si>
  <si>
    <t>August</t>
  </si>
  <si>
    <t>September</t>
  </si>
  <si>
    <t>October</t>
  </si>
  <si>
    <t>November</t>
  </si>
  <si>
    <t>December</t>
  </si>
  <si>
    <t>January</t>
  </si>
  <si>
    <t>February</t>
  </si>
  <si>
    <t>March</t>
  </si>
  <si>
    <t>April</t>
  </si>
  <si>
    <t>May</t>
  </si>
  <si>
    <t>June</t>
  </si>
  <si>
    <t>C</t>
  </si>
  <si>
    <t>DF+</t>
  </si>
  <si>
    <t>Q+</t>
  </si>
  <si>
    <t>GREAT</t>
  </si>
  <si>
    <t>GOOD</t>
  </si>
  <si>
    <t>Monthly View - Gross Margin Contribution</t>
  </si>
  <si>
    <t>Monthly View - Revenue</t>
  </si>
  <si>
    <t>Select VAT</t>
  </si>
  <si>
    <t>ALL</t>
  </si>
  <si>
    <t>OPPS BY VAT &amp; PHASE &amp; STATUS</t>
  </si>
  <si>
    <t>GO TO DATA TAB -&gt; REFRESH ALL to update dashboard</t>
  </si>
  <si>
    <t>$ IN TABLE BELOW IS FOR THE WHOLE DURATION OF THE OPPORTUNITY</t>
  </si>
  <si>
    <t>(All)</t>
  </si>
  <si>
    <t>Value $</t>
  </si>
  <si>
    <t>Margin</t>
  </si>
  <si>
    <t>Start Date</t>
  </si>
  <si>
    <t>End Date</t>
  </si>
  <si>
    <t>PANEL People DOF Phase 3 - Professional Contractor Services</t>
  </si>
  <si>
    <t>Panel</t>
  </si>
  <si>
    <t>(blank)</t>
  </si>
  <si>
    <t>PANEL Refresh DOF MAS Corp and Comm Servs 202502</t>
  </si>
  <si>
    <t>PANEL Vic SRO ICT Supplier Panel 202510</t>
  </si>
  <si>
    <t>PANEL RBA Consulting Panel 202511</t>
  </si>
  <si>
    <t>TSYXXX ROI ESM Solution Replacement 202512</t>
  </si>
  <si>
    <t>RFI/EOI</t>
  </si>
  <si>
    <t>2.Q - Qualified</t>
  </si>
  <si>
    <t>SAU046-XX Delivery Manager (Alex)</t>
  </si>
  <si>
    <t>PANEL VIC DJSIR mini panel</t>
  </si>
  <si>
    <t>VICXXX DJSIR Opp 1 Technical T&amp;M</t>
  </si>
  <si>
    <t>VICXXX DJSIR Opp 2 Regional Hub Case Mgt</t>
  </si>
  <si>
    <t>DAFXXX Trade and Imports Comeback</t>
  </si>
  <si>
    <t>BSSXXX BlueScope Steel SAP architects</t>
  </si>
  <si>
    <t>DAFXXX RFQ Incident and Major Incident Management Review</t>
  </si>
  <si>
    <t>DTAXXX RFQ ERP 202602</t>
  </si>
  <si>
    <t>VICXXX CenITex Initial Strategy for One VPS</t>
  </si>
  <si>
    <t>DOWXXX RFQ Downer Front Door Shared Services 202602</t>
  </si>
  <si>
    <t>PANEL VIC HSV Asset Management Software 202602</t>
  </si>
  <si>
    <t>VICXXX RFI VIC Police Intelligence Mgt Application 202602</t>
  </si>
  <si>
    <t>DAFF VAT FY25-26 FINANCIAL SUMMARY</t>
  </si>
  <si>
    <t>For Inclusion</t>
  </si>
  <si>
    <t>GROSS MARGIN CONTRIBUTION SUMMARY</t>
  </si>
  <si>
    <t>C/S</t>
  </si>
  <si>
    <t>GM Contribution 'Good' Target</t>
  </si>
  <si>
    <t>DVF+</t>
  </si>
  <si>
    <t>Forecast (C/S)</t>
  </si>
  <si>
    <t>VAT Lead</t>
  </si>
  <si>
    <t>GM Contribution Forecast (DVF+)</t>
  </si>
  <si>
    <t>Delta to 'Good' Target</t>
  </si>
  <si>
    <t>GM Contribution Forecast (DF+)</t>
  </si>
  <si>
    <t>GM Contribution Forecast (Q+)</t>
  </si>
  <si>
    <t>REVENUE SUMMARY</t>
  </si>
  <si>
    <t>Revenue 'Good' Target</t>
  </si>
  <si>
    <t>Revenue Forecast (DVF+)</t>
  </si>
  <si>
    <t>Revenue Forecast (DF+)</t>
  </si>
  <si>
    <t>Revenue Forecast (Q+)</t>
  </si>
  <si>
    <t>GROSS MARGIN % SUMMARY</t>
  </si>
  <si>
    <t>Gross Margin % 'Good' Target</t>
  </si>
  <si>
    <t>Gross Margin % Forecast (DVF+)</t>
  </si>
  <si>
    <t>Gross Margin % Forecast (DF+)</t>
  </si>
  <si>
    <t>Gross Margin % Forecast (Q+)</t>
  </si>
  <si>
    <t>Gross Margin %</t>
  </si>
  <si>
    <t>WORK</t>
  </si>
  <si>
    <t>@Completion</t>
  </si>
  <si>
    <t xml:space="preserve">Earned to Date </t>
  </si>
  <si>
    <t xml:space="preserve">@ Completion </t>
  </si>
  <si>
    <t xml:space="preserve">Earned to Date  </t>
  </si>
  <si>
    <t xml:space="preserve">@ Completion  </t>
  </si>
  <si>
    <t>Total</t>
  </si>
  <si>
    <t>Jul'25</t>
  </si>
  <si>
    <t>Aug'25</t>
  </si>
  <si>
    <t>Sep'25</t>
  </si>
  <si>
    <t>Oct'25</t>
  </si>
  <si>
    <t>Nov'25</t>
  </si>
  <si>
    <t>Dec'25</t>
  </si>
  <si>
    <t>Jan'25</t>
  </si>
  <si>
    <t>Feb'25</t>
  </si>
  <si>
    <t>Mar'25</t>
  </si>
  <si>
    <t>Apr'25</t>
  </si>
  <si>
    <t>May'25</t>
  </si>
  <si>
    <t>June'26</t>
  </si>
  <si>
    <t>Target</t>
  </si>
  <si>
    <t>YTD Aug'25</t>
  </si>
  <si>
    <t>Year End</t>
  </si>
  <si>
    <t>REVENUE IN TABLE BELOW IS FOR THE WHOLE OF CONTRACT</t>
  </si>
  <si>
    <t>Expiry Date</t>
  </si>
  <si>
    <t>1.A - Activity</t>
  </si>
  <si>
    <t>VAT 1 DAFF - RFI, FYI, Ideas</t>
  </si>
  <si>
    <t>DAFXXX Executive AI Enablement Sessions</t>
  </si>
  <si>
    <t>DAFXXX Budget confirmation</t>
  </si>
  <si>
    <t>DAFXXX STEPS API Delivery</t>
  </si>
  <si>
    <t>DAFXXX STEPS ATM</t>
  </si>
  <si>
    <t>DAFXXX STEPS Benefits Surge Work - 4 weeks</t>
  </si>
  <si>
    <t>DAFXXX STEPS Digital Sustainment Model</t>
  </si>
  <si>
    <t>SAU VAT FY25-26 FINANCIAL SUMMARY</t>
  </si>
  <si>
    <t>Gross Margin % Earned YTD</t>
  </si>
  <si>
    <t>Gross Margin % Forecast (C/S)</t>
  </si>
  <si>
    <t>SAUXXX BRE POC and Support</t>
  </si>
  <si>
    <t>SAUXXX Process Direct Support</t>
  </si>
  <si>
    <t>SAUXXX Unsolicited Proposal - Cyber Business Case</t>
  </si>
  <si>
    <t>SAUXXX - Confluent</t>
  </si>
  <si>
    <t>VIC VAT FY25-26 FINANCIAL SUMMARY</t>
  </si>
  <si>
    <t>Vic Gov</t>
  </si>
  <si>
    <t>VICXXX ServiceNow assessment</t>
  </si>
  <si>
    <t>VICXXX DFFH Replace Child Protection System</t>
  </si>
  <si>
    <t>VICXXX DEECA Strategy 202602</t>
  </si>
  <si>
    <t>VICXXX EMV Portal App</t>
  </si>
  <si>
    <t>VICXXX RFQ DFFH EEC Replacement</t>
  </si>
  <si>
    <t>VICXXX RFQ DJSIR Online Monitoring Ticket Scalping 202602</t>
  </si>
  <si>
    <t>VICXXX RFQ SRO Data Lake Warehouse and Debt mgt 202602</t>
  </si>
  <si>
    <t>DISR VAT FY25-26 FINANCIAL SUMMARY</t>
  </si>
  <si>
    <t>VAT 5 DISR - RFI, FYI, Ideas</t>
  </si>
  <si>
    <t>EMERGING VAT FY25-26 FINANCIAL SUMMARY</t>
  </si>
  <si>
    <t>DHAXXX Servicenow - ESM Corporate - CCM Visa Citizenship - ERP</t>
  </si>
  <si>
    <t>DOHXXX Servicenow - CSM Aged care - ESM Roll out</t>
  </si>
  <si>
    <t>FWOXXX ERP collaboration with T1</t>
  </si>
  <si>
    <t>VAT 6 Emerging - RFI, FYI, Ideas</t>
  </si>
  <si>
    <t>GROWTH VAT FY25-26 FINANCIAL SUMMARY</t>
  </si>
  <si>
    <t>ABSXXX ServiceNow PPM &amp; IRM 202504</t>
  </si>
  <si>
    <t>ACRXXX RFQ DOD WP3 transition recompete HR modules</t>
  </si>
  <si>
    <t>AFPXXX ServiceNow Procurement opp</t>
  </si>
  <si>
    <t>ATOXXX - Help with 2030 Tax IT Strategy</t>
  </si>
  <si>
    <t>ATOXXX Servicenow - HR Consolidation - Operation model</t>
  </si>
  <si>
    <t>EDUXXX Childcare workforce screening</t>
  </si>
  <si>
    <t>NSWXXX Dept. of Transport Engagement Strategy</t>
  </si>
  <si>
    <t>PACTXXX SAP Enhancement</t>
  </si>
  <si>
    <t>QLDXXX Treasury and City Councils SAP Engagement Strategy</t>
  </si>
  <si>
    <t>TASXXX Emergency Services and Police Engagement Strategy</t>
  </si>
  <si>
    <t>TECXXX ANAO ERP TechOne PLACEHOLDER</t>
  </si>
  <si>
    <t>TECXXX DOF ERP TechOne PLACEHOLDER</t>
  </si>
  <si>
    <t>TECXXX NIAA ERP TechOne PLACEHOLDER</t>
  </si>
  <si>
    <t>TECXXX NMA RFQ FMIS</t>
  </si>
  <si>
    <t>VAT 4 Growth - RFI, FYI, Ideas</t>
  </si>
  <si>
    <t>VAT OPPS WITH PARTNERS</t>
  </si>
  <si>
    <t xml:space="preserve">Category </t>
  </si>
  <si>
    <t>Partner</t>
  </si>
  <si>
    <t>Tech1;#Decis</t>
  </si>
  <si>
    <t>SNoW</t>
  </si>
  <si>
    <t>RapidCircle</t>
  </si>
  <si>
    <t>Pega</t>
  </si>
  <si>
    <t>Opportunity Name</t>
  </si>
  <si>
    <t>OppsStatus</t>
  </si>
  <si>
    <t>FY25/26</t>
  </si>
  <si>
    <t>Open Opps Phase</t>
  </si>
  <si>
    <t>Growth</t>
  </si>
  <si>
    <t/>
  </si>
  <si>
    <t>GROSS MARGIN CONTRIBUTION SPREAD</t>
  </si>
  <si>
    <t>REVENUE SPREAD</t>
  </si>
  <si>
    <t>Project</t>
  </si>
  <si>
    <t>Open Opps Status</t>
  </si>
  <si>
    <t>Opps Status</t>
  </si>
  <si>
    <t>AGD001 Case Management System</t>
  </si>
  <si>
    <t>DAF079-02 Embedded Delivery Support</t>
  </si>
  <si>
    <t>DAF079-03 Strategic Advisory</t>
  </si>
  <si>
    <t>DAF081-10 DBD Test Analyst (Vinnie)</t>
  </si>
  <si>
    <t>DAF081-11 DBD System Analyst (Amit)</t>
  </si>
  <si>
    <t>DAF081-12 DBD Business Analyst (Raheem)</t>
  </si>
  <si>
    <t>DAF083 Senior Software Developer (Harkulwant)</t>
  </si>
  <si>
    <t>DCC001-05 SAP Tech Specialist (Husain)</t>
  </si>
  <si>
    <t>DHA002-01 Senior Pega System Developer (Giribabu)</t>
  </si>
  <si>
    <t>EUS001 AFP Roadmap</t>
  </si>
  <si>
    <t>FWO001 Digital Transformation CPBC</t>
  </si>
  <si>
    <t>IND003 Venture Capital Smartforms Transition to ServiceNow</t>
  </si>
  <si>
    <t>IND003-01 HRSD AI Pilot implementation (KM knowledge Mgmt)</t>
  </si>
  <si>
    <t>IND004 Portfolio Management</t>
  </si>
  <si>
    <t>IND005 ServiceNow Implementation</t>
  </si>
  <si>
    <t>ISY010 Vic SRO T3</t>
  </si>
  <si>
    <t>LAB001 DCC Program Plan</t>
  </si>
  <si>
    <t>SAU044-04 Senior Development Expert (Nadh)</t>
  </si>
  <si>
    <t>SAU045-03 Senior Technology Architect (Sidd)</t>
  </si>
  <si>
    <t>SAU046-02 Delivery Manager (Alex)</t>
  </si>
  <si>
    <t>SAU048-02 System Analyst (Meenal)</t>
  </si>
  <si>
    <t>SAU049-02 Functional Development Expert (Shefali)</t>
  </si>
  <si>
    <t>SAU050-02 Senior Development Lead (Abdul)</t>
  </si>
  <si>
    <t>SAU052-01 Senior Solution Architect (Aniket)</t>
  </si>
  <si>
    <t>SAU053 Principal Software Engineer (Sheelesh)</t>
  </si>
  <si>
    <t>SAU054 Principal Software Engineer (Tejas)</t>
  </si>
  <si>
    <t>SAU055 Principal Software Engineer (Karan)</t>
  </si>
  <si>
    <t>SAU056 Principal Software Engineer (Ankit)</t>
  </si>
  <si>
    <t>SAU057 Principal Software Engineer (Asit)</t>
  </si>
  <si>
    <t>SAU058 Senior Cyber Uplift PM (Senthurvasan)</t>
  </si>
  <si>
    <t>A/D</t>
  </si>
  <si>
    <t>Client</t>
  </si>
  <si>
    <t>Client Manager</t>
  </si>
  <si>
    <t>Engagement Manager</t>
  </si>
  <si>
    <t>Engagement Support</t>
  </si>
  <si>
    <t>Start date</t>
  </si>
  <si>
    <t>End date</t>
  </si>
  <si>
    <t>Billing Category</t>
  </si>
  <si>
    <t>Recurring</t>
  </si>
  <si>
    <t>Work Order Amount</t>
  </si>
  <si>
    <t>Budget</t>
  </si>
  <si>
    <t>Actual</t>
  </si>
  <si>
    <t>Balance</t>
  </si>
  <si>
    <t>Forecasted Revenue</t>
  </si>
  <si>
    <t>Variance @ Completion</t>
  </si>
  <si>
    <t>Variance %</t>
  </si>
  <si>
    <t>Variance to Contract %</t>
  </si>
  <si>
    <t>Write-Off</t>
  </si>
  <si>
    <t>Ops commentary</t>
  </si>
  <si>
    <t>Revenue Q1</t>
  </si>
  <si>
    <t>Revenue Q2</t>
  </si>
  <si>
    <t>Revenue Q3</t>
  </si>
  <si>
    <t>Revenue Q4</t>
  </si>
  <si>
    <t>Gross Cost</t>
  </si>
  <si>
    <t>Forecasted Gross Cost</t>
  </si>
  <si>
    <t>To Date Gross Profit</t>
  </si>
  <si>
    <t>Sold GM (%)</t>
  </si>
  <si>
    <t>TD GM(%)</t>
  </si>
  <si>
    <t>GP at completion</t>
  </si>
  <si>
    <t>Forecast GM @ completion (%)</t>
  </si>
  <si>
    <t>R1</t>
  </si>
  <si>
    <t>R2</t>
  </si>
  <si>
    <t>R3</t>
  </si>
  <si>
    <t>R4</t>
  </si>
  <si>
    <t>R5</t>
  </si>
  <si>
    <t>R6</t>
  </si>
  <si>
    <t>R7</t>
  </si>
  <si>
    <t>R8</t>
  </si>
  <si>
    <t>R9</t>
  </si>
  <si>
    <t>R10</t>
  </si>
  <si>
    <t>R11</t>
  </si>
  <si>
    <t>R12</t>
  </si>
  <si>
    <t>C1</t>
  </si>
  <si>
    <t>C2</t>
  </si>
  <si>
    <t>C3</t>
  </si>
  <si>
    <t>C4</t>
  </si>
  <si>
    <t>C5</t>
  </si>
  <si>
    <t>C6</t>
  </si>
  <si>
    <t>C7</t>
  </si>
  <si>
    <t>C8</t>
  </si>
  <si>
    <t>C9</t>
  </si>
  <si>
    <t>C10</t>
  </si>
  <si>
    <t>C11</t>
  </si>
  <si>
    <t>C12</t>
  </si>
  <si>
    <t>P1</t>
  </si>
  <si>
    <t>P2</t>
  </si>
  <si>
    <t>P3</t>
  </si>
  <si>
    <t>P4</t>
  </si>
  <si>
    <t>P5</t>
  </si>
  <si>
    <t>P6</t>
  </si>
  <si>
    <t>P7</t>
  </si>
  <si>
    <t>P8</t>
  </si>
  <si>
    <t>P9</t>
  </si>
  <si>
    <t>P10</t>
  </si>
  <si>
    <t>P11</t>
  </si>
  <si>
    <t>P12</t>
  </si>
  <si>
    <t>Gross Profit Q1</t>
  </si>
  <si>
    <t>Gross Profit Q2</t>
  </si>
  <si>
    <t>Gross Profit Q3</t>
  </si>
  <si>
    <t>Gross Profit Q4</t>
  </si>
  <si>
    <t>Gross Margin Q1</t>
  </si>
  <si>
    <t>Gross Margin Q2</t>
  </si>
  <si>
    <t>Gross Margin Q3</t>
  </si>
  <si>
    <t>Gross Margin Q4</t>
  </si>
  <si>
    <t>Active</t>
  </si>
  <si>
    <t>AGD</t>
  </si>
  <si>
    <t>Aleksandar Vranesevic</t>
  </si>
  <si>
    <t>Anil Kinagi</t>
  </si>
  <si>
    <t>Fixed</t>
  </si>
  <si>
    <t>DMP2.0</t>
  </si>
  <si>
    <t>New</t>
  </si>
  <si>
    <t>Closed</t>
  </si>
  <si>
    <t>BCG</t>
  </si>
  <si>
    <t>BCG003 NDIA Transformation Business Case</t>
  </si>
  <si>
    <t>BCG004 Defence ERP Program - Solution Architects</t>
  </si>
  <si>
    <t>T&amp;M</t>
  </si>
  <si>
    <t>COS</t>
  </si>
  <si>
    <t>COS001-01 DOH IWOW Target Architecture</t>
  </si>
  <si>
    <t>ConceptSix</t>
  </si>
  <si>
    <t>DAF</t>
  </si>
  <si>
    <t>DAF079-01 Digital and Agile STEPS Program</t>
  </si>
  <si>
    <t>Joelle Blake</t>
  </si>
  <si>
    <t>DMP1.0</t>
  </si>
  <si>
    <t>Farming</t>
  </si>
  <si>
    <t xml:space="preserve">Underspend due to Rehan finishing up early. Need to revise down budget. </t>
  </si>
  <si>
    <t xml:space="preserve">Forecast effort till 31/3, budget set to 30/6. Should we revise budget to 31/3? 
Missing timesheets - JB </t>
  </si>
  <si>
    <t>DAF080-03 STEPS - Strategic Support</t>
  </si>
  <si>
    <t>DAF080-04 Industry API Accelerator</t>
  </si>
  <si>
    <t>DAF080-XX STEPS - Head Contract</t>
  </si>
  <si>
    <t>DAF081 Digital resources for DBD - Head Contract</t>
  </si>
  <si>
    <t>DAF081-05 DBD Business Analyst (Kev)</t>
  </si>
  <si>
    <t>Phani Gollamudi</t>
  </si>
  <si>
    <t>DAF081-06 DBD Test Analyst (Vinnie)</t>
  </si>
  <si>
    <t>DAF081-07 DBD System Analyst (Amit)</t>
  </si>
  <si>
    <t>DAF081-08 DBD Business Analyst (Raheem)</t>
  </si>
  <si>
    <t>DAF081-09 Technical Lead (Phani)</t>
  </si>
  <si>
    <t>DCC</t>
  </si>
  <si>
    <t>DHA</t>
  </si>
  <si>
    <t>Been doing overtime</t>
  </si>
  <si>
    <t>EUS</t>
  </si>
  <si>
    <t>Scott Foley</t>
  </si>
  <si>
    <t>EPI-USE</t>
  </si>
  <si>
    <t xml:space="preserve">Only started work in Jan </t>
  </si>
  <si>
    <t>FWO</t>
  </si>
  <si>
    <t>Tim kreukniet</t>
  </si>
  <si>
    <t>Project ran overbudget. M6c payment not guaranteed, AV needs to convince the client of this</t>
  </si>
  <si>
    <t>IND</t>
  </si>
  <si>
    <t>IND002 AI Integration in ServiceNow</t>
  </si>
  <si>
    <t>IND002-01 Transformation of HR Services</t>
  </si>
  <si>
    <t>Zoe Haseler</t>
  </si>
  <si>
    <t>DPM2.0</t>
  </si>
  <si>
    <t>Ben Cairns</t>
  </si>
  <si>
    <t>ISY</t>
  </si>
  <si>
    <t>ISY009-01 Vic SRO T3 (Pre-project)</t>
  </si>
  <si>
    <t>Alex Kocz</t>
  </si>
  <si>
    <t>Arjun Wariar</t>
  </si>
  <si>
    <t>Infosys</t>
  </si>
  <si>
    <t>LAB</t>
  </si>
  <si>
    <t>Lab3</t>
  </si>
  <si>
    <t>Pending extension and budget top-up</t>
  </si>
  <si>
    <t>NQS</t>
  </si>
  <si>
    <t>NQS005-02 DART Recalibration</t>
  </si>
  <si>
    <t>NQS005-03 DART Benefits Review and Preparation</t>
  </si>
  <si>
    <t>Richard Ryan</t>
  </si>
  <si>
    <t>SAU043-03 Cyber Security (Ben)</t>
  </si>
  <si>
    <t>SAU044-03 Senior Development Expert (Nadh)</t>
  </si>
  <si>
    <t>SAU045-02 Senior Technology Architect (Sidd)</t>
  </si>
  <si>
    <t>Siddhartha Sengupta</t>
  </si>
  <si>
    <t xml:space="preserve">Missing timesheet </t>
  </si>
  <si>
    <t>Still waiting on Nov timesheet</t>
  </si>
  <si>
    <t>SAU048-01 System Analyst (Meenal)</t>
  </si>
  <si>
    <t>SAU049-01 Functional Development Expert (Shefali)</t>
  </si>
  <si>
    <t>SAU050-01 Senior Development Lead (Abdul)</t>
  </si>
  <si>
    <t>SAU052 Senior Solution Architect (Aniket)</t>
  </si>
  <si>
    <t>TAL</t>
  </si>
  <si>
    <t>TAL001-02 Senior Enterprise Architect (Akshay)</t>
  </si>
  <si>
    <t>Talent</t>
  </si>
  <si>
    <t>Due</t>
  </si>
  <si>
    <t>Value $ ex GST</t>
  </si>
  <si>
    <t>CAS Lead</t>
  </si>
  <si>
    <t>CSD Lead</t>
  </si>
  <si>
    <t>Client contact</t>
  </si>
  <si>
    <t>Comment</t>
  </si>
  <si>
    <t>CC</t>
  </si>
  <si>
    <t>Modified</t>
  </si>
  <si>
    <t>Modified By</t>
  </si>
  <si>
    <t>Created</t>
  </si>
  <si>
    <t>Created By</t>
  </si>
  <si>
    <t>Item Type</t>
  </si>
  <si>
    <t>Gross Profit</t>
  </si>
  <si>
    <t>Days Opened</t>
  </si>
  <si>
    <t>Days submitted</t>
  </si>
  <si>
    <t>Days modified</t>
  </si>
  <si>
    <t>Monthly Gross Margin Contribution</t>
  </si>
  <si>
    <t>Monthly Revenue Spread</t>
  </si>
  <si>
    <t>Alex Kocz;#36;#Anil Kinagi;#187</t>
  </si>
  <si>
    <t>Ian Scensor</t>
  </si>
  <si>
    <t>Will or AV to follow up with Ian and include ABS in joint planning. PPM and IRM Contract with SNOW, migration opp</t>
  </si>
  <si>
    <t>Hunt;#Partner</t>
  </si>
  <si>
    <t>ABS</t>
  </si>
  <si>
    <t>Mark Volpato</t>
  </si>
  <si>
    <t>Folder</t>
  </si>
  <si>
    <t>Headsup on recontest after no decision on PASSS, likely Infosys got extension by default</t>
  </si>
  <si>
    <t>Hunt;#ERP;#Partner</t>
  </si>
  <si>
    <t>PTR-Accenture</t>
  </si>
  <si>
    <t>Rupa Tamang</t>
  </si>
  <si>
    <t>Oracle;#SAP</t>
  </si>
  <si>
    <t>ACTXXX Notice Enterprise Sustainability Platform 202511</t>
  </si>
  <si>
    <t>Advance notice only.</t>
  </si>
  <si>
    <t>Hunt</t>
  </si>
  <si>
    <t>ACT</t>
  </si>
  <si>
    <t>Swati Dhelia</t>
  </si>
  <si>
    <t>Sazzad</t>
  </si>
  <si>
    <t>AFP</t>
  </si>
  <si>
    <t>Kevin Ho</t>
  </si>
  <si>
    <t>Nathan Heeney</t>
  </si>
  <si>
    <t>In corporate IT space</t>
  </si>
  <si>
    <t>Project closes APR, contract open to AUG. SF:  qualify IN - based off feedback from AGs this week from Rachel Wang. Clearly we are seen in a positive light ATM in AGs.</t>
  </si>
  <si>
    <t>Hunt;#Review</t>
  </si>
  <si>
    <t>Extended the timeline.</t>
  </si>
  <si>
    <t>Hunt;#Architecture</t>
  </si>
  <si>
    <t>ARE</t>
  </si>
  <si>
    <t>William Scheer;#20</t>
  </si>
  <si>
    <t>ATO</t>
  </si>
  <si>
    <t>Colton Goodear</t>
  </si>
  <si>
    <t>Anil Kinagi;#187</t>
  </si>
  <si>
    <t>Scott working with SNow on the opportunity</t>
  </si>
  <si>
    <t>Ian Hepples;#217</t>
  </si>
  <si>
    <t>Waiting for direction from AV, AK and Will</t>
  </si>
  <si>
    <t>VIC</t>
  </si>
  <si>
    <t>Joelle Blake;#153</t>
  </si>
  <si>
    <t>Confirmed budget for head contract only until June 30. Top up being managed as open opp</t>
  </si>
  <si>
    <t>Farm</t>
  </si>
  <si>
    <t>Decision sitting with Amanda Chalmers, Andrew McDonald, Tom Black- AV to follow up WB 2 Feb</t>
  </si>
  <si>
    <t>Aleks to catch up with Kerryn next week.</t>
  </si>
  <si>
    <t xml:space="preserve"> (STEPS Contract end - no ext option)</t>
  </si>
  <si>
    <t>Farm;#Partner</t>
  </si>
  <si>
    <t>Swati to confirm if we lost it.</t>
  </si>
  <si>
    <t>All ICT Contractor Procurements are currently on hold. No updates.</t>
  </si>
  <si>
    <t>invitation request accepted. RFQ closing date extended from 3rd to 8th Dec. we are "subcontracting" with eServe. This has become a resource pool for DHA. Price has been reflected</t>
  </si>
  <si>
    <t>Scott is liaising with Servicenow with this opportunity - new EA!</t>
  </si>
  <si>
    <t>Hunt;#Partner;#CX</t>
  </si>
  <si>
    <t>Hadas Yehezkel;#212</t>
  </si>
  <si>
    <t>DOD</t>
  </si>
  <si>
    <t>Scott working with SNow on the opportunity. Better idea post 11/7. Plan opps in detail</t>
  </si>
  <si>
    <t>DOH</t>
  </si>
  <si>
    <t>RFQ now released following iniitialsubmission on 12 JAN</t>
  </si>
  <si>
    <t>Other</t>
  </si>
  <si>
    <t>Ben Cairns;#211</t>
  </si>
  <si>
    <t>DPS asked to comeback with T&amp;M prices</t>
  </si>
  <si>
    <t>Hunt;#Cyber</t>
  </si>
  <si>
    <t>DPS</t>
  </si>
  <si>
    <t>Regroup with Peter and share lessons learnt from the worker screening redesign being looked at across Services Australia, DoHAC, NDIA and the NQSC, target end August /early Sep</t>
  </si>
  <si>
    <t>Hunt;#CX</t>
  </si>
  <si>
    <t>EDU</t>
  </si>
  <si>
    <t>Tim Kreukniet;#208</t>
  </si>
  <si>
    <t>waiting on CIO by 11 FEB</t>
  </si>
  <si>
    <t>Ext</t>
  </si>
  <si>
    <t>Hunt;#ERP</t>
  </si>
  <si>
    <t>Ben Cairns;#211;#Hadas Yehezkel;#212</t>
  </si>
  <si>
    <t>Hunt;#Rules</t>
  </si>
  <si>
    <t>24th Jan to end of June-likely as an extension for Contractor-Delivery Manager/PM/Scrum Master/Scheduler</t>
  </si>
  <si>
    <t>LABXXX AFMA Various Services mini panel drawdowns</t>
  </si>
  <si>
    <t>Belinda Cook</t>
  </si>
  <si>
    <t>PTR-LAB3</t>
  </si>
  <si>
    <t>Ian Hepples</t>
  </si>
  <si>
    <t>Deependra  Singh</t>
  </si>
  <si>
    <t>PANEL ACT Professional Advisory Services 202412</t>
  </si>
  <si>
    <t>Advanced Notice only. To replace ACT Profession &amp; Consulting Servs Panel</t>
  </si>
  <si>
    <t>PANEL DMP2 New Module 3 Cloud &amp; Software</t>
  </si>
  <si>
    <t>Results expected in late September 2025. delayed 3rd time to DEB 2026 (4,800 applicants)</t>
  </si>
  <si>
    <t>panel</t>
  </si>
  <si>
    <t>**** Applied for 6 subcats: Business Improv: Prog Design, Prog Mgt; Prog Eval; Strategic Sourcing; Research</t>
  </si>
  <si>
    <t>Submissions not being evaluated till the 23rd Jan. Expect response early March.</t>
  </si>
  <si>
    <t>Reason CRM (Master).xlsx.url</t>
  </si>
  <si>
    <t>9.FYI</t>
  </si>
  <si>
    <t>Item</t>
  </si>
  <si>
    <t>Client has indicated for extension till 30/6/26</t>
  </si>
  <si>
    <t>Alex Kocz;#36</t>
  </si>
  <si>
    <t>Josh Bosschieter</t>
  </si>
  <si>
    <t>12 month extension option</t>
  </si>
  <si>
    <t>John Joseph</t>
  </si>
  <si>
    <t>Siddhartha Sengupta;#84</t>
  </si>
  <si>
    <t>Confluent</t>
  </si>
  <si>
    <t>Meghan Bunfeild</t>
  </si>
  <si>
    <t>Activity. Looking at setting up the Business Rules Engine. Will require recruitment</t>
  </si>
  <si>
    <t>Hunt;#Partner;#Rules</t>
  </si>
  <si>
    <t>Decis</t>
  </si>
  <si>
    <t>Jordan Hatch</t>
  </si>
  <si>
    <t>Activity for now. ongoing support will be T&amp;M -potentially a discovery team and Delivery done by Bob team. Next step = delivery plan</t>
  </si>
  <si>
    <t>Bob Lyons</t>
  </si>
  <si>
    <t>Bulk EL1 round to be drilled down from. Update once candidates have been selected</t>
  </si>
  <si>
    <t>Peter Foley</t>
  </si>
  <si>
    <t>Needs costing + pricing. For Peter Foley - Draft to be sent for review by17th</t>
  </si>
  <si>
    <t>Farm;#Business case</t>
  </si>
  <si>
    <t>ANA</t>
  </si>
  <si>
    <t>Presentation flagged for 10 FEB with client. Needs content from Sidd.</t>
  </si>
  <si>
    <t>EMP</t>
  </si>
  <si>
    <t>DOF</t>
  </si>
  <si>
    <t>Jeff Goedecke</t>
  </si>
  <si>
    <t>INF</t>
  </si>
  <si>
    <t>NIA</t>
  </si>
  <si>
    <t>Previous NMA submission is saved under this folder</t>
  </si>
  <si>
    <t>NMA</t>
  </si>
  <si>
    <t>waiting on partner pack from SNOW to get this done.</t>
  </si>
  <si>
    <t>Partner;#Rules</t>
  </si>
  <si>
    <t>TSY</t>
  </si>
  <si>
    <t>*** FOLDER OF ACTIVITY IDEAS ***</t>
  </si>
  <si>
    <t>VAT 2 SAU - RFI, FYI, Ideas</t>
  </si>
  <si>
    <t>VAT 3 VIC Govt - RFI, FYI, Ideas</t>
  </si>
  <si>
    <t>Arjun Wariar;#19;#Ian Hepples;#217</t>
  </si>
  <si>
    <t>SNow ITSM strategy for VicGovt</t>
  </si>
  <si>
    <t>Partner with Pega. Met 24/11. Evaluation delayed, sharpened prices requested by DEECA</t>
  </si>
  <si>
    <t>Business case + POC. AK mtg w/c 9 FEB</t>
  </si>
  <si>
    <t>VICXXX DoE ServiceNow Engagement Strategy</t>
  </si>
  <si>
    <t>Reads strongly MS (not Pega), or we go vendor -agnostic?</t>
  </si>
  <si>
    <t>ZZZ - Analytics</t>
  </si>
  <si>
    <t>ZZZ - NEW OPEN OPPS TEMPLATE FOLDER</t>
  </si>
  <si>
    <t>Phase Code</t>
  </si>
  <si>
    <t>Phase Description</t>
  </si>
  <si>
    <t>Accountability</t>
  </si>
  <si>
    <t>TYPE</t>
  </si>
  <si>
    <t>NAME</t>
  </si>
  <si>
    <t>FY24/25 Actual</t>
  </si>
  <si>
    <t>SC</t>
  </si>
  <si>
    <t>KEY FINANCIAL KPI</t>
  </si>
  <si>
    <t>Gross Margin Contribution</t>
  </si>
  <si>
    <t>FINANCIAL</t>
  </si>
  <si>
    <t>Gross Margin Contribution %</t>
  </si>
  <si>
    <t>FY2425</t>
  </si>
  <si>
    <t>AV+JB</t>
  </si>
  <si>
    <t>AV[/WS/AK]+JB,PG</t>
  </si>
  <si>
    <t>AK+AW</t>
  </si>
  <si>
    <t>VicSRO</t>
  </si>
  <si>
    <t>SF+SS</t>
  </si>
  <si>
    <t>AK+SS</t>
  </si>
  <si>
    <t>AV/SF/WS/AK/+AK,*</t>
  </si>
  <si>
    <t>WS/AV/AK</t>
  </si>
  <si>
    <t>AV+AnK</t>
  </si>
  <si>
    <t>OTHER</t>
  </si>
  <si>
    <t>AV+AW,AnK</t>
  </si>
  <si>
    <t>BC</t>
  </si>
  <si>
    <t>AV+BC</t>
  </si>
  <si>
    <t>Will, Mark S, Jacqui Curtis, Elastic....</t>
  </si>
  <si>
    <t>NOT RELEASED YET Exiting from SAP?</t>
  </si>
  <si>
    <t>SAP</t>
  </si>
  <si>
    <t>18/2/26: Quotation sent back to DISR Proj Lead</t>
  </si>
  <si>
    <t>Licensing top up, probably MAR 2026 time. Ben to follow up w/ DISR</t>
  </si>
  <si>
    <t>Decision in APR 2026</t>
  </si>
  <si>
    <t>NOT RELEASED YET Cassandra is Ian contact. Need SNOW implementation cred, case studies and strong local presence. Rate card + case studies. $8-14M value</t>
  </si>
  <si>
    <t>NOT RELEASED YET 5 year panel</t>
  </si>
  <si>
    <t>Initial thoughts = Akshay</t>
  </si>
  <si>
    <t>Shd hear end FEB 26. Bronte Alexander is POC from Tech1</t>
  </si>
  <si>
    <t>NOT RELEAASED YET 2x Oracle ERP/OIC, 1xSForce, 1xSNow, 1xMSSharepoint Admin. Std rates are $1800/day - disrupt RedRock. Work packages are 50 days. Mid Feb start for 4.5 month</t>
  </si>
  <si>
    <t>NOT RELEASED YET PM, Solu Architect, Devp, Integration Spec, Tester, Change Mgr ~1.2 Mn (Feb to July)</t>
  </si>
  <si>
    <t>AGDXXX - Lobbyists 202602</t>
  </si>
  <si>
    <t>AGDXXX - Mutual Assistance 202602</t>
  </si>
  <si>
    <t>DAFXXX DPMO PPM TOOL RFQ</t>
  </si>
  <si>
    <t>DAFXXX DSSS Resource Support</t>
  </si>
  <si>
    <t>DAFXXX STEPS Post-Gateway Response</t>
  </si>
  <si>
    <t>DAFXXX STEPS Training Development Support (Surge)</t>
  </si>
  <si>
    <t>DAFXXX Stocktake and Report on Opps for AI Adoption</t>
  </si>
  <si>
    <t>IND004-01 Portfolio Management - IRM Implementation Extension)</t>
  </si>
  <si>
    <t>INDXXX IRM  Licensing</t>
  </si>
  <si>
    <t>SAUXXX RFQ LH-05639 - Principal Vulnerability Assessor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</si>
</sst>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quot;$&quot;* #,##0_-;_-&quot;$&quot;* &quot;-&quot;_-;_-@_-"/>
    <numFmt numFmtId="44" formatCode="_-&quot;$&quot;* #,##0.00_-;\-&quot;$&quot;* #,##0.00_-;_-&quot;$&quot;* &quot;-&quot;??_-;_-@_-"/>
    <numFmt numFmtId="164" formatCode="_-[$$-C09]* #,##0_-;\-[$$-C09]* #,##0_-;_-[$$-C09]* &quot;-&quot;_-;_-@_-"/>
    <numFmt numFmtId="165" formatCode="_-&quot;$&quot;* #,##0_-;\-&quot;$&quot;* #,##0_-;_-&quot;$&quot;* &quot;-&quot;??_-;_-@_-"/>
    <numFmt numFmtId="166" formatCode="0.0%"/>
    <numFmt numFmtId="167" formatCode="mmmm"/>
  </numFmts>
  <fonts count="3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b/>
      <sz val="16"/>
      <color theme="1"/>
      <name val="Aptos Narrow"/>
      <family val="2"/>
      <scheme val="minor"/>
    </font>
    <font>
      <b/>
      <sz val="14"/>
      <color rgb="FFFF0000"/>
      <name val="Aptos Narrow"/>
      <family val="2"/>
      <scheme val="minor"/>
    </font>
    <font>
      <sz val="11"/>
      <color theme="6"/>
      <name val="Aptos Narrow"/>
      <family val="2"/>
      <scheme val="minor"/>
    </font>
    <font>
      <sz val="11"/>
      <color theme="5"/>
      <name val="Aptos Narrow"/>
      <family val="2"/>
      <scheme val="minor"/>
    </font>
    <font>
      <sz val="8"/>
      <name val="Aptos Narrow"/>
      <family val="2"/>
      <scheme val="minor"/>
    </font>
    <font>
      <sz val="10"/>
      <color theme="1"/>
      <name val="Aptos Narrow"/>
      <family val="2"/>
      <scheme val="minor"/>
    </font>
    <font>
      <b/>
      <sz val="10"/>
      <color theme="1"/>
      <name val="Aptos Narrow"/>
      <family val="2"/>
      <scheme val="minor"/>
    </font>
    <font>
      <b/>
      <sz val="14"/>
      <color theme="1"/>
      <name val="Aptos Narrow"/>
      <family val="2"/>
      <scheme val="minor"/>
    </font>
    <font>
      <b/>
      <sz val="9"/>
      <color theme="1"/>
      <name val="Aptos Narrow"/>
      <family val="2"/>
      <scheme val="minor"/>
    </font>
    <font>
      <sz val="9"/>
      <color theme="1"/>
      <name val="Aptos Narrow"/>
      <family val="2"/>
      <scheme val="minor"/>
    </font>
    <font>
      <sz val="14"/>
      <color rgb="FF3F3F76"/>
      <name val="Aptos Narrow"/>
      <family val="2"/>
      <scheme val="minor"/>
    </font>
    <font>
      <sz val="14"/>
      <color theme="1"/>
      <name val="Aptos Narrow"/>
      <family val="2"/>
      <scheme val="minor"/>
    </font>
    <font>
      <sz val="9"/>
      <color rgb="FF3F3F76"/>
      <name val="Aptos Narrow"/>
      <family val="2"/>
      <scheme val="minor"/>
    </font>
    <font>
      <b/>
      <sz val="20"/>
      <color theme="1"/>
      <name val="Aptos Narrow"/>
      <family val="2"/>
      <scheme val="minor"/>
    </font>
    <font>
      <b/>
      <sz val="11"/>
      <color rgb="FFFF0000"/>
      <name val="Aptos Narrow"/>
      <family val="2"/>
      <scheme val="minor"/>
    </font>
    <font>
      <b/>
      <i/>
      <sz val="10"/>
      <color theme="6" tint="0.39997558519241921"/>
      <name val="Aptos Narrow"/>
      <family val="2"/>
      <scheme val="minor"/>
    </font>
    <font>
      <i/>
      <sz val="10"/>
      <color theme="1"/>
      <name val="Aptos Narrow"/>
      <family val="2"/>
      <scheme val="minor"/>
    </font>
    <font>
      <b/>
      <i/>
      <sz val="10"/>
      <color theme="9"/>
      <name val="Aptos Narrow"/>
      <family val="2"/>
      <scheme val="minor"/>
    </font>
    <font>
      <b/>
      <i/>
      <sz val="10"/>
      <color theme="5"/>
      <name val="Aptos Narrow"/>
      <family val="2"/>
      <scheme val="minor"/>
    </font>
  </fonts>
  <fills count="5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rgb="FFFFFF00"/>
        <bgColor indexed="64"/>
      </patternFill>
    </fill>
    <fill>
      <patternFill patternType="solid">
        <fgColor theme="1"/>
        <bgColor indexed="64"/>
      </patternFill>
    </fill>
    <fill>
      <patternFill patternType="solid">
        <fgColor theme="3" tint="0.74999237037263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3" tint="0.89999084444715716"/>
        <bgColor indexed="64"/>
      </patternFill>
    </fill>
    <fill>
      <patternFill patternType="solid">
        <fgColor rgb="FF92D050"/>
        <bgColor indexed="64"/>
      </patternFill>
    </fill>
    <fill>
      <patternFill patternType="solid">
        <fgColor rgb="FFFFC000"/>
        <bgColor indexed="64"/>
      </patternFill>
    </fill>
    <fill>
      <patternFill patternType="solid">
        <fgColor rgb="FF00B050"/>
        <bgColor indexed="64"/>
      </patternFill>
    </fill>
    <fill>
      <patternFill patternType="solid">
        <fgColor theme="6"/>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2" tint="-0.249977111117893"/>
        <bgColor indexed="64"/>
      </patternFill>
    </fill>
    <fill>
      <patternFill patternType="solid">
        <fgColor theme="0" tint="-0.14999847407452621"/>
        <bgColor theme="0" tint="-0.14999847407452621"/>
      </patternFill>
    </fill>
    <fill>
      <patternFill patternType="solid">
        <fgColor theme="1"/>
        <bgColor theme="1"/>
      </patternFill>
    </fill>
    <fill>
      <patternFill patternType="solid">
        <fgColor theme="9" tint="0.39997558519241921"/>
        <bgColor indexed="64"/>
      </patternFill>
    </fill>
    <fill>
      <patternFill patternType="solid">
        <fgColor theme="5" tint="0.59999389629810485"/>
        <bgColor indexed="64"/>
      </patternFill>
    </fill>
    <fill>
      <patternFill patternType="solid">
        <fgColor theme="4"/>
        <bgColor theme="1"/>
      </patternFill>
    </fill>
    <fill>
      <patternFill patternType="solid">
        <fgColor theme="1" tint="0.249977111117893"/>
        <bgColor indexed="64"/>
      </patternFill>
    </fill>
  </fills>
  <borders count="6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7F7F7F"/>
      </left>
      <right/>
      <top style="thin">
        <color rgb="FF7F7F7F"/>
      </top>
      <bottom style="thin">
        <color rgb="FF7F7F7F"/>
      </bottom>
      <diagonal/>
    </border>
    <border>
      <left style="thin">
        <color indexed="64"/>
      </left>
      <right style="thin">
        <color indexed="64"/>
      </right>
      <top style="thin">
        <color rgb="FF7F7F7F"/>
      </top>
      <bottom style="thin">
        <color rgb="FF7F7F7F"/>
      </bottom>
      <diagonal/>
    </border>
    <border>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right/>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style="thin">
        <color theme="0" tint="-0.14999847407452621"/>
      </bottom>
      <diagonal/>
    </border>
    <border>
      <left style="thin">
        <color theme="0" tint="-0.14999847407452621"/>
      </left>
      <right/>
      <top style="thin">
        <color theme="0"/>
      </top>
      <bottom style="thin">
        <color theme="0" tint="-0.14999847407452621"/>
      </bottom>
      <diagonal/>
    </border>
    <border>
      <left/>
      <right style="thin">
        <color theme="0" tint="-0.14999847407452621"/>
      </right>
      <top style="thin">
        <color theme="0"/>
      </top>
      <bottom style="thin">
        <color theme="0" tint="-0.14999847407452621"/>
      </bottom>
      <diagonal/>
    </border>
    <border>
      <left style="thin">
        <color theme="0"/>
      </left>
      <right/>
      <top/>
      <bottom/>
      <diagonal/>
    </border>
    <border>
      <left/>
      <right/>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bottom style="thin">
        <color theme="4" tint="0.39997558519241921"/>
      </bottom>
      <diagonal/>
    </border>
    <border>
      <left/>
      <right style="thin">
        <color theme="0"/>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style="thin">
        <color indexed="64"/>
      </top>
      <bottom style="thin">
        <color theme="0" tint="-0.14999847407452621"/>
      </bottom>
      <diagonal/>
    </border>
    <border>
      <left/>
      <right style="thin">
        <color theme="0" tint="-0.14999847407452621"/>
      </right>
      <top style="thin">
        <color indexed="64"/>
      </top>
      <bottom style="double">
        <color indexed="64"/>
      </bottom>
      <diagonal/>
    </border>
    <border>
      <left style="thin">
        <color theme="0" tint="-0.14999847407452621"/>
      </left>
      <right style="thin">
        <color theme="0" tint="-0.14999847407452621"/>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0"/>
      </left>
      <right style="thin">
        <color theme="0"/>
      </right>
      <top style="thin">
        <color theme="0"/>
      </top>
      <bottom style="thin">
        <color theme="0"/>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style="thin">
        <color theme="1"/>
      </left>
      <right style="thin">
        <color indexed="64"/>
      </right>
      <top style="thin">
        <color indexed="64"/>
      </top>
      <bottom style="thin">
        <color indexed="64"/>
      </bottom>
      <diagonal/>
    </border>
    <border>
      <left style="thin">
        <color theme="1"/>
      </left>
      <right style="thin">
        <color indexed="64"/>
      </right>
      <top style="thin">
        <color indexed="64"/>
      </top>
      <bottom style="thin">
        <color theme="1"/>
      </bottom>
      <diagonal/>
    </border>
    <border>
      <left style="thin">
        <color theme="0" tint="-0.14999847407452621"/>
      </left>
      <right style="thin">
        <color theme="0" tint="-0.14999847407452621"/>
      </right>
      <top/>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90">
    <xf numFmtId="0" fontId="0" fillId="0" borderId="0" xfId="0"/>
    <xf numFmtId="0" fontId="18" fillId="0" borderId="0" xfId="42"/>
    <xf numFmtId="49" fontId="0" fillId="0" borderId="0" xfId="0" applyNumberFormat="1"/>
    <xf numFmtId="22" fontId="0" fillId="0" borderId="0" xfId="0" applyNumberFormat="1"/>
    <xf numFmtId="164" fontId="0" fillId="0" borderId="0" xfId="0" applyNumberFormat="1"/>
    <xf numFmtId="9" fontId="0" fillId="0" borderId="0" xfId="0" applyNumberFormat="1"/>
    <xf numFmtId="14" fontId="0" fillId="0" borderId="0" xfId="0" applyNumberFormat="1"/>
    <xf numFmtId="0" fontId="0" fillId="0" borderId="0" xfId="0" pivotButton="1"/>
    <xf numFmtId="0" fontId="0" fillId="0" borderId="0" xfId="0" applyAlignment="1">
      <alignment horizontal="center"/>
    </xf>
    <xf numFmtId="0" fontId="0" fillId="0" borderId="0" xfId="0" pivotButton="1" applyAlignment="1">
      <alignment horizontal="center"/>
    </xf>
    <xf numFmtId="1" fontId="0" fillId="0" borderId="0" xfId="0" applyNumberFormat="1" applyAlignment="1">
      <alignment horizontal="center"/>
    </xf>
    <xf numFmtId="0" fontId="19" fillId="0" borderId="0" xfId="0" applyFont="1"/>
    <xf numFmtId="0" fontId="0" fillId="0" borderId="0" xfId="0" applyAlignment="1">
      <alignment horizontal="center" vertical="center"/>
    </xf>
    <xf numFmtId="0" fontId="16" fillId="0" borderId="0" xfId="0" applyFont="1"/>
    <xf numFmtId="0" fontId="14" fillId="0" borderId="0" xfId="0" applyFont="1" applyAlignment="1">
      <alignment horizontal="left"/>
    </xf>
    <xf numFmtId="0" fontId="20" fillId="0" borderId="0" xfId="0" applyFont="1" applyAlignment="1">
      <alignment horizontal="left"/>
    </xf>
    <xf numFmtId="0" fontId="16" fillId="0" borderId="0" xfId="0" applyFont="1" applyAlignment="1">
      <alignment horizontal="center"/>
    </xf>
    <xf numFmtId="0" fontId="21" fillId="0" borderId="10" xfId="0" applyFont="1" applyBorder="1"/>
    <xf numFmtId="0" fontId="0" fillId="0" borderId="10" xfId="0" applyBorder="1" applyAlignment="1">
      <alignment horizontal="center"/>
    </xf>
    <xf numFmtId="0" fontId="22" fillId="0" borderId="10" xfId="0" applyFont="1" applyBorder="1"/>
    <xf numFmtId="0" fontId="14" fillId="0" borderId="10" xfId="0" applyFont="1" applyBorder="1"/>
    <xf numFmtId="0" fontId="0" fillId="0" borderId="10" xfId="0" applyBorder="1"/>
    <xf numFmtId="0" fontId="16" fillId="33" borderId="10" xfId="0" applyFont="1" applyFill="1" applyBorder="1"/>
    <xf numFmtId="0" fontId="16" fillId="33" borderId="10" xfId="0" applyFont="1" applyFill="1" applyBorder="1" applyAlignment="1">
      <alignment horizontal="center"/>
    </xf>
    <xf numFmtId="0" fontId="16" fillId="0" borderId="0" xfId="0" applyFont="1" applyAlignment="1">
      <alignment horizontal="left"/>
    </xf>
    <xf numFmtId="0" fontId="13" fillId="35" borderId="10" xfId="0" applyFont="1" applyFill="1" applyBorder="1" applyAlignment="1">
      <alignment horizontal="center"/>
    </xf>
    <xf numFmtId="0" fontId="0" fillId="36" borderId="10" xfId="0" applyFill="1" applyBorder="1" applyAlignment="1">
      <alignment horizontal="center"/>
    </xf>
    <xf numFmtId="165" fontId="0" fillId="36" borderId="10" xfId="43" applyNumberFormat="1" applyFont="1" applyFill="1" applyBorder="1"/>
    <xf numFmtId="9" fontId="0" fillId="36" borderId="10" xfId="44" applyFont="1" applyFill="1" applyBorder="1" applyAlignment="1">
      <alignment horizontal="center"/>
    </xf>
    <xf numFmtId="165" fontId="0" fillId="37" borderId="10" xfId="43" applyNumberFormat="1" applyFont="1" applyFill="1" applyBorder="1"/>
    <xf numFmtId="165" fontId="0" fillId="37" borderId="10" xfId="0" applyNumberFormat="1" applyFill="1" applyBorder="1"/>
    <xf numFmtId="165" fontId="0" fillId="38" borderId="10" xfId="0" applyNumberFormat="1" applyFill="1" applyBorder="1"/>
    <xf numFmtId="165" fontId="0" fillId="36" borderId="10" xfId="43" applyNumberFormat="1" applyFont="1" applyFill="1" applyBorder="1" applyAlignment="1">
      <alignment horizontal="center"/>
    </xf>
    <xf numFmtId="0" fontId="13" fillId="35" borderId="0" xfId="0" applyFont="1" applyFill="1" applyAlignment="1">
      <alignment horizontal="center"/>
    </xf>
    <xf numFmtId="165" fontId="13" fillId="35" borderId="0" xfId="0" applyNumberFormat="1" applyFont="1" applyFill="1" applyAlignment="1">
      <alignment horizontal="center"/>
    </xf>
    <xf numFmtId="9" fontId="13" fillId="35" borderId="0" xfId="44" applyFont="1" applyFill="1" applyAlignment="1">
      <alignment horizontal="center"/>
    </xf>
    <xf numFmtId="165" fontId="24" fillId="0" borderId="0" xfId="0" applyNumberFormat="1" applyFont="1"/>
    <xf numFmtId="0" fontId="24" fillId="0" borderId="0" xfId="0" applyFont="1"/>
    <xf numFmtId="9" fontId="24" fillId="0" borderId="0" xfId="44" applyFont="1"/>
    <xf numFmtId="0" fontId="0" fillId="0" borderId="0" xfId="0" applyAlignment="1">
      <alignment vertical="center"/>
    </xf>
    <xf numFmtId="0" fontId="0" fillId="0" borderId="0" xfId="0" applyAlignment="1">
      <alignment vertical="top" wrapText="1"/>
    </xf>
    <xf numFmtId="0" fontId="0" fillId="0" borderId="0" xfId="0" applyAlignment="1">
      <alignment horizontal="center" vertical="top" wrapText="1"/>
    </xf>
    <xf numFmtId="165" fontId="24" fillId="0" borderId="0" xfId="43" applyNumberFormat="1" applyFont="1"/>
    <xf numFmtId="9" fontId="24" fillId="0" borderId="0" xfId="0" applyNumberFormat="1" applyFont="1"/>
    <xf numFmtId="0" fontId="24" fillId="0" borderId="0" xfId="0" applyFont="1" applyAlignment="1">
      <alignment horizontal="center"/>
    </xf>
    <xf numFmtId="0" fontId="16" fillId="33" borderId="0" xfId="0" applyFont="1" applyFill="1" applyAlignment="1">
      <alignment horizontal="right" vertical="center"/>
    </xf>
    <xf numFmtId="0" fontId="16" fillId="33" borderId="0" xfId="0" applyFont="1" applyFill="1" applyAlignment="1">
      <alignment horizontal="left" vertical="center"/>
    </xf>
    <xf numFmtId="9" fontId="16" fillId="38" borderId="0" xfId="0" applyNumberFormat="1" applyFont="1" applyFill="1" applyAlignment="1">
      <alignment horizontal="center" vertical="center"/>
    </xf>
    <xf numFmtId="9" fontId="26" fillId="39" borderId="13" xfId="0" applyNumberFormat="1" applyFont="1" applyFill="1" applyBorder="1" applyAlignment="1">
      <alignment horizontal="center" vertical="center"/>
    </xf>
    <xf numFmtId="9" fontId="16" fillId="40" borderId="0" xfId="44" applyFont="1" applyFill="1" applyAlignment="1">
      <alignment horizontal="center" vertical="center"/>
    </xf>
    <xf numFmtId="9" fontId="16" fillId="41" borderId="0" xfId="0" applyNumberFormat="1" applyFont="1" applyFill="1" applyAlignment="1">
      <alignment horizontal="center" vertical="center"/>
    </xf>
    <xf numFmtId="0" fontId="27" fillId="33" borderId="0" xfId="0" applyFont="1" applyFill="1" applyAlignment="1">
      <alignment horizontal="right" vertical="center"/>
    </xf>
    <xf numFmtId="0" fontId="27" fillId="33" borderId="0" xfId="0" applyFont="1" applyFill="1" applyAlignment="1">
      <alignment horizontal="left" vertical="center"/>
    </xf>
    <xf numFmtId="9" fontId="27" fillId="38" borderId="0" xfId="0" applyNumberFormat="1" applyFont="1" applyFill="1" applyAlignment="1">
      <alignment horizontal="center" vertical="center"/>
    </xf>
    <xf numFmtId="9" fontId="16" fillId="39" borderId="0" xfId="0" applyNumberFormat="1" applyFont="1" applyFill="1" applyAlignment="1">
      <alignment horizontal="center" vertical="center"/>
    </xf>
    <xf numFmtId="9" fontId="27" fillId="40" borderId="0" xfId="44" applyFont="1" applyFill="1" applyAlignment="1">
      <alignment horizontal="center" vertical="center"/>
    </xf>
    <xf numFmtId="9" fontId="27" fillId="41" borderId="0" xfId="0" applyNumberFormat="1" applyFont="1" applyFill="1" applyAlignment="1">
      <alignment horizontal="center" vertical="center"/>
    </xf>
    <xf numFmtId="165" fontId="16" fillId="42" borderId="0" xfId="0" applyNumberFormat="1" applyFont="1" applyFill="1" applyAlignment="1">
      <alignment horizontal="right" vertical="center"/>
    </xf>
    <xf numFmtId="165" fontId="16" fillId="42" borderId="0" xfId="0" applyNumberFormat="1" applyFont="1" applyFill="1" applyAlignment="1">
      <alignment horizontal="left" vertical="center"/>
    </xf>
    <xf numFmtId="165" fontId="16" fillId="42" borderId="0" xfId="0" applyNumberFormat="1" applyFont="1" applyFill="1" applyAlignment="1">
      <alignment vertical="center"/>
    </xf>
    <xf numFmtId="165" fontId="26" fillId="42" borderId="14" xfId="0" applyNumberFormat="1" applyFont="1" applyFill="1" applyBorder="1" applyAlignment="1">
      <alignment vertical="center"/>
    </xf>
    <xf numFmtId="165" fontId="28" fillId="42" borderId="0" xfId="0" applyNumberFormat="1" applyFont="1" applyFill="1" applyAlignment="1">
      <alignment horizontal="right" vertical="center"/>
    </xf>
    <xf numFmtId="165" fontId="27" fillId="42" borderId="0" xfId="0" applyNumberFormat="1" applyFont="1" applyFill="1" applyAlignment="1">
      <alignment horizontal="left" vertical="center"/>
    </xf>
    <xf numFmtId="165" fontId="27" fillId="42" borderId="0" xfId="0" applyNumberFormat="1" applyFont="1" applyFill="1" applyAlignment="1">
      <alignment vertical="center"/>
    </xf>
    <xf numFmtId="9" fontId="28" fillId="0" borderId="0" xfId="44" applyFont="1" applyAlignment="1">
      <alignment horizontal="center" vertical="center"/>
    </xf>
    <xf numFmtId="9" fontId="16" fillId="37" borderId="0" xfId="44" applyFont="1" applyFill="1" applyAlignment="1">
      <alignment horizontal="center" vertical="center"/>
    </xf>
    <xf numFmtId="165" fontId="0" fillId="0" borderId="0" xfId="0" applyNumberFormat="1" applyAlignment="1">
      <alignment horizontal="right" vertical="center"/>
    </xf>
    <xf numFmtId="10" fontId="9" fillId="5" borderId="15" xfId="9" applyNumberFormat="1" applyBorder="1" applyAlignment="1">
      <alignment vertical="center"/>
    </xf>
    <xf numFmtId="10" fontId="29" fillId="5" borderId="16" xfId="9" applyNumberFormat="1" applyFont="1" applyBorder="1" applyAlignment="1">
      <alignment vertical="center"/>
    </xf>
    <xf numFmtId="10" fontId="9" fillId="5" borderId="17" xfId="9" applyNumberFormat="1" applyBorder="1" applyAlignment="1">
      <alignment vertical="center"/>
    </xf>
    <xf numFmtId="10" fontId="9" fillId="5" borderId="4" xfId="9" applyNumberFormat="1" applyAlignment="1">
      <alignment vertical="center"/>
    </xf>
    <xf numFmtId="165" fontId="28" fillId="0" borderId="0" xfId="0" applyNumberFormat="1" applyFont="1" applyAlignment="1">
      <alignment horizontal="right" vertical="center"/>
    </xf>
    <xf numFmtId="0" fontId="28" fillId="0" borderId="0" xfId="0" applyFont="1" applyAlignment="1">
      <alignment vertical="center"/>
    </xf>
    <xf numFmtId="10" fontId="28" fillId="0" borderId="0" xfId="44" applyNumberFormat="1" applyFont="1" applyAlignment="1">
      <alignment vertical="center"/>
    </xf>
    <xf numFmtId="165" fontId="0" fillId="0" borderId="0" xfId="0" applyNumberFormat="1" applyAlignment="1">
      <alignment vertical="center"/>
    </xf>
    <xf numFmtId="165" fontId="30" fillId="0" borderId="14" xfId="0" applyNumberFormat="1" applyFont="1" applyBorder="1" applyAlignment="1">
      <alignment vertical="center"/>
    </xf>
    <xf numFmtId="165" fontId="28" fillId="0" borderId="0" xfId="0" applyNumberFormat="1" applyFont="1" applyAlignment="1">
      <alignment vertical="center"/>
    </xf>
    <xf numFmtId="0" fontId="30" fillId="0" borderId="14" xfId="0" applyFont="1" applyBorder="1" applyAlignment="1">
      <alignment vertical="center"/>
    </xf>
    <xf numFmtId="0" fontId="28" fillId="0" borderId="0" xfId="0" applyFont="1" applyAlignment="1">
      <alignment horizontal="center" vertical="center"/>
    </xf>
    <xf numFmtId="9" fontId="26" fillId="39" borderId="14" xfId="0" applyNumberFormat="1" applyFont="1" applyFill="1" applyBorder="1" applyAlignment="1">
      <alignment horizontal="center" vertical="center"/>
    </xf>
    <xf numFmtId="0" fontId="27" fillId="38" borderId="0" xfId="0" applyFont="1" applyFill="1" applyAlignment="1">
      <alignment horizontal="right" vertical="center"/>
    </xf>
    <xf numFmtId="165" fontId="27" fillId="0" borderId="0" xfId="0" applyNumberFormat="1" applyFont="1" applyAlignment="1">
      <alignment horizontal="right" vertical="center"/>
    </xf>
    <xf numFmtId="0" fontId="27" fillId="0" borderId="0" xfId="0" applyFont="1" applyAlignment="1">
      <alignment vertical="center"/>
    </xf>
    <xf numFmtId="165" fontId="27" fillId="0" borderId="0" xfId="0" applyNumberFormat="1" applyFont="1" applyAlignment="1">
      <alignment vertical="center"/>
    </xf>
    <xf numFmtId="10" fontId="31" fillId="5" borderId="4" xfId="9" applyNumberFormat="1" applyFont="1" applyAlignment="1">
      <alignment vertical="center"/>
    </xf>
    <xf numFmtId="9" fontId="0" fillId="37" borderId="0" xfId="44" applyFont="1" applyFill="1" applyAlignment="1">
      <alignment horizontal="center" vertical="center"/>
    </xf>
    <xf numFmtId="165" fontId="24" fillId="0" borderId="0" xfId="0" applyNumberFormat="1" applyFont="1" applyAlignment="1">
      <alignment horizontal="right" vertical="center"/>
    </xf>
    <xf numFmtId="165" fontId="25" fillId="0" borderId="0" xfId="0" applyNumberFormat="1" applyFont="1" applyAlignment="1">
      <alignment horizontal="right" vertical="center"/>
    </xf>
    <xf numFmtId="165" fontId="24" fillId="0" borderId="0" xfId="0" applyNumberFormat="1" applyFont="1" applyAlignment="1">
      <alignment vertical="center"/>
    </xf>
    <xf numFmtId="165" fontId="16" fillId="0" borderId="0" xfId="0" applyNumberFormat="1" applyFont="1" applyAlignment="1">
      <alignment horizontal="right" vertical="center"/>
    </xf>
    <xf numFmtId="165" fontId="30" fillId="0" borderId="18" xfId="0" applyNumberFormat="1" applyFont="1" applyBorder="1" applyAlignment="1">
      <alignment vertical="center"/>
    </xf>
    <xf numFmtId="165" fontId="30" fillId="0" borderId="0" xfId="0" applyNumberFormat="1" applyFont="1" applyAlignment="1">
      <alignment vertical="center"/>
    </xf>
    <xf numFmtId="9" fontId="16" fillId="0" borderId="0" xfId="44" applyFont="1" applyAlignment="1">
      <alignment horizontal="center" vertical="center"/>
    </xf>
    <xf numFmtId="0" fontId="30" fillId="0" borderId="0" xfId="0" applyFont="1"/>
    <xf numFmtId="0" fontId="28" fillId="0" borderId="0" xfId="0" applyFont="1"/>
    <xf numFmtId="0" fontId="28" fillId="0" borderId="0" xfId="0" applyFont="1" applyAlignment="1">
      <alignment horizontal="center"/>
    </xf>
    <xf numFmtId="0" fontId="0" fillId="0" borderId="0" xfId="0" pivotButton="1" applyAlignment="1">
      <alignment wrapText="1"/>
    </xf>
    <xf numFmtId="0" fontId="0" fillId="0" borderId="0" xfId="0" applyAlignment="1">
      <alignment horizontal="center" wrapText="1"/>
    </xf>
    <xf numFmtId="0" fontId="0" fillId="0" borderId="0" xfId="0" applyAlignment="1">
      <alignment wrapText="1"/>
    </xf>
    <xf numFmtId="0" fontId="16" fillId="33" borderId="10" xfId="0" applyFont="1" applyFill="1" applyBorder="1" applyAlignment="1">
      <alignment wrapText="1"/>
    </xf>
    <xf numFmtId="0" fontId="16" fillId="33" borderId="10" xfId="0" applyFont="1" applyFill="1" applyBorder="1" applyAlignment="1">
      <alignment horizontal="center" wrapText="1"/>
    </xf>
    <xf numFmtId="0" fontId="13" fillId="35" borderId="10" xfId="0" applyFont="1" applyFill="1" applyBorder="1" applyAlignment="1">
      <alignment horizontal="center" wrapText="1"/>
    </xf>
    <xf numFmtId="0" fontId="13" fillId="35" borderId="11" xfId="0" applyFont="1" applyFill="1" applyBorder="1" applyAlignment="1">
      <alignment horizontal="center" wrapText="1"/>
    </xf>
    <xf numFmtId="0" fontId="13" fillId="35" borderId="12" xfId="0" applyFont="1" applyFill="1" applyBorder="1" applyAlignment="1">
      <alignment horizontal="center" wrapText="1"/>
    </xf>
    <xf numFmtId="14" fontId="24" fillId="0" borderId="0" xfId="0" applyNumberFormat="1" applyFont="1"/>
    <xf numFmtId="0" fontId="13" fillId="43" borderId="20" xfId="0" applyFont="1" applyFill="1" applyBorder="1" applyAlignment="1">
      <alignment horizontal="center" wrapText="1"/>
    </xf>
    <xf numFmtId="0" fontId="13" fillId="44" borderId="20" xfId="0" applyFont="1" applyFill="1" applyBorder="1" applyAlignment="1">
      <alignment horizontal="center" wrapText="1"/>
    </xf>
    <xf numFmtId="0" fontId="13" fillId="45" borderId="20" xfId="0" applyFont="1" applyFill="1" applyBorder="1" applyAlignment="1">
      <alignment horizontal="center" wrapText="1"/>
    </xf>
    <xf numFmtId="0" fontId="13" fillId="46" borderId="20" xfId="0" applyFont="1" applyFill="1" applyBorder="1" applyAlignment="1">
      <alignment horizontal="center" wrapText="1"/>
    </xf>
    <xf numFmtId="9" fontId="0" fillId="37" borderId="10" xfId="44" applyFont="1" applyFill="1" applyBorder="1" applyAlignment="1">
      <alignment horizontal="center"/>
    </xf>
    <xf numFmtId="0" fontId="32" fillId="0" borderId="0" xfId="0" applyFont="1" applyAlignment="1">
      <alignment horizontal="left"/>
    </xf>
    <xf numFmtId="9" fontId="0" fillId="38" borderId="10" xfId="44" applyFont="1" applyFill="1" applyBorder="1" applyAlignment="1">
      <alignment horizontal="center"/>
    </xf>
    <xf numFmtId="165" fontId="0" fillId="0" borderId="0" xfId="43" applyNumberFormat="1" applyFont="1"/>
    <xf numFmtId="165" fontId="16" fillId="0" borderId="0" xfId="43" applyNumberFormat="1" applyFont="1"/>
    <xf numFmtId="166" fontId="0" fillId="36" borderId="10" xfId="44" applyNumberFormat="1" applyFont="1" applyFill="1" applyBorder="1" applyAlignment="1">
      <alignment vertical="center"/>
    </xf>
    <xf numFmtId="1" fontId="0" fillId="0" borderId="0" xfId="0" applyNumberFormat="1"/>
    <xf numFmtId="0" fontId="0" fillId="0" borderId="29" xfId="0" applyBorder="1"/>
    <xf numFmtId="0" fontId="0" fillId="47" borderId="29" xfId="0" applyFill="1" applyBorder="1"/>
    <xf numFmtId="167" fontId="16" fillId="0" borderId="0" xfId="0" applyNumberFormat="1" applyFont="1" applyAlignment="1">
      <alignment horizontal="center"/>
    </xf>
    <xf numFmtId="165" fontId="0" fillId="47" borderId="29" xfId="43" applyNumberFormat="1" applyFont="1" applyFill="1" applyBorder="1"/>
    <xf numFmtId="0" fontId="13" fillId="48" borderId="28" xfId="0" applyFont="1" applyFill="1" applyBorder="1"/>
    <xf numFmtId="167" fontId="13" fillId="48" borderId="28" xfId="0" applyNumberFormat="1" applyFont="1" applyFill="1" applyBorder="1" applyAlignment="1">
      <alignment horizontal="center"/>
    </xf>
    <xf numFmtId="167" fontId="13" fillId="48" borderId="30" xfId="0" applyNumberFormat="1" applyFont="1" applyFill="1" applyBorder="1" applyAlignment="1">
      <alignment horizontal="center"/>
    </xf>
    <xf numFmtId="0" fontId="26" fillId="0" borderId="0" xfId="0" applyFont="1"/>
    <xf numFmtId="0" fontId="13" fillId="35" borderId="32" xfId="0" applyFont="1" applyFill="1" applyBorder="1" applyAlignment="1">
      <alignment horizontal="center" vertical="top"/>
    </xf>
    <xf numFmtId="0" fontId="13" fillId="35" borderId="33" xfId="0" applyFont="1" applyFill="1" applyBorder="1" applyAlignment="1">
      <alignment horizontal="center" vertical="top" wrapText="1"/>
    </xf>
    <xf numFmtId="0" fontId="13" fillId="35" borderId="33" xfId="0" quotePrefix="1" applyFont="1" applyFill="1" applyBorder="1" applyAlignment="1">
      <alignment horizontal="center" vertical="top" wrapText="1"/>
    </xf>
    <xf numFmtId="0" fontId="0" fillId="0" borderId="37" xfId="0" applyBorder="1" applyAlignment="1">
      <alignment horizontal="left"/>
    </xf>
    <xf numFmtId="165" fontId="0" fillId="0" borderId="38" xfId="0" applyNumberFormat="1" applyBorder="1"/>
    <xf numFmtId="165" fontId="0" fillId="0" borderId="38" xfId="0" applyNumberFormat="1" applyBorder="1" applyAlignment="1">
      <alignment horizontal="center"/>
    </xf>
    <xf numFmtId="9" fontId="1" fillId="0" borderId="38" xfId="44" applyFont="1" applyFill="1" applyBorder="1" applyAlignment="1">
      <alignment horizontal="center"/>
    </xf>
    <xf numFmtId="165" fontId="1" fillId="0" borderId="38" xfId="0" applyNumberFormat="1" applyFont="1" applyBorder="1"/>
    <xf numFmtId="165" fontId="16" fillId="0" borderId="36" xfId="0" applyNumberFormat="1" applyFont="1" applyBorder="1"/>
    <xf numFmtId="9" fontId="16" fillId="0" borderId="0" xfId="44" applyFont="1" applyAlignment="1">
      <alignment horizontal="center"/>
    </xf>
    <xf numFmtId="0" fontId="0" fillId="0" borderId="42" xfId="0" applyBorder="1"/>
    <xf numFmtId="0" fontId="0" fillId="0" borderId="18" xfId="0" applyBorder="1" applyAlignment="1">
      <alignment horizontal="right"/>
    </xf>
    <xf numFmtId="0" fontId="0" fillId="0" borderId="43" xfId="0" applyBorder="1" applyAlignment="1">
      <alignment horizontal="right"/>
    </xf>
    <xf numFmtId="0" fontId="0" fillId="0" borderId="12" xfId="0" applyBorder="1" applyAlignment="1">
      <alignment horizontal="left"/>
    </xf>
    <xf numFmtId="165" fontId="0" fillId="0" borderId="10" xfId="43" applyNumberFormat="1" applyFont="1" applyFill="1" applyBorder="1"/>
    <xf numFmtId="165" fontId="0" fillId="0" borderId="10" xfId="43" applyNumberFormat="1" applyFont="1" applyFill="1" applyBorder="1" applyAlignment="1">
      <alignment horizontal="center"/>
    </xf>
    <xf numFmtId="9" fontId="0" fillId="0" borderId="10" xfId="44" applyFont="1" applyFill="1" applyBorder="1" applyAlignment="1">
      <alignment horizontal="center"/>
    </xf>
    <xf numFmtId="0" fontId="0" fillId="0" borderId="34" xfId="0" applyBorder="1" applyAlignment="1">
      <alignment horizontal="left"/>
    </xf>
    <xf numFmtId="165" fontId="0" fillId="0" borderId="35" xfId="43" applyNumberFormat="1" applyFont="1" applyFill="1" applyBorder="1"/>
    <xf numFmtId="165" fontId="0" fillId="0" borderId="35" xfId="43" applyNumberFormat="1" applyFont="1" applyFill="1" applyBorder="1" applyAlignment="1">
      <alignment horizontal="center"/>
    </xf>
    <xf numFmtId="9" fontId="0" fillId="0" borderId="35" xfId="44" applyFont="1" applyFill="1" applyBorder="1" applyAlignment="1">
      <alignment horizontal="center"/>
    </xf>
    <xf numFmtId="9" fontId="0" fillId="0" borderId="39" xfId="44" applyFont="1" applyBorder="1" applyAlignment="1">
      <alignment horizontal="right"/>
    </xf>
    <xf numFmtId="165" fontId="0" fillId="34" borderId="0" xfId="43" applyNumberFormat="1" applyFont="1" applyFill="1"/>
    <xf numFmtId="0" fontId="0" fillId="34" borderId="0" xfId="0" applyFill="1"/>
    <xf numFmtId="9" fontId="0" fillId="0" borderId="0" xfId="0" applyNumberFormat="1" applyAlignment="1">
      <alignment horizontal="center"/>
    </xf>
    <xf numFmtId="9" fontId="0" fillId="0" borderId="41" xfId="44" applyFont="1" applyBorder="1" applyAlignment="1">
      <alignment horizontal="right"/>
    </xf>
    <xf numFmtId="0" fontId="16" fillId="0" borderId="40" xfId="0" applyFont="1" applyBorder="1"/>
    <xf numFmtId="9" fontId="16" fillId="0" borderId="39" xfId="44" applyFont="1" applyBorder="1" applyAlignment="1">
      <alignment horizontal="right"/>
    </xf>
    <xf numFmtId="0" fontId="0" fillId="0" borderId="0" xfId="0" applyAlignment="1">
      <alignment horizontal="left"/>
    </xf>
    <xf numFmtId="14" fontId="0" fillId="0" borderId="0" xfId="0" applyNumberFormat="1" applyAlignment="1">
      <alignment horizontal="left"/>
    </xf>
    <xf numFmtId="0" fontId="16" fillId="49" borderId="10" xfId="0" applyFont="1" applyFill="1" applyBorder="1" applyAlignment="1">
      <alignment horizontal="center"/>
    </xf>
    <xf numFmtId="165" fontId="0" fillId="0" borderId="0" xfId="43" applyNumberFormat="1" applyFont="1" applyFill="1" applyBorder="1"/>
    <xf numFmtId="165" fontId="0" fillId="34" borderId="0" xfId="43" applyNumberFormat="1" applyFont="1" applyFill="1" applyBorder="1"/>
    <xf numFmtId="165" fontId="1" fillId="0" borderId="0" xfId="43" applyNumberFormat="1" applyFont="1"/>
    <xf numFmtId="165" fontId="1" fillId="0" borderId="0" xfId="43" applyNumberFormat="1" applyFont="1" applyFill="1" applyBorder="1"/>
    <xf numFmtId="0" fontId="13" fillId="51" borderId="46" xfId="0" applyFont="1" applyFill="1" applyBorder="1"/>
    <xf numFmtId="167" fontId="13" fillId="51" borderId="47" xfId="0" applyNumberFormat="1" applyFont="1" applyFill="1" applyBorder="1" applyAlignment="1">
      <alignment horizontal="center"/>
    </xf>
    <xf numFmtId="167" fontId="13" fillId="51" borderId="48" xfId="0" applyNumberFormat="1" applyFont="1" applyFill="1" applyBorder="1" applyAlignment="1">
      <alignment horizontal="center"/>
    </xf>
    <xf numFmtId="0" fontId="13" fillId="46" borderId="49" xfId="0" applyFont="1" applyFill="1" applyBorder="1" applyAlignment="1">
      <alignment horizontal="center"/>
    </xf>
    <xf numFmtId="0" fontId="13" fillId="52" borderId="49" xfId="0" applyFont="1" applyFill="1" applyBorder="1" applyAlignment="1">
      <alignment horizontal="center"/>
    </xf>
    <xf numFmtId="9" fontId="0" fillId="0" borderId="49" xfId="44" applyFont="1" applyBorder="1" applyAlignment="1">
      <alignment horizontal="center"/>
    </xf>
    <xf numFmtId="0" fontId="13" fillId="54" borderId="53" xfId="0" applyFont="1" applyFill="1" applyBorder="1" applyAlignment="1">
      <alignment horizontal="center"/>
    </xf>
    <xf numFmtId="0" fontId="13" fillId="53" borderId="54" xfId="0" applyFont="1" applyFill="1" applyBorder="1" applyAlignment="1">
      <alignment horizontal="center"/>
    </xf>
    <xf numFmtId="0" fontId="0" fillId="50" borderId="53" xfId="0" applyFill="1" applyBorder="1" applyAlignment="1">
      <alignment horizontal="center"/>
    </xf>
    <xf numFmtId="9" fontId="0" fillId="0" borderId="54" xfId="44" applyFont="1" applyBorder="1" applyAlignment="1">
      <alignment horizontal="center"/>
    </xf>
    <xf numFmtId="0" fontId="0" fillId="0" borderId="53" xfId="0" applyBorder="1" applyAlignment="1">
      <alignment horizontal="center"/>
    </xf>
    <xf numFmtId="0" fontId="0" fillId="0" borderId="55" xfId="0" applyBorder="1" applyAlignment="1">
      <alignment horizontal="center"/>
    </xf>
    <xf numFmtId="9" fontId="0" fillId="0" borderId="56" xfId="44" applyFont="1" applyBorder="1" applyAlignment="1">
      <alignment horizontal="center"/>
    </xf>
    <xf numFmtId="9" fontId="0" fillId="0" borderId="57" xfId="44" applyFont="1" applyBorder="1" applyAlignment="1">
      <alignment horizontal="center"/>
    </xf>
    <xf numFmtId="0" fontId="13" fillId="35" borderId="24" xfId="0" applyFont="1" applyFill="1" applyBorder="1" applyAlignment="1">
      <alignment horizontal="center"/>
    </xf>
    <xf numFmtId="0" fontId="13" fillId="35" borderId="19" xfId="0" applyFont="1" applyFill="1" applyBorder="1" applyAlignment="1">
      <alignment horizontal="center"/>
    </xf>
    <xf numFmtId="0" fontId="13" fillId="35" borderId="31" xfId="0" applyFont="1" applyFill="1" applyBorder="1" applyAlignment="1">
      <alignment horizontal="center"/>
    </xf>
    <xf numFmtId="165" fontId="0" fillId="0" borderId="39" xfId="0" applyNumberFormat="1" applyBorder="1" applyAlignment="1">
      <alignment horizontal="right"/>
    </xf>
    <xf numFmtId="0" fontId="0" fillId="0" borderId="41" xfId="0" applyBorder="1" applyAlignment="1">
      <alignment horizontal="right"/>
    </xf>
    <xf numFmtId="9" fontId="16" fillId="0" borderId="41" xfId="44" applyFont="1" applyBorder="1" applyAlignment="1">
      <alignment horizontal="right"/>
    </xf>
    <xf numFmtId="0" fontId="0" fillId="0" borderId="40" xfId="0" applyBorder="1"/>
    <xf numFmtId="165" fontId="0" fillId="0" borderId="39" xfId="43" applyNumberFormat="1" applyFont="1" applyFill="1" applyBorder="1" applyAlignment="1">
      <alignment horizontal="right"/>
    </xf>
    <xf numFmtId="165" fontId="0" fillId="0" borderId="41" xfId="43" applyNumberFormat="1" applyFont="1" applyFill="1" applyBorder="1" applyAlignment="1">
      <alignment horizontal="right"/>
    </xf>
    <xf numFmtId="0" fontId="0" fillId="0" borderId="40" xfId="0" applyBorder="1" applyAlignment="1">
      <alignment horizontal="left" indent="1"/>
    </xf>
    <xf numFmtId="165" fontId="16" fillId="0" borderId="39" xfId="0" applyNumberFormat="1" applyFont="1" applyBorder="1" applyAlignment="1">
      <alignment horizontal="right"/>
    </xf>
    <xf numFmtId="165" fontId="16" fillId="0" borderId="41" xfId="43" applyNumberFormat="1" applyFont="1" applyFill="1" applyBorder="1" applyAlignment="1">
      <alignment horizontal="right"/>
    </xf>
    <xf numFmtId="0" fontId="13" fillId="51" borderId="39" xfId="0" applyFont="1" applyFill="1" applyBorder="1"/>
    <xf numFmtId="165" fontId="0" fillId="0" borderId="0" xfId="44" applyNumberFormat="1" applyFont="1" applyBorder="1" applyAlignment="1">
      <alignment horizontal="right"/>
    </xf>
    <xf numFmtId="0" fontId="0" fillId="0" borderId="0" xfId="44" applyNumberFormat="1" applyFont="1" applyBorder="1" applyAlignment="1">
      <alignment horizontal="right"/>
    </xf>
    <xf numFmtId="0" fontId="13" fillId="51" borderId="42" xfId="0" applyFont="1" applyFill="1" applyBorder="1"/>
    <xf numFmtId="0" fontId="13" fillId="51" borderId="18" xfId="0" applyFont="1" applyFill="1" applyBorder="1" applyAlignment="1">
      <alignment horizontal="right"/>
    </xf>
    <xf numFmtId="165" fontId="16" fillId="0" borderId="39" xfId="43" applyNumberFormat="1" applyFont="1" applyFill="1" applyBorder="1" applyAlignment="1">
      <alignment horizontal="right"/>
    </xf>
    <xf numFmtId="165" fontId="0" fillId="0" borderId="39" xfId="0" applyNumberFormat="1" applyBorder="1"/>
    <xf numFmtId="0" fontId="16" fillId="50" borderId="40" xfId="0" applyFont="1" applyFill="1" applyBorder="1"/>
    <xf numFmtId="0" fontId="13" fillId="51" borderId="43" xfId="0" applyFont="1" applyFill="1" applyBorder="1" applyAlignment="1">
      <alignment horizontal="right"/>
    </xf>
    <xf numFmtId="0" fontId="0" fillId="0" borderId="44" xfId="0" applyBorder="1" applyAlignment="1">
      <alignment horizontal="left" indent="1"/>
    </xf>
    <xf numFmtId="9" fontId="0" fillId="0" borderId="39" xfId="44" applyFont="1" applyBorder="1"/>
    <xf numFmtId="0" fontId="16" fillId="0" borderId="40" xfId="0" applyFont="1" applyBorder="1" applyAlignment="1">
      <alignment horizontal="left"/>
    </xf>
    <xf numFmtId="0" fontId="16" fillId="50" borderId="40" xfId="0" applyFont="1" applyFill="1" applyBorder="1" applyAlignment="1">
      <alignment horizontal="left"/>
    </xf>
    <xf numFmtId="9" fontId="16" fillId="0" borderId="39" xfId="44" applyFont="1" applyBorder="1"/>
    <xf numFmtId="0" fontId="16" fillId="0" borderId="40" xfId="0" applyFont="1" applyBorder="1" applyAlignment="1">
      <alignment horizontal="left" indent="1"/>
    </xf>
    <xf numFmtId="0" fontId="16" fillId="0" borderId="44" xfId="0" applyFont="1" applyBorder="1" applyAlignment="1">
      <alignment horizontal="left" indent="1"/>
    </xf>
    <xf numFmtId="0" fontId="13" fillId="51" borderId="18" xfId="0" applyFont="1" applyFill="1" applyBorder="1"/>
    <xf numFmtId="9" fontId="16" fillId="0" borderId="39" xfId="44" applyFont="1" applyFill="1" applyBorder="1" applyAlignment="1">
      <alignment horizontal="right"/>
    </xf>
    <xf numFmtId="9" fontId="0" fillId="0" borderId="39" xfId="44" applyFont="1" applyFill="1" applyBorder="1" applyAlignment="1">
      <alignment horizontal="right"/>
    </xf>
    <xf numFmtId="9" fontId="0" fillId="0" borderId="41" xfId="44" applyFont="1" applyFill="1" applyBorder="1" applyAlignment="1">
      <alignment horizontal="right"/>
    </xf>
    <xf numFmtId="165" fontId="0" fillId="0" borderId="41" xfId="43" applyNumberFormat="1" applyFont="1" applyBorder="1" applyAlignment="1">
      <alignment horizontal="right"/>
    </xf>
    <xf numFmtId="165" fontId="0" fillId="0" borderId="45" xfId="43" applyNumberFormat="1" applyFont="1" applyBorder="1" applyAlignment="1">
      <alignment horizontal="right"/>
    </xf>
    <xf numFmtId="165" fontId="16" fillId="0" borderId="41" xfId="43" applyNumberFormat="1" applyFont="1" applyBorder="1" applyAlignment="1">
      <alignment horizontal="right"/>
    </xf>
    <xf numFmtId="165" fontId="1" fillId="0" borderId="41" xfId="43" applyNumberFormat="1" applyFont="1" applyFill="1" applyBorder="1" applyAlignment="1">
      <alignment horizontal="right"/>
    </xf>
    <xf numFmtId="0" fontId="16" fillId="50" borderId="60" xfId="0" applyFont="1" applyFill="1" applyBorder="1"/>
    <xf numFmtId="0" fontId="16" fillId="0" borderId="60" xfId="0" applyFont="1" applyBorder="1"/>
    <xf numFmtId="0" fontId="16" fillId="50" borderId="60" xfId="0" applyFont="1" applyFill="1" applyBorder="1" applyAlignment="1">
      <alignment horizontal="left"/>
    </xf>
    <xf numFmtId="0" fontId="16" fillId="0" borderId="60" xfId="0" applyFont="1" applyBorder="1" applyAlignment="1">
      <alignment horizontal="left" indent="1"/>
    </xf>
    <xf numFmtId="0" fontId="16" fillId="0" borderId="61" xfId="0" applyFont="1" applyBorder="1" applyAlignment="1">
      <alignment horizontal="left" indent="1"/>
    </xf>
    <xf numFmtId="0" fontId="13" fillId="51" borderId="58" xfId="0" applyFont="1" applyFill="1" applyBorder="1" applyAlignment="1">
      <alignment horizontal="right"/>
    </xf>
    <xf numFmtId="0" fontId="13" fillId="51" borderId="59" xfId="0" applyFont="1" applyFill="1" applyBorder="1" applyAlignment="1">
      <alignment horizontal="right"/>
    </xf>
    <xf numFmtId="165" fontId="0" fillId="0" borderId="0" xfId="0" applyNumberFormat="1"/>
    <xf numFmtId="9" fontId="0" fillId="0" borderId="0" xfId="44" applyFont="1"/>
    <xf numFmtId="165" fontId="0" fillId="0" borderId="41" xfId="0" applyNumberFormat="1" applyBorder="1"/>
    <xf numFmtId="165" fontId="0" fillId="0" borderId="45" xfId="0" applyNumberFormat="1" applyBorder="1"/>
    <xf numFmtId="9" fontId="16" fillId="0" borderId="0" xfId="44" applyFont="1"/>
    <xf numFmtId="0" fontId="33" fillId="0" borderId="0" xfId="0" applyFont="1"/>
    <xf numFmtId="165" fontId="0" fillId="38" borderId="0" xfId="0" applyNumberFormat="1" applyFill="1"/>
    <xf numFmtId="165" fontId="0" fillId="37" borderId="0" xfId="0" applyNumberFormat="1" applyFill="1"/>
    <xf numFmtId="165" fontId="0" fillId="42" borderId="0" xfId="0" applyNumberFormat="1" applyFill="1"/>
    <xf numFmtId="0" fontId="0" fillId="42" borderId="0" xfId="0" applyFill="1"/>
    <xf numFmtId="0" fontId="13" fillId="35" borderId="62" xfId="0" applyFont="1" applyFill="1" applyBorder="1" applyAlignment="1">
      <alignment horizontal="center"/>
    </xf>
    <xf numFmtId="0" fontId="17" fillId="35" borderId="0" xfId="0" applyFont="1" applyFill="1"/>
    <xf numFmtId="9" fontId="17" fillId="35" borderId="0" xfId="0" applyNumberFormat="1" applyFont="1" applyFill="1" applyAlignment="1">
      <alignment horizontal="center"/>
    </xf>
    <xf numFmtId="165" fontId="34" fillId="0" borderId="0" xfId="43" applyNumberFormat="1" applyFont="1"/>
    <xf numFmtId="165" fontId="35" fillId="0" borderId="0" xfId="43" applyNumberFormat="1" applyFont="1"/>
    <xf numFmtId="0" fontId="35" fillId="0" borderId="0" xfId="0" applyFont="1"/>
    <xf numFmtId="165" fontId="36" fillId="0" borderId="0" xfId="43" applyNumberFormat="1" applyFont="1"/>
    <xf numFmtId="165" fontId="37" fillId="0" borderId="0" xfId="43" applyNumberFormat="1" applyFont="1"/>
    <xf numFmtId="0" fontId="34" fillId="47" borderId="29" xfId="0" applyFont="1" applyFill="1" applyBorder="1"/>
    <xf numFmtId="0" fontId="34" fillId="0" borderId="0" xfId="0" applyFont="1"/>
    <xf numFmtId="0" fontId="36" fillId="47" borderId="29" xfId="0" applyFont="1" applyFill="1" applyBorder="1"/>
    <xf numFmtId="0" fontId="36" fillId="0" borderId="0" xfId="0" applyFont="1"/>
    <xf numFmtId="0" fontId="37" fillId="47" borderId="29" xfId="0" applyFont="1" applyFill="1" applyBorder="1"/>
    <xf numFmtId="0" fontId="37" fillId="0" borderId="0" xfId="0" applyFont="1"/>
    <xf numFmtId="9" fontId="0" fillId="42" borderId="0" xfId="44" applyFont="1" applyFill="1" applyAlignment="1">
      <alignment horizontal="center"/>
    </xf>
    <xf numFmtId="44" fontId="24" fillId="0" borderId="0" xfId="43" applyFont="1"/>
    <xf numFmtId="9" fontId="0" fillId="37" borderId="0" xfId="44" applyFont="1" applyFill="1" applyAlignment="1">
      <alignment horizontal="center"/>
    </xf>
    <xf numFmtId="9" fontId="0" fillId="38" borderId="0" xfId="44" applyFont="1" applyFill="1" applyAlignment="1">
      <alignment horizontal="center"/>
    </xf>
    <xf numFmtId="0" fontId="13" fillId="0" borderId="0" xfId="0" applyFont="1" applyAlignment="1">
      <alignment horizontal="center"/>
    </xf>
    <xf numFmtId="0" fontId="17" fillId="0" borderId="0" xfId="0" applyFont="1" applyAlignment="1">
      <alignment horizontal="center"/>
    </xf>
    <xf numFmtId="9" fontId="0" fillId="0" borderId="0" xfId="44" applyFont="1" applyAlignment="1">
      <alignment horizontal="center"/>
    </xf>
    <xf numFmtId="165" fontId="16" fillId="34" borderId="0" xfId="0" applyNumberFormat="1" applyFont="1" applyFill="1" applyAlignment="1">
      <alignment vertical="center"/>
    </xf>
    <xf numFmtId="165" fontId="26" fillId="34" borderId="0" xfId="0" applyNumberFormat="1" applyFont="1" applyFill="1" applyAlignment="1">
      <alignment vertical="center"/>
    </xf>
    <xf numFmtId="10" fontId="9" fillId="34" borderId="4" xfId="9" applyNumberFormat="1" applyFill="1" applyAlignment="1">
      <alignment vertical="center"/>
    </xf>
    <xf numFmtId="10" fontId="29" fillId="34" borderId="4" xfId="9" applyNumberFormat="1" applyFont="1" applyFill="1" applyAlignment="1">
      <alignment vertical="center"/>
    </xf>
    <xf numFmtId="165" fontId="0" fillId="34" borderId="0" xfId="0" applyNumberFormat="1" applyFill="1" applyAlignment="1">
      <alignment vertical="center"/>
    </xf>
    <xf numFmtId="165" fontId="30" fillId="34" borderId="0" xfId="0" applyNumberFormat="1" applyFont="1" applyFill="1" applyAlignment="1">
      <alignment vertical="center"/>
    </xf>
    <xf numFmtId="0" fontId="0" fillId="0" borderId="40" xfId="0" applyBorder="1" applyAlignment="1">
      <alignment horizontal="left"/>
    </xf>
    <xf numFmtId="165" fontId="1" fillId="0" borderId="39" xfId="43" applyNumberFormat="1" applyFont="1" applyFill="1" applyBorder="1" applyAlignment="1">
      <alignment horizontal="right"/>
    </xf>
    <xf numFmtId="165" fontId="1" fillId="0" borderId="41" xfId="43" applyNumberFormat="1" applyFont="1" applyBorder="1" applyAlignment="1">
      <alignment horizontal="right"/>
    </xf>
    <xf numFmtId="165" fontId="16" fillId="0" borderId="39" xfId="0" applyNumberFormat="1" applyFont="1" applyBorder="1"/>
    <xf numFmtId="165" fontId="16" fillId="0" borderId="0" xfId="0" applyNumberFormat="1" applyFont="1"/>
    <xf numFmtId="9" fontId="17" fillId="35" borderId="0" xfId="44" applyFont="1" applyFill="1" applyAlignment="1">
      <alignment horizontal="center"/>
    </xf>
    <xf numFmtId="165" fontId="1" fillId="0" borderId="0" xfId="43" applyNumberFormat="1" applyFont="1" applyFill="1"/>
    <xf numFmtId="165" fontId="0" fillId="0" borderId="0" xfId="43" applyNumberFormat="1" applyFont="1" applyFill="1"/>
    <xf numFmtId="0" fontId="13" fillId="55" borderId="20" xfId="0" applyFont="1" applyFill="1" applyBorder="1" applyAlignment="1">
      <alignment horizontal="center" wrapText="1"/>
    </xf>
    <xf numFmtId="0" fontId="13" fillId="55" borderId="11" xfId="0" applyFont="1" applyFill="1" applyBorder="1" applyAlignment="1">
      <alignment horizontal="center" wrapText="1"/>
    </xf>
    <xf numFmtId="0" fontId="13" fillId="55" borderId="12" xfId="0" applyFont="1" applyFill="1" applyBorder="1" applyAlignment="1">
      <alignment horizontal="center" wrapText="1"/>
    </xf>
    <xf numFmtId="0" fontId="16" fillId="0" borderId="0" xfId="0" quotePrefix="1" applyFont="1" applyAlignment="1">
      <alignment horizontal="left"/>
    </xf>
    <xf numFmtId="10" fontId="0" fillId="0" borderId="0" xfId="0" applyNumberFormat="1"/>
    <xf numFmtId="42" fontId="0" fillId="0" borderId="0" xfId="0" applyNumberFormat="1" applyAlignment="1">
      <alignment horizontal="center"/>
    </xf>
    <xf numFmtId="42" fontId="0" fillId="0" borderId="0" xfId="0" applyNumberFormat="1"/>
    <xf numFmtId="42" fontId="0" fillId="0" borderId="0" xfId="0" applyNumberFormat="1" applyAlignment="1">
      <alignment horizontal="center" vertical="center"/>
    </xf>
    <xf numFmtId="167" fontId="16" fillId="0" borderId="0" xfId="0" applyNumberFormat="1" applyFont="1" applyAlignment="1">
      <alignment horizontal="left"/>
    </xf>
    <xf numFmtId="165" fontId="16" fillId="43" borderId="0" xfId="0" applyNumberFormat="1" applyFont="1" applyFill="1" applyAlignment="1">
      <alignment horizontal="right" vertical="center"/>
    </xf>
    <xf numFmtId="165" fontId="13" fillId="35" borderId="0" xfId="0" applyNumberFormat="1" applyFont="1" applyFill="1" applyAlignment="1">
      <alignment horizontal="center"/>
    </xf>
    <xf numFmtId="0" fontId="13" fillId="35" borderId="21" xfId="0" applyFont="1" applyFill="1" applyBorder="1" applyAlignment="1">
      <alignment horizontal="center"/>
    </xf>
    <xf numFmtId="0" fontId="13" fillId="35" borderId="22" xfId="0" applyFont="1" applyFill="1" applyBorder="1" applyAlignment="1">
      <alignment horizontal="center"/>
    </xf>
    <xf numFmtId="0" fontId="13" fillId="35" borderId="23" xfId="0" applyFont="1" applyFill="1" applyBorder="1" applyAlignment="1">
      <alignment horizontal="center"/>
    </xf>
    <xf numFmtId="0" fontId="13" fillId="35" borderId="24" xfId="0" applyFont="1" applyFill="1" applyBorder="1" applyAlignment="1">
      <alignment horizontal="center"/>
    </xf>
    <xf numFmtId="0" fontId="13" fillId="35" borderId="19" xfId="0" applyFont="1" applyFill="1" applyBorder="1" applyAlignment="1">
      <alignment horizontal="center"/>
    </xf>
    <xf numFmtId="0" fontId="13" fillId="55" borderId="25" xfId="0" applyFont="1" applyFill="1" applyBorder="1" applyAlignment="1">
      <alignment horizontal="center" wrapText="1"/>
    </xf>
    <xf numFmtId="0" fontId="13" fillId="55" borderId="26" xfId="0" applyFont="1" applyFill="1" applyBorder="1" applyAlignment="1">
      <alignment horizontal="center" wrapText="1"/>
    </xf>
    <xf numFmtId="0" fontId="13" fillId="55" borderId="27" xfId="0" applyFont="1" applyFill="1" applyBorder="1" applyAlignment="1">
      <alignment horizontal="center"/>
    </xf>
    <xf numFmtId="0" fontId="13" fillId="55" borderId="0" xfId="0" applyFont="1" applyFill="1" applyAlignment="1">
      <alignment horizontal="center"/>
    </xf>
    <xf numFmtId="0" fontId="13" fillId="55" borderId="11" xfId="0" quotePrefix="1" applyFont="1" applyFill="1" applyBorder="1" applyAlignment="1">
      <alignment horizontal="center" wrapText="1"/>
    </xf>
    <xf numFmtId="0" fontId="13" fillId="55" borderId="12" xfId="0" applyFont="1" applyFill="1" applyBorder="1" applyAlignment="1">
      <alignment horizontal="center" wrapText="1"/>
    </xf>
    <xf numFmtId="0" fontId="13" fillId="55" borderId="11" xfId="0" applyFont="1" applyFill="1" applyBorder="1" applyAlignment="1">
      <alignment horizontal="center" wrapText="1"/>
    </xf>
    <xf numFmtId="165" fontId="13" fillId="55" borderId="0" xfId="0" applyNumberFormat="1" applyFont="1" applyFill="1" applyAlignment="1">
      <alignment horizontal="center"/>
    </xf>
    <xf numFmtId="0" fontId="13" fillId="54" borderId="50" xfId="0" applyFont="1" applyFill="1" applyBorder="1" applyAlignment="1">
      <alignment horizontal="center" vertical="center"/>
    </xf>
    <xf numFmtId="0" fontId="13" fillId="54" borderId="51" xfId="0" applyFont="1" applyFill="1" applyBorder="1" applyAlignment="1">
      <alignment horizontal="center" vertical="center"/>
    </xf>
    <xf numFmtId="0" fontId="13" fillId="54" borderId="52" xfId="0" applyFont="1" applyFill="1" applyBorder="1" applyAlignment="1">
      <alignment horizontal="center" vertical="center"/>
    </xf>
    <xf numFmtId="0" fontId="13" fillId="35" borderId="31" xfId="0" applyFont="1" applyFill="1" applyBorder="1" applyAlignment="1">
      <alignment horizontal="center"/>
    </xf>
    <xf numFmtId="9" fontId="0" fillId="0" borderId="0" xfId="0" applyNumberFormat="1" applyFont="1" applyAlignment="1">
      <alignment horizontal="center"/>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4" builtinId="5"/>
    <cellStyle name="Title" xfId="1" builtinId="15" customBuiltin="1"/>
    <cellStyle name="Total" xfId="17" builtinId="25" customBuiltin="1"/>
    <cellStyle name="Warning Text" xfId="14" builtinId="11" customBuiltin="1"/>
  </cellStyles>
  <dxfs count="1248">
    <dxf>
      <numFmt numFmtId="34" formatCode="_-&quot;$&quot;* #,##0.00_-;\-&quot;$&quot;* #,##0.00_-;_-&quot;$&quot;* &quot;-&quot;??_-;_-@_-"/>
    </dxf>
    <dxf>
      <numFmt numFmtId="32" formatCode="_-&quot;$&quot;* #,##0_-;\-&quot;$&quot;* #,##0_-;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horizontal="center"/>
    </dxf>
    <dxf>
      <font>
        <b/>
      </font>
    </dxf>
    <dxf>
      <font>
        <b/>
      </font>
    </dxf>
    <dxf>
      <font>
        <b/>
      </font>
    </dxf>
    <dxf>
      <alignment horizontal="center"/>
    </dxf>
    <dxf>
      <alignment horizontal="center"/>
    </dxf>
    <dxf>
      <numFmt numFmtId="32" formatCode="_-&quot;$&quot;* #,##0_-;\-&quot;$&quot;* #,##0_-;_-&quot;$&quot;* &quot;-&quot;_-;_-@_-"/>
    </dxf>
    <dxf>
      <numFmt numFmtId="13" formatCode="0%"/>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center"/>
    </dxf>
    <dxf>
      <numFmt numFmtId="32" formatCode="_-&quot;$&quot;* #,##0_-;\-&quot;$&quot;* #,##0_-;_-&quot;$&quot;* &quot;-&quot;_-;_-@_-"/>
    </dxf>
    <dxf>
      <numFmt numFmtId="13" formatCode="0%"/>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center"/>
    </dxf>
    <dxf>
      <numFmt numFmtId="32" formatCode="_-&quot;$&quot;* #,##0_-;\-&quot;$&quot;* #,##0_-;_-&quot;$&quot;* &quot;-&quot;_-;_-@_-"/>
    </dxf>
    <dxf>
      <numFmt numFmtId="13" formatCode="0%"/>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center"/>
    </dxf>
    <dxf>
      <numFmt numFmtId="32" formatCode="_-&quot;$&quot;* #,##0_-;\-&quot;$&quot;* #,##0_-;_-&quot;$&quot;* &quot;-&quot;_-;_-@_-"/>
    </dxf>
    <dxf>
      <numFmt numFmtId="13" formatCode="0%"/>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center"/>
    </dxf>
    <dxf>
      <numFmt numFmtId="32" formatCode="_-&quot;$&quot;* #,##0_-;\-&quot;$&quot;* #,##0_-;_-&quot;$&quot;* &quot;-&quot;_-;_-@_-"/>
    </dxf>
    <dxf>
      <numFmt numFmtId="13" formatCode="0%"/>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center"/>
    </dxf>
    <dxf>
      <numFmt numFmtId="32" formatCode="_-&quot;$&quot;* #,##0_-;\-&quot;$&quot;* #,##0_-;_-&quot;$&quot;* &quot;-&quot;_-;_-@_-"/>
    </dxf>
    <dxf>
      <numFmt numFmtId="13" formatCode="0%"/>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center"/>
    </dxf>
    <dxf>
      <numFmt numFmtId="34" formatCode="_-&quot;$&quot;* #,##0.00_-;\-&quot;$&quot;* #,##0.00_-;_-&quot;$&quot;* &quot;-&quot;??_-;_-@_-"/>
    </dxf>
    <dxf>
      <alignment horizontal="center"/>
    </dxf>
    <dxf>
      <alignment horizontal="center"/>
    </dxf>
    <dxf>
      <alignment horizontal="center"/>
    </dxf>
    <dxf>
      <alignment horizontal="center"/>
    </dxf>
    <dxf>
      <alignment horizontal="center"/>
    </dxf>
    <dxf>
      <alignment horizontal="center"/>
    </dxf>
    <dxf>
      <numFmt numFmtId="32" formatCode="_-&quot;$&quot;* #,##0_-;\-&quot;$&quot;* #,##0_-;_-&quot;$&quot;* &quot;-&quot;_-;_-@_-"/>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numFmt numFmtId="13" formatCode="0%"/>
    </dxf>
    <dxf>
      <alignment horizontal="center"/>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font>
        <b val="0"/>
      </font>
    </dxf>
    <dxf>
      <alignment horizontal="center"/>
    </dxf>
    <dxf>
      <alignment horizontal="center"/>
    </dxf>
    <dxf>
      <alignment horizontal="center"/>
    </dxf>
    <dxf>
      <alignment horizontal="center"/>
    </dxf>
    <dxf>
      <font>
        <color rgb="FF9C0006"/>
      </font>
      <fill>
        <patternFill>
          <bgColor rgb="FFFFC7CE"/>
        </patternFill>
      </fill>
    </dxf>
    <dxf>
      <font>
        <color rgb="FF006100"/>
      </font>
      <fill>
        <patternFill>
          <bgColor rgb="FFC6EFCE"/>
        </patternFill>
      </fill>
    </dxf>
    <dxf>
      <numFmt numFmtId="0" formatCode="General"/>
    </dxf>
    <dxf>
      <numFmt numFmtId="164" formatCode="_-[$$-C09]* #,##0_-;\-[$$-C09]* #,##0_-;_-[$$-C09]* &quot;-&quot;_-;_-@_-"/>
    </dxf>
    <dxf>
      <numFmt numFmtId="19" formatCode="d/mm/yyyy"/>
    </dxf>
    <dxf>
      <numFmt numFmtId="19" formatCode="d/mm/yyyy"/>
    </dxf>
    <dxf>
      <numFmt numFmtId="19" formatCode="d/mm/yyyy"/>
      <alignment horizontal="center" vertical="bottom" textRotation="0" wrapText="0" indent="0" justifyLastLine="0" shrinkToFit="0" readingOrder="0"/>
    </dxf>
    <dxf>
      <numFmt numFmtId="19" formatCode="d/mm/yyyy"/>
    </dxf>
    <dxf>
      <numFmt numFmtId="0" formatCode="General"/>
    </dxf>
    <dxf>
      <numFmt numFmtId="164" formatCode="_-[$$-C09]* #,##0_-;\-[$$-C09]* #,##0_-;_-[$$-C09]* &quot;-&quot;_-;_-@_-"/>
    </dxf>
    <dxf>
      <numFmt numFmtId="164" formatCode="_-[$$-C09]* #,##0_-;\-[$$-C09]* #,##0_-;_-[$$-C09]* &quot;-&quot;_-;_-@_-"/>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dxf>
    <dxf>
      <numFmt numFmtId="30" formatCode="@"/>
    </dxf>
    <dxf>
      <numFmt numFmtId="27" formatCode="d/mm/yyyy\ h:mm"/>
    </dxf>
    <dxf>
      <numFmt numFmtId="27" formatCode="d/mm/yyyy\ h:mm"/>
    </dxf>
    <dxf>
      <numFmt numFmtId="30" formatCode="@"/>
    </dxf>
    <dxf>
      <numFmt numFmtId="30" formatCode="@"/>
    </dxf>
    <dxf>
      <numFmt numFmtId="27" formatCode="d/mm/yyyy\ h:mm"/>
    </dxf>
    <dxf>
      <numFmt numFmtId="27" formatCode="d/mm/yyyy\ h:mm"/>
    </dxf>
    <dxf>
      <numFmt numFmtId="30" formatCode="@"/>
    </dxf>
    <dxf>
      <numFmt numFmtId="30" formatCode="@"/>
      <alignment horizontal="general" vertical="bottom" textRotation="0" wrapText="0" indent="0" justifyLastLine="0" shrinkToFit="0" readingOrder="0"/>
    </dxf>
    <dxf>
      <numFmt numFmtId="19" formatCode="d/mm/yyyy"/>
    </dxf>
    <dxf>
      <numFmt numFmtId="19" formatCode="d/mm/yyyy"/>
    </dxf>
    <dxf>
      <numFmt numFmtId="19" formatCode="d/mm/yyyy"/>
    </dxf>
    <dxf>
      <numFmt numFmtId="19" formatCode="d/mm/yyyy"/>
    </dxf>
    <dxf>
      <numFmt numFmtId="30" formatCode="@"/>
    </dxf>
    <dxf>
      <numFmt numFmtId="30" formatCode="@"/>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dxf>
    <dxf>
      <numFmt numFmtId="30" formatCode="@"/>
    </dxf>
    <dxf>
      <numFmt numFmtId="30" formatCode="@"/>
    </dxf>
    <dxf>
      <numFmt numFmtId="13" formatCode="0%"/>
    </dxf>
    <dxf>
      <numFmt numFmtId="13" formatCode="0%"/>
    </dxf>
    <dxf>
      <numFmt numFmtId="164" formatCode="_-[$$-C09]* #,##0_-;\-[$$-C09]* #,##0_-;_-[$$-C09]* &quot;-&quot;_-;_-@_-"/>
    </dxf>
    <dxf>
      <numFmt numFmtId="164" formatCode="_-[$$-C09]* #,##0_-;\-[$$-C09]* #,##0_-;_-[$$-C09]* &quot;-&quot;_-;_-@_-"/>
    </dxf>
    <dxf>
      <numFmt numFmtId="27" formatCode="d/mm/yyyy\ h:mm"/>
    </dxf>
    <dxf>
      <numFmt numFmtId="27" formatCode="d/mm/yyyy\ h:mm"/>
    </dxf>
    <dxf>
      <numFmt numFmtId="30" formatCode="@"/>
    </dxf>
    <dxf>
      <numFmt numFmtId="30" formatCode="@"/>
    </dxf>
    <dxf>
      <font>
        <b val="0"/>
        <i val="0"/>
        <strike val="0"/>
        <condense val="0"/>
        <extend val="0"/>
        <outline val="0"/>
        <shadow val="0"/>
        <u val="none"/>
        <vertAlign val="baseline"/>
        <sz val="10"/>
        <color theme="1"/>
        <name val="Aptos Narrow"/>
        <family val="2"/>
        <scheme val="minor"/>
      </font>
      <numFmt numFmtId="13" formatCode="0%"/>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numFmt numFmtId="13" formatCode="0%"/>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numFmt numFmtId="13" formatCode="0%"/>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numFmt numFmtId="13" formatCode="0%"/>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numFmt numFmtId="13" formatCode="0%"/>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3" formatCode="0%"/>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numFmt numFmtId="13" formatCode="0%"/>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3" formatCode="0%"/>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numFmt numFmtId="13" formatCode="0%"/>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numFmt numFmtId="165" formatCode="_-&quot;$&quot;* #,##0_-;\-&quot;$&quot;* #,##0_-;_-&quot;$&quot;* &quot;-&quot;??_-;_-@_-"/>
    </dxf>
    <dxf>
      <font>
        <b val="0"/>
        <i val="0"/>
        <strike val="0"/>
        <condense val="0"/>
        <extend val="0"/>
        <outline val="0"/>
        <shadow val="0"/>
        <u val="none"/>
        <vertAlign val="baseline"/>
        <sz val="10"/>
        <color theme="1"/>
        <name val="Aptos Narrow"/>
        <family val="2"/>
        <scheme val="minor"/>
      </font>
    </dxf>
    <dxf>
      <font>
        <strike val="0"/>
        <outline val="0"/>
        <shadow val="0"/>
        <u val="none"/>
        <vertAlign val="baseline"/>
        <sz val="10"/>
        <color theme="1"/>
        <name val="Aptos Narrow"/>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theme="1"/>
        <name val="Aptos Narrow"/>
        <family val="2"/>
        <scheme val="minor"/>
      </font>
    </dxf>
    <dxf>
      <font>
        <strike val="0"/>
        <outline val="0"/>
        <shadow val="0"/>
        <u val="none"/>
        <vertAlign val="baseline"/>
        <sz val="10"/>
        <color theme="1"/>
        <name val="Aptos Narrow"/>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theme="1"/>
        <name val="Aptos Narrow"/>
        <family val="2"/>
        <scheme val="minor"/>
      </font>
    </dxf>
    <dxf>
      <font>
        <strike val="0"/>
        <outline val="0"/>
        <shadow val="0"/>
        <u val="none"/>
        <vertAlign val="baseline"/>
        <sz val="10"/>
        <color theme="1"/>
        <name val="Aptos Narrow"/>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bottom" textRotation="0" wrapText="0" indent="0" justifyLastLine="0" shrinkToFit="0" readingOrder="0"/>
    </dxf>
    <dxf>
      <font>
        <strike val="0"/>
        <outline val="0"/>
        <shadow val="0"/>
        <u val="none"/>
        <vertAlign val="baseline"/>
        <sz val="10"/>
        <color theme="1"/>
        <name val="Aptos Narrow"/>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theme="1"/>
        <name val="Aptos Narrow"/>
        <family val="2"/>
        <scheme val="minor"/>
      </font>
    </dxf>
    <dxf>
      <font>
        <strike val="0"/>
        <outline val="0"/>
        <shadow val="0"/>
        <u val="none"/>
        <vertAlign val="baseline"/>
        <sz val="10"/>
        <color theme="1"/>
        <name val="Aptos Narrow"/>
        <family val="2"/>
        <scheme val="minor"/>
      </font>
      <numFmt numFmtId="19" formatCode="d/mm/yyyy"/>
    </dxf>
    <dxf>
      <font>
        <b val="0"/>
        <i val="0"/>
        <strike val="0"/>
        <condense val="0"/>
        <extend val="0"/>
        <outline val="0"/>
        <shadow val="0"/>
        <u val="none"/>
        <vertAlign val="baseline"/>
        <sz val="10"/>
        <color theme="1"/>
        <name val="Aptos Narrow"/>
        <family val="2"/>
        <scheme val="minor"/>
      </font>
    </dxf>
    <dxf>
      <font>
        <strike val="0"/>
        <outline val="0"/>
        <shadow val="0"/>
        <u val="none"/>
        <vertAlign val="baseline"/>
        <sz val="10"/>
        <color theme="1"/>
        <name val="Aptos Narrow"/>
        <family val="2"/>
        <scheme val="minor"/>
      </font>
      <numFmt numFmtId="19" formatCode="d/mm/yyyy"/>
    </dxf>
    <dxf>
      <font>
        <b val="0"/>
        <i val="0"/>
        <strike val="0"/>
        <condense val="0"/>
        <extend val="0"/>
        <outline val="0"/>
        <shadow val="0"/>
        <u val="none"/>
        <vertAlign val="baseline"/>
        <sz val="10"/>
        <color theme="1"/>
        <name val="Aptos Narrow"/>
        <family val="2"/>
        <scheme val="minor"/>
      </font>
    </dxf>
    <dxf>
      <font>
        <strike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strike val="0"/>
        <outline val="0"/>
        <shadow val="0"/>
        <u val="none"/>
        <vertAlign val="baseline"/>
        <sz val="10"/>
        <color theme="1"/>
        <name val="Aptos Narrow"/>
        <family val="2"/>
        <scheme val="minor"/>
      </font>
      <numFmt numFmtId="0" formatCode="General"/>
    </dxf>
    <dxf>
      <font>
        <b val="0"/>
        <i val="0"/>
        <strike val="0"/>
        <condense val="0"/>
        <extend val="0"/>
        <outline val="0"/>
        <shadow val="0"/>
        <u val="none"/>
        <vertAlign val="baseline"/>
        <sz val="10"/>
        <color theme="1"/>
        <name val="Aptos Narrow"/>
        <family val="2"/>
        <scheme val="minor"/>
      </font>
    </dxf>
    <dxf>
      <font>
        <strike val="0"/>
        <outline val="0"/>
        <shadow val="0"/>
        <u val="none"/>
        <vertAlign val="baseline"/>
        <sz val="10"/>
        <color theme="1"/>
        <name val="Aptos Narrow"/>
        <family val="2"/>
        <scheme val="minor"/>
      </font>
      <numFmt numFmtId="0" formatCode="General"/>
    </dxf>
    <dxf>
      <font>
        <b val="0"/>
        <i val="0"/>
        <strike val="0"/>
        <condense val="0"/>
        <extend val="0"/>
        <outline val="0"/>
        <shadow val="0"/>
        <u val="none"/>
        <vertAlign val="baseline"/>
        <sz val="10"/>
        <color theme="1"/>
        <name val="Aptos Narrow"/>
        <family val="2"/>
        <scheme val="minor"/>
      </font>
    </dxf>
    <dxf>
      <font>
        <strike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strike val="0"/>
        <outline val="0"/>
        <shadow val="0"/>
        <u val="none"/>
        <vertAlign val="baseline"/>
        <sz val="10"/>
        <color theme="1"/>
        <name val="Aptos Narrow"/>
        <family val="2"/>
        <scheme val="minor"/>
      </font>
      <numFmt numFmtId="0" formatCode="General"/>
    </dxf>
    <dxf>
      <font>
        <b val="0"/>
        <i val="0"/>
        <strike val="0"/>
        <condense val="0"/>
        <extend val="0"/>
        <outline val="0"/>
        <shadow val="0"/>
        <u val="none"/>
        <vertAlign val="baseline"/>
        <sz val="10"/>
        <color theme="1"/>
        <name val="Aptos Narrow"/>
        <family val="2"/>
        <scheme val="minor"/>
      </font>
    </dxf>
    <dxf>
      <font>
        <strike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strike val="0"/>
        <outline val="0"/>
        <shadow val="0"/>
        <u val="none"/>
        <vertAlign val="baseline"/>
        <sz val="10"/>
        <color theme="1"/>
        <name val="Aptos Narrow"/>
        <family val="2"/>
        <scheme val="minor"/>
      </font>
      <numFmt numFmtId="0" formatCode="General"/>
    </dxf>
    <dxf>
      <alignment horizontal="general" vertical="top" textRotation="0" wrapText="1" indent="0" justifyLastLine="0" shrinkToFit="0" readingOrder="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dxf>
    <dxf>
      <alignment horizontal="center"/>
    </dxf>
    <dxf>
      <font>
        <b/>
      </font>
    </dxf>
    <dxf>
      <font>
        <b/>
      </font>
    </dxf>
    <dxf>
      <alignment horizontal="center"/>
    </dxf>
    <dxf>
      <numFmt numFmtId="13"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32" formatCode="_-&quot;$&quot;* #,##0_-;\-&quot;$&quot;* #,##0_-;_-&quot;$&quot;* &quot;-&quot;_-;_-@_-"/>
    </dxf>
    <dxf>
      <numFmt numFmtId="34" formatCode="_-&quot;$&quot;* #,##0.00_-;\-&quot;$&quot;* #,##0.00_-;_-&quot;$&quot;* &quot;-&quot;??_-;_-@_-"/>
    </dxf>
    <dxf>
      <font>
        <b/>
        <i val="0"/>
        <strike val="0"/>
        <condense val="0"/>
        <extend val="0"/>
        <outline val="0"/>
        <shadow val="0"/>
        <u val="none"/>
        <vertAlign val="baseline"/>
        <sz val="11"/>
        <color theme="1"/>
        <name val="Aptos Narrow"/>
        <family val="2"/>
        <scheme val="minor"/>
      </font>
      <alignment horizontal="left" vertical="bottom" textRotation="0" wrapText="0" indent="1" justifyLastLine="0" shrinkToFit="0" readingOrder="0"/>
      <border diagonalUp="0" diagonalDown="0">
        <left style="thin">
          <color theme="1"/>
        </left>
        <right style="thin">
          <color indexed="64"/>
        </right>
        <top style="thin">
          <color indexed="64"/>
        </top>
        <bottom style="thin">
          <color indexed="64"/>
        </bottom>
        <vertical/>
        <horizontal/>
      </border>
    </dxf>
    <dxf>
      <border outline="0">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theme="1"/>
          <bgColor theme="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165" formatCode="_-&quot;$&quot;* #,##0_-;\-&quot;$&quot;* #,##0_-;_-&quot;$&quot;* &quot;-&quot;??_-;_-@_-"/>
      <fill>
        <patternFill patternType="none">
          <fgColor indexed="64"/>
          <bgColor auto="1"/>
        </patternFill>
      </fill>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left" vertical="bottom" textRotation="0" wrapText="0" indent="1"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dxf>
    <dxf>
      <border>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theme="1"/>
          <bgColor theme="1"/>
        </patternFill>
      </fill>
      <alignment horizontal="right"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font>
      <numFmt numFmtId="0" formatCode="General"/>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165" formatCode="_-&quot;$&quot;* #,##0_-;\-&quot;$&quot;* #,##0_-;_-&quot;$&quot;* &quot;-&quot;??_-;_-@_-"/>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165" formatCode="_-&quot;$&quot;* #,##0_-;\-&quot;$&quot;* #,##0_-;_-&quot;$&quot;* &quot;-&quot;??_-;_-@_-"/>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quot;$&quot;* #,##0_-;\-&quot;$&quot;* #,##0_-;_-&quot;$&quot;* &quot;-&quot;??_-;_-@_-"/>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quot;$&quot;* #,##0_-;\-&quot;$&quot;* #,##0_-;_-&quot;$&quot;* &quot;-&quot;??_-;_-@_-"/>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fill>
        <patternFill patternType="none">
          <fgColor indexed="64"/>
          <bgColor auto="1"/>
        </patternFill>
      </fill>
      <alignment horizontal="left" vertical="bottom" textRotation="0" wrapText="0" indent="1"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patternType="none">
          <fgColor indexed="64"/>
          <bgColor auto="1"/>
        </patternFill>
      </fill>
      <alignment horizontal="right" vertical="bottom" textRotation="0" wrapText="0" indent="0" justifyLastLine="0" shrinkToFit="0" readingOrder="0"/>
    </dxf>
    <dxf>
      <border outline="0">
        <bottom style="thin">
          <color rgb="FF000000"/>
        </bottom>
      </border>
    </dxf>
    <dxf>
      <alignment horizontal="righ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165" formatCode="_-&quot;$&quot;* #,##0_-;\-&quot;$&quot;* #,##0_-;_-&quot;$&quot;* &quot;-&quot;??_-;_-@_-"/>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165" formatCode="_-&quot;$&quot;* #,##0_-;\-&quot;$&quot;* #,##0_-;_-&quot;$&quot;* &quot;-&quot;??_-;_-@_-"/>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165" formatCode="_-&quot;$&quot;* #,##0_-;\-&quot;$&quot;* #,##0_-;_-&quot;$&quot;* &quot;-&quot;??_-;_-@_-"/>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alignment horizontal="left" vertical="bottom" textRotation="0" wrapText="0" indent="0" justifyLastLine="0" shrinkToFit="0" readingOrder="0"/>
      <border diagonalUp="0" diagonalDown="0" outline="0">
        <left/>
        <right style="thin">
          <color theme="0" tint="-0.14999847407452621"/>
        </right>
        <top style="thin">
          <color indexed="64"/>
        </top>
        <bottom style="double">
          <color indexed="64"/>
        </bottom>
      </border>
    </dxf>
    <dxf>
      <fill>
        <patternFill patternType="none">
          <fgColor indexed="64"/>
          <bgColor auto="1"/>
        </patternFill>
      </fill>
      <alignment horizontal="left" vertical="bottom" textRotation="0" wrapText="0"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border>
        <top style="thin">
          <color rgb="FF000000"/>
        </top>
      </border>
    </dxf>
    <dxf>
      <fill>
        <patternFill patternType="none">
          <fgColor rgb="FF000000"/>
          <bgColor auto="1"/>
        </patternFill>
      </fill>
      <border diagonalUp="0" diagonalDown="0" outline="0">
        <left style="thin">
          <color rgb="FFD9D9D9"/>
        </left>
        <right style="thin">
          <color rgb="FFD9D9D9"/>
        </right>
        <top/>
        <bottom/>
      </border>
    </dxf>
    <dxf>
      <border outline="0">
        <left style="thin">
          <color rgb="FFD9D9D9"/>
        </left>
        <top style="thin">
          <color rgb="FFD9D9D9"/>
        </top>
        <bottom style="thin">
          <color rgb="FFD9D9D9"/>
        </bottom>
      </border>
    </dxf>
    <dxf>
      <fill>
        <patternFill patternType="none">
          <fgColor rgb="FF000000"/>
          <bgColor auto="1"/>
        </patternFill>
      </fill>
    </dxf>
    <dxf>
      <border outline="0">
        <bottom style="thin">
          <color rgb="FFD9D9D9"/>
        </bottom>
      </border>
    </dxf>
    <dxf>
      <font>
        <b/>
        <i val="0"/>
        <strike val="0"/>
        <condense val="0"/>
        <extend val="0"/>
        <outline val="0"/>
        <shadow val="0"/>
        <u val="none"/>
        <vertAlign val="baseline"/>
        <sz val="11"/>
        <color theme="0"/>
        <name val="Aptos Narrow"/>
        <family val="2"/>
        <scheme val="minor"/>
      </font>
      <fill>
        <patternFill patternType="solid">
          <fgColor indexed="64"/>
          <bgColor theme="1"/>
        </patternFill>
      </fill>
      <alignment horizontal="center" vertical="top" textRotation="0" wrapText="1" indent="0" justifyLastLine="0" shrinkToFit="0" readingOrder="0"/>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dxf>
    <dxf>
      <font>
        <b val="0"/>
        <i val="0"/>
        <strike val="0"/>
        <condense val="0"/>
        <extend val="0"/>
        <outline val="0"/>
        <shadow val="0"/>
        <u val="none"/>
        <vertAlign val="baseline"/>
        <sz val="11"/>
        <color rgb="FF000000"/>
        <name val="Aptos Narrow"/>
        <family val="2"/>
        <scheme val="none"/>
      </font>
      <numFmt numFmtId="167" formatCode="mmmm"/>
      <fill>
        <patternFill patternType="none">
          <fgColor indexed="64"/>
          <bgColor auto="1"/>
        </patternFill>
      </fill>
    </dxf>
    <dxf>
      <font>
        <b/>
        <i val="0"/>
        <strike val="0"/>
        <condense val="0"/>
        <extend val="0"/>
        <outline val="0"/>
        <shadow val="0"/>
        <u val="none"/>
        <vertAlign val="baseline"/>
        <sz val="11"/>
        <color theme="1"/>
        <name val="Aptos Narrow"/>
        <family val="2"/>
        <scheme val="minor"/>
      </font>
      <numFmt numFmtId="167" formatCode="mmmm"/>
      <fill>
        <patternFill patternType="none">
          <fgColor indexed="64"/>
          <bgColor auto="1"/>
        </patternFill>
      </fill>
      <alignment horizontal="center" vertical="bottom" textRotation="0" wrapText="0" indent="0" justifyLastLine="0" shrinkToFit="0" readingOrder="0"/>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alignment horizontal="center"/>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numFmt numFmtId="13" formatCode="0%"/>
    </dxf>
    <dxf>
      <numFmt numFmtId="32" formatCode="_-&quot;$&quot;* #,##0_-;\-&quot;$&quot;* #,##0_-;_-&quot;$&quot;* &quot;-&quot;_-;_-@_-"/>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numFmt numFmtId="0" formatCode="General"/>
      <alignment horizontal="right"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_-&quot;$&quot;* #,##0_-;\-&quot;$&quot;* #,##0_-;_-&quot;$&quot;* &quot;-&quot;??_-;_-@_-"/>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_-&quot;$&quot;* #,##0_-;\-&quot;$&quot;* #,##0_-;_-&quot;$&quot;* &quot;-&quot;??_-;_-@_-"/>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_-&quot;$&quot;* #,##0_-;\-&quot;$&quot;* #,##0_-;_-&quot;$&quot;* &quot;-&quot;??_-;_-@_-"/>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_-&quot;$&quot;* #,##0_-;\-&quot;$&quot;* #,##0_-;_-&quot;$&quot;* &quot;-&quot;??_-;_-@_-"/>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left" vertical="bottom" textRotation="0" wrapText="0" indent="1"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top style="thin">
          <color rgb="FF000000"/>
        </top>
      </border>
    </dxf>
    <dxf>
      <alignment horizontal="right"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Aptos Narrow"/>
        <family val="2"/>
        <scheme val="minor"/>
      </font>
      <fill>
        <patternFill patternType="solid">
          <fgColor theme="1"/>
          <bgColor theme="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165" formatCode="_-&quot;$&quot;* #,##0_-;\-&quot;$&quot;* #,##0_-;_-&quot;$&quot;* &quot;-&quot;??_-;_-@_-"/>
      <alignment horizontal="right" vertical="bottom" textRotation="0" wrapText="0" indent="0" justifyLastLine="0" shrinkToFit="0" readingOrder="0"/>
      <border diagonalUp="0" diagonalDown="0">
        <left style="thin">
          <color indexed="64"/>
        </left>
        <right/>
        <top style="thin">
          <color indexed="64"/>
        </top>
        <bottom style="thin">
          <color indexed="64"/>
        </bottom>
      </border>
    </dxf>
    <dxf>
      <numFmt numFmtId="165" formatCode="_-&quot;$&quot;* #,##0_-;\-&quot;$&quot;* #,##0_-;_-&quot;$&quot;* &quot;-&quot;??_-;_-@_-"/>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quot;$&quot;* #,##0_-;\-&quot;$&quot;* #,##0_-;_-&quot;$&quot;* &quot;-&quot;??_-;_-@_-"/>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_-&quot;$&quot;* #,##0_-;\-&quot;$&quot;* #,##0_-;_-&quot;$&quot;* &quot;-&quot;??_-;_-@_-"/>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_-&quot;$&quot;* #,##0_-;\-&quot;$&quot;* #,##0_-;_-&quot;$&quot;* &quot;-&quot;??_-;_-@_-"/>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left" vertical="bottom" textRotation="0" wrapText="0" indent="1"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top style="thin">
          <color rgb="FF000000"/>
        </top>
        <bottom style="thin">
          <color rgb="FF000000"/>
        </bottom>
      </border>
    </dxf>
    <dxf>
      <alignment horizontal="right"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Aptos Narrow"/>
        <family val="2"/>
        <scheme val="minor"/>
      </font>
      <fill>
        <patternFill patternType="solid">
          <fgColor theme="1"/>
          <bgColor theme="1"/>
        </patternFill>
      </fill>
      <alignment horizontal="right" vertical="bottom" textRotation="0" wrapText="0" indent="0" justifyLastLine="0" shrinkToFit="0" readingOrder="0"/>
      <border diagonalUp="0" diagonalDown="0" outline="0">
        <left style="thin">
          <color indexed="64"/>
        </left>
        <right style="thin">
          <color indexed="64"/>
        </right>
        <top/>
        <bottom/>
      </border>
    </dxf>
    <dxf>
      <font>
        <b/>
      </font>
      <numFmt numFmtId="165" formatCode="_-&quot;$&quot;* #,##0_-;\-&quot;$&quot;* #,##0_-;_-&quot;$&quot;* &quot;-&quot;??_-;_-@_-"/>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_-&quot;$&quot;* #,##0_-;\-&quot;$&quot;* #,##0_-;_-&quot;$&quot;* &quot;-&quot;??_-;_-@_-"/>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quot;$&quot;* #,##0_-;\-&quot;$&quot;* #,##0_-;_-&quot;$&quot;* &quot;-&quot;??_-;_-@_-"/>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quot;$&quot;* #,##0_-;\-&quot;$&quot;* #,##0_-;_-&quot;$&quot;* &quot;-&quot;??_-;_-@_-"/>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quot;$&quot;* #,##0_-;\-&quot;$&quot;* #,##0_-;_-&quot;$&quot;* &quot;-&quot;??_-;_-@_-"/>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fill>
        <patternFill patternType="none">
          <fgColor indexed="64"/>
          <bgColor auto="1"/>
        </patternFill>
      </fill>
      <alignment horizontal="left" vertical="bottom" textRotation="0" wrapText="0" indent="1"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patternType="none">
          <fgColor rgb="FF000000"/>
          <bgColor auto="1"/>
        </patternFill>
      </fill>
      <alignment horizontal="right" vertical="bottom" textRotation="0" wrapText="0" indent="0" justifyLastLine="0" shrinkToFit="0" readingOrder="0"/>
    </dxf>
    <dxf>
      <border outline="0">
        <bottom style="thin">
          <color rgb="FF000000"/>
        </bottom>
      </border>
    </dxf>
    <dxf>
      <alignment horizontal="righ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165" formatCode="_-&quot;$&quot;* #,##0_-;\-&quot;$&quot;* #,##0_-;_-&quot;$&quot;* &quot;-&quot;??_-;_-@_-"/>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165" formatCode="_-&quot;$&quot;* #,##0_-;\-&quot;$&quot;* #,##0_-;_-&quot;$&quot;* &quot;-&quot;??_-;_-@_-"/>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165" formatCode="_-&quot;$&quot;* #,##0_-;\-&quot;$&quot;* #,##0_-;_-&quot;$&quot;* &quot;-&quot;??_-;_-@_-"/>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alignment horizontal="left" vertical="bottom" textRotation="0" wrapText="0" indent="0" justifyLastLine="0" shrinkToFit="0" readingOrder="0"/>
      <border diagonalUp="0" diagonalDown="0" outline="0">
        <left/>
        <right style="thin">
          <color theme="0" tint="-0.14999847407452621"/>
        </right>
        <top style="thin">
          <color indexed="64"/>
        </top>
        <bottom style="double">
          <color indexed="64"/>
        </bottom>
      </border>
    </dxf>
    <dxf>
      <fill>
        <patternFill patternType="none">
          <fgColor indexed="64"/>
          <bgColor auto="1"/>
        </patternFill>
      </fill>
      <alignment horizontal="left" vertical="bottom" textRotation="0" wrapText="0"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border>
        <top style="thin">
          <color rgb="FF000000"/>
        </top>
      </border>
    </dxf>
    <dxf>
      <fill>
        <patternFill patternType="none">
          <fgColor rgb="FF000000"/>
          <bgColor auto="1"/>
        </patternFill>
      </fill>
      <border diagonalUp="0" diagonalDown="0" outline="0">
        <left style="thin">
          <color rgb="FFD9D9D9"/>
        </left>
        <right style="thin">
          <color rgb="FFD9D9D9"/>
        </right>
        <top/>
        <bottom/>
      </border>
    </dxf>
    <dxf>
      <border outline="0">
        <left style="thin">
          <color rgb="FFD9D9D9"/>
        </left>
        <top style="thin">
          <color rgb="FFD9D9D9"/>
        </top>
        <bottom style="thin">
          <color rgb="FFD9D9D9"/>
        </bottom>
      </border>
    </dxf>
    <dxf>
      <fill>
        <patternFill patternType="none">
          <fgColor rgb="FF000000"/>
          <bgColor auto="1"/>
        </patternFill>
      </fill>
    </dxf>
    <dxf>
      <border outline="0">
        <bottom style="thin">
          <color rgb="FFD9D9D9"/>
        </bottom>
      </border>
    </dxf>
    <dxf>
      <font>
        <b/>
        <i val="0"/>
        <strike val="0"/>
        <condense val="0"/>
        <extend val="0"/>
        <outline val="0"/>
        <shadow val="0"/>
        <u val="none"/>
        <vertAlign val="baseline"/>
        <sz val="11"/>
        <color theme="0"/>
        <name val="Aptos Narrow"/>
        <family val="2"/>
        <scheme val="minor"/>
      </font>
      <fill>
        <patternFill patternType="solid">
          <fgColor indexed="64"/>
          <bgColor theme="1"/>
        </patternFill>
      </fill>
      <alignment horizontal="center" vertical="top" textRotation="0" wrapText="1" indent="0" justifyLastLine="0" shrinkToFit="0" readingOrder="0"/>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rgb="FF000000"/>
        <name val="Aptos Narrow"/>
        <family val="2"/>
        <scheme val="none"/>
      </font>
      <numFmt numFmtId="167" formatCode="mmmm"/>
      <fill>
        <patternFill patternType="none">
          <fgColor rgb="FF000000"/>
          <bgColor auto="1"/>
        </patternFill>
      </fill>
    </dxf>
    <dxf>
      <font>
        <b/>
        <i val="0"/>
        <strike val="0"/>
        <condense val="0"/>
        <extend val="0"/>
        <outline val="0"/>
        <shadow val="0"/>
        <u val="none"/>
        <vertAlign val="baseline"/>
        <sz val="11"/>
        <color theme="1"/>
        <name val="Aptos Narrow"/>
        <family val="2"/>
        <scheme val="minor"/>
      </font>
      <numFmt numFmtId="167" formatCode="mmmm"/>
      <fill>
        <patternFill patternType="none">
          <fgColor indexed="64"/>
          <bgColor auto="1"/>
        </patternFill>
      </fill>
      <alignment horizontal="center" vertical="bottom" textRotation="0" wrapText="0" indent="0" justifyLastLine="0" shrinkToFit="0" readingOrder="0"/>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font>
        <b val="0"/>
        <i val="0"/>
        <strike val="0"/>
        <condense val="0"/>
        <extend val="0"/>
        <outline val="0"/>
        <shadow val="0"/>
        <u val="none"/>
        <vertAlign val="baseline"/>
        <sz val="11"/>
        <color theme="1"/>
        <name val="Aptos Narrow"/>
        <family val="2"/>
        <scheme val="minor"/>
      </font>
      <numFmt numFmtId="165" formatCode="_-&quot;$&quot;* #,##0_-;\-&quot;$&quot;* #,##0_-;_-&quot;$&quot;* &quot;-&quot;??_-;_-@_-"/>
    </dxf>
    <dxf>
      <alignment horizontal="center"/>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numFmt numFmtId="13" formatCode="0%"/>
    </dxf>
    <dxf>
      <numFmt numFmtId="32" formatCode="_-&quot;$&quot;* #,##0_-;\-&quot;$&quot;* #,##0_-;_-&quot;$&quot;* &quot;-&quot;_-;_-@_-"/>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numFmt numFmtId="0" formatCode="General"/>
      <alignment horizontal="right"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_-&quot;$&quot;* #,##0_-;\-&quot;$&quot;* #,##0_-;_-&quot;$&quot;* &quot;-&quot;??_-;_-@_-"/>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_-&quot;$&quot;* #,##0_-;\-&quot;$&quot;* #,##0_-;_-&quot;$&quot;* &quot;-&quot;??_-;_-@_-"/>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_-&quot;$&quot;* #,##0_-;\-&quot;$&quot;* #,##0_-;_-&quot;$&quot;* &quot;-&quot;??_-;_-@_-"/>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_-&quot;$&quot;* #,##0_-;\-&quot;$&quot;* #,##0_-;_-&quot;$&quot;* &quot;-&quot;??_-;_-@_-"/>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left" vertical="bottom" textRotation="0" wrapText="0" indent="1"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top style="thin">
          <color rgb="FF000000"/>
        </top>
      </border>
    </dxf>
    <dxf>
      <alignment horizontal="right"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Aptos Narrow"/>
        <family val="2"/>
        <scheme val="minor"/>
      </font>
      <fill>
        <patternFill patternType="solid">
          <fgColor theme="1"/>
          <bgColor theme="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165" formatCode="_-&quot;$&quot;* #,##0_-;\-&quot;$&quot;* #,##0_-;_-&quot;$&quot;* &quot;-&quot;??_-;_-@_-"/>
      <alignment horizontal="right" vertical="bottom" textRotation="0" wrapText="0" indent="0" justifyLastLine="0" shrinkToFit="0" readingOrder="0"/>
      <border diagonalUp="0" diagonalDown="0">
        <left style="thin">
          <color indexed="64"/>
        </left>
        <right/>
        <top style="thin">
          <color indexed="64"/>
        </top>
        <bottom style="thin">
          <color indexed="64"/>
        </bottom>
      </border>
    </dxf>
    <dxf>
      <numFmt numFmtId="165" formatCode="_-&quot;$&quot;* #,##0_-;\-&quot;$&quot;* #,##0_-;_-&quot;$&quot;* &quot;-&quot;??_-;_-@_-"/>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quot;$&quot;* #,##0_-;\-&quot;$&quot;* #,##0_-;_-&quot;$&quot;* &quot;-&quot;??_-;_-@_-"/>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_-&quot;$&quot;* #,##0_-;\-&quot;$&quot;* #,##0_-;_-&quot;$&quot;* &quot;-&quot;??_-;_-@_-"/>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_-&quot;$&quot;* #,##0_-;\-&quot;$&quot;* #,##0_-;_-&quot;$&quot;* &quot;-&quot;??_-;_-@_-"/>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left" vertical="bottom" textRotation="0" wrapText="0" indent="1"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top style="thin">
          <color rgb="FF000000"/>
        </top>
        <bottom style="thin">
          <color rgb="FF000000"/>
        </bottom>
      </border>
    </dxf>
    <dxf>
      <alignment horizontal="right"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Aptos Narrow"/>
        <family val="2"/>
        <scheme val="minor"/>
      </font>
      <fill>
        <patternFill patternType="solid">
          <fgColor theme="1"/>
          <bgColor theme="1"/>
        </patternFill>
      </fill>
      <alignment horizontal="right" vertical="bottom" textRotation="0" wrapText="0" indent="0" justifyLastLine="0" shrinkToFit="0" readingOrder="0"/>
      <border diagonalUp="0" diagonalDown="0" outline="0">
        <left style="thin">
          <color indexed="64"/>
        </left>
        <right style="thin">
          <color indexed="64"/>
        </right>
        <top/>
        <bottom/>
      </border>
    </dxf>
    <dxf>
      <font>
        <b/>
      </font>
      <numFmt numFmtId="165" formatCode="_-&quot;$&quot;* #,##0_-;\-&quot;$&quot;* #,##0_-;_-&quot;$&quot;* &quot;-&quot;??_-;_-@_-"/>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_-&quot;$&quot;* #,##0_-;\-&quot;$&quot;* #,##0_-;_-&quot;$&quot;* &quot;-&quot;??_-;_-@_-"/>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quot;$&quot;* #,##0_-;\-&quot;$&quot;* #,##0_-;_-&quot;$&quot;* &quot;-&quot;??_-;_-@_-"/>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quot;$&quot;* #,##0_-;\-&quot;$&quot;* #,##0_-;_-&quot;$&quot;* &quot;-&quot;??_-;_-@_-"/>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quot;$&quot;* #,##0_-;\-&quot;$&quot;* #,##0_-;_-&quot;$&quot;* &quot;-&quot;??_-;_-@_-"/>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fill>
        <patternFill patternType="none">
          <fgColor indexed="64"/>
          <bgColor auto="1"/>
        </patternFill>
      </fill>
      <alignment horizontal="left" vertical="bottom" textRotation="0" wrapText="0" indent="1"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patternType="none">
          <fgColor rgb="FF000000"/>
          <bgColor auto="1"/>
        </patternFill>
      </fill>
      <alignment horizontal="right" vertical="bottom" textRotation="0" wrapText="0" indent="0" justifyLastLine="0" shrinkToFit="0" readingOrder="0"/>
    </dxf>
    <dxf>
      <border outline="0">
        <bottom style="thin">
          <color rgb="FF000000"/>
        </bottom>
      </border>
    </dxf>
    <dxf>
      <alignment horizontal="righ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165" formatCode="_-&quot;$&quot;* #,##0_-;\-&quot;$&quot;* #,##0_-;_-&quot;$&quot;* &quot;-&quot;??_-;_-@_-"/>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165" formatCode="_-&quot;$&quot;* #,##0_-;\-&quot;$&quot;* #,##0_-;_-&quot;$&quot;* &quot;-&quot;??_-;_-@_-"/>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165" formatCode="_-&quot;$&quot;* #,##0_-;\-&quot;$&quot;* #,##0_-;_-&quot;$&quot;* &quot;-&quot;??_-;_-@_-"/>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alignment horizontal="left" vertical="bottom" textRotation="0" wrapText="0" indent="0" justifyLastLine="0" shrinkToFit="0" readingOrder="0"/>
      <border diagonalUp="0" diagonalDown="0" outline="0">
        <left/>
        <right style="thin">
          <color theme="0" tint="-0.14999847407452621"/>
        </right>
        <top style="thin">
          <color indexed="64"/>
        </top>
        <bottom style="double">
          <color indexed="64"/>
        </bottom>
      </border>
    </dxf>
    <dxf>
      <fill>
        <patternFill patternType="none">
          <fgColor indexed="64"/>
          <bgColor auto="1"/>
        </patternFill>
      </fill>
      <alignment horizontal="left" vertical="bottom" textRotation="0" wrapText="0"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border>
        <top style="thin">
          <color rgb="FF000000"/>
        </top>
      </border>
    </dxf>
    <dxf>
      <fill>
        <patternFill patternType="none">
          <fgColor rgb="FF000000"/>
          <bgColor auto="1"/>
        </patternFill>
      </fill>
      <border diagonalUp="0" diagonalDown="0" outline="0">
        <left style="thin">
          <color rgb="FFD9D9D9"/>
        </left>
        <right style="thin">
          <color rgb="FFD9D9D9"/>
        </right>
        <top/>
        <bottom/>
      </border>
    </dxf>
    <dxf>
      <border outline="0">
        <left style="thin">
          <color rgb="FFD9D9D9"/>
        </left>
        <top style="thin">
          <color rgb="FFD9D9D9"/>
        </top>
        <bottom style="thin">
          <color rgb="FFD9D9D9"/>
        </bottom>
      </border>
    </dxf>
    <dxf>
      <fill>
        <patternFill patternType="none">
          <fgColor rgb="FF000000"/>
          <bgColor auto="1"/>
        </patternFill>
      </fill>
    </dxf>
    <dxf>
      <border outline="0">
        <bottom style="thin">
          <color rgb="FFD9D9D9"/>
        </bottom>
      </border>
    </dxf>
    <dxf>
      <font>
        <b/>
        <i val="0"/>
        <strike val="0"/>
        <condense val="0"/>
        <extend val="0"/>
        <outline val="0"/>
        <shadow val="0"/>
        <u val="none"/>
        <vertAlign val="baseline"/>
        <sz val="11"/>
        <color theme="0"/>
        <name val="Aptos Narrow"/>
        <family val="2"/>
        <scheme val="minor"/>
      </font>
      <fill>
        <patternFill patternType="solid">
          <fgColor indexed="64"/>
          <bgColor theme="1"/>
        </patternFill>
      </fill>
      <alignment horizontal="center" vertical="top" textRotation="0" wrapText="1" indent="0" justifyLastLine="0" shrinkToFit="0" readingOrder="0"/>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rgb="FF000000"/>
        <name val="Aptos Narrow"/>
        <family val="2"/>
        <scheme val="none"/>
      </font>
      <numFmt numFmtId="167" formatCode="mmmm"/>
      <fill>
        <patternFill patternType="none">
          <fgColor rgb="FF000000"/>
          <bgColor auto="1"/>
        </patternFill>
      </fill>
    </dxf>
    <dxf>
      <font>
        <b/>
        <i val="0"/>
        <strike val="0"/>
        <condense val="0"/>
        <extend val="0"/>
        <outline val="0"/>
        <shadow val="0"/>
        <u val="none"/>
        <vertAlign val="baseline"/>
        <sz val="11"/>
        <color theme="1"/>
        <name val="Aptos Narrow"/>
        <family val="2"/>
        <scheme val="minor"/>
      </font>
      <numFmt numFmtId="167" formatCode="mmmm"/>
      <fill>
        <patternFill patternType="none">
          <fgColor indexed="64"/>
          <bgColor auto="1"/>
        </patternFill>
      </fill>
      <alignment horizontal="center" vertical="bottom" textRotation="0" wrapText="0" indent="0" justifyLastLine="0" shrinkToFit="0" readingOrder="0"/>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font>
        <b val="0"/>
        <i val="0"/>
        <strike val="0"/>
        <condense val="0"/>
        <extend val="0"/>
        <outline val="0"/>
        <shadow val="0"/>
        <u val="none"/>
        <vertAlign val="baseline"/>
        <sz val="11"/>
        <color theme="1"/>
        <name val="Aptos Narrow"/>
        <family val="2"/>
        <scheme val="minor"/>
      </font>
      <numFmt numFmtId="165" formatCode="_-&quot;$&quot;* #,##0_-;\-&quot;$&quot;* #,##0_-;_-&quot;$&quot;* &quot;-&quot;??_-;_-@_-"/>
    </dxf>
    <dxf>
      <alignment horizontal="center"/>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numFmt numFmtId="13" formatCode="0%"/>
    </dxf>
    <dxf>
      <numFmt numFmtId="32" formatCode="_-&quot;$&quot;* #,##0_-;\-&quot;$&quot;* #,##0_-;_-&quot;$&quot;* &quot;-&quot;_-;_-@_-"/>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b/>
        <i val="0"/>
        <strike val="0"/>
        <condense val="0"/>
        <extend val="0"/>
        <outline val="0"/>
        <shadow val="0"/>
        <u val="none"/>
        <vertAlign val="baseline"/>
        <sz val="11"/>
        <color theme="1"/>
        <name val="Aptos Narrow"/>
        <family val="2"/>
        <scheme val="minor"/>
      </font>
      <alignment horizontal="left" vertical="bottom" textRotation="0" wrapText="0" indent="1" justifyLastLine="0" shrinkToFit="0" readingOrder="0"/>
      <border diagonalUp="0" diagonalDown="0">
        <left style="thin">
          <color theme="1"/>
        </left>
        <right style="thin">
          <color indexed="64"/>
        </right>
        <top style="thin">
          <color indexed="64"/>
        </top>
        <bottom style="thin">
          <color indexed="64"/>
        </bottom>
        <vertical/>
        <horizontal/>
      </border>
    </dxf>
    <dxf>
      <border outline="0">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theme="1"/>
          <bgColor theme="1"/>
        </patternFill>
      </fill>
      <alignment horizontal="right" vertical="bottom" textRotation="0" wrapText="0" indent="0" justifyLastLine="0" shrinkToFit="0" readingOrder="0"/>
      <border diagonalUp="0" diagonalDown="0" outline="0">
        <left style="thin">
          <color indexed="64"/>
        </left>
        <right style="thin">
          <color indexed="64"/>
        </right>
        <top/>
        <bottom/>
      </border>
    </dxf>
    <dxf>
      <font>
        <b/>
      </font>
      <numFmt numFmtId="165" formatCode="_-&quot;$&quot;* #,##0_-;\-&quot;$&quot;* #,##0_-;_-&quot;$&quot;* &quot;-&quot;??_-;_-@_-"/>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left" vertical="bottom" textRotation="0" wrapText="0" indent="1" justifyLastLine="0" shrinkToFit="0" readingOrder="0"/>
      <border diagonalUp="0" diagonalDown="0">
        <left/>
        <right style="thin">
          <color indexed="64"/>
        </right>
        <top style="thin">
          <color indexed="64"/>
        </top>
        <bottom style="thin">
          <color indexed="64"/>
        </bottom>
        <vertical/>
        <horizontal/>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theme="1"/>
          <bgColor theme="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0" formatCode="General"/>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165" formatCode="_-&quot;$&quot;* #,##0_-;\-&quot;$&quot;* #,##0_-;_-&quot;$&quot;* &quot;-&quot;??_-;_-@_-"/>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quot;$&quot;* #,##0_-;\-&quot;$&quot;* #,##0_-;_-&quot;$&quot;* &quot;-&quot;??_-;_-@_-"/>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quot;$&quot;* #,##0_-;\-&quot;$&quot;* #,##0_-;_-&quot;$&quot;* &quot;-&quot;??_-;_-@_-"/>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quot;$&quot;* #,##0_-;\-&quot;$&quot;* #,##0_-;_-&quot;$&quot;* &quot;-&quot;??_-;_-@_-"/>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fill>
        <patternFill patternType="none">
          <fgColor indexed="64"/>
          <bgColor auto="1"/>
        </patternFill>
      </fill>
      <alignment horizontal="left" vertical="bottom" textRotation="0" wrapText="0" indent="1"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patternType="none">
          <fgColor indexed="64"/>
          <bgColor auto="1"/>
        </patternFill>
      </fill>
      <alignment horizontal="right" vertical="bottom" textRotation="0" wrapText="0" indent="0" justifyLastLine="0" shrinkToFit="0" readingOrder="0"/>
    </dxf>
    <dxf>
      <border outline="0">
        <bottom style="thin">
          <color rgb="FF000000"/>
        </bottom>
      </border>
    </dxf>
    <dxf>
      <alignment horizontal="righ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165" formatCode="_-&quot;$&quot;* #,##0_-;\-&quot;$&quot;* #,##0_-;_-&quot;$&quot;* &quot;-&quot;??_-;_-@_-"/>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165" formatCode="_-&quot;$&quot;* #,##0_-;\-&quot;$&quot;* #,##0_-;_-&quot;$&quot;* &quot;-&quot;??_-;_-@_-"/>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165" formatCode="_-&quot;$&quot;* #,##0_-;\-&quot;$&quot;* #,##0_-;_-&quot;$&quot;* &quot;-&quot;??_-;_-@_-"/>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alignment horizontal="left" vertical="bottom" textRotation="0" wrapText="0" indent="0" justifyLastLine="0" shrinkToFit="0" readingOrder="0"/>
      <border diagonalUp="0" diagonalDown="0" outline="0">
        <left/>
        <right style="thin">
          <color theme="0" tint="-0.14999847407452621"/>
        </right>
        <top style="thin">
          <color indexed="64"/>
        </top>
        <bottom style="double">
          <color indexed="64"/>
        </bottom>
      </border>
    </dxf>
    <dxf>
      <fill>
        <patternFill patternType="none">
          <fgColor indexed="64"/>
          <bgColor auto="1"/>
        </patternFill>
      </fill>
      <alignment horizontal="left" vertical="bottom" textRotation="0" wrapText="0"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border>
        <top style="thin">
          <color rgb="FF000000"/>
        </top>
      </border>
    </dxf>
    <dxf>
      <fill>
        <patternFill patternType="none">
          <fgColor rgb="FF000000"/>
          <bgColor auto="1"/>
        </patternFill>
      </fill>
      <border diagonalUp="0" diagonalDown="0" outline="0">
        <left style="thin">
          <color rgb="FFD9D9D9"/>
        </left>
        <right style="thin">
          <color rgb="FFD9D9D9"/>
        </right>
        <top/>
        <bottom/>
      </border>
    </dxf>
    <dxf>
      <border outline="0">
        <left style="thin">
          <color rgb="FFD9D9D9"/>
        </left>
        <top style="thin">
          <color rgb="FFD9D9D9"/>
        </top>
        <bottom style="thin">
          <color rgb="FFD9D9D9"/>
        </bottom>
      </border>
    </dxf>
    <dxf>
      <fill>
        <patternFill patternType="none">
          <fgColor rgb="FF000000"/>
          <bgColor auto="1"/>
        </patternFill>
      </fill>
    </dxf>
    <dxf>
      <border outline="0">
        <bottom style="thin">
          <color rgb="FFD9D9D9"/>
        </bottom>
      </border>
    </dxf>
    <dxf>
      <font>
        <b/>
        <i val="0"/>
        <strike val="0"/>
        <condense val="0"/>
        <extend val="0"/>
        <outline val="0"/>
        <shadow val="0"/>
        <u val="none"/>
        <vertAlign val="baseline"/>
        <sz val="11"/>
        <color theme="0"/>
        <name val="Aptos Narrow"/>
        <family val="2"/>
        <scheme val="minor"/>
      </font>
      <fill>
        <patternFill patternType="solid">
          <fgColor indexed="64"/>
          <bgColor theme="1"/>
        </patternFill>
      </fill>
      <alignment horizontal="center" vertical="top" textRotation="0" wrapText="1" indent="0" justifyLastLine="0" shrinkToFit="0" readingOrder="0"/>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rgb="FF000000"/>
        <name val="Aptos Narrow"/>
        <family val="2"/>
        <scheme val="none"/>
      </font>
      <numFmt numFmtId="167" formatCode="mmmm"/>
      <fill>
        <patternFill patternType="none">
          <fgColor indexed="64"/>
          <bgColor auto="1"/>
        </patternFill>
      </fill>
    </dxf>
    <dxf>
      <font>
        <b/>
        <i val="0"/>
        <strike val="0"/>
        <condense val="0"/>
        <extend val="0"/>
        <outline val="0"/>
        <shadow val="0"/>
        <u val="none"/>
        <vertAlign val="baseline"/>
        <sz val="11"/>
        <color theme="1"/>
        <name val="Aptos Narrow"/>
        <family val="2"/>
        <scheme val="minor"/>
      </font>
      <numFmt numFmtId="167" formatCode="mmmm"/>
      <fill>
        <patternFill patternType="none">
          <fgColor indexed="64"/>
          <bgColor auto="1"/>
        </patternFill>
      </fill>
      <alignment horizontal="center" vertical="bottom" textRotation="0" wrapText="0" indent="0" justifyLastLine="0" shrinkToFit="0" readingOrder="0"/>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alignment horizontal="center"/>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numFmt numFmtId="13" formatCode="0%"/>
    </dxf>
    <dxf>
      <numFmt numFmtId="32" formatCode="_-&quot;$&quot;* #,##0_-;\-&quot;$&quot;* #,##0_-;_-&quot;$&quot;* &quot;-&quot;_-;_-@_-"/>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numFmt numFmtId="0" formatCode="General"/>
      <alignment horizontal="right"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_-&quot;$&quot;* #,##0_-;\-&quot;$&quot;* #,##0_-;_-&quot;$&quot;* &quot;-&quot;??_-;_-@_-"/>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_-&quot;$&quot;* #,##0_-;\-&quot;$&quot;* #,##0_-;_-&quot;$&quot;* &quot;-&quot;??_-;_-@_-"/>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_-&quot;$&quot;* #,##0_-;\-&quot;$&quot;* #,##0_-;_-&quot;$&quot;* &quot;-&quot;??_-;_-@_-"/>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_-&quot;$&quot;* #,##0_-;\-&quot;$&quot;* #,##0_-;_-&quot;$&quot;* &quot;-&quot;??_-;_-@_-"/>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left" vertical="bottom" textRotation="0" wrapText="0" indent="1"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top style="thin">
          <color indexed="64"/>
        </top>
      </border>
    </dxf>
    <dxf>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theme="1"/>
          <bgColor theme="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165" formatCode="_-&quot;$&quot;* #,##0_-;\-&quot;$&quot;* #,##0_-;_-&quot;$&quot;* &quot;-&quot;??_-;_-@_-"/>
      <alignment horizontal="right" vertical="bottom" textRotation="0" wrapText="0" indent="0" justifyLastLine="0" shrinkToFit="0" readingOrder="0"/>
      <border diagonalUp="0" diagonalDown="0">
        <left style="thin">
          <color indexed="64"/>
        </left>
        <right/>
        <top style="thin">
          <color indexed="64"/>
        </top>
        <bottom style="thin">
          <color indexed="64"/>
        </bottom>
      </border>
    </dxf>
    <dxf>
      <numFmt numFmtId="165" formatCode="_-&quot;$&quot;* #,##0_-;\-&quot;$&quot;* #,##0_-;_-&quot;$&quot;* &quot;-&quot;??_-;_-@_-"/>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quot;$&quot;* #,##0_-;\-&quot;$&quot;* #,##0_-;_-&quot;$&quot;* &quot;-&quot;??_-;_-@_-"/>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_-&quot;$&quot;* #,##0_-;\-&quot;$&quot;* #,##0_-;_-&quot;$&quot;* &quot;-&quot;??_-;_-@_-"/>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_-&quot;$&quot;* #,##0_-;\-&quot;$&quot;* #,##0_-;_-&quot;$&quot;* &quot;-&quot;??_-;_-@_-"/>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left" vertical="bottom" textRotation="0" wrapText="0" indent="1"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top style="thin">
          <color indexed="64"/>
        </top>
        <bottom style="thin">
          <color indexed="64"/>
        </bottom>
      </border>
    </dxf>
    <dxf>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theme="1"/>
          <bgColor theme="1"/>
        </patternFill>
      </fill>
      <alignment horizontal="right" vertical="bottom" textRotation="0" wrapText="0" indent="0" justifyLastLine="0" shrinkToFit="0" readingOrder="0"/>
      <border diagonalUp="0" diagonalDown="0" outline="0">
        <left style="thin">
          <color indexed="64"/>
        </left>
        <right style="thin">
          <color indexed="64"/>
        </right>
        <top/>
        <bottom/>
      </border>
    </dxf>
    <dxf>
      <font>
        <b/>
      </font>
      <numFmt numFmtId="165" formatCode="_-&quot;$&quot;* #,##0_-;\-&quot;$&quot;* #,##0_-;_-&quot;$&quot;* &quot;-&quot;??_-;_-@_-"/>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_-&quot;$&quot;* #,##0_-;\-&quot;$&quot;* #,##0_-;_-&quot;$&quot;* &quot;-&quot;??_-;_-@_-"/>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quot;$&quot;* #,##0_-;\-&quot;$&quot;* #,##0_-;_-&quot;$&quot;* &quot;-&quot;??_-;_-@_-"/>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quot;$&quot;* #,##0_-;\-&quot;$&quot;* #,##0_-;_-&quot;$&quot;* &quot;-&quot;??_-;_-@_-"/>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quot;$&quot;* #,##0_-;\-&quot;$&quot;* #,##0_-;_-&quot;$&quot;* &quot;-&quot;??_-;_-@_-"/>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fill>
        <patternFill patternType="none">
          <fgColor indexed="64"/>
          <bgColor auto="1"/>
        </patternFill>
      </fill>
      <alignment horizontal="left" vertical="bottom" textRotation="0" wrapText="0" indent="1"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patternType="none">
          <fgColor indexed="64"/>
          <bgColor auto="1"/>
        </patternFill>
      </fill>
      <alignment horizontal="right" vertical="bottom" textRotation="0" wrapText="0" indent="0" justifyLastLine="0" shrinkToFit="0" readingOrder="0"/>
    </dxf>
    <dxf>
      <border outline="0">
        <bottom style="thin">
          <color rgb="FF000000"/>
        </bottom>
      </border>
    </dxf>
    <dxf>
      <alignment horizontal="righ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165" formatCode="_-&quot;$&quot;* #,##0_-;\-&quot;$&quot;* #,##0_-;_-&quot;$&quot;* &quot;-&quot;??_-;_-@_-"/>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165" formatCode="_-&quot;$&quot;* #,##0_-;\-&quot;$&quot;* #,##0_-;_-&quot;$&quot;* &quot;-&quot;??_-;_-@_-"/>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165" formatCode="_-&quot;$&quot;* #,##0_-;\-&quot;$&quot;* #,##0_-;_-&quot;$&quot;* &quot;-&quot;??_-;_-@_-"/>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alignment horizontal="left" vertical="bottom" textRotation="0" wrapText="0" indent="0" justifyLastLine="0" shrinkToFit="0" readingOrder="0"/>
      <border diagonalUp="0" diagonalDown="0" outline="0">
        <left/>
        <right style="thin">
          <color theme="0" tint="-0.14999847407452621"/>
        </right>
        <top style="thin">
          <color indexed="64"/>
        </top>
        <bottom style="double">
          <color indexed="64"/>
        </bottom>
      </border>
    </dxf>
    <dxf>
      <fill>
        <patternFill patternType="none">
          <fgColor indexed="64"/>
          <bgColor auto="1"/>
        </patternFill>
      </fill>
      <alignment horizontal="left" vertical="bottom" textRotation="0" wrapText="0"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border>
        <top style="thin">
          <color rgb="FF000000"/>
        </top>
      </border>
    </dxf>
    <dxf>
      <fill>
        <patternFill patternType="none">
          <fgColor rgb="FF000000"/>
          <bgColor auto="1"/>
        </patternFill>
      </fill>
      <border diagonalUp="0" diagonalDown="0" outline="0">
        <left style="thin">
          <color rgb="FFD9D9D9"/>
        </left>
        <right style="thin">
          <color rgb="FFD9D9D9"/>
        </right>
        <top/>
        <bottom/>
      </border>
    </dxf>
    <dxf>
      <border outline="0">
        <left style="thin">
          <color rgb="FFD9D9D9"/>
        </left>
        <top style="thin">
          <color rgb="FFD9D9D9"/>
        </top>
        <bottom style="thin">
          <color rgb="FFD9D9D9"/>
        </bottom>
      </border>
    </dxf>
    <dxf>
      <fill>
        <patternFill patternType="none">
          <fgColor rgb="FF000000"/>
          <bgColor auto="1"/>
        </patternFill>
      </fill>
    </dxf>
    <dxf>
      <border outline="0">
        <bottom style="thin">
          <color rgb="FFD9D9D9"/>
        </bottom>
      </border>
    </dxf>
    <dxf>
      <font>
        <b/>
        <i val="0"/>
        <strike val="0"/>
        <condense val="0"/>
        <extend val="0"/>
        <outline val="0"/>
        <shadow val="0"/>
        <u val="none"/>
        <vertAlign val="baseline"/>
        <sz val="11"/>
        <color theme="0"/>
        <name val="Aptos Narrow"/>
        <family val="2"/>
        <scheme val="minor"/>
      </font>
      <fill>
        <patternFill patternType="solid">
          <fgColor indexed="64"/>
          <bgColor theme="1"/>
        </patternFill>
      </fill>
      <alignment horizontal="center" vertical="top" textRotation="0" wrapText="1" indent="0" justifyLastLine="0" shrinkToFit="0" readingOrder="0"/>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dxf>
    <dxf>
      <font>
        <b val="0"/>
        <i val="0"/>
        <strike val="0"/>
        <condense val="0"/>
        <extend val="0"/>
        <outline val="0"/>
        <shadow val="0"/>
        <u val="none"/>
        <vertAlign val="baseline"/>
        <sz val="11"/>
        <color rgb="FF000000"/>
        <name val="Aptos Narrow"/>
        <family val="2"/>
        <scheme val="none"/>
      </font>
      <numFmt numFmtId="167" formatCode="mmmm"/>
      <fill>
        <patternFill patternType="none">
          <fgColor indexed="64"/>
          <bgColor auto="1"/>
        </patternFill>
      </fill>
    </dxf>
    <dxf>
      <font>
        <b/>
        <i val="0"/>
        <strike val="0"/>
        <condense val="0"/>
        <extend val="0"/>
        <outline val="0"/>
        <shadow val="0"/>
        <u val="none"/>
        <vertAlign val="baseline"/>
        <sz val="11"/>
        <color theme="1"/>
        <name val="Aptos Narrow"/>
        <family val="2"/>
        <scheme val="minor"/>
      </font>
      <numFmt numFmtId="167" formatCode="mmmm"/>
      <fill>
        <patternFill patternType="none">
          <fgColor indexed="64"/>
          <bgColor auto="1"/>
        </patternFill>
      </fill>
      <alignment horizontal="center" vertical="bottom" textRotation="0" wrapText="0" indent="0" justifyLastLine="0" shrinkToFit="0" readingOrder="0"/>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font>
        <b val="0"/>
        <i val="0"/>
        <strike val="0"/>
        <condense val="0"/>
        <extend val="0"/>
        <outline val="0"/>
        <shadow val="0"/>
        <u val="none"/>
        <vertAlign val="baseline"/>
        <sz val="11"/>
        <color theme="1"/>
        <name val="Aptos Narrow"/>
        <family val="2"/>
        <scheme val="minor"/>
      </font>
      <numFmt numFmtId="165" formatCode="_-&quot;$&quot;* #,##0_-;\-&quot;$&quot;* #,##0_-;_-&quot;$&quot;* &quot;-&quot;??_-;_-@_-"/>
    </dxf>
    <dxf>
      <alignment horizontal="center"/>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numFmt numFmtId="13" formatCode="0%"/>
    </dxf>
    <dxf>
      <numFmt numFmtId="32" formatCode="_-&quot;$&quot;* #,##0_-;\-&quot;$&quot;* #,##0_-;_-&quot;$&quot;* &quot;-&quot;_-;_-@_-"/>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b val="0"/>
        <i val="0"/>
        <strike val="0"/>
        <condense val="0"/>
        <extend val="0"/>
        <outline val="0"/>
        <shadow val="0"/>
        <u val="none"/>
        <vertAlign val="baseline"/>
        <sz val="11"/>
        <color theme="1"/>
        <name val="Aptos Narrow"/>
        <family val="2"/>
        <scheme val="minor"/>
      </font>
      <numFmt numFmtId="0" formatCode="General"/>
      <alignment horizontal="right"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alignment horizontal="left" vertical="bottom" textRotation="0" wrapText="0" indent="1"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theme="1"/>
          <bgColor theme="1"/>
        </patternFill>
      </fill>
      <alignment horizontal="right"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font>
      <numFmt numFmtId="165" formatCode="_-&quot;$&quot;* #,##0_-;\-&quot;$&quot;* #,##0_-;_-&quot;$&quot;* &quot;-&quot;??_-;_-@_-"/>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left" vertical="bottom" textRotation="0" wrapText="0" indent="1" justifyLastLine="0" shrinkToFit="0" readingOrder="0"/>
      <border diagonalUp="0" diagonalDown="0" outline="0">
        <left/>
        <right style="thin">
          <color indexed="64"/>
        </right>
        <top style="thin">
          <color indexed="64"/>
        </top>
        <bottom style="thin">
          <color indexed="64"/>
        </bottom>
      </border>
    </dxf>
    <dxf>
      <border outline="0">
        <left style="thin">
          <color indexed="64"/>
        </left>
        <top style="thin">
          <color indexed="64"/>
        </top>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theme="1"/>
          <bgColor theme="1"/>
        </patternFill>
      </fill>
      <alignment horizontal="right" vertical="bottom" textRotation="0" wrapText="0" indent="0" justifyLastLine="0" shrinkToFit="0" readingOrder="0"/>
      <border diagonalUp="0" diagonalDown="0" outline="0">
        <left style="thin">
          <color indexed="64"/>
        </left>
        <right style="thin">
          <color indexed="64"/>
        </right>
        <top/>
        <bottom/>
      </border>
    </dxf>
    <dxf>
      <numFmt numFmtId="0" formatCode="General"/>
      <alignment horizontal="right"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165" formatCode="_-&quot;$&quot;* #,##0_-;\-&quot;$&quot;* #,##0_-;_-&quot;$&quot;* &quot;-&quot;??_-;_-@_-"/>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_-&quot;$&quot;* #,##0_-;\-&quot;$&quot;* #,##0_-;_-&quot;$&quot;* &quot;-&quot;??_-;_-@_-"/>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_-&quot;$&quot;* #,##0_-;\-&quot;$&quot;* #,##0_-;_-&quot;$&quot;* &quot;-&quot;??_-;_-@_-"/>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_-&quot;$&quot;* #,##0_-;\-&quot;$&quot;* #,##0_-;_-&quot;$&quot;* &quot;-&quot;??_-;_-@_-"/>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right" vertical="bottom" textRotation="0" wrapText="0" indent="0" justifyLastLine="0" shrinkToFit="0" readingOrder="0"/>
    </dxf>
    <dxf>
      <border outline="0">
        <bottom style="thin">
          <color indexed="64"/>
        </bottom>
      </border>
    </dxf>
    <dxf>
      <alignment horizontal="righ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165" formatCode="_-&quot;$&quot;* #,##0_-;\-&quot;$&quot;* #,##0_-;_-&quot;$&quot;* &quot;-&quot;??_-;_-@_-"/>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165" formatCode="_-&quot;$&quot;* #,##0_-;\-&quot;$&quot;* #,##0_-;_-&quot;$&quot;* &quot;-&quot;??_-;_-@_-"/>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alignment horizontal="center" vertical="bottom" textRotation="0" wrapText="0" indent="0" justifyLastLine="0" shrinkToFit="0" readingOrder="0"/>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numFmt numFmtId="165" formatCode="_-&quot;$&quot;* #,##0_-;\-&quot;$&quot;* #,##0_-;_-&quot;$&quot;* &quot;-&quot;??_-;_-@_-"/>
      <border diagonalUp="0" diagonalDown="0" outline="0">
        <left style="thin">
          <color theme="0" tint="-0.14999847407452621"/>
        </left>
        <right style="thin">
          <color theme="0" tint="-0.14999847407452621"/>
        </right>
        <top style="thin">
          <color indexed="64"/>
        </top>
        <bottom style="double">
          <color indexed="64"/>
        </bottom>
      </border>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fgColor indexed="64"/>
          <bgColor auto="1"/>
        </patternFill>
      </fill>
      <border diagonalUp="0" diagonalDown="0" outline="0">
        <left style="thin">
          <color theme="0" tint="-0.14999847407452621"/>
        </left>
        <right style="thin">
          <color theme="0" tint="-0.14999847407452621"/>
        </right>
        <top style="thin">
          <color theme="0" tint="-0.14999847407452621"/>
        </top>
        <bottom style="thin">
          <color theme="0" tint="-0.14999847407452621"/>
        </bottom>
      </border>
    </dxf>
    <dxf>
      <alignment horizontal="left" vertical="bottom" textRotation="0" wrapText="0" indent="0" justifyLastLine="0" shrinkToFit="0" readingOrder="0"/>
      <border diagonalUp="0" diagonalDown="0" outline="0">
        <left/>
        <right style="thin">
          <color theme="0" tint="-0.14999847407452621"/>
        </right>
        <top style="thin">
          <color indexed="64"/>
        </top>
        <bottom style="double">
          <color indexed="64"/>
        </bottom>
      </border>
    </dxf>
    <dxf>
      <fill>
        <patternFill patternType="none">
          <fgColor indexed="64"/>
          <bgColor auto="1"/>
        </patternFill>
      </fill>
      <alignment horizontal="left" vertical="bottom" textRotation="0" wrapText="0" indent="0" justifyLastLine="0" shrinkToFit="0" readingOrder="0"/>
      <border diagonalUp="0" diagonalDown="0" outline="0">
        <left/>
        <right style="thin">
          <color theme="0" tint="-0.14999847407452621"/>
        </right>
        <top style="thin">
          <color theme="0" tint="-0.14999847407452621"/>
        </top>
        <bottom style="thin">
          <color theme="0" tint="-0.14999847407452621"/>
        </bottom>
      </border>
    </dxf>
    <dxf>
      <border>
        <top style="thin">
          <color indexed="64"/>
        </top>
      </border>
    </dxf>
    <dxf>
      <fill>
        <patternFill patternType="none">
          <fgColor indexed="64"/>
          <bgColor auto="1"/>
        </patternFill>
      </fill>
      <border diagonalUp="0" diagonalDown="0" outline="0">
        <left style="thin">
          <color theme="0" tint="-0.14999847407452621"/>
        </left>
        <right style="thin">
          <color theme="0" tint="-0.14999847407452621"/>
        </right>
        <top/>
        <bottom/>
      </border>
    </dxf>
    <dxf>
      <border outline="0">
        <left style="thin">
          <color theme="0" tint="-0.14999847407452621"/>
        </left>
        <top style="thin">
          <color theme="0" tint="-0.14999847407452621"/>
        </top>
        <bottom style="thin">
          <color theme="0" tint="-0.14999847407452621"/>
        </bottom>
      </border>
    </dxf>
    <dxf>
      <fill>
        <patternFill patternType="none">
          <fgColor indexed="64"/>
          <bgColor auto="1"/>
        </patternFill>
      </fill>
    </dxf>
    <dxf>
      <border outline="0">
        <bottom style="thin">
          <color theme="0" tint="-0.14999847407452621"/>
        </bottom>
      </border>
    </dxf>
    <dxf>
      <font>
        <b/>
        <i val="0"/>
        <strike val="0"/>
        <condense val="0"/>
        <extend val="0"/>
        <outline val="0"/>
        <shadow val="0"/>
        <u val="none"/>
        <vertAlign val="baseline"/>
        <sz val="11"/>
        <color theme="0"/>
        <name val="Aptos Narrow"/>
        <family val="2"/>
        <scheme val="minor"/>
      </font>
      <fill>
        <patternFill patternType="solid">
          <fgColor indexed="64"/>
          <bgColor theme="1"/>
        </patternFill>
      </fill>
      <alignment horizontal="center" vertical="top" textRotation="0" wrapText="1" indent="0" justifyLastLine="0" shrinkToFit="0" readingOrder="0"/>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bgColor auto="1"/>
        </patternFill>
      </fill>
    </dxf>
    <dxf>
      <font>
        <b val="0"/>
        <i val="0"/>
        <strike val="0"/>
        <condense val="0"/>
        <extend val="0"/>
        <outline val="0"/>
        <shadow val="0"/>
        <u val="none"/>
        <vertAlign val="baseline"/>
        <sz val="11"/>
        <color theme="1"/>
        <name val="Aptos Narrow"/>
        <family val="2"/>
        <scheme val="minor"/>
      </font>
      <numFmt numFmtId="165" formatCode="_-&quot;$&quot;* #,##0_-;\-&quot;$&quot;* #,##0_-;_-&quot;$&quot;* &quot;-&quot;??_-;_-@_-"/>
      <fill>
        <patternFill patternType="none">
          <bgColor auto="1"/>
        </patternFill>
      </fill>
    </dxf>
    <dxf>
      <font>
        <b val="0"/>
        <i val="0"/>
        <strike val="0"/>
        <condense val="0"/>
        <extend val="0"/>
        <outline val="0"/>
        <shadow val="0"/>
        <u val="none"/>
        <vertAlign val="baseline"/>
        <sz val="11"/>
        <color theme="1"/>
        <name val="Aptos Narrow"/>
        <family val="2"/>
        <scheme val="minor"/>
      </font>
      <fill>
        <patternFill patternType="none">
          <fgColor theme="4" tint="0.79998168889431442"/>
          <bgColor auto="1"/>
        </patternFill>
      </fill>
    </dxf>
    <dxf>
      <font>
        <b val="0"/>
        <i val="0"/>
        <strike val="0"/>
        <condense val="0"/>
        <extend val="0"/>
        <outline val="0"/>
        <shadow val="0"/>
        <u val="none"/>
        <vertAlign val="baseline"/>
        <sz val="11"/>
        <color theme="1"/>
        <name val="Aptos Narrow"/>
        <family val="2"/>
        <scheme val="minor"/>
      </font>
      <numFmt numFmtId="167" formatCode="mmmm"/>
      <fill>
        <patternFill patternType="none">
          <bgColor auto="1"/>
        </patternFill>
      </fill>
    </dxf>
    <dxf>
      <font>
        <b/>
        <i val="0"/>
        <strike val="0"/>
        <condense val="0"/>
        <extend val="0"/>
        <outline val="0"/>
        <shadow val="0"/>
        <u val="none"/>
        <vertAlign val="baseline"/>
        <sz val="11"/>
        <color theme="1"/>
        <name val="Aptos Narrow"/>
        <family val="2"/>
        <scheme val="minor"/>
      </font>
      <numFmt numFmtId="167" formatCode="mmmm"/>
      <fill>
        <patternFill patternType="none">
          <bgColor auto="1"/>
        </patternFill>
      </fill>
      <alignment horizontal="center" vertical="bottom" textRotation="0" wrapText="0" indent="0" justifyLastLine="0" shrinkToFit="0" readingOrder="0"/>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alignment horizontal="center"/>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numFmt numFmtId="13" formatCode="0%"/>
    </dxf>
    <dxf>
      <numFmt numFmtId="32" formatCode="_-&quot;$&quot;* #,##0_-;\-&quot;$&quot;* #,##0_-;_-&quot;$&quot;* &quot;-&quot;_-;_-@_-"/>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FF0000"/>
      </font>
    </dxf>
    <dxf>
      <alignment horizontal="center"/>
    </dxf>
    <dxf>
      <alignment horizontal="center"/>
    </dxf>
    <dxf>
      <alignment horizontal="center"/>
    </dxf>
    <dxf>
      <alignment horizontal="center"/>
    </dxf>
    <dxf>
      <font>
        <b val="0"/>
      </fon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13" formatCode="0%"/>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numFmt numFmtId="32" formatCode="_-&quot;$&quot;* #,##0_-;\-&quot;$&quot;* #,##0_-;_-&quot;$&quot;* &quot;-&quot;_-;_-@_-"/>
    </dxf>
    <dxf>
      <alignment horizontal="center"/>
    </dxf>
    <dxf>
      <alignment horizontal="center"/>
    </dxf>
    <dxf>
      <alignment horizontal="center"/>
    </dxf>
    <dxf>
      <alignment horizontal="center"/>
    </dxf>
    <dxf>
      <alignment horizontal="center"/>
    </dxf>
    <dxf>
      <alignment horizontal="center"/>
    </dxf>
    <dxf>
      <numFmt numFmtId="34" formatCode="_-&quot;$&quot;* #,##0.00_-;\-&quot;$&quot;* #,##0.00_-;_-&quot;$&quot;* &quot;-&quot;??_-;_-@_-"/>
    </dxf>
    <dxf>
      <font>
        <color rgb="FF9C0006"/>
      </font>
      <fill>
        <patternFill>
          <bgColor rgb="FFFFC7CE"/>
        </patternFill>
      </fill>
    </dxf>
    <dxf>
      <font>
        <color theme="0"/>
      </font>
    </dxf>
    <dxf>
      <font>
        <color theme="0"/>
      </font>
    </dxf>
    <dxf>
      <font>
        <color theme="0"/>
      </font>
    </dxf>
    <dxf>
      <font>
        <color theme="0"/>
      </font>
      <fill>
        <patternFill>
          <bgColor theme="0"/>
        </patternFill>
      </fill>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left style="thin">
          <color theme="4" tint="0.39997558519241921"/>
        </left>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numFmt numFmtId="167" formatCode="mmmm"/>
      <fill>
        <patternFill patternType="solid">
          <fgColor theme="4"/>
          <bgColor theme="4"/>
        </patternFill>
      </fill>
      <alignment horizontal="center" vertical="bottom" textRotation="0" wrapText="0" indent="0" justifyLastLine="0" shrinkToFit="0" readingOrder="0"/>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
      <numFmt numFmtId="165" formatCode="_-&quot;$&quot;* #,##0_-;\-&quot;$&quot;* #,##0_-;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sheetMetadata" Target="metadata.xml"/><Relationship Id="rId30" Type="http://schemas.openxmlformats.org/officeDocument/2006/relationships/customXml" Target="../customXml/item2.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Projected</a:t>
            </a:r>
            <a:r>
              <a:rPr lang="en-AU" baseline="0"/>
              <a:t> Revenue FY25/26</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lineChart>
        <c:grouping val="standard"/>
        <c:varyColors val="0"/>
        <c:ser>
          <c:idx val="0"/>
          <c:order val="0"/>
          <c:tx>
            <c:strRef>
              <c:f>'COMPANY Spread'!$P$43</c:f>
              <c:strCache>
                <c:ptCount val="1"/>
                <c:pt idx="0">
                  <c:v> C </c:v>
                </c:pt>
              </c:strCache>
            </c:strRef>
          </c:tx>
          <c:spPr>
            <a:ln w="28575" cap="rnd">
              <a:solidFill>
                <a:schemeClr val="tx2"/>
              </a:solidFill>
              <a:round/>
            </a:ln>
            <a:effectLst/>
          </c:spPr>
          <c:marker>
            <c:symbol val="none"/>
          </c:marker>
          <c:cat>
            <c:strRef>
              <c:f>'COMPANY Spread'!$Q$42:$AB$42</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'COMPANY Spread'!$Q$43:$AB$43</c:f>
              <c:numCache>
                <c:formatCode>_-"$"* #,##0_-;\-"$"* #,##0_-;_-"$"* "-"??_-;_-@_-</c:formatCode>
                <c:ptCount val="12"/>
                <c:pt idx="0">
                  <c:v>1489443.4450000001</c:v>
                </c:pt>
                <c:pt idx="1">
                  <c:v>3380720.4050000003</c:v>
                </c:pt>
                <c:pt idx="2">
                  <c:v>5912887.2775000008</c:v>
                </c:pt>
                <c:pt idx="3">
                  <c:v>8541298.352500001</c:v>
                </c:pt>
                <c:pt idx="4">
                  <c:v>10744629.057500001</c:v>
                </c:pt>
                <c:pt idx="5">
                  <c:v>12418789.122500001</c:v>
                </c:pt>
                <c:pt idx="6">
                  <c:v>13865662.717500001</c:v>
                </c:pt>
                <c:pt idx="7">
                  <c:v>15392756.034780504</c:v>
                </c:pt>
                <c:pt idx="8">
                  <c:v>17156780.645324375</c:v>
                </c:pt>
                <c:pt idx="9">
                  <c:v>18295901.434447415</c:v>
                </c:pt>
                <c:pt idx="10">
                  <c:v>19428136.510229096</c:v>
                </c:pt>
                <c:pt idx="11">
                  <c:v>20629881.288978036</c:v>
                </c:pt>
              </c:numCache>
            </c:numRef>
          </c:val>
          <c:smooth val="0"/>
          <c:extLst>
            <c:ext xmlns:c16="http://schemas.microsoft.com/office/drawing/2014/chart" uri="{C3380CC4-5D6E-409C-BE32-E72D297353CC}">
              <c16:uniqueId val="{00000000-BAF3-45CB-9535-8818980AE012}"/>
            </c:ext>
          </c:extLst>
        </c:ser>
        <c:ser>
          <c:idx val="7"/>
          <c:order val="1"/>
          <c:tx>
            <c:strRef>
              <c:f>'COMPANY Spread'!$P$44</c:f>
              <c:strCache>
                <c:ptCount val="1"/>
                <c:pt idx="0">
                  <c:v> S </c:v>
                </c:pt>
              </c:strCache>
            </c:strRef>
          </c:tx>
          <c:spPr>
            <a:ln w="28575" cap="rnd">
              <a:solidFill>
                <a:schemeClr val="accent2">
                  <a:lumMod val="60000"/>
                </a:schemeClr>
              </a:solidFill>
              <a:round/>
            </a:ln>
            <a:effectLst/>
          </c:spPr>
          <c:marker>
            <c:symbol val="none"/>
          </c:marker>
          <c:val>
            <c:numRef>
              <c:f>'COMPANY Spread'!$Q$44:$AB$44</c:f>
              <c:numCache>
                <c:formatCode>_-"$"* #,##0_-;\-"$"* #,##0_-;_-"$"* "-"??_-;_-@_-</c:formatCode>
                <c:ptCount val="12"/>
                <c:pt idx="0">
                  <c:v>1489443.4450000001</c:v>
                </c:pt>
                <c:pt idx="1">
                  <c:v>3380720.4050000003</c:v>
                </c:pt>
                <c:pt idx="2">
                  <c:v>5912887.2775000008</c:v>
                </c:pt>
                <c:pt idx="3">
                  <c:v>8541298.352500001</c:v>
                </c:pt>
                <c:pt idx="4">
                  <c:v>10744629.057500001</c:v>
                </c:pt>
                <c:pt idx="5">
                  <c:v>12418789.122500001</c:v>
                </c:pt>
                <c:pt idx="6">
                  <c:v>13865662.717500001</c:v>
                </c:pt>
                <c:pt idx="7">
                  <c:v>15392756.034780504</c:v>
                </c:pt>
                <c:pt idx="8">
                  <c:v>17156780.645324375</c:v>
                </c:pt>
                <c:pt idx="9">
                  <c:v>18295901.434447415</c:v>
                </c:pt>
                <c:pt idx="10">
                  <c:v>19428136.510229096</c:v>
                </c:pt>
                <c:pt idx="11">
                  <c:v>20629881.288978036</c:v>
                </c:pt>
              </c:numCache>
            </c:numRef>
          </c:val>
          <c:smooth val="0"/>
          <c:extLst>
            <c:ext xmlns:c16="http://schemas.microsoft.com/office/drawing/2014/chart" uri="{C3380CC4-5D6E-409C-BE32-E72D297353CC}">
              <c16:uniqueId val="{00000000-6EFC-4F6D-96F8-E9EACF4B7489}"/>
            </c:ext>
          </c:extLst>
        </c:ser>
        <c:ser>
          <c:idx val="1"/>
          <c:order val="2"/>
          <c:tx>
            <c:strRef>
              <c:f>'COMPANY Spread'!$P$45</c:f>
              <c:strCache>
                <c:ptCount val="1"/>
                <c:pt idx="0">
                  <c:v> DVF </c:v>
                </c:pt>
              </c:strCache>
            </c:strRef>
          </c:tx>
          <c:spPr>
            <a:ln w="28575" cap="rnd">
              <a:solidFill>
                <a:schemeClr val="tx2">
                  <a:lumMod val="50000"/>
                  <a:lumOff val="50000"/>
                </a:schemeClr>
              </a:solidFill>
              <a:round/>
            </a:ln>
            <a:effectLst/>
          </c:spPr>
          <c:marker>
            <c:symbol val="none"/>
          </c:marker>
          <c:cat>
            <c:strRef>
              <c:f>'COMPANY Spread'!$Q$42:$AB$42</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'COMPANY Spread'!$Q$45:$AB$45</c:f>
              <c:numCache>
                <c:formatCode>_-"$"* #,##0_-;\-"$"* #,##0_-;_-"$"* "-"??_-;_-@_-</c:formatCode>
                <c:ptCount val="12"/>
                <c:pt idx="0">
                  <c:v>1489443.4450000001</c:v>
                </c:pt>
                <c:pt idx="1">
                  <c:v>3380720.4050000003</c:v>
                </c:pt>
                <c:pt idx="2">
                  <c:v>5912887.2775000008</c:v>
                </c:pt>
                <c:pt idx="3">
                  <c:v>8541298.352500001</c:v>
                </c:pt>
                <c:pt idx="4">
                  <c:v>10744629.057500001</c:v>
                </c:pt>
                <c:pt idx="5">
                  <c:v>12418789.122500001</c:v>
                </c:pt>
                <c:pt idx="6">
                  <c:v>13865662.717500001</c:v>
                </c:pt>
                <c:pt idx="7">
                  <c:v>15412800.434780505</c:v>
                </c:pt>
                <c:pt idx="8">
                  <c:v>17285040.565324377</c:v>
                </c:pt>
                <c:pt idx="9">
                  <c:v>19960460.074447416</c:v>
                </c:pt>
                <c:pt idx="10">
                  <c:v>21881569.150229096</c:v>
                </c:pt>
                <c:pt idx="11">
                  <c:v>25127631.528978035</c:v>
                </c:pt>
              </c:numCache>
            </c:numRef>
          </c:val>
          <c:smooth val="0"/>
          <c:extLst>
            <c:ext xmlns:c16="http://schemas.microsoft.com/office/drawing/2014/chart" uri="{C3380CC4-5D6E-409C-BE32-E72D297353CC}">
              <c16:uniqueId val="{00000001-BAF3-45CB-9535-8818980AE012}"/>
            </c:ext>
          </c:extLst>
        </c:ser>
        <c:ser>
          <c:idx val="2"/>
          <c:order val="3"/>
          <c:tx>
            <c:strRef>
              <c:f>'COMPANY Spread'!$P$46</c:f>
              <c:strCache>
                <c:ptCount val="1"/>
                <c:pt idx="0">
                  <c:v> DF+ </c:v>
                </c:pt>
              </c:strCache>
            </c:strRef>
          </c:tx>
          <c:spPr>
            <a:ln w="28575" cap="rnd">
              <a:solidFill>
                <a:schemeClr val="accent5"/>
              </a:solidFill>
              <a:round/>
            </a:ln>
            <a:effectLst/>
          </c:spPr>
          <c:marker>
            <c:symbol val="none"/>
          </c:marker>
          <c:cat>
            <c:strRef>
              <c:f>'COMPANY Spread'!$Q$42:$AB$42</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'COMPANY Spread'!$Q$46:$AB$46</c:f>
              <c:numCache>
                <c:formatCode>_-"$"* #,##0_-;\-"$"* #,##0_-;_-"$"* "-"??_-;_-@_-</c:formatCode>
                <c:ptCount val="12"/>
                <c:pt idx="0">
                  <c:v>1489443.4450000001</c:v>
                </c:pt>
                <c:pt idx="1">
                  <c:v>3380720.4050000003</c:v>
                </c:pt>
                <c:pt idx="2">
                  <c:v>5912887.2775000008</c:v>
                </c:pt>
                <c:pt idx="3">
                  <c:v>8541298.352500001</c:v>
                </c:pt>
                <c:pt idx="4">
                  <c:v>10744629.057500001</c:v>
                </c:pt>
                <c:pt idx="5">
                  <c:v>12418789.122500001</c:v>
                </c:pt>
                <c:pt idx="6">
                  <c:v>13865662.717500001</c:v>
                </c:pt>
                <c:pt idx="7">
                  <c:v>15412800.434780505</c:v>
                </c:pt>
                <c:pt idx="8">
                  <c:v>17285040.565324377</c:v>
                </c:pt>
                <c:pt idx="9">
                  <c:v>19960460.074447416</c:v>
                </c:pt>
                <c:pt idx="10">
                  <c:v>21881569.150229096</c:v>
                </c:pt>
                <c:pt idx="11">
                  <c:v>25127631.528978035</c:v>
                </c:pt>
              </c:numCache>
            </c:numRef>
          </c:val>
          <c:smooth val="0"/>
          <c:extLst>
            <c:ext xmlns:c16="http://schemas.microsoft.com/office/drawing/2014/chart" uri="{C3380CC4-5D6E-409C-BE32-E72D297353CC}">
              <c16:uniqueId val="{00000002-BAF3-45CB-9535-8818980AE012}"/>
            </c:ext>
          </c:extLst>
        </c:ser>
        <c:ser>
          <c:idx val="3"/>
          <c:order val="4"/>
          <c:tx>
            <c:strRef>
              <c:f>'COMPANY Spread'!$P$47</c:f>
              <c:strCache>
                <c:ptCount val="1"/>
                <c:pt idx="0">
                  <c:v> Q+ </c:v>
                </c:pt>
              </c:strCache>
            </c:strRef>
          </c:tx>
          <c:spPr>
            <a:ln w="28575" cap="rnd">
              <a:solidFill>
                <a:srgbClr val="E49EDD"/>
              </a:solidFill>
              <a:prstDash val="solid"/>
              <a:round/>
            </a:ln>
            <a:effectLst/>
          </c:spPr>
          <c:marker>
            <c:symbol val="none"/>
          </c:marker>
          <c:cat>
            <c:strRef>
              <c:f>'COMPANY Spread'!$Q$42:$AB$42</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'COMPANY Spread'!$Q$47:$AB$47</c:f>
              <c:numCache>
                <c:formatCode>_-"$"* #,##0_-;\-"$"* #,##0_-;_-"$"* "-"??_-;_-@_-</c:formatCode>
                <c:ptCount val="12"/>
                <c:pt idx="0">
                  <c:v>1489443.4450000001</c:v>
                </c:pt>
                <c:pt idx="1">
                  <c:v>3380720.4050000003</c:v>
                </c:pt>
                <c:pt idx="2">
                  <c:v>5912887.2775000008</c:v>
                </c:pt>
                <c:pt idx="3">
                  <c:v>8541298.352500001</c:v>
                </c:pt>
                <c:pt idx="4">
                  <c:v>10744629.057500001</c:v>
                </c:pt>
                <c:pt idx="5">
                  <c:v>12418789.122500001</c:v>
                </c:pt>
                <c:pt idx="6">
                  <c:v>13865662.717500001</c:v>
                </c:pt>
                <c:pt idx="7">
                  <c:v>15532800.434780505</c:v>
                </c:pt>
                <c:pt idx="8">
                  <c:v>17525040.565324377</c:v>
                </c:pt>
                <c:pt idx="9">
                  <c:v>20320460.074447416</c:v>
                </c:pt>
                <c:pt idx="10">
                  <c:v>22554426.293086238</c:v>
                </c:pt>
                <c:pt idx="11">
                  <c:v>26063345.814692322</c:v>
                </c:pt>
              </c:numCache>
            </c:numRef>
          </c:val>
          <c:smooth val="0"/>
          <c:extLst>
            <c:ext xmlns:c16="http://schemas.microsoft.com/office/drawing/2014/chart" uri="{C3380CC4-5D6E-409C-BE32-E72D297353CC}">
              <c16:uniqueId val="{00000003-BAF3-45CB-9535-8818980AE012}"/>
            </c:ext>
          </c:extLst>
        </c:ser>
        <c:ser>
          <c:idx val="6"/>
          <c:order val="5"/>
          <c:tx>
            <c:strRef>
              <c:f>'COMPANY Spread'!$P$50</c:f>
              <c:strCache>
                <c:ptCount val="1"/>
                <c:pt idx="0">
                  <c:v> OK </c:v>
                </c:pt>
              </c:strCache>
            </c:strRef>
          </c:tx>
          <c:spPr>
            <a:ln w="28575" cap="rnd">
              <a:solidFill>
                <a:schemeClr val="accent2"/>
              </a:solidFill>
              <a:prstDash val="sysDot"/>
              <a:round/>
            </a:ln>
            <a:effectLst/>
          </c:spPr>
          <c:marker>
            <c:symbol val="none"/>
          </c:marker>
          <c:cat>
            <c:strRef>
              <c:f>'COMPANY Spread'!$Q$42:$AB$42</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'COMPANY Spread'!$Q$50:$AB$50</c:f>
              <c:numCache>
                <c:formatCode>_-"$"* #,##0_-;\-"$"* #,##0_-;_-"$"* "-"??_-;_-@_-</c:formatCode>
                <c:ptCount val="12"/>
                <c:pt idx="0">
                  <c:v>1877366.8619358274</c:v>
                </c:pt>
                <c:pt idx="1">
                  <c:v>3769733.7238716548</c:v>
                </c:pt>
                <c:pt idx="2">
                  <c:v>5712100.5858074818</c:v>
                </c:pt>
                <c:pt idx="3">
                  <c:v>7643720.3213065276</c:v>
                </c:pt>
                <c:pt idx="4">
                  <c:v>9575340.0568055734</c:v>
                </c:pt>
                <c:pt idx="5">
                  <c:v>11506959.79230462</c:v>
                </c:pt>
                <c:pt idx="6">
                  <c:v>13697200.217458839</c:v>
                </c:pt>
                <c:pt idx="7">
                  <c:v>15887440.642613057</c:v>
                </c:pt>
                <c:pt idx="8">
                  <c:v>18077681.067767277</c:v>
                </c:pt>
                <c:pt idx="9">
                  <c:v>20267921.492921494</c:v>
                </c:pt>
                <c:pt idx="10">
                  <c:v>22458161.918075711</c:v>
                </c:pt>
                <c:pt idx="11">
                  <c:v>24648402.343229927</c:v>
                </c:pt>
              </c:numCache>
            </c:numRef>
          </c:val>
          <c:smooth val="0"/>
          <c:extLst>
            <c:ext xmlns:c16="http://schemas.microsoft.com/office/drawing/2014/chart" uri="{C3380CC4-5D6E-409C-BE32-E72D297353CC}">
              <c16:uniqueId val="{00000001-67AC-45F3-BC94-EDF8DBF8DA1F}"/>
            </c:ext>
          </c:extLst>
        </c:ser>
        <c:ser>
          <c:idx val="5"/>
          <c:order val="6"/>
          <c:tx>
            <c:strRef>
              <c:f>'COMPANY Spread'!$P$49</c:f>
              <c:strCache>
                <c:ptCount val="1"/>
                <c:pt idx="0">
                  <c:v> GOOD </c:v>
                </c:pt>
              </c:strCache>
            </c:strRef>
          </c:tx>
          <c:spPr>
            <a:ln w="28575" cap="flat" cmpd="sng" algn="ctr">
              <a:solidFill>
                <a:srgbClr val="4EA72E"/>
              </a:solidFill>
              <a:prstDash val="sysDot"/>
              <a:round/>
              <a:headEnd type="none" w="med" len="med"/>
              <a:tailEnd type="none" w="med" len="med"/>
            </a:ln>
            <a:effectLst/>
          </c:spPr>
          <c:marker>
            <c:symbol val="none"/>
          </c:marker>
          <c:cat>
            <c:strRef>
              <c:f>'COMPANY Spread'!$Q$42:$AB$42</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'COMPANY Spread'!$Q$49:$AB$49</c:f>
              <c:numCache>
                <c:formatCode>_-"$"* #,##0_-;\-"$"* #,##0_-;_-"$"* "-"??_-;_-@_-</c:formatCode>
                <c:ptCount val="12"/>
                <c:pt idx="0">
                  <c:v>2510562.7705627708</c:v>
                </c:pt>
                <c:pt idx="1">
                  <c:v>5036125.5411255416</c:v>
                </c:pt>
                <c:pt idx="2">
                  <c:v>7611688.3116883123</c:v>
                </c:pt>
                <c:pt idx="3">
                  <c:v>10007503.607503608</c:v>
                </c:pt>
                <c:pt idx="4">
                  <c:v>12403318.903318904</c:v>
                </c:pt>
                <c:pt idx="5">
                  <c:v>14799134.199134201</c:v>
                </c:pt>
                <c:pt idx="6">
                  <c:v>17990404.040404044</c:v>
                </c:pt>
                <c:pt idx="7">
                  <c:v>21181673.881673887</c:v>
                </c:pt>
                <c:pt idx="8">
                  <c:v>24372943.722943731</c:v>
                </c:pt>
                <c:pt idx="9">
                  <c:v>27564213.564213574</c:v>
                </c:pt>
                <c:pt idx="10">
                  <c:v>30755483.405483417</c:v>
                </c:pt>
                <c:pt idx="11">
                  <c:v>33946753.24675326</c:v>
                </c:pt>
              </c:numCache>
            </c:numRef>
          </c:val>
          <c:smooth val="0"/>
          <c:extLst>
            <c:ext xmlns:c16="http://schemas.microsoft.com/office/drawing/2014/chart" uri="{C3380CC4-5D6E-409C-BE32-E72D297353CC}">
              <c16:uniqueId val="{00000000-67AC-45F3-BC94-EDF8DBF8DA1F}"/>
            </c:ext>
          </c:extLst>
        </c:ser>
        <c:ser>
          <c:idx val="4"/>
          <c:order val="7"/>
          <c:tx>
            <c:strRef>
              <c:f>'COMPANY Spread'!$P$48</c:f>
              <c:strCache>
                <c:ptCount val="1"/>
                <c:pt idx="0">
                  <c:v> GREAT </c:v>
                </c:pt>
              </c:strCache>
            </c:strRef>
          </c:tx>
          <c:spPr>
            <a:ln w="28575" cap="rnd">
              <a:solidFill>
                <a:schemeClr val="accent3">
                  <a:lumMod val="60000"/>
                  <a:lumOff val="40000"/>
                </a:schemeClr>
              </a:solidFill>
              <a:prstDash val="sysDot"/>
              <a:round/>
            </a:ln>
            <a:effectLst/>
          </c:spPr>
          <c:marker>
            <c:symbol val="none"/>
          </c:marker>
          <c:cat>
            <c:strRef>
              <c:f>'COMPANY Spread'!$Q$42:$AB$42</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'COMPANY Spread'!$Q$48:$AB$48</c:f>
              <c:numCache>
                <c:formatCode>_-"$"* #,##0_-;\-"$"* #,##0_-;_-"$"* "-"??_-;_-@_-</c:formatCode>
                <c:ptCount val="12"/>
                <c:pt idx="0">
                  <c:v>3179953.1024531019</c:v>
                </c:pt>
                <c:pt idx="1">
                  <c:v>6374906.2049062038</c:v>
                </c:pt>
                <c:pt idx="2">
                  <c:v>9619859.3073593061</c:v>
                </c:pt>
                <c:pt idx="3">
                  <c:v>12432539.682539681</c:v>
                </c:pt>
                <c:pt idx="4">
                  <c:v>15245220.057720056</c:v>
                </c:pt>
                <c:pt idx="5">
                  <c:v>18057900.432900429</c:v>
                </c:pt>
                <c:pt idx="6">
                  <c:v>22211489.898989893</c:v>
                </c:pt>
                <c:pt idx="7">
                  <c:v>26365079.365079358</c:v>
                </c:pt>
                <c:pt idx="8">
                  <c:v>30518668.831168823</c:v>
                </c:pt>
                <c:pt idx="9">
                  <c:v>34672258.297258288</c:v>
                </c:pt>
                <c:pt idx="10">
                  <c:v>38825847.763347752</c:v>
                </c:pt>
                <c:pt idx="11">
                  <c:v>42979437.229437217</c:v>
                </c:pt>
              </c:numCache>
            </c:numRef>
          </c:val>
          <c:smooth val="0"/>
          <c:extLst>
            <c:ext xmlns:c16="http://schemas.microsoft.com/office/drawing/2014/chart" uri="{C3380CC4-5D6E-409C-BE32-E72D297353CC}">
              <c16:uniqueId val="{00000004-BAF3-45CB-9535-8818980AE012}"/>
            </c:ext>
          </c:extLst>
        </c:ser>
        <c:dLbls>
          <c:showLegendKey val="0"/>
          <c:showVal val="0"/>
          <c:showCatName val="0"/>
          <c:showSerName val="0"/>
          <c:showPercent val="0"/>
          <c:showBubbleSize val="0"/>
        </c:dLbls>
        <c:smooth val="0"/>
        <c:axId val="1098771455"/>
        <c:axId val="1098761375"/>
      </c:lineChart>
      <c:catAx>
        <c:axId val="109877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761375"/>
        <c:crosses val="autoZero"/>
        <c:auto val="1"/>
        <c:lblAlgn val="ctr"/>
        <c:lblOffset val="100"/>
        <c:noMultiLvlLbl val="0"/>
      </c:catAx>
      <c:valAx>
        <c:axId val="109876137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771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Projected Gross Margin Contribution FY25/26</a:t>
            </a:r>
          </a:p>
        </c:rich>
      </c:tx>
      <c:overlay val="0"/>
      <c:spPr>
        <a:noFill/>
        <a:ln>
          <a:noFill/>
        </a:ln>
        <a:effectLst/>
      </c:spPr>
    </c:title>
    <c:autoTitleDeleted val="0"/>
    <c:plotArea>
      <c:layout/>
      <c:lineChart>
        <c:grouping val="standard"/>
        <c:varyColors val="0"/>
        <c:ser>
          <c:idx val="6"/>
          <c:order val="0"/>
          <c:tx>
            <c:strRef>
              <c:f>'COMPANY Spread'!$B$43</c:f>
              <c:strCache>
                <c:ptCount val="1"/>
                <c:pt idx="0">
                  <c:v> C </c:v>
                </c:pt>
              </c:strCache>
            </c:strRef>
          </c:tx>
          <c:spPr>
            <a:ln w="28575">
              <a:solidFill>
                <a:schemeClr val="tx1"/>
              </a:solidFill>
            </a:ln>
          </c:spPr>
          <c:marker>
            <c:symbol val="none"/>
          </c:marker>
          <c:cat>
            <c:strRef>
              <c:f>'COMPANY Spread'!$C$42:$N$42</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'COMPANY Spread'!$C$43:$N$43</c:f>
              <c:numCache>
                <c:formatCode>_-"$"* #,##0_-;\-"$"* #,##0_-;_-"$"* "-"??_-;_-@_-</c:formatCode>
                <c:ptCount val="12"/>
                <c:pt idx="0">
                  <c:v>371824.24500000034</c:v>
                </c:pt>
                <c:pt idx="1">
                  <c:v>996334.70500000042</c:v>
                </c:pt>
                <c:pt idx="2">
                  <c:v>1791429.3975000004</c:v>
                </c:pt>
                <c:pt idx="3">
                  <c:v>2809151.1750000003</c:v>
                </c:pt>
                <c:pt idx="4">
                  <c:v>3458448.8100000005</c:v>
                </c:pt>
                <c:pt idx="5">
                  <c:v>3922585.1100000003</c:v>
                </c:pt>
                <c:pt idx="6">
                  <c:v>4250178.2150000008</c:v>
                </c:pt>
                <c:pt idx="7">
                  <c:v>4545961.6519055041</c:v>
                </c:pt>
                <c:pt idx="8">
                  <c:v>4823816.6098743752</c:v>
                </c:pt>
                <c:pt idx="9">
                  <c:v>4981526.9665474147</c:v>
                </c:pt>
                <c:pt idx="10">
                  <c:v>5144609.1618290953</c:v>
                </c:pt>
                <c:pt idx="11">
                  <c:v>5352390.2930030376</c:v>
                </c:pt>
              </c:numCache>
            </c:numRef>
          </c:val>
          <c:smooth val="0"/>
          <c:extLst>
            <c:ext xmlns:c16="http://schemas.microsoft.com/office/drawing/2014/chart" uri="{C3380CC4-5D6E-409C-BE32-E72D297353CC}">
              <c16:uniqueId val="{00000011-D470-4D11-AF1E-88FB1B66BB6D}"/>
            </c:ext>
          </c:extLst>
        </c:ser>
        <c:ser>
          <c:idx val="1"/>
          <c:order val="1"/>
          <c:tx>
            <c:strRef>
              <c:f>'COMPANY Spread'!$B$44</c:f>
              <c:strCache>
                <c:ptCount val="1"/>
                <c:pt idx="0">
                  <c:v> S </c:v>
                </c:pt>
              </c:strCache>
            </c:strRef>
          </c:tx>
          <c:marker>
            <c:symbol val="none"/>
          </c:marker>
          <c:val>
            <c:numRef>
              <c:f>'COMPANY Spread'!$C$44:$N$44</c:f>
              <c:numCache>
                <c:formatCode>_-"$"* #,##0_-;\-"$"* #,##0_-;_-"$"* "-"??_-;_-@_-</c:formatCode>
                <c:ptCount val="12"/>
                <c:pt idx="0">
                  <c:v>371824.24500000034</c:v>
                </c:pt>
                <c:pt idx="1">
                  <c:v>996334.70500000042</c:v>
                </c:pt>
                <c:pt idx="2">
                  <c:v>1791429.3975000004</c:v>
                </c:pt>
                <c:pt idx="3">
                  <c:v>2809151.1750000003</c:v>
                </c:pt>
                <c:pt idx="4">
                  <c:v>3458448.8100000005</c:v>
                </c:pt>
                <c:pt idx="5">
                  <c:v>3922585.1100000003</c:v>
                </c:pt>
                <c:pt idx="6">
                  <c:v>4250178.2150000008</c:v>
                </c:pt>
                <c:pt idx="7">
                  <c:v>4545961.6519055041</c:v>
                </c:pt>
                <c:pt idx="8">
                  <c:v>4823816.6098743752</c:v>
                </c:pt>
                <c:pt idx="9">
                  <c:v>4981526.9665474147</c:v>
                </c:pt>
                <c:pt idx="10">
                  <c:v>5144609.1618290953</c:v>
                </c:pt>
                <c:pt idx="11">
                  <c:v>5352390.2930030376</c:v>
                </c:pt>
              </c:numCache>
            </c:numRef>
          </c:val>
          <c:smooth val="0"/>
          <c:extLst>
            <c:ext xmlns:c16="http://schemas.microsoft.com/office/drawing/2014/chart" uri="{C3380CC4-5D6E-409C-BE32-E72D297353CC}">
              <c16:uniqueId val="{00000000-9288-42A3-85A3-6A80C8DC241D}"/>
            </c:ext>
          </c:extLst>
        </c:ser>
        <c:ser>
          <c:idx val="7"/>
          <c:order val="2"/>
          <c:tx>
            <c:strRef>
              <c:f>'COMPANY Spread'!$B$45</c:f>
              <c:strCache>
                <c:ptCount val="1"/>
                <c:pt idx="0">
                  <c:v> DVF </c:v>
                </c:pt>
              </c:strCache>
            </c:strRef>
          </c:tx>
          <c:spPr>
            <a:ln w="28575">
              <a:solidFill>
                <a:schemeClr val="accent4"/>
              </a:solidFill>
            </a:ln>
          </c:spPr>
          <c:marker>
            <c:symbol val="none"/>
          </c:marker>
          <c:cat>
            <c:strRef>
              <c:f>'COMPANY Spread'!$C$42:$N$42</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'COMPANY Spread'!$C$45:$N$45</c:f>
              <c:numCache>
                <c:formatCode>_-"$"* #,##0_-;\-"$"* #,##0_-;_-"$"* "-"??_-;_-@_-</c:formatCode>
                <c:ptCount val="12"/>
                <c:pt idx="0">
                  <c:v>371824.24500000034</c:v>
                </c:pt>
                <c:pt idx="1">
                  <c:v>996334.70500000042</c:v>
                </c:pt>
                <c:pt idx="2">
                  <c:v>1791429.3975000004</c:v>
                </c:pt>
                <c:pt idx="3">
                  <c:v>2809151.1750000003</c:v>
                </c:pt>
                <c:pt idx="4">
                  <c:v>3458448.8100000005</c:v>
                </c:pt>
                <c:pt idx="5">
                  <c:v>3922585.1100000003</c:v>
                </c:pt>
                <c:pt idx="6">
                  <c:v>4250178.2150000008</c:v>
                </c:pt>
                <c:pt idx="7">
                  <c:v>4554962.0519055044</c:v>
                </c:pt>
                <c:pt idx="8">
                  <c:v>4878192.1298743747</c:v>
                </c:pt>
                <c:pt idx="9">
                  <c:v>6026739.2065474149</c:v>
                </c:pt>
                <c:pt idx="10">
                  <c:v>6501435.4018290956</c:v>
                </c:pt>
                <c:pt idx="11">
                  <c:v>7559370.1330030374</c:v>
                </c:pt>
              </c:numCache>
            </c:numRef>
          </c:val>
          <c:smooth val="0"/>
          <c:extLst>
            <c:ext xmlns:c16="http://schemas.microsoft.com/office/drawing/2014/chart" uri="{C3380CC4-5D6E-409C-BE32-E72D297353CC}">
              <c16:uniqueId val="{00000012-D470-4D11-AF1E-88FB1B66BB6D}"/>
            </c:ext>
          </c:extLst>
        </c:ser>
        <c:ser>
          <c:idx val="8"/>
          <c:order val="3"/>
          <c:tx>
            <c:strRef>
              <c:f>'COMPANY Spread'!$B$46</c:f>
              <c:strCache>
                <c:ptCount val="1"/>
                <c:pt idx="0">
                  <c:v> DF+ </c:v>
                </c:pt>
              </c:strCache>
            </c:strRef>
          </c:tx>
          <c:spPr>
            <a:ln w="28575">
              <a:solidFill>
                <a:schemeClr val="accent5"/>
              </a:solidFill>
            </a:ln>
          </c:spPr>
          <c:marker>
            <c:symbol val="none"/>
          </c:marker>
          <c:cat>
            <c:strRef>
              <c:f>'COMPANY Spread'!$C$42:$N$42</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'COMPANY Spread'!$C$46:$N$46</c:f>
              <c:numCache>
                <c:formatCode>_-"$"* #,##0_-;\-"$"* #,##0_-;_-"$"* "-"??_-;_-@_-</c:formatCode>
                <c:ptCount val="12"/>
                <c:pt idx="0">
                  <c:v>371824.24500000034</c:v>
                </c:pt>
                <c:pt idx="1">
                  <c:v>996334.70500000042</c:v>
                </c:pt>
                <c:pt idx="2">
                  <c:v>1791429.3975000004</c:v>
                </c:pt>
                <c:pt idx="3">
                  <c:v>2809151.1750000003</c:v>
                </c:pt>
                <c:pt idx="4">
                  <c:v>3458448.8100000005</c:v>
                </c:pt>
                <c:pt idx="5">
                  <c:v>3922585.1100000003</c:v>
                </c:pt>
                <c:pt idx="6">
                  <c:v>4250178.2150000008</c:v>
                </c:pt>
                <c:pt idx="7">
                  <c:v>4554962.0519055044</c:v>
                </c:pt>
                <c:pt idx="8">
                  <c:v>4878192.1298743747</c:v>
                </c:pt>
                <c:pt idx="9">
                  <c:v>6026739.2065474149</c:v>
                </c:pt>
                <c:pt idx="10">
                  <c:v>6501435.4018290956</c:v>
                </c:pt>
                <c:pt idx="11">
                  <c:v>7559370.1330030374</c:v>
                </c:pt>
              </c:numCache>
            </c:numRef>
          </c:val>
          <c:smooth val="0"/>
          <c:extLst>
            <c:ext xmlns:c16="http://schemas.microsoft.com/office/drawing/2014/chart" uri="{C3380CC4-5D6E-409C-BE32-E72D297353CC}">
              <c16:uniqueId val="{00000013-D470-4D11-AF1E-88FB1B66BB6D}"/>
            </c:ext>
          </c:extLst>
        </c:ser>
        <c:ser>
          <c:idx val="9"/>
          <c:order val="4"/>
          <c:tx>
            <c:strRef>
              <c:f>'COMPANY Spread'!$B$47</c:f>
              <c:strCache>
                <c:ptCount val="1"/>
                <c:pt idx="0">
                  <c:v> Q+ </c:v>
                </c:pt>
              </c:strCache>
            </c:strRef>
          </c:tx>
          <c:spPr>
            <a:ln w="28575">
              <a:solidFill>
                <a:srgbClr val="E49EDD"/>
              </a:solidFill>
              <a:prstDash val="solid"/>
            </a:ln>
          </c:spPr>
          <c:marker>
            <c:symbol val="none"/>
          </c:marker>
          <c:cat>
            <c:strRef>
              <c:f>'COMPANY Spread'!$C$42:$N$42</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'COMPANY Spread'!$C$47:$N$47</c:f>
              <c:numCache>
                <c:formatCode>_-"$"* #,##0_-;\-"$"* #,##0_-;_-"$"* "-"??_-;_-@_-</c:formatCode>
                <c:ptCount val="12"/>
                <c:pt idx="0">
                  <c:v>371824.24500000034</c:v>
                </c:pt>
                <c:pt idx="1">
                  <c:v>996334.70500000042</c:v>
                </c:pt>
                <c:pt idx="2">
                  <c:v>1791429.3975000004</c:v>
                </c:pt>
                <c:pt idx="3">
                  <c:v>2809151.1750000003</c:v>
                </c:pt>
                <c:pt idx="4">
                  <c:v>3458448.8100000005</c:v>
                </c:pt>
                <c:pt idx="5">
                  <c:v>3922585.1100000003</c:v>
                </c:pt>
                <c:pt idx="6">
                  <c:v>4250178.2150000008</c:v>
                </c:pt>
                <c:pt idx="7">
                  <c:v>4554962.0519055044</c:v>
                </c:pt>
                <c:pt idx="8">
                  <c:v>4878192.1298743747</c:v>
                </c:pt>
                <c:pt idx="9">
                  <c:v>6026739.2065474149</c:v>
                </c:pt>
                <c:pt idx="10">
                  <c:v>6501435.4018290956</c:v>
                </c:pt>
                <c:pt idx="11">
                  <c:v>7559370.1330030374</c:v>
                </c:pt>
              </c:numCache>
            </c:numRef>
          </c:val>
          <c:smooth val="0"/>
          <c:extLst>
            <c:ext xmlns:c16="http://schemas.microsoft.com/office/drawing/2014/chart" uri="{C3380CC4-5D6E-409C-BE32-E72D297353CC}">
              <c16:uniqueId val="{00000014-D470-4D11-AF1E-88FB1B66BB6D}"/>
            </c:ext>
          </c:extLst>
        </c:ser>
        <c:ser>
          <c:idx val="10"/>
          <c:order val="5"/>
          <c:tx>
            <c:strRef>
              <c:f>'COMPANY Spread'!$B$50</c:f>
              <c:strCache>
                <c:ptCount val="1"/>
                <c:pt idx="0">
                  <c:v> OK </c:v>
                </c:pt>
              </c:strCache>
            </c:strRef>
          </c:tx>
          <c:spPr>
            <a:ln w="28575">
              <a:solidFill>
                <a:schemeClr val="accent2"/>
              </a:solidFill>
              <a:prstDash val="sysDot"/>
            </a:ln>
          </c:spPr>
          <c:marker>
            <c:symbol val="none"/>
          </c:marker>
          <c:cat>
            <c:strRef>
              <c:f>'COMPANY Spread'!$C$42:$N$42</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'COMPANY Spread'!$C$50:$N$50</c:f>
              <c:numCache>
                <c:formatCode>_-"$"* #,##0_-;\-"$"* #,##0_-;_-"$"* "-"??_-;_-@_-</c:formatCode>
                <c:ptCount val="12"/>
                <c:pt idx="0">
                  <c:v>537000</c:v>
                </c:pt>
                <c:pt idx="1">
                  <c:v>1078500</c:v>
                </c:pt>
                <c:pt idx="2">
                  <c:v>1635000</c:v>
                </c:pt>
                <c:pt idx="3">
                  <c:v>2215000</c:v>
                </c:pt>
                <c:pt idx="4">
                  <c:v>2795000</c:v>
                </c:pt>
                <c:pt idx="5">
                  <c:v>3375000</c:v>
                </c:pt>
                <c:pt idx="6">
                  <c:v>3992500</c:v>
                </c:pt>
                <c:pt idx="7">
                  <c:v>4610000</c:v>
                </c:pt>
                <c:pt idx="8">
                  <c:v>5227500</c:v>
                </c:pt>
                <c:pt idx="9">
                  <c:v>5845000</c:v>
                </c:pt>
                <c:pt idx="10">
                  <c:v>6462500</c:v>
                </c:pt>
                <c:pt idx="11">
                  <c:v>7080000</c:v>
                </c:pt>
              </c:numCache>
            </c:numRef>
          </c:val>
          <c:smooth val="0"/>
          <c:extLst>
            <c:ext xmlns:c16="http://schemas.microsoft.com/office/drawing/2014/chart" uri="{C3380CC4-5D6E-409C-BE32-E72D297353CC}">
              <c16:uniqueId val="{00000015-D470-4D11-AF1E-88FB1B66BB6D}"/>
            </c:ext>
          </c:extLst>
        </c:ser>
        <c:ser>
          <c:idx val="11"/>
          <c:order val="6"/>
          <c:tx>
            <c:strRef>
              <c:f>'COMPANY Spread'!$B$49</c:f>
              <c:strCache>
                <c:ptCount val="1"/>
                <c:pt idx="0">
                  <c:v> GOOD </c:v>
                </c:pt>
              </c:strCache>
            </c:strRef>
          </c:tx>
          <c:spPr>
            <a:ln w="28575" cap="flat" cmpd="sng" algn="ctr">
              <a:solidFill>
                <a:srgbClr val="4EA72E"/>
              </a:solidFill>
              <a:prstDash val="sysDot"/>
              <a:headEnd type="none" w="med" len="med"/>
              <a:tailEnd type="none" w="med" len="med"/>
            </a:ln>
          </c:spPr>
          <c:marker>
            <c:symbol val="none"/>
          </c:marker>
          <c:cat>
            <c:strRef>
              <c:f>'COMPANY Spread'!$C$42:$N$42</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'COMPANY Spread'!$C$49:$N$49</c:f>
              <c:numCache>
                <c:formatCode>_-"$"* #,##0_-;\-"$"* #,##0_-;_-"$"* "-"??_-;_-@_-</c:formatCode>
                <c:ptCount val="12"/>
                <c:pt idx="0">
                  <c:v>748666.66666666674</c:v>
                </c:pt>
                <c:pt idx="1">
                  <c:v>1501833.3333333335</c:v>
                </c:pt>
                <c:pt idx="2">
                  <c:v>2270000</c:v>
                </c:pt>
                <c:pt idx="3">
                  <c:v>3043333.3333333335</c:v>
                </c:pt>
                <c:pt idx="4">
                  <c:v>3816666.666666667</c:v>
                </c:pt>
                <c:pt idx="5">
                  <c:v>4590000</c:v>
                </c:pt>
                <c:pt idx="6">
                  <c:v>5513333.333333333</c:v>
                </c:pt>
                <c:pt idx="7">
                  <c:v>6436666.666666666</c:v>
                </c:pt>
                <c:pt idx="8">
                  <c:v>7359999.9999999991</c:v>
                </c:pt>
                <c:pt idx="9">
                  <c:v>8283333.3333333321</c:v>
                </c:pt>
                <c:pt idx="10">
                  <c:v>9206666.666666666</c:v>
                </c:pt>
                <c:pt idx="11">
                  <c:v>10130000</c:v>
                </c:pt>
              </c:numCache>
            </c:numRef>
          </c:val>
          <c:smooth val="0"/>
          <c:extLst>
            <c:ext xmlns:c16="http://schemas.microsoft.com/office/drawing/2014/chart" uri="{C3380CC4-5D6E-409C-BE32-E72D297353CC}">
              <c16:uniqueId val="{00000016-D470-4D11-AF1E-88FB1B66BB6D}"/>
            </c:ext>
          </c:extLst>
        </c:ser>
        <c:ser>
          <c:idx val="0"/>
          <c:order val="7"/>
          <c:tx>
            <c:strRef>
              <c:f>'COMPANY Spread'!$B$48</c:f>
              <c:strCache>
                <c:ptCount val="1"/>
                <c:pt idx="0">
                  <c:v> GREAT </c:v>
                </c:pt>
              </c:strCache>
            </c:strRef>
          </c:tx>
          <c:spPr>
            <a:ln w="28575">
              <a:solidFill>
                <a:schemeClr val="accent3">
                  <a:lumMod val="60000"/>
                  <a:lumOff val="40000"/>
                </a:schemeClr>
              </a:solidFill>
              <a:prstDash val="sysDot"/>
            </a:ln>
          </c:spPr>
          <c:marker>
            <c:symbol val="none"/>
          </c:marker>
          <c:val>
            <c:numRef>
              <c:f>'COMPANY Spread'!$C$48:$N$48</c:f>
              <c:numCache>
                <c:formatCode>_-"$"* #,##0_-;\-"$"* #,##0_-;_-"$"* "-"??_-;_-@_-</c:formatCode>
                <c:ptCount val="12"/>
                <c:pt idx="0">
                  <c:v>971166.66666666674</c:v>
                </c:pt>
                <c:pt idx="1">
                  <c:v>1946833.3333333335</c:v>
                </c:pt>
                <c:pt idx="2">
                  <c:v>2937500</c:v>
                </c:pt>
                <c:pt idx="3">
                  <c:v>3891666.666666667</c:v>
                </c:pt>
                <c:pt idx="4">
                  <c:v>4845833.333333334</c:v>
                </c:pt>
                <c:pt idx="5">
                  <c:v>5800000.0000000009</c:v>
                </c:pt>
                <c:pt idx="6">
                  <c:v>7016666.6666666679</c:v>
                </c:pt>
                <c:pt idx="7">
                  <c:v>8233333.3333333349</c:v>
                </c:pt>
                <c:pt idx="8">
                  <c:v>9450000.0000000019</c:v>
                </c:pt>
                <c:pt idx="9">
                  <c:v>10666666.666666668</c:v>
                </c:pt>
                <c:pt idx="10">
                  <c:v>11883333.333333334</c:v>
                </c:pt>
                <c:pt idx="11">
                  <c:v>13100000</c:v>
                </c:pt>
              </c:numCache>
            </c:numRef>
          </c:val>
          <c:smooth val="0"/>
          <c:extLst>
            <c:ext xmlns:c16="http://schemas.microsoft.com/office/drawing/2014/chart" uri="{C3380CC4-5D6E-409C-BE32-E72D297353CC}">
              <c16:uniqueId val="{00000001-EB6E-43C8-B0C8-AD6178628B6F}"/>
            </c:ext>
          </c:extLst>
        </c:ser>
        <c:dLbls>
          <c:showLegendKey val="0"/>
          <c:showVal val="0"/>
          <c:showCatName val="0"/>
          <c:showSerName val="0"/>
          <c:showPercent val="0"/>
          <c:showBubbleSize val="0"/>
        </c:dLbls>
        <c:smooth val="0"/>
        <c:axId val="1297579791"/>
        <c:axId val="1297586031"/>
      </c:lineChart>
      <c:catAx>
        <c:axId val="129757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586031"/>
        <c:crosses val="autoZero"/>
        <c:auto val="1"/>
        <c:lblAlgn val="ctr"/>
        <c:lblOffset val="100"/>
        <c:noMultiLvlLbl val="0"/>
      </c:catAx>
      <c:valAx>
        <c:axId val="129758603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579791"/>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DAFF Projected</a:t>
            </a:r>
            <a:r>
              <a:rPr lang="en-AU" baseline="0"/>
              <a:t> Revenue FY25/26</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lineChart>
        <c:grouping val="standard"/>
        <c:varyColors val="0"/>
        <c:ser>
          <c:idx val="0"/>
          <c:order val="0"/>
          <c:tx>
            <c:strRef>
              <c:f>'DAFF VAT Summary'!$T$27</c:f>
              <c:strCache>
                <c:ptCount val="1"/>
                <c:pt idx="0">
                  <c:v> C/S </c:v>
                </c:pt>
              </c:strCache>
            </c:strRef>
          </c:tx>
          <c:spPr>
            <a:ln w="28575" cap="rnd">
              <a:solidFill>
                <a:schemeClr val="tx2"/>
              </a:solidFill>
              <a:round/>
            </a:ln>
            <a:effectLst/>
          </c:spPr>
          <c:marker>
            <c:symbol val="none"/>
          </c:marker>
          <c:cat>
            <c:strRef>
              <c:f>'DAFF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'DAFF VAT Summary'!$U$27:$AF$27</c:f>
              <c:numCache>
                <c:formatCode>_-"$"* #,##0_-;\-"$"* #,##0_-;_-"$"* "-"??_-;_-@_-</c:formatCode>
                <c:ptCount val="12"/>
                <c:pt idx="0">
                  <c:v>655397.70500000007</c:v>
                </c:pt>
                <c:pt idx="1">
                  <c:v>1219574.9750000001</c:v>
                </c:pt>
                <c:pt idx="2">
                  <c:v>1806921.6075000002</c:v>
                </c:pt>
                <c:pt idx="3">
                  <c:v>2167050.67</c:v>
                </c:pt>
                <c:pt idx="4">
                  <c:v>2480800.67</c:v>
                </c:pt>
                <c:pt idx="5">
                  <c:v>2777306.2949999999</c:v>
                </c:pt>
                <c:pt idx="6">
                  <c:v>3092301.2050000001</c:v>
                </c:pt>
                <c:pt idx="7">
                  <c:v>3417215.605</c:v>
                </c:pt>
                <c:pt idx="8">
                  <c:v>3796532.165</c:v>
                </c:pt>
                <c:pt idx="9">
                  <c:v>4047345.125</c:v>
                </c:pt>
                <c:pt idx="10">
                  <c:v>4264159.5250000004</c:v>
                </c:pt>
                <c:pt idx="11">
                  <c:v>4482313.9250000007</c:v>
                </c:pt>
              </c:numCache>
            </c:numRef>
          </c:val>
          <c:smooth val="0"/>
          <c:extLst>
            <c:ext xmlns:c16="http://schemas.microsoft.com/office/drawing/2014/chart" uri="{C3380CC4-5D6E-409C-BE32-E72D297353CC}">
              <c16:uniqueId val="{00000000-1CFA-43D4-AEE5-4BBD7B9472F8}"/>
            </c:ext>
          </c:extLst>
        </c:ser>
        <c:ser>
          <c:idx val="1"/>
          <c:order val="1"/>
          <c:tx>
            <c:strRef>
              <c:f>'DAFF VAT Summary'!$T$28</c:f>
              <c:strCache>
                <c:ptCount val="1"/>
                <c:pt idx="0">
                  <c:v> DVF+ </c:v>
                </c:pt>
              </c:strCache>
            </c:strRef>
          </c:tx>
          <c:spPr>
            <a:ln w="28575" cap="rnd">
              <a:solidFill>
                <a:schemeClr val="tx2">
                  <a:lumMod val="50000"/>
                  <a:lumOff val="50000"/>
                </a:schemeClr>
              </a:solidFill>
              <a:round/>
            </a:ln>
            <a:effectLst/>
          </c:spPr>
          <c:marker>
            <c:symbol val="none"/>
          </c:marker>
          <c:cat>
            <c:strRef>
              <c:f>'DAFF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'DAFF VAT Summary'!$U$28:$AF$28</c:f>
              <c:numCache>
                <c:formatCode>_-"$"* #,##0_-;\-"$"* #,##0_-;_-"$"* "-"??_-;_-@_-</c:formatCode>
                <c:ptCount val="12"/>
                <c:pt idx="0">
                  <c:v>655397.70500000007</c:v>
                </c:pt>
                <c:pt idx="1">
                  <c:v>1219574.9750000001</c:v>
                </c:pt>
                <c:pt idx="2">
                  <c:v>1806921.6075000002</c:v>
                </c:pt>
                <c:pt idx="3">
                  <c:v>2167050.67</c:v>
                </c:pt>
                <c:pt idx="4">
                  <c:v>2480800.67</c:v>
                </c:pt>
                <c:pt idx="5">
                  <c:v>2777306.2949999999</c:v>
                </c:pt>
                <c:pt idx="6">
                  <c:v>3092301.2050000001</c:v>
                </c:pt>
                <c:pt idx="7">
                  <c:v>3417215.605</c:v>
                </c:pt>
                <c:pt idx="8">
                  <c:v>3796532.165</c:v>
                </c:pt>
                <c:pt idx="9">
                  <c:v>4047345.125</c:v>
                </c:pt>
                <c:pt idx="10">
                  <c:v>4264159.5250000004</c:v>
                </c:pt>
                <c:pt idx="11">
                  <c:v>4482313.9250000007</c:v>
                </c:pt>
              </c:numCache>
            </c:numRef>
          </c:val>
          <c:smooth val="0"/>
          <c:extLst>
            <c:ext xmlns:c16="http://schemas.microsoft.com/office/drawing/2014/chart" uri="{C3380CC4-5D6E-409C-BE32-E72D297353CC}">
              <c16:uniqueId val="{00000001-1CFA-43D4-AEE5-4BBD7B9472F8}"/>
            </c:ext>
          </c:extLst>
        </c:ser>
        <c:ser>
          <c:idx val="2"/>
          <c:order val="2"/>
          <c:tx>
            <c:strRef>
              <c:f>'DAFF VAT Summary'!$T$29</c:f>
              <c:strCache>
                <c:ptCount val="1"/>
                <c:pt idx="0">
                  <c:v> DF+ </c:v>
                </c:pt>
              </c:strCache>
            </c:strRef>
          </c:tx>
          <c:spPr>
            <a:ln w="28575" cap="rnd">
              <a:solidFill>
                <a:schemeClr val="accent5"/>
              </a:solidFill>
              <a:round/>
            </a:ln>
            <a:effectLst/>
          </c:spPr>
          <c:marker>
            <c:symbol val="none"/>
          </c:marker>
          <c:cat>
            <c:strRef>
              <c:f>'DAFF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'DAFF VAT Summary'!$U$29:$AF$29</c:f>
              <c:numCache>
                <c:formatCode>_-"$"* #,##0_-;\-"$"* #,##0_-;_-"$"* "-"??_-;_-@_-</c:formatCode>
                <c:ptCount val="12"/>
                <c:pt idx="0">
                  <c:v>655397.70500000007</c:v>
                </c:pt>
                <c:pt idx="1">
                  <c:v>1219574.9750000001</c:v>
                </c:pt>
                <c:pt idx="2">
                  <c:v>1806921.6075000002</c:v>
                </c:pt>
                <c:pt idx="3">
                  <c:v>2167050.67</c:v>
                </c:pt>
                <c:pt idx="4">
                  <c:v>2480800.67</c:v>
                </c:pt>
                <c:pt idx="5">
                  <c:v>2777306.2949999999</c:v>
                </c:pt>
                <c:pt idx="6">
                  <c:v>3092301.2050000001</c:v>
                </c:pt>
                <c:pt idx="7">
                  <c:v>3488335.605</c:v>
                </c:pt>
                <c:pt idx="8">
                  <c:v>4129942.165</c:v>
                </c:pt>
                <c:pt idx="9">
                  <c:v>4555085.125</c:v>
                </c:pt>
                <c:pt idx="10">
                  <c:v>4928389.5250000004</c:v>
                </c:pt>
                <c:pt idx="11">
                  <c:v>5306813.9250000007</c:v>
                </c:pt>
              </c:numCache>
            </c:numRef>
          </c:val>
          <c:smooth val="0"/>
          <c:extLst>
            <c:ext xmlns:c16="http://schemas.microsoft.com/office/drawing/2014/chart" uri="{C3380CC4-5D6E-409C-BE32-E72D297353CC}">
              <c16:uniqueId val="{00000002-1CFA-43D4-AEE5-4BBD7B9472F8}"/>
            </c:ext>
          </c:extLst>
        </c:ser>
        <c:ser>
          <c:idx val="3"/>
          <c:order val="3"/>
          <c:tx>
            <c:strRef>
              <c:f>'DAFF VAT Summary'!$T$30</c:f>
              <c:strCache>
                <c:ptCount val="1"/>
                <c:pt idx="0">
                  <c:v> Q+ </c:v>
                </c:pt>
              </c:strCache>
            </c:strRef>
          </c:tx>
          <c:spPr>
            <a:ln w="28575" cap="rnd">
              <a:solidFill>
                <a:schemeClr val="accent2"/>
              </a:solidFill>
              <a:round/>
            </a:ln>
            <a:effectLst/>
          </c:spPr>
          <c:marker>
            <c:symbol val="none"/>
          </c:marker>
          <c:cat>
            <c:strRef>
              <c:f>'DAFF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'DAFF VAT Summary'!$U$30:$AF$30</c:f>
              <c:numCache>
                <c:formatCode>_-"$"* #,##0_-;\-"$"* #,##0_-;_-"$"* "-"??_-;_-@_-</c:formatCode>
                <c:ptCount val="12"/>
                <c:pt idx="0">
                  <c:v>655397.70500000007</c:v>
                </c:pt>
                <c:pt idx="1">
                  <c:v>1219574.9750000001</c:v>
                </c:pt>
                <c:pt idx="2">
                  <c:v>1806921.6075000002</c:v>
                </c:pt>
                <c:pt idx="3">
                  <c:v>2167050.67</c:v>
                </c:pt>
                <c:pt idx="4">
                  <c:v>2480800.67</c:v>
                </c:pt>
                <c:pt idx="5">
                  <c:v>2777306.2949999999</c:v>
                </c:pt>
                <c:pt idx="6">
                  <c:v>3092301.2050000001</c:v>
                </c:pt>
                <c:pt idx="7">
                  <c:v>3488335.605</c:v>
                </c:pt>
                <c:pt idx="8">
                  <c:v>4129942.165</c:v>
                </c:pt>
                <c:pt idx="9">
                  <c:v>4555085.125</c:v>
                </c:pt>
                <c:pt idx="10">
                  <c:v>4928389.5250000004</c:v>
                </c:pt>
                <c:pt idx="11">
                  <c:v>5499671.0678571435</c:v>
                </c:pt>
              </c:numCache>
            </c:numRef>
          </c:val>
          <c:smooth val="0"/>
          <c:extLst>
            <c:ext xmlns:c16="http://schemas.microsoft.com/office/drawing/2014/chart" uri="{C3380CC4-5D6E-409C-BE32-E72D297353CC}">
              <c16:uniqueId val="{00000003-1CFA-43D4-AEE5-4BBD7B9472F8}"/>
            </c:ext>
          </c:extLst>
        </c:ser>
        <c:ser>
          <c:idx val="4"/>
          <c:order val="4"/>
          <c:tx>
            <c:strRef>
              <c:f>'DAFF VAT Summary'!$T$31</c:f>
              <c:strCache>
                <c:ptCount val="1"/>
                <c:pt idx="0">
                  <c:v> VAT Lead </c:v>
                </c:pt>
              </c:strCache>
            </c:strRef>
          </c:tx>
          <c:spPr>
            <a:ln w="28575" cap="rnd">
              <a:solidFill>
                <a:srgbClr val="FF0000"/>
              </a:solidFill>
              <a:round/>
            </a:ln>
            <a:effectLst/>
          </c:spPr>
          <c:marker>
            <c:symbol val="none"/>
          </c:marker>
          <c:cat>
            <c:strRef>
              <c:f>'DAFF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'DAFF VAT Summary'!$U$31:$AF$31</c:f>
              <c:numCache>
                <c:formatCode>_-"$"* #,##0_-;\-"$"* #,##0_-;_-"$"*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1CFA-43D4-AEE5-4BBD7B9472F8}"/>
            </c:ext>
          </c:extLst>
        </c:ser>
        <c:ser>
          <c:idx val="7"/>
          <c:order val="5"/>
          <c:tx>
            <c:strRef>
              <c:f>'DAFF VAT Summary'!$T$34</c:f>
              <c:strCache>
                <c:ptCount val="1"/>
                <c:pt idx="0">
                  <c:v> OK </c:v>
                </c:pt>
              </c:strCache>
            </c:strRef>
          </c:tx>
          <c:spPr>
            <a:ln w="28575" cap="rnd">
              <a:solidFill>
                <a:schemeClr val="accent2"/>
              </a:solidFill>
              <a:prstDash val="sysDot"/>
              <a:round/>
            </a:ln>
            <a:effectLst/>
          </c:spPr>
          <c:marker>
            <c:symbol val="none"/>
          </c:marker>
          <c:cat>
            <c:strRef>
              <c:f>'DAFF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'DAFF VAT Summary'!$U$34:$AF$34</c:f>
              <c:numCache>
                <c:formatCode>_-"$"* #,##0_-;\-"$"* #,##0_-;_-"$"* "-"??_-;_-@_-</c:formatCode>
                <c:ptCount val="12"/>
                <c:pt idx="0">
                  <c:v>428571.42857142858</c:v>
                </c:pt>
                <c:pt idx="1">
                  <c:v>857142.85714285716</c:v>
                </c:pt>
                <c:pt idx="2">
                  <c:v>1285714.2857142857</c:v>
                </c:pt>
                <c:pt idx="3">
                  <c:v>1714285.7142857143</c:v>
                </c:pt>
                <c:pt idx="4">
                  <c:v>2142857.1428571427</c:v>
                </c:pt>
                <c:pt idx="5">
                  <c:v>2571428.5714285714</c:v>
                </c:pt>
                <c:pt idx="6">
                  <c:v>3000000</c:v>
                </c:pt>
                <c:pt idx="7">
                  <c:v>3428571.4285714286</c:v>
                </c:pt>
                <c:pt idx="8">
                  <c:v>3857142.8571428573</c:v>
                </c:pt>
                <c:pt idx="9">
                  <c:v>4285714.2857142854</c:v>
                </c:pt>
                <c:pt idx="10">
                  <c:v>4714285.7142857136</c:v>
                </c:pt>
                <c:pt idx="11">
                  <c:v>5142857.1428571418</c:v>
                </c:pt>
              </c:numCache>
            </c:numRef>
          </c:val>
          <c:smooth val="0"/>
          <c:extLst>
            <c:ext xmlns:c16="http://schemas.microsoft.com/office/drawing/2014/chart" uri="{C3380CC4-5D6E-409C-BE32-E72D297353CC}">
              <c16:uniqueId val="{00000001-EB07-4149-90E4-F8889B4232F8}"/>
            </c:ext>
          </c:extLst>
        </c:ser>
        <c:ser>
          <c:idx val="6"/>
          <c:order val="6"/>
          <c:tx>
            <c:strRef>
              <c:f>'DAFF VAT Summary'!$T$33</c:f>
              <c:strCache>
                <c:ptCount val="1"/>
                <c:pt idx="0">
                  <c:v> GOOD </c:v>
                </c:pt>
              </c:strCache>
            </c:strRef>
          </c:tx>
          <c:spPr>
            <a:ln w="28575" cap="rnd">
              <a:solidFill>
                <a:schemeClr val="accent6"/>
              </a:solidFill>
              <a:prstDash val="sysDot"/>
              <a:round/>
            </a:ln>
            <a:effectLst/>
          </c:spPr>
          <c:marker>
            <c:symbol val="none"/>
          </c:marker>
          <c:cat>
            <c:strRef>
              <c:f>'DAFF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'DAFF VAT Summary'!$U$33:$AF$33</c:f>
              <c:numCache>
                <c:formatCode>_-"$"* #,##0_-;\-"$"* #,##0_-;_-"$"* "-"??_-;_-@_-</c:formatCode>
                <c:ptCount val="12"/>
                <c:pt idx="0">
                  <c:v>535714.2857142858</c:v>
                </c:pt>
                <c:pt idx="1">
                  <c:v>1071428.5714285716</c:v>
                </c:pt>
                <c:pt idx="2">
                  <c:v>1607142.8571428573</c:v>
                </c:pt>
                <c:pt idx="3">
                  <c:v>2142857.1428571432</c:v>
                </c:pt>
                <c:pt idx="4">
                  <c:v>2678571.4285714291</c:v>
                </c:pt>
                <c:pt idx="5">
                  <c:v>3214285.714285715</c:v>
                </c:pt>
                <c:pt idx="6">
                  <c:v>3750000.0000000009</c:v>
                </c:pt>
                <c:pt idx="7">
                  <c:v>4285714.2857142864</c:v>
                </c:pt>
                <c:pt idx="8">
                  <c:v>4821428.5714285718</c:v>
                </c:pt>
                <c:pt idx="9">
                  <c:v>5357142.8571428573</c:v>
                </c:pt>
                <c:pt idx="10">
                  <c:v>5892857.1428571427</c:v>
                </c:pt>
                <c:pt idx="11">
                  <c:v>6428571.4285714282</c:v>
                </c:pt>
              </c:numCache>
            </c:numRef>
          </c:val>
          <c:smooth val="0"/>
          <c:extLst>
            <c:ext xmlns:c16="http://schemas.microsoft.com/office/drawing/2014/chart" uri="{C3380CC4-5D6E-409C-BE32-E72D297353CC}">
              <c16:uniqueId val="{00000000-EB07-4149-90E4-F8889B4232F8}"/>
            </c:ext>
          </c:extLst>
        </c:ser>
        <c:ser>
          <c:idx val="5"/>
          <c:order val="7"/>
          <c:tx>
            <c:strRef>
              <c:f>'DAFF VAT Summary'!$T$32</c:f>
              <c:strCache>
                <c:ptCount val="1"/>
                <c:pt idx="0">
                  <c:v> GREAT </c:v>
                </c:pt>
              </c:strCache>
            </c:strRef>
          </c:tx>
          <c:spPr>
            <a:ln w="28575" cap="rnd">
              <a:solidFill>
                <a:schemeClr val="accent3">
                  <a:lumMod val="60000"/>
                  <a:lumOff val="40000"/>
                </a:schemeClr>
              </a:solidFill>
              <a:prstDash val="sysDot"/>
              <a:round/>
            </a:ln>
            <a:effectLst/>
          </c:spPr>
          <c:marker>
            <c:symbol val="none"/>
          </c:marker>
          <c:cat>
            <c:strRef>
              <c:f>'DAFF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'DAFF VAT Summary'!$U$32:$AF$32</c:f>
              <c:numCache>
                <c:formatCode>_-"$"* #,##0_-;\-"$"* #,##0_-;_-"$"* "-"??_-;_-@_-</c:formatCode>
                <c:ptCount val="12"/>
                <c:pt idx="0">
                  <c:v>642857.14285714284</c:v>
                </c:pt>
                <c:pt idx="1">
                  <c:v>1285714.2857142857</c:v>
                </c:pt>
                <c:pt idx="2">
                  <c:v>1928571.4285714286</c:v>
                </c:pt>
                <c:pt idx="3">
                  <c:v>2571428.5714285714</c:v>
                </c:pt>
                <c:pt idx="4">
                  <c:v>3214285.7142857141</c:v>
                </c:pt>
                <c:pt idx="5">
                  <c:v>3857142.8571428568</c:v>
                </c:pt>
                <c:pt idx="6">
                  <c:v>4500000</c:v>
                </c:pt>
                <c:pt idx="7">
                  <c:v>5142857.1428571427</c:v>
                </c:pt>
                <c:pt idx="8">
                  <c:v>5785714.2857142854</c:v>
                </c:pt>
                <c:pt idx="9">
                  <c:v>6428571.4285714282</c:v>
                </c:pt>
                <c:pt idx="10">
                  <c:v>7071428.5714285709</c:v>
                </c:pt>
                <c:pt idx="11">
                  <c:v>7714285.7142857136</c:v>
                </c:pt>
              </c:numCache>
            </c:numRef>
          </c:val>
          <c:smooth val="0"/>
          <c:extLst>
            <c:ext xmlns:c16="http://schemas.microsoft.com/office/drawing/2014/chart" uri="{C3380CC4-5D6E-409C-BE32-E72D297353CC}">
              <c16:uniqueId val="{00000000-CBA2-4C26-AC2C-14F806BC7323}"/>
            </c:ext>
          </c:extLst>
        </c:ser>
        <c:dLbls>
          <c:showLegendKey val="0"/>
          <c:showVal val="0"/>
          <c:showCatName val="0"/>
          <c:showSerName val="0"/>
          <c:showPercent val="0"/>
          <c:showBubbleSize val="0"/>
        </c:dLbls>
        <c:smooth val="0"/>
        <c:axId val="1098771455"/>
        <c:axId val="1098761375"/>
      </c:lineChart>
      <c:catAx>
        <c:axId val="109877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761375"/>
        <c:crosses val="autoZero"/>
        <c:auto val="1"/>
        <c:lblAlgn val="ctr"/>
        <c:lblOffset val="100"/>
        <c:noMultiLvlLbl val="0"/>
      </c:catAx>
      <c:valAx>
        <c:axId val="1098761375"/>
        <c:scaling>
          <c:orientation val="minMax"/>
          <c:max val="9000000"/>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771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DAFF Projected Gross Margin Contribution FY25/26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'DAFF VAT Summary'!$T$5</c:f>
              <c:strCache>
                <c:ptCount val="1"/>
                <c:pt idx="0">
                  <c:v> C/S </c:v>
                </c:pt>
              </c:strCache>
            </c:strRef>
          </c:tx>
          <c:spPr>
            <a:ln w="28575" cap="rnd">
              <a:solidFill>
                <a:schemeClr val="tx1"/>
              </a:solidFill>
              <a:round/>
            </a:ln>
            <a:effectLst/>
          </c:spPr>
          <c:marker>
            <c:symbol val="none"/>
          </c:marker>
          <c:cat>
            <c:strRef>
              <c:f>'DAFF VAT Summary'!$U$48:$AF$48</c:f>
              <c:strCache>
                <c:ptCount val="12"/>
                <c:pt idx="0">
                  <c:v>Jul'25</c:v>
                </c:pt>
                <c:pt idx="1">
                  <c:v>Aug'25</c:v>
                </c:pt>
                <c:pt idx="2">
                  <c:v>Sep'25</c:v>
                </c:pt>
                <c:pt idx="3">
                  <c:v>Oct'25</c:v>
                </c:pt>
                <c:pt idx="4">
                  <c:v>Nov'25</c:v>
                </c:pt>
                <c:pt idx="5">
                  <c:v>Dec'25</c:v>
                </c:pt>
                <c:pt idx="6">
                  <c:v>Jan'25</c:v>
                </c:pt>
                <c:pt idx="7">
                  <c:v>Feb'25</c:v>
                </c:pt>
                <c:pt idx="8">
                  <c:v>Mar'25</c:v>
                </c:pt>
                <c:pt idx="9">
                  <c:v>Apr'25</c:v>
                </c:pt>
                <c:pt idx="10">
                  <c:v>May'25</c:v>
                </c:pt>
                <c:pt idx="11">
                  <c:v>June'26</c:v>
                </c:pt>
              </c:strCache>
            </c:strRef>
          </c:cat>
          <c:val>
            <c:numRef>
              <c:f>'DAFF VAT Summary'!$U$5:$AF$5</c:f>
              <c:numCache>
                <c:formatCode>_-"$"* #,##0_-;\-"$"* #,##0_-;_-"$"* "-"??_-;_-@_-</c:formatCode>
                <c:ptCount val="12"/>
                <c:pt idx="0">
                  <c:v>211173.67500000016</c:v>
                </c:pt>
                <c:pt idx="1">
                  <c:v>376948.06500000029</c:v>
                </c:pt>
                <c:pt idx="2">
                  <c:v>562307.5075000003</c:v>
                </c:pt>
                <c:pt idx="3">
                  <c:v>629192.10250000027</c:v>
                </c:pt>
                <c:pt idx="4">
                  <c:v>681107.38250000018</c:v>
                </c:pt>
                <c:pt idx="5">
                  <c:v>734289.4225000001</c:v>
                </c:pt>
                <c:pt idx="6">
                  <c:v>789523.72250000015</c:v>
                </c:pt>
                <c:pt idx="7">
                  <c:v>849218.2975000001</c:v>
                </c:pt>
                <c:pt idx="8">
                  <c:v>914533.7925000001</c:v>
                </c:pt>
                <c:pt idx="9">
                  <c:v>955411.12250000006</c:v>
                </c:pt>
                <c:pt idx="10">
                  <c:v>988234.82250000001</c:v>
                </c:pt>
                <c:pt idx="11">
                  <c:v>1021242.7625</c:v>
                </c:pt>
              </c:numCache>
            </c:numRef>
          </c:val>
          <c:smooth val="0"/>
          <c:extLst>
            <c:ext xmlns:c16="http://schemas.microsoft.com/office/drawing/2014/chart" uri="{C3380CC4-5D6E-409C-BE32-E72D297353CC}">
              <c16:uniqueId val="{00000000-9087-4726-A6CD-224DBCA723CD}"/>
            </c:ext>
          </c:extLst>
        </c:ser>
        <c:ser>
          <c:idx val="1"/>
          <c:order val="1"/>
          <c:tx>
            <c:strRef>
              <c:f>'DAFF VAT Summary'!$T$6</c:f>
              <c:strCache>
                <c:ptCount val="1"/>
                <c:pt idx="0">
                  <c:v> DVF+ </c:v>
                </c:pt>
              </c:strCache>
            </c:strRef>
          </c:tx>
          <c:spPr>
            <a:ln w="28575" cap="rnd">
              <a:solidFill>
                <a:schemeClr val="accent4"/>
              </a:solidFill>
              <a:round/>
            </a:ln>
            <a:effectLst/>
          </c:spPr>
          <c:marker>
            <c:symbol val="none"/>
          </c:marker>
          <c:cat>
            <c:strRef>
              <c:f>'DAFF VAT Summary'!$U$48:$AF$48</c:f>
              <c:strCache>
                <c:ptCount val="12"/>
                <c:pt idx="0">
                  <c:v>Jul'25</c:v>
                </c:pt>
                <c:pt idx="1">
                  <c:v>Aug'25</c:v>
                </c:pt>
                <c:pt idx="2">
                  <c:v>Sep'25</c:v>
                </c:pt>
                <c:pt idx="3">
                  <c:v>Oct'25</c:v>
                </c:pt>
                <c:pt idx="4">
                  <c:v>Nov'25</c:v>
                </c:pt>
                <c:pt idx="5">
                  <c:v>Dec'25</c:v>
                </c:pt>
                <c:pt idx="6">
                  <c:v>Jan'25</c:v>
                </c:pt>
                <c:pt idx="7">
                  <c:v>Feb'25</c:v>
                </c:pt>
                <c:pt idx="8">
                  <c:v>Mar'25</c:v>
                </c:pt>
                <c:pt idx="9">
                  <c:v>Apr'25</c:v>
                </c:pt>
                <c:pt idx="10">
                  <c:v>May'25</c:v>
                </c:pt>
                <c:pt idx="11">
                  <c:v>June'26</c:v>
                </c:pt>
              </c:strCache>
            </c:strRef>
          </c:cat>
          <c:val>
            <c:numRef>
              <c:f>'DAFF VAT Summary'!$U$6:$AF$6</c:f>
              <c:numCache>
                <c:formatCode>_-"$"* #,##0_-;\-"$"* #,##0_-;_-"$"* "-"??_-;_-@_-</c:formatCode>
                <c:ptCount val="12"/>
                <c:pt idx="0">
                  <c:v>211173.67500000016</c:v>
                </c:pt>
                <c:pt idx="1">
                  <c:v>376948.06500000029</c:v>
                </c:pt>
                <c:pt idx="2">
                  <c:v>562307.5075000003</c:v>
                </c:pt>
                <c:pt idx="3">
                  <c:v>629192.10250000027</c:v>
                </c:pt>
                <c:pt idx="4">
                  <c:v>681107.38250000018</c:v>
                </c:pt>
                <c:pt idx="5">
                  <c:v>734289.4225000001</c:v>
                </c:pt>
                <c:pt idx="6">
                  <c:v>789523.72250000015</c:v>
                </c:pt>
                <c:pt idx="7">
                  <c:v>849218.2975000001</c:v>
                </c:pt>
                <c:pt idx="8">
                  <c:v>914533.7925000001</c:v>
                </c:pt>
                <c:pt idx="9">
                  <c:v>955411.12250000006</c:v>
                </c:pt>
                <c:pt idx="10">
                  <c:v>988234.82250000001</c:v>
                </c:pt>
                <c:pt idx="11">
                  <c:v>1021242.7625</c:v>
                </c:pt>
              </c:numCache>
            </c:numRef>
          </c:val>
          <c:smooth val="0"/>
          <c:extLst>
            <c:ext xmlns:c16="http://schemas.microsoft.com/office/drawing/2014/chart" uri="{C3380CC4-5D6E-409C-BE32-E72D297353CC}">
              <c16:uniqueId val="{00000001-9087-4726-A6CD-224DBCA723CD}"/>
            </c:ext>
          </c:extLst>
        </c:ser>
        <c:ser>
          <c:idx val="2"/>
          <c:order val="2"/>
          <c:tx>
            <c:strRef>
              <c:f>'DAFF VAT Summary'!$T$7</c:f>
              <c:strCache>
                <c:ptCount val="1"/>
                <c:pt idx="0">
                  <c:v> DF+ </c:v>
                </c:pt>
              </c:strCache>
            </c:strRef>
          </c:tx>
          <c:spPr>
            <a:ln w="28575" cap="rnd">
              <a:solidFill>
                <a:schemeClr val="accent5"/>
              </a:solidFill>
              <a:round/>
            </a:ln>
            <a:effectLst/>
          </c:spPr>
          <c:marker>
            <c:symbol val="none"/>
          </c:marker>
          <c:cat>
            <c:strRef>
              <c:f>'DAFF VAT Summary'!$U$48:$AF$48</c:f>
              <c:strCache>
                <c:ptCount val="12"/>
                <c:pt idx="0">
                  <c:v>Jul'25</c:v>
                </c:pt>
                <c:pt idx="1">
                  <c:v>Aug'25</c:v>
                </c:pt>
                <c:pt idx="2">
                  <c:v>Sep'25</c:v>
                </c:pt>
                <c:pt idx="3">
                  <c:v>Oct'25</c:v>
                </c:pt>
                <c:pt idx="4">
                  <c:v>Nov'25</c:v>
                </c:pt>
                <c:pt idx="5">
                  <c:v>Dec'25</c:v>
                </c:pt>
                <c:pt idx="6">
                  <c:v>Jan'25</c:v>
                </c:pt>
                <c:pt idx="7">
                  <c:v>Feb'25</c:v>
                </c:pt>
                <c:pt idx="8">
                  <c:v>Mar'25</c:v>
                </c:pt>
                <c:pt idx="9">
                  <c:v>Apr'25</c:v>
                </c:pt>
                <c:pt idx="10">
                  <c:v>May'25</c:v>
                </c:pt>
                <c:pt idx="11">
                  <c:v>June'26</c:v>
                </c:pt>
              </c:strCache>
            </c:strRef>
          </c:cat>
          <c:val>
            <c:numRef>
              <c:f>'DAFF VAT Summary'!$U$7:$AF$7</c:f>
              <c:numCache>
                <c:formatCode>_-"$"* #,##0_-;\-"$"* #,##0_-;_-"$"* "-"??_-;_-@_-</c:formatCode>
                <c:ptCount val="12"/>
                <c:pt idx="0">
                  <c:v>211173.67500000016</c:v>
                </c:pt>
                <c:pt idx="1">
                  <c:v>376948.06500000029</c:v>
                </c:pt>
                <c:pt idx="2">
                  <c:v>562307.5075000003</c:v>
                </c:pt>
                <c:pt idx="3">
                  <c:v>629192.10250000027</c:v>
                </c:pt>
                <c:pt idx="4">
                  <c:v>681107.38250000018</c:v>
                </c:pt>
                <c:pt idx="5">
                  <c:v>734289.4225000001</c:v>
                </c:pt>
                <c:pt idx="6">
                  <c:v>789523.72250000015</c:v>
                </c:pt>
                <c:pt idx="7">
                  <c:v>849218.2975000001</c:v>
                </c:pt>
                <c:pt idx="8">
                  <c:v>914533.7925000001</c:v>
                </c:pt>
                <c:pt idx="9">
                  <c:v>955411.12250000006</c:v>
                </c:pt>
                <c:pt idx="10">
                  <c:v>988234.82250000001</c:v>
                </c:pt>
                <c:pt idx="11">
                  <c:v>1021242.7625</c:v>
                </c:pt>
              </c:numCache>
            </c:numRef>
          </c:val>
          <c:smooth val="0"/>
          <c:extLst>
            <c:ext xmlns:c16="http://schemas.microsoft.com/office/drawing/2014/chart" uri="{C3380CC4-5D6E-409C-BE32-E72D297353CC}">
              <c16:uniqueId val="{00000002-9087-4726-A6CD-224DBCA723CD}"/>
            </c:ext>
          </c:extLst>
        </c:ser>
        <c:ser>
          <c:idx val="3"/>
          <c:order val="3"/>
          <c:tx>
            <c:strRef>
              <c:f>'DAFF VAT Summary'!$T$8</c:f>
              <c:strCache>
                <c:ptCount val="1"/>
                <c:pt idx="0">
                  <c:v> Q+ </c:v>
                </c:pt>
              </c:strCache>
            </c:strRef>
          </c:tx>
          <c:spPr>
            <a:ln w="28575" cap="rnd">
              <a:solidFill>
                <a:schemeClr val="accent2"/>
              </a:solidFill>
              <a:prstDash val="solid"/>
              <a:round/>
            </a:ln>
            <a:effectLst/>
          </c:spPr>
          <c:marker>
            <c:symbol val="none"/>
          </c:marker>
          <c:cat>
            <c:strRef>
              <c:f>'DAFF VAT Summary'!$U$48:$AF$48</c:f>
              <c:strCache>
                <c:ptCount val="12"/>
                <c:pt idx="0">
                  <c:v>Jul'25</c:v>
                </c:pt>
                <c:pt idx="1">
                  <c:v>Aug'25</c:v>
                </c:pt>
                <c:pt idx="2">
                  <c:v>Sep'25</c:v>
                </c:pt>
                <c:pt idx="3">
                  <c:v>Oct'25</c:v>
                </c:pt>
                <c:pt idx="4">
                  <c:v>Nov'25</c:v>
                </c:pt>
                <c:pt idx="5">
                  <c:v>Dec'25</c:v>
                </c:pt>
                <c:pt idx="6">
                  <c:v>Jan'25</c:v>
                </c:pt>
                <c:pt idx="7">
                  <c:v>Feb'25</c:v>
                </c:pt>
                <c:pt idx="8">
                  <c:v>Mar'25</c:v>
                </c:pt>
                <c:pt idx="9">
                  <c:v>Apr'25</c:v>
                </c:pt>
                <c:pt idx="10">
                  <c:v>May'25</c:v>
                </c:pt>
                <c:pt idx="11">
                  <c:v>June'26</c:v>
                </c:pt>
              </c:strCache>
            </c:strRef>
          </c:cat>
          <c:val>
            <c:numRef>
              <c:f>'DAFF VAT Summary'!$U$8:$AF$8</c:f>
              <c:numCache>
                <c:formatCode>_-"$"* #,##0_-;\-"$"* #,##0_-;_-"$"* "-"??_-;_-@_-</c:formatCode>
                <c:ptCount val="12"/>
                <c:pt idx="0">
                  <c:v>211173.67500000016</c:v>
                </c:pt>
                <c:pt idx="1">
                  <c:v>376948.06500000029</c:v>
                </c:pt>
                <c:pt idx="2">
                  <c:v>562307.5075000003</c:v>
                </c:pt>
                <c:pt idx="3">
                  <c:v>629192.10250000027</c:v>
                </c:pt>
                <c:pt idx="4">
                  <c:v>681107.38250000018</c:v>
                </c:pt>
                <c:pt idx="5">
                  <c:v>734289.4225000001</c:v>
                </c:pt>
                <c:pt idx="6">
                  <c:v>789523.72250000015</c:v>
                </c:pt>
                <c:pt idx="7">
                  <c:v>849218.2975000001</c:v>
                </c:pt>
                <c:pt idx="8">
                  <c:v>914533.7925000001</c:v>
                </c:pt>
                <c:pt idx="9">
                  <c:v>955411.12250000006</c:v>
                </c:pt>
                <c:pt idx="10">
                  <c:v>988234.82250000001</c:v>
                </c:pt>
                <c:pt idx="11">
                  <c:v>1021242.7625</c:v>
                </c:pt>
              </c:numCache>
            </c:numRef>
          </c:val>
          <c:smooth val="0"/>
          <c:extLst>
            <c:ext xmlns:c16="http://schemas.microsoft.com/office/drawing/2014/chart" uri="{C3380CC4-5D6E-409C-BE32-E72D297353CC}">
              <c16:uniqueId val="{00000003-9087-4726-A6CD-224DBCA723CD}"/>
            </c:ext>
          </c:extLst>
        </c:ser>
        <c:ser>
          <c:idx val="4"/>
          <c:order val="4"/>
          <c:tx>
            <c:strRef>
              <c:f>'DAFF VAT Summary'!$T$9</c:f>
              <c:strCache>
                <c:ptCount val="1"/>
                <c:pt idx="0">
                  <c:v> VAT Lead </c:v>
                </c:pt>
              </c:strCache>
            </c:strRef>
          </c:tx>
          <c:spPr>
            <a:ln w="28575" cap="rnd">
              <a:solidFill>
                <a:srgbClr val="FF0000"/>
              </a:solidFill>
              <a:round/>
            </a:ln>
            <a:effectLst/>
          </c:spPr>
          <c:marker>
            <c:symbol val="none"/>
          </c:marker>
          <c:cat>
            <c:strRef>
              <c:f>'DAFF VAT Summary'!$U$48:$AF$48</c:f>
              <c:strCache>
                <c:ptCount val="12"/>
                <c:pt idx="0">
                  <c:v>Jul'25</c:v>
                </c:pt>
                <c:pt idx="1">
                  <c:v>Aug'25</c:v>
                </c:pt>
                <c:pt idx="2">
                  <c:v>Sep'25</c:v>
                </c:pt>
                <c:pt idx="3">
                  <c:v>Oct'25</c:v>
                </c:pt>
                <c:pt idx="4">
                  <c:v>Nov'25</c:v>
                </c:pt>
                <c:pt idx="5">
                  <c:v>Dec'25</c:v>
                </c:pt>
                <c:pt idx="6">
                  <c:v>Jan'25</c:v>
                </c:pt>
                <c:pt idx="7">
                  <c:v>Feb'25</c:v>
                </c:pt>
                <c:pt idx="8">
                  <c:v>Mar'25</c:v>
                </c:pt>
                <c:pt idx="9">
                  <c:v>Apr'25</c:v>
                </c:pt>
                <c:pt idx="10">
                  <c:v>May'25</c:v>
                </c:pt>
                <c:pt idx="11">
                  <c:v>June'26</c:v>
                </c:pt>
              </c:strCache>
            </c:strRef>
          </c:cat>
          <c:val>
            <c:numRef>
              <c:f>'DAFF VAT Summary'!$U$9:$AF$9</c:f>
              <c:numCache>
                <c:formatCode>_-"$"* #,##0_-;\-"$"* #,##0_-;_-"$"*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9087-4726-A6CD-224DBCA723CD}"/>
            </c:ext>
          </c:extLst>
        </c:ser>
        <c:ser>
          <c:idx val="7"/>
          <c:order val="5"/>
          <c:tx>
            <c:strRef>
              <c:f>'DAFF VAT Summary'!$T$12</c:f>
              <c:strCache>
                <c:ptCount val="1"/>
                <c:pt idx="0">
                  <c:v> OK </c:v>
                </c:pt>
              </c:strCache>
            </c:strRef>
          </c:tx>
          <c:spPr>
            <a:ln w="28575" cap="rnd">
              <a:solidFill>
                <a:schemeClr val="accent2"/>
              </a:solidFill>
              <a:prstDash val="sysDot"/>
              <a:round/>
            </a:ln>
            <a:effectLst/>
          </c:spPr>
          <c:marker>
            <c:symbol val="none"/>
          </c:marker>
          <c:cat>
            <c:strRef>
              <c:f>'DAFF VAT Summary'!$U$48:$AF$48</c:f>
              <c:strCache>
                <c:ptCount val="12"/>
                <c:pt idx="0">
                  <c:v>Jul'25</c:v>
                </c:pt>
                <c:pt idx="1">
                  <c:v>Aug'25</c:v>
                </c:pt>
                <c:pt idx="2">
                  <c:v>Sep'25</c:v>
                </c:pt>
                <c:pt idx="3">
                  <c:v>Oct'25</c:v>
                </c:pt>
                <c:pt idx="4">
                  <c:v>Nov'25</c:v>
                </c:pt>
                <c:pt idx="5">
                  <c:v>Dec'25</c:v>
                </c:pt>
                <c:pt idx="6">
                  <c:v>Jan'25</c:v>
                </c:pt>
                <c:pt idx="7">
                  <c:v>Feb'25</c:v>
                </c:pt>
                <c:pt idx="8">
                  <c:v>Mar'25</c:v>
                </c:pt>
                <c:pt idx="9">
                  <c:v>Apr'25</c:v>
                </c:pt>
                <c:pt idx="10">
                  <c:v>May'25</c:v>
                </c:pt>
                <c:pt idx="11">
                  <c:v>June'26</c:v>
                </c:pt>
              </c:strCache>
            </c:strRef>
          </c:cat>
          <c:val>
            <c:numRef>
              <c:f>'DAFF VAT Summary'!$U$12:$AF$12</c:f>
              <c:numCache>
                <c:formatCode>_-"$"* #,##0_-;\-"$"* #,##0_-;_-"$"* "-"??_-;_-@_-</c:formatCode>
                <c:ptCount val="12"/>
                <c:pt idx="0">
                  <c:v>150000</c:v>
                </c:pt>
                <c:pt idx="1">
                  <c:v>300000</c:v>
                </c:pt>
                <c:pt idx="2">
                  <c:v>450000</c:v>
                </c:pt>
                <c:pt idx="3">
                  <c:v>600000</c:v>
                </c:pt>
                <c:pt idx="4">
                  <c:v>750000</c:v>
                </c:pt>
                <c:pt idx="5">
                  <c:v>900000</c:v>
                </c:pt>
                <c:pt idx="6">
                  <c:v>1050000</c:v>
                </c:pt>
                <c:pt idx="7">
                  <c:v>1200000</c:v>
                </c:pt>
                <c:pt idx="8">
                  <c:v>1350000</c:v>
                </c:pt>
                <c:pt idx="9">
                  <c:v>1500000</c:v>
                </c:pt>
                <c:pt idx="10">
                  <c:v>1650000</c:v>
                </c:pt>
                <c:pt idx="11">
                  <c:v>1800000</c:v>
                </c:pt>
              </c:numCache>
            </c:numRef>
          </c:val>
          <c:smooth val="0"/>
          <c:extLst>
            <c:ext xmlns:c16="http://schemas.microsoft.com/office/drawing/2014/chart" uri="{C3380CC4-5D6E-409C-BE32-E72D297353CC}">
              <c16:uniqueId val="{00000001-9658-47C1-B7E9-0A5FBE2FF2B3}"/>
            </c:ext>
          </c:extLst>
        </c:ser>
        <c:ser>
          <c:idx val="6"/>
          <c:order val="6"/>
          <c:tx>
            <c:strRef>
              <c:f>'DAFF VAT Summary'!$T$11</c:f>
              <c:strCache>
                <c:ptCount val="1"/>
                <c:pt idx="0">
                  <c:v> GOOD </c:v>
                </c:pt>
              </c:strCache>
            </c:strRef>
          </c:tx>
          <c:spPr>
            <a:ln w="28575" cap="rnd">
              <a:solidFill>
                <a:schemeClr val="accent6"/>
              </a:solidFill>
              <a:prstDash val="sysDot"/>
              <a:round/>
            </a:ln>
            <a:effectLst/>
          </c:spPr>
          <c:marker>
            <c:symbol val="none"/>
          </c:marker>
          <c:cat>
            <c:strRef>
              <c:f>'DAFF VAT Summary'!$U$48:$AF$48</c:f>
              <c:strCache>
                <c:ptCount val="12"/>
                <c:pt idx="0">
                  <c:v>Jul'25</c:v>
                </c:pt>
                <c:pt idx="1">
                  <c:v>Aug'25</c:v>
                </c:pt>
                <c:pt idx="2">
                  <c:v>Sep'25</c:v>
                </c:pt>
                <c:pt idx="3">
                  <c:v>Oct'25</c:v>
                </c:pt>
                <c:pt idx="4">
                  <c:v>Nov'25</c:v>
                </c:pt>
                <c:pt idx="5">
                  <c:v>Dec'25</c:v>
                </c:pt>
                <c:pt idx="6">
                  <c:v>Jan'25</c:v>
                </c:pt>
                <c:pt idx="7">
                  <c:v>Feb'25</c:v>
                </c:pt>
                <c:pt idx="8">
                  <c:v>Mar'25</c:v>
                </c:pt>
                <c:pt idx="9">
                  <c:v>Apr'25</c:v>
                </c:pt>
                <c:pt idx="10">
                  <c:v>May'25</c:v>
                </c:pt>
                <c:pt idx="11">
                  <c:v>June'26</c:v>
                </c:pt>
              </c:strCache>
            </c:strRef>
          </c:cat>
          <c:val>
            <c:numRef>
              <c:f>'DAFF VAT Summary'!$U$11:$AF$11</c:f>
              <c:numCache>
                <c:formatCode>_-"$"* #,##0_-;\-"$"* #,##0_-;_-"$"* "-"??_-;_-@_-</c:formatCode>
                <c:ptCount val="12"/>
                <c:pt idx="0">
                  <c:v>187500</c:v>
                </c:pt>
                <c:pt idx="1">
                  <c:v>375000</c:v>
                </c:pt>
                <c:pt idx="2">
                  <c:v>562500</c:v>
                </c:pt>
                <c:pt idx="3">
                  <c:v>750000</c:v>
                </c:pt>
                <c:pt idx="4">
                  <c:v>937500</c:v>
                </c:pt>
                <c:pt idx="5">
                  <c:v>1125000</c:v>
                </c:pt>
                <c:pt idx="6">
                  <c:v>1312500</c:v>
                </c:pt>
                <c:pt idx="7">
                  <c:v>1500000</c:v>
                </c:pt>
                <c:pt idx="8">
                  <c:v>1687500</c:v>
                </c:pt>
                <c:pt idx="9">
                  <c:v>1875000</c:v>
                </c:pt>
                <c:pt idx="10">
                  <c:v>2062500</c:v>
                </c:pt>
                <c:pt idx="11">
                  <c:v>2250000</c:v>
                </c:pt>
              </c:numCache>
            </c:numRef>
          </c:val>
          <c:smooth val="0"/>
          <c:extLst>
            <c:ext xmlns:c16="http://schemas.microsoft.com/office/drawing/2014/chart" uri="{C3380CC4-5D6E-409C-BE32-E72D297353CC}">
              <c16:uniqueId val="{00000000-9658-47C1-B7E9-0A5FBE2FF2B3}"/>
            </c:ext>
          </c:extLst>
        </c:ser>
        <c:ser>
          <c:idx val="5"/>
          <c:order val="7"/>
          <c:tx>
            <c:strRef>
              <c:f>'DAFF VAT Summary'!$T$10</c:f>
              <c:strCache>
                <c:ptCount val="1"/>
                <c:pt idx="0">
                  <c:v> GREAT </c:v>
                </c:pt>
              </c:strCache>
            </c:strRef>
          </c:tx>
          <c:spPr>
            <a:ln w="28575" cap="rnd">
              <a:solidFill>
                <a:schemeClr val="accent3">
                  <a:lumMod val="60000"/>
                  <a:lumOff val="40000"/>
                </a:schemeClr>
              </a:solidFill>
              <a:prstDash val="sysDot"/>
              <a:round/>
            </a:ln>
            <a:effectLst/>
          </c:spPr>
          <c:marker>
            <c:symbol val="none"/>
          </c:marker>
          <c:cat>
            <c:strRef>
              <c:f>'DAFF VAT Summary'!$U$48:$AF$48</c:f>
              <c:strCache>
                <c:ptCount val="12"/>
                <c:pt idx="0">
                  <c:v>Jul'25</c:v>
                </c:pt>
                <c:pt idx="1">
                  <c:v>Aug'25</c:v>
                </c:pt>
                <c:pt idx="2">
                  <c:v>Sep'25</c:v>
                </c:pt>
                <c:pt idx="3">
                  <c:v>Oct'25</c:v>
                </c:pt>
                <c:pt idx="4">
                  <c:v>Nov'25</c:v>
                </c:pt>
                <c:pt idx="5">
                  <c:v>Dec'25</c:v>
                </c:pt>
                <c:pt idx="6">
                  <c:v>Jan'25</c:v>
                </c:pt>
                <c:pt idx="7">
                  <c:v>Feb'25</c:v>
                </c:pt>
                <c:pt idx="8">
                  <c:v>Mar'25</c:v>
                </c:pt>
                <c:pt idx="9">
                  <c:v>Apr'25</c:v>
                </c:pt>
                <c:pt idx="10">
                  <c:v>May'25</c:v>
                </c:pt>
                <c:pt idx="11">
                  <c:v>June'26</c:v>
                </c:pt>
              </c:strCache>
            </c:strRef>
          </c:cat>
          <c:val>
            <c:numRef>
              <c:f>'DAFF VAT Summary'!$U$10:$AF$10</c:f>
              <c:numCache>
                <c:formatCode>_-"$"* #,##0_-;\-"$"* #,##0_-;_-"$"* "-"??_-;_-@_-</c:formatCode>
                <c:ptCount val="12"/>
                <c:pt idx="0">
                  <c:v>225000</c:v>
                </c:pt>
                <c:pt idx="1">
                  <c:v>450000</c:v>
                </c:pt>
                <c:pt idx="2">
                  <c:v>675000</c:v>
                </c:pt>
                <c:pt idx="3">
                  <c:v>900000</c:v>
                </c:pt>
                <c:pt idx="4">
                  <c:v>1125000</c:v>
                </c:pt>
                <c:pt idx="5">
                  <c:v>1350000</c:v>
                </c:pt>
                <c:pt idx="6">
                  <c:v>1575000</c:v>
                </c:pt>
                <c:pt idx="7">
                  <c:v>1800000</c:v>
                </c:pt>
                <c:pt idx="8">
                  <c:v>2025000</c:v>
                </c:pt>
                <c:pt idx="9">
                  <c:v>2250000</c:v>
                </c:pt>
                <c:pt idx="10">
                  <c:v>2475000</c:v>
                </c:pt>
                <c:pt idx="11">
                  <c:v>2700000</c:v>
                </c:pt>
              </c:numCache>
            </c:numRef>
          </c:val>
          <c:smooth val="0"/>
          <c:extLst>
            <c:ext xmlns:c16="http://schemas.microsoft.com/office/drawing/2014/chart" uri="{C3380CC4-5D6E-409C-BE32-E72D297353CC}">
              <c16:uniqueId val="{00000001-1098-43F0-AE7B-43CE558DFC32}"/>
            </c:ext>
          </c:extLst>
        </c:ser>
        <c:dLbls>
          <c:showLegendKey val="0"/>
          <c:showVal val="0"/>
          <c:showCatName val="0"/>
          <c:showSerName val="0"/>
          <c:showPercent val="0"/>
          <c:showBubbleSize val="0"/>
        </c:dLbls>
        <c:smooth val="0"/>
        <c:axId val="1297579791"/>
        <c:axId val="1297586031"/>
      </c:lineChart>
      <c:catAx>
        <c:axId val="129757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586031"/>
        <c:crosses val="autoZero"/>
        <c:auto val="1"/>
        <c:lblAlgn val="ctr"/>
        <c:lblOffset val="100"/>
        <c:noMultiLvlLbl val="0"/>
      </c:catAx>
      <c:valAx>
        <c:axId val="129758603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5797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SAU Projected</a:t>
            </a:r>
            <a:r>
              <a:rPr lang="en-AU" baseline="0"/>
              <a:t> Revenue FY25/26</a:t>
            </a:r>
            <a:endParaRPr lang="en-AU"/>
          </a:p>
        </c:rich>
      </c:tx>
      <c:layout>
        <c:manualLayout>
          <c:xMode val="edge"/>
          <c:yMode val="edge"/>
          <c:x val="0.36079732856059199"/>
          <c:y val="3.20791679062378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lineChart>
        <c:grouping val="standard"/>
        <c:varyColors val="0"/>
        <c:ser>
          <c:idx val="0"/>
          <c:order val="0"/>
          <c:tx>
            <c:strRef>
              <c:f>'SAU VAT Summary'!$T$27</c:f>
              <c:strCache>
                <c:ptCount val="1"/>
                <c:pt idx="0">
                  <c:v> C/S </c:v>
                </c:pt>
              </c:strCache>
            </c:strRef>
          </c:tx>
          <c:spPr>
            <a:ln w="28575" cap="rnd">
              <a:solidFill>
                <a:schemeClr val="tx2"/>
              </a:solidFill>
              <a:round/>
            </a:ln>
            <a:effectLst/>
          </c:spPr>
          <c:marker>
            <c:symbol val="none"/>
          </c:marker>
          <c:cat>
            <c:strRef>
              <c:f>'SAU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'SAU VAT Summary'!$U$27:$AF$27</c:f>
              <c:numCache>
                <c:formatCode>_-"$"* #,##0_-;\-"$"* #,##0_-;_-"$"* "-"??_-;_-@_-</c:formatCode>
                <c:ptCount val="12"/>
                <c:pt idx="0">
                  <c:v>546403.82000000007</c:v>
                </c:pt>
                <c:pt idx="1">
                  <c:v>1036559.8600000001</c:v>
                </c:pt>
                <c:pt idx="2">
                  <c:v>1511893.6500000001</c:v>
                </c:pt>
                <c:pt idx="3">
                  <c:v>1935282.6500000001</c:v>
                </c:pt>
                <c:pt idx="4">
                  <c:v>2323802.12</c:v>
                </c:pt>
                <c:pt idx="5">
                  <c:v>2579312.8200000003</c:v>
                </c:pt>
                <c:pt idx="6">
                  <c:v>2798339.91</c:v>
                </c:pt>
                <c:pt idx="7">
                  <c:v>3131713.31</c:v>
                </c:pt>
                <c:pt idx="8">
                  <c:v>3616751.39</c:v>
                </c:pt>
                <c:pt idx="9">
                  <c:v>3919249.0700000003</c:v>
                </c:pt>
                <c:pt idx="10">
                  <c:v>4243943.4700000007</c:v>
                </c:pt>
                <c:pt idx="11">
                  <c:v>4568637.870000001</c:v>
                </c:pt>
              </c:numCache>
            </c:numRef>
          </c:val>
          <c:smooth val="0"/>
          <c:extLst>
            <c:ext xmlns:c16="http://schemas.microsoft.com/office/drawing/2014/chart" uri="{C3380CC4-5D6E-409C-BE32-E72D297353CC}">
              <c16:uniqueId val="{00000000-DD14-40A5-AFC4-F72C298EC320}"/>
            </c:ext>
          </c:extLst>
        </c:ser>
        <c:ser>
          <c:idx val="1"/>
          <c:order val="1"/>
          <c:tx>
            <c:strRef>
              <c:f>'SAU VAT Summary'!$T$28</c:f>
              <c:strCache>
                <c:ptCount val="1"/>
                <c:pt idx="0">
                  <c:v> DVF+ </c:v>
                </c:pt>
              </c:strCache>
            </c:strRef>
          </c:tx>
          <c:spPr>
            <a:ln w="28575" cap="rnd">
              <a:solidFill>
                <a:schemeClr val="tx2">
                  <a:lumMod val="50000"/>
                  <a:lumOff val="50000"/>
                </a:schemeClr>
              </a:solidFill>
              <a:round/>
            </a:ln>
            <a:effectLst/>
          </c:spPr>
          <c:marker>
            <c:symbol val="none"/>
          </c:marker>
          <c:cat>
            <c:strRef>
              <c:f>'SAU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'SAU VAT Summary'!$U$28:$AF$28</c:f>
              <c:numCache>
                <c:formatCode>_-"$"* #,##0_-;\-"$"* #,##0_-;_-"$"* "-"??_-;_-@_-</c:formatCode>
                <c:ptCount val="12"/>
                <c:pt idx="0">
                  <c:v>546403.82000000007</c:v>
                </c:pt>
                <c:pt idx="1">
                  <c:v>1036559.8600000001</c:v>
                </c:pt>
                <c:pt idx="2">
                  <c:v>1511893.6500000001</c:v>
                </c:pt>
                <c:pt idx="3">
                  <c:v>1935282.6500000001</c:v>
                </c:pt>
                <c:pt idx="4">
                  <c:v>2323802.12</c:v>
                </c:pt>
                <c:pt idx="5">
                  <c:v>2579312.8200000003</c:v>
                </c:pt>
                <c:pt idx="6">
                  <c:v>2798339.91</c:v>
                </c:pt>
                <c:pt idx="7">
                  <c:v>3131713.31</c:v>
                </c:pt>
                <c:pt idx="8">
                  <c:v>3626584.91</c:v>
                </c:pt>
                <c:pt idx="9">
                  <c:v>4001043.7100000004</c:v>
                </c:pt>
                <c:pt idx="10">
                  <c:v>4405694.9100000011</c:v>
                </c:pt>
                <c:pt idx="11">
                  <c:v>4810346.1100000013</c:v>
                </c:pt>
              </c:numCache>
            </c:numRef>
          </c:val>
          <c:smooth val="0"/>
          <c:extLst>
            <c:ext xmlns:c16="http://schemas.microsoft.com/office/drawing/2014/chart" uri="{C3380CC4-5D6E-409C-BE32-E72D297353CC}">
              <c16:uniqueId val="{00000001-DD14-40A5-AFC4-F72C298EC320}"/>
            </c:ext>
          </c:extLst>
        </c:ser>
        <c:ser>
          <c:idx val="2"/>
          <c:order val="2"/>
          <c:tx>
            <c:strRef>
              <c:f>'SAU VAT Summary'!$T$29</c:f>
              <c:strCache>
                <c:ptCount val="1"/>
                <c:pt idx="0">
                  <c:v> DF+ </c:v>
                </c:pt>
              </c:strCache>
            </c:strRef>
          </c:tx>
          <c:spPr>
            <a:ln w="28575" cap="rnd">
              <a:solidFill>
                <a:schemeClr val="accent5"/>
              </a:solidFill>
              <a:round/>
            </a:ln>
            <a:effectLst/>
          </c:spPr>
          <c:marker>
            <c:symbol val="none"/>
          </c:marker>
          <c:cat>
            <c:strRef>
              <c:f>'SAU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'SAU VAT Summary'!$U$29:$AF$29</c:f>
              <c:numCache>
                <c:formatCode>_-"$"* #,##0_-;\-"$"* #,##0_-;_-"$"* "-"??_-;_-@_-</c:formatCode>
                <c:ptCount val="12"/>
                <c:pt idx="0">
                  <c:v>546403.82000000007</c:v>
                </c:pt>
                <c:pt idx="1">
                  <c:v>1036559.8600000001</c:v>
                </c:pt>
                <c:pt idx="2">
                  <c:v>1511893.6500000001</c:v>
                </c:pt>
                <c:pt idx="3">
                  <c:v>1935282.6500000001</c:v>
                </c:pt>
                <c:pt idx="4">
                  <c:v>2323802.12</c:v>
                </c:pt>
                <c:pt idx="5">
                  <c:v>2579312.8200000003</c:v>
                </c:pt>
                <c:pt idx="6">
                  <c:v>2798339.91</c:v>
                </c:pt>
                <c:pt idx="7">
                  <c:v>3131713.31</c:v>
                </c:pt>
                <c:pt idx="8">
                  <c:v>4111424.9099999997</c:v>
                </c:pt>
                <c:pt idx="9">
                  <c:v>4873755.71</c:v>
                </c:pt>
                <c:pt idx="10">
                  <c:v>5666278.9100000001</c:v>
                </c:pt>
                <c:pt idx="11">
                  <c:v>6555770.1100000003</c:v>
                </c:pt>
              </c:numCache>
            </c:numRef>
          </c:val>
          <c:smooth val="0"/>
          <c:extLst>
            <c:ext xmlns:c16="http://schemas.microsoft.com/office/drawing/2014/chart" uri="{C3380CC4-5D6E-409C-BE32-E72D297353CC}">
              <c16:uniqueId val="{00000002-DD14-40A5-AFC4-F72C298EC320}"/>
            </c:ext>
          </c:extLst>
        </c:ser>
        <c:ser>
          <c:idx val="3"/>
          <c:order val="3"/>
          <c:tx>
            <c:strRef>
              <c:f>'SAU VAT Summary'!$T$30</c:f>
              <c:strCache>
                <c:ptCount val="1"/>
                <c:pt idx="0">
                  <c:v> Q+ </c:v>
                </c:pt>
              </c:strCache>
            </c:strRef>
          </c:tx>
          <c:spPr>
            <a:ln w="28575" cap="rnd">
              <a:solidFill>
                <a:schemeClr val="accent2"/>
              </a:solidFill>
              <a:round/>
            </a:ln>
            <a:effectLst/>
          </c:spPr>
          <c:marker>
            <c:symbol val="none"/>
          </c:marker>
          <c:cat>
            <c:strRef>
              <c:f>'SAU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'SAU VAT Summary'!$U$30:$AF$30</c:f>
              <c:numCache>
                <c:formatCode>_-"$"* #,##0_-;\-"$"* #,##0_-;_-"$"* "-"??_-;_-@_-</c:formatCode>
                <c:ptCount val="12"/>
                <c:pt idx="0">
                  <c:v>546403.82000000007</c:v>
                </c:pt>
                <c:pt idx="1">
                  <c:v>1036559.8600000001</c:v>
                </c:pt>
                <c:pt idx="2">
                  <c:v>1511893.6500000001</c:v>
                </c:pt>
                <c:pt idx="3">
                  <c:v>1935282.6500000001</c:v>
                </c:pt>
                <c:pt idx="4">
                  <c:v>2323802.12</c:v>
                </c:pt>
                <c:pt idx="5">
                  <c:v>2579312.8200000003</c:v>
                </c:pt>
                <c:pt idx="6">
                  <c:v>2798339.91</c:v>
                </c:pt>
                <c:pt idx="7">
                  <c:v>3131713.31</c:v>
                </c:pt>
                <c:pt idx="8">
                  <c:v>4111424.9099999997</c:v>
                </c:pt>
                <c:pt idx="9">
                  <c:v>4873755.71</c:v>
                </c:pt>
                <c:pt idx="10">
                  <c:v>5666278.9100000001</c:v>
                </c:pt>
                <c:pt idx="11">
                  <c:v>6555770.1100000003</c:v>
                </c:pt>
              </c:numCache>
            </c:numRef>
          </c:val>
          <c:smooth val="0"/>
          <c:extLst>
            <c:ext xmlns:c16="http://schemas.microsoft.com/office/drawing/2014/chart" uri="{C3380CC4-5D6E-409C-BE32-E72D297353CC}">
              <c16:uniqueId val="{00000003-DD14-40A5-AFC4-F72C298EC320}"/>
            </c:ext>
          </c:extLst>
        </c:ser>
        <c:ser>
          <c:idx val="4"/>
          <c:order val="4"/>
          <c:tx>
            <c:strRef>
              <c:f>'SAU VAT Summary'!$T$31</c:f>
              <c:strCache>
                <c:ptCount val="1"/>
                <c:pt idx="0">
                  <c:v> VAT Lead </c:v>
                </c:pt>
              </c:strCache>
            </c:strRef>
          </c:tx>
          <c:spPr>
            <a:ln w="28575" cap="rnd">
              <a:solidFill>
                <a:srgbClr val="FF0000"/>
              </a:solidFill>
              <a:round/>
            </a:ln>
            <a:effectLst/>
          </c:spPr>
          <c:marker>
            <c:symbol val="none"/>
          </c:marker>
          <c:cat>
            <c:strRef>
              <c:f>'SAU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'SAU VAT Summary'!$U$31:$AF$31</c:f>
              <c:numCache>
                <c:formatCode>_-"$"* #,##0_-;\-"$"* #,##0_-;_-"$"*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DD14-40A5-AFC4-F72C298EC320}"/>
            </c:ext>
          </c:extLst>
        </c:ser>
        <c:ser>
          <c:idx val="7"/>
          <c:order val="5"/>
          <c:tx>
            <c:strRef>
              <c:f>'SAU VAT Summary'!$T$34</c:f>
              <c:strCache>
                <c:ptCount val="1"/>
                <c:pt idx="0">
                  <c:v> OK </c:v>
                </c:pt>
              </c:strCache>
            </c:strRef>
          </c:tx>
          <c:spPr>
            <a:ln w="28575" cap="rnd">
              <a:solidFill>
                <a:schemeClr val="accent2"/>
              </a:solidFill>
              <a:prstDash val="sysDot"/>
              <a:round/>
            </a:ln>
            <a:effectLst/>
          </c:spPr>
          <c:marker>
            <c:symbol val="none"/>
          </c:marker>
          <c:cat>
            <c:strRef>
              <c:f>'SAU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'SAU VAT Summary'!$U$34:$AF$34</c:f>
              <c:numCache>
                <c:formatCode>_-"$"* #,##0_-;\-"$"* #,##0_-;_-"$"* "-"??_-;_-@_-</c:formatCode>
                <c:ptCount val="12"/>
                <c:pt idx="0">
                  <c:v>517241.37931034487</c:v>
                </c:pt>
                <c:pt idx="1">
                  <c:v>1034482.7586206897</c:v>
                </c:pt>
                <c:pt idx="2">
                  <c:v>1551724.1379310347</c:v>
                </c:pt>
                <c:pt idx="3">
                  <c:v>1896551.7241379311</c:v>
                </c:pt>
                <c:pt idx="4">
                  <c:v>2241379.3103448278</c:v>
                </c:pt>
                <c:pt idx="5">
                  <c:v>2586206.8965517245</c:v>
                </c:pt>
                <c:pt idx="6">
                  <c:v>3189655.1724137934</c:v>
                </c:pt>
                <c:pt idx="7">
                  <c:v>3793103.4482758623</c:v>
                </c:pt>
                <c:pt idx="8">
                  <c:v>4396551.7241379311</c:v>
                </c:pt>
                <c:pt idx="9">
                  <c:v>5000000</c:v>
                </c:pt>
                <c:pt idx="10">
                  <c:v>5603448.2758620689</c:v>
                </c:pt>
                <c:pt idx="11">
                  <c:v>6206896.5517241377</c:v>
                </c:pt>
              </c:numCache>
            </c:numRef>
          </c:val>
          <c:smooth val="0"/>
          <c:extLst>
            <c:ext xmlns:c16="http://schemas.microsoft.com/office/drawing/2014/chart" uri="{C3380CC4-5D6E-409C-BE32-E72D297353CC}">
              <c16:uniqueId val="{00000001-00B0-42AA-B50F-46CA5D402D8F}"/>
            </c:ext>
          </c:extLst>
        </c:ser>
        <c:ser>
          <c:idx val="6"/>
          <c:order val="6"/>
          <c:tx>
            <c:strRef>
              <c:f>'SAU VAT Summary'!$T$33</c:f>
              <c:strCache>
                <c:ptCount val="1"/>
                <c:pt idx="0">
                  <c:v> GOOD </c:v>
                </c:pt>
              </c:strCache>
            </c:strRef>
          </c:tx>
          <c:spPr>
            <a:ln w="28575" cap="rnd">
              <a:solidFill>
                <a:schemeClr val="accent6"/>
              </a:solidFill>
              <a:prstDash val="sysDot"/>
              <a:round/>
            </a:ln>
            <a:effectLst/>
          </c:spPr>
          <c:marker>
            <c:symbol val="none"/>
          </c:marker>
          <c:cat>
            <c:strRef>
              <c:f>'SAU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'SAU VAT Summary'!$U$33:$AF$33</c:f>
              <c:numCache>
                <c:formatCode>_-"$"* #,##0_-;\-"$"* #,##0_-;_-"$"* "-"??_-;_-@_-</c:formatCode>
                <c:ptCount val="12"/>
                <c:pt idx="0">
                  <c:v>750000</c:v>
                </c:pt>
                <c:pt idx="1">
                  <c:v>1500000</c:v>
                </c:pt>
                <c:pt idx="2">
                  <c:v>2250000</c:v>
                </c:pt>
                <c:pt idx="3">
                  <c:v>2583333.3333333335</c:v>
                </c:pt>
                <c:pt idx="4">
                  <c:v>2916666.666666667</c:v>
                </c:pt>
                <c:pt idx="5">
                  <c:v>3250000.0000000005</c:v>
                </c:pt>
                <c:pt idx="6">
                  <c:v>4208333.333333334</c:v>
                </c:pt>
                <c:pt idx="7">
                  <c:v>5166666.666666667</c:v>
                </c:pt>
                <c:pt idx="8">
                  <c:v>6125000</c:v>
                </c:pt>
                <c:pt idx="9">
                  <c:v>7083333.333333333</c:v>
                </c:pt>
                <c:pt idx="10">
                  <c:v>8041666.666666666</c:v>
                </c:pt>
                <c:pt idx="11">
                  <c:v>9000000</c:v>
                </c:pt>
              </c:numCache>
            </c:numRef>
          </c:val>
          <c:smooth val="0"/>
          <c:extLst>
            <c:ext xmlns:c16="http://schemas.microsoft.com/office/drawing/2014/chart" uri="{C3380CC4-5D6E-409C-BE32-E72D297353CC}">
              <c16:uniqueId val="{00000000-00B0-42AA-B50F-46CA5D402D8F}"/>
            </c:ext>
          </c:extLst>
        </c:ser>
        <c:ser>
          <c:idx val="5"/>
          <c:order val="7"/>
          <c:tx>
            <c:strRef>
              <c:f>'SAU VAT Summary'!$T$32</c:f>
              <c:strCache>
                <c:ptCount val="1"/>
                <c:pt idx="0">
                  <c:v> GREAT </c:v>
                </c:pt>
              </c:strCache>
            </c:strRef>
          </c:tx>
          <c:spPr>
            <a:ln w="28575" cap="rnd">
              <a:solidFill>
                <a:schemeClr val="accent3">
                  <a:lumMod val="60000"/>
                  <a:lumOff val="40000"/>
                </a:schemeClr>
              </a:solidFill>
              <a:prstDash val="sysDot"/>
              <a:round/>
            </a:ln>
            <a:effectLst/>
          </c:spPr>
          <c:marker>
            <c:symbol val="none"/>
          </c:marker>
          <c:cat>
            <c:strRef>
              <c:f>'SAU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'SAU VAT Summary'!$U$32:$AF$32</c:f>
              <c:numCache>
                <c:formatCode>_-"$"* #,##0_-;\-"$"* #,##0_-;_-"$"* "-"??_-;_-@_-</c:formatCode>
                <c:ptCount val="12"/>
                <c:pt idx="0">
                  <c:v>1000000</c:v>
                </c:pt>
                <c:pt idx="1">
                  <c:v>2000000</c:v>
                </c:pt>
                <c:pt idx="2">
                  <c:v>3000000</c:v>
                </c:pt>
                <c:pt idx="3">
                  <c:v>3333333.3333333335</c:v>
                </c:pt>
                <c:pt idx="4">
                  <c:v>3666666.666666667</c:v>
                </c:pt>
                <c:pt idx="5">
                  <c:v>4000000.0000000005</c:v>
                </c:pt>
                <c:pt idx="6">
                  <c:v>5333333.333333334</c:v>
                </c:pt>
                <c:pt idx="7">
                  <c:v>6666666.6666666679</c:v>
                </c:pt>
                <c:pt idx="8">
                  <c:v>8000000.0000000019</c:v>
                </c:pt>
                <c:pt idx="9">
                  <c:v>9333333.3333333358</c:v>
                </c:pt>
                <c:pt idx="10">
                  <c:v>10666666.66666667</c:v>
                </c:pt>
                <c:pt idx="11">
                  <c:v>12000000.000000004</c:v>
                </c:pt>
              </c:numCache>
            </c:numRef>
          </c:val>
          <c:smooth val="0"/>
          <c:extLst>
            <c:ext xmlns:c16="http://schemas.microsoft.com/office/drawing/2014/chart" uri="{C3380CC4-5D6E-409C-BE32-E72D297353CC}">
              <c16:uniqueId val="{00000005-DD14-40A5-AFC4-F72C298EC320}"/>
            </c:ext>
          </c:extLst>
        </c:ser>
        <c:dLbls>
          <c:showLegendKey val="0"/>
          <c:showVal val="0"/>
          <c:showCatName val="0"/>
          <c:showSerName val="0"/>
          <c:showPercent val="0"/>
          <c:showBubbleSize val="0"/>
        </c:dLbls>
        <c:smooth val="0"/>
        <c:axId val="1098771455"/>
        <c:axId val="1098761375"/>
      </c:lineChart>
      <c:catAx>
        <c:axId val="109877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761375"/>
        <c:crosses val="autoZero"/>
        <c:auto val="1"/>
        <c:lblAlgn val="ctr"/>
        <c:lblOffset val="100"/>
        <c:noMultiLvlLbl val="0"/>
      </c:catAx>
      <c:valAx>
        <c:axId val="109876137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771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SAU Projected Gross Margin Contribution FY25/26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'SAU VAT Summary'!$T$5</c:f>
              <c:strCache>
                <c:ptCount val="1"/>
                <c:pt idx="0">
                  <c:v> C/S </c:v>
                </c:pt>
              </c:strCache>
            </c:strRef>
          </c:tx>
          <c:spPr>
            <a:ln w="28575" cap="rnd">
              <a:solidFill>
                <a:schemeClr val="tx1"/>
              </a:solidFill>
              <a:round/>
            </a:ln>
            <a:effectLst/>
          </c:spPr>
          <c:marker>
            <c:symbol val="none"/>
          </c:marker>
          <c:cat>
            <c:strRef>
              <c:f>'SAU VAT Summary'!$U$4:$AF$4</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'SAU VAT Summary'!$U$5:$AF$5</c:f>
              <c:numCache>
                <c:formatCode>_-"$"* #,##0_-;\-"$"* #,##0_-;_-"$"* "-"??_-;_-@_-</c:formatCode>
                <c:ptCount val="12"/>
                <c:pt idx="0">
                  <c:v>77461.870000000068</c:v>
                </c:pt>
                <c:pt idx="1">
                  <c:v>143034.95000000013</c:v>
                </c:pt>
                <c:pt idx="2">
                  <c:v>207117.90000000017</c:v>
                </c:pt>
                <c:pt idx="3">
                  <c:v>263141.90000000026</c:v>
                </c:pt>
                <c:pt idx="4">
                  <c:v>312233.59000000032</c:v>
                </c:pt>
                <c:pt idx="5">
                  <c:v>342981.64000000036</c:v>
                </c:pt>
                <c:pt idx="6">
                  <c:v>368794.6800000004</c:v>
                </c:pt>
                <c:pt idx="7">
                  <c:v>411569.48000000039</c:v>
                </c:pt>
                <c:pt idx="8">
                  <c:v>473410.72000000038</c:v>
                </c:pt>
                <c:pt idx="9">
                  <c:v>509593.36000000039</c:v>
                </c:pt>
                <c:pt idx="10">
                  <c:v>548328.56000000041</c:v>
                </c:pt>
                <c:pt idx="11">
                  <c:v>587063.76000000047</c:v>
                </c:pt>
              </c:numCache>
            </c:numRef>
          </c:val>
          <c:smooth val="0"/>
          <c:extLst>
            <c:ext xmlns:c16="http://schemas.microsoft.com/office/drawing/2014/chart" uri="{C3380CC4-5D6E-409C-BE32-E72D297353CC}">
              <c16:uniqueId val="{00000000-57DB-46A6-89C8-27AD0A130892}"/>
            </c:ext>
          </c:extLst>
        </c:ser>
        <c:ser>
          <c:idx val="1"/>
          <c:order val="1"/>
          <c:tx>
            <c:strRef>
              <c:f>'SAU VAT Summary'!$T$6</c:f>
              <c:strCache>
                <c:ptCount val="1"/>
                <c:pt idx="0">
                  <c:v> DVF+ </c:v>
                </c:pt>
              </c:strCache>
            </c:strRef>
          </c:tx>
          <c:spPr>
            <a:ln w="28575" cap="rnd">
              <a:solidFill>
                <a:schemeClr val="accent4"/>
              </a:solidFill>
              <a:round/>
            </a:ln>
            <a:effectLst/>
          </c:spPr>
          <c:marker>
            <c:symbol val="none"/>
          </c:marker>
          <c:cat>
            <c:strRef>
              <c:f>'SAU VAT Summary'!$U$4:$AF$4</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'SAU VAT Summary'!$U$6:$AF$6</c:f>
              <c:numCache>
                <c:formatCode>_-"$"* #,##0_-;\-"$"* #,##0_-;_-"$"* "-"??_-;_-@_-</c:formatCode>
                <c:ptCount val="12"/>
                <c:pt idx="0">
                  <c:v>77461.870000000068</c:v>
                </c:pt>
                <c:pt idx="1">
                  <c:v>143034.95000000013</c:v>
                </c:pt>
                <c:pt idx="2">
                  <c:v>207117.90000000017</c:v>
                </c:pt>
                <c:pt idx="3">
                  <c:v>263141.90000000026</c:v>
                </c:pt>
                <c:pt idx="4">
                  <c:v>312233.59000000032</c:v>
                </c:pt>
                <c:pt idx="5">
                  <c:v>342981.64000000036</c:v>
                </c:pt>
                <c:pt idx="6">
                  <c:v>368794.6800000004</c:v>
                </c:pt>
                <c:pt idx="7">
                  <c:v>411569.48000000039</c:v>
                </c:pt>
                <c:pt idx="8">
                  <c:v>474643.84000000037</c:v>
                </c:pt>
                <c:pt idx="9">
                  <c:v>520097.20000000042</c:v>
                </c:pt>
                <c:pt idx="10">
                  <c:v>569133.20000000042</c:v>
                </c:pt>
                <c:pt idx="11">
                  <c:v>618169.20000000042</c:v>
                </c:pt>
              </c:numCache>
            </c:numRef>
          </c:val>
          <c:smooth val="0"/>
          <c:extLst>
            <c:ext xmlns:c16="http://schemas.microsoft.com/office/drawing/2014/chart" uri="{C3380CC4-5D6E-409C-BE32-E72D297353CC}">
              <c16:uniqueId val="{00000001-57DB-46A6-89C8-27AD0A130892}"/>
            </c:ext>
          </c:extLst>
        </c:ser>
        <c:ser>
          <c:idx val="2"/>
          <c:order val="2"/>
          <c:tx>
            <c:strRef>
              <c:f>'SAU VAT Summary'!$T$7</c:f>
              <c:strCache>
                <c:ptCount val="1"/>
                <c:pt idx="0">
                  <c:v> DF+ </c:v>
                </c:pt>
              </c:strCache>
            </c:strRef>
          </c:tx>
          <c:spPr>
            <a:ln w="28575" cap="rnd">
              <a:solidFill>
                <a:schemeClr val="accent5"/>
              </a:solidFill>
              <a:round/>
            </a:ln>
            <a:effectLst/>
          </c:spPr>
          <c:marker>
            <c:symbol val="none"/>
          </c:marker>
          <c:cat>
            <c:strRef>
              <c:f>'SAU VAT Summary'!$U$4:$AF$4</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'SAU VAT Summary'!$U$7:$AF$7</c:f>
              <c:numCache>
                <c:formatCode>_-"$"* #,##0_-;\-"$"* #,##0_-;_-"$"* "-"??_-;_-@_-</c:formatCode>
                <c:ptCount val="12"/>
                <c:pt idx="0">
                  <c:v>77461.870000000068</c:v>
                </c:pt>
                <c:pt idx="1">
                  <c:v>143034.95000000013</c:v>
                </c:pt>
                <c:pt idx="2">
                  <c:v>207117.90000000017</c:v>
                </c:pt>
                <c:pt idx="3">
                  <c:v>263141.90000000026</c:v>
                </c:pt>
                <c:pt idx="4">
                  <c:v>312233.59000000032</c:v>
                </c:pt>
                <c:pt idx="5">
                  <c:v>342981.64000000036</c:v>
                </c:pt>
                <c:pt idx="6">
                  <c:v>368794.6800000004</c:v>
                </c:pt>
                <c:pt idx="7">
                  <c:v>411569.48000000039</c:v>
                </c:pt>
                <c:pt idx="8">
                  <c:v>474643.84000000037</c:v>
                </c:pt>
                <c:pt idx="9">
                  <c:v>520097.20000000042</c:v>
                </c:pt>
                <c:pt idx="10">
                  <c:v>569133.20000000042</c:v>
                </c:pt>
                <c:pt idx="11">
                  <c:v>618169.20000000042</c:v>
                </c:pt>
              </c:numCache>
            </c:numRef>
          </c:val>
          <c:smooth val="0"/>
          <c:extLst>
            <c:ext xmlns:c16="http://schemas.microsoft.com/office/drawing/2014/chart" uri="{C3380CC4-5D6E-409C-BE32-E72D297353CC}">
              <c16:uniqueId val="{00000002-57DB-46A6-89C8-27AD0A130892}"/>
            </c:ext>
          </c:extLst>
        </c:ser>
        <c:ser>
          <c:idx val="3"/>
          <c:order val="3"/>
          <c:tx>
            <c:strRef>
              <c:f>'SAU VAT Summary'!$T$8</c:f>
              <c:strCache>
                <c:ptCount val="1"/>
                <c:pt idx="0">
                  <c:v> Q+ </c:v>
                </c:pt>
              </c:strCache>
            </c:strRef>
          </c:tx>
          <c:spPr>
            <a:ln w="28575" cap="rnd">
              <a:solidFill>
                <a:schemeClr val="accent2"/>
              </a:solidFill>
              <a:round/>
            </a:ln>
            <a:effectLst/>
          </c:spPr>
          <c:marker>
            <c:symbol val="none"/>
          </c:marker>
          <c:cat>
            <c:strRef>
              <c:f>'SAU VAT Summary'!$U$4:$AF$4</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'SAU VAT Summary'!$U$8:$AF$8</c:f>
              <c:numCache>
                <c:formatCode>_-"$"* #,##0_-;\-"$"* #,##0_-;_-"$"* "-"??_-;_-@_-</c:formatCode>
                <c:ptCount val="12"/>
                <c:pt idx="0">
                  <c:v>77461.870000000068</c:v>
                </c:pt>
                <c:pt idx="1">
                  <c:v>143034.95000000013</c:v>
                </c:pt>
                <c:pt idx="2">
                  <c:v>207117.90000000017</c:v>
                </c:pt>
                <c:pt idx="3">
                  <c:v>263141.90000000026</c:v>
                </c:pt>
                <c:pt idx="4">
                  <c:v>312233.59000000032</c:v>
                </c:pt>
                <c:pt idx="5">
                  <c:v>342981.64000000036</c:v>
                </c:pt>
                <c:pt idx="6">
                  <c:v>368794.6800000004</c:v>
                </c:pt>
                <c:pt idx="7">
                  <c:v>411569.48000000039</c:v>
                </c:pt>
                <c:pt idx="8">
                  <c:v>474643.84000000037</c:v>
                </c:pt>
                <c:pt idx="9">
                  <c:v>520097.20000000042</c:v>
                </c:pt>
                <c:pt idx="10">
                  <c:v>569133.20000000042</c:v>
                </c:pt>
                <c:pt idx="11">
                  <c:v>618169.20000000042</c:v>
                </c:pt>
              </c:numCache>
            </c:numRef>
          </c:val>
          <c:smooth val="0"/>
          <c:extLst>
            <c:ext xmlns:c16="http://schemas.microsoft.com/office/drawing/2014/chart" uri="{C3380CC4-5D6E-409C-BE32-E72D297353CC}">
              <c16:uniqueId val="{00000003-57DB-46A6-89C8-27AD0A130892}"/>
            </c:ext>
          </c:extLst>
        </c:ser>
        <c:ser>
          <c:idx val="4"/>
          <c:order val="4"/>
          <c:tx>
            <c:strRef>
              <c:f>'SAU VAT Summary'!$T$9</c:f>
              <c:strCache>
                <c:ptCount val="1"/>
                <c:pt idx="0">
                  <c:v> VAT Lead </c:v>
                </c:pt>
              </c:strCache>
            </c:strRef>
          </c:tx>
          <c:spPr>
            <a:ln w="28575" cap="rnd">
              <a:solidFill>
                <a:srgbClr val="FF0000"/>
              </a:solidFill>
              <a:round/>
            </a:ln>
            <a:effectLst/>
          </c:spPr>
          <c:marker>
            <c:symbol val="none"/>
          </c:marker>
          <c:cat>
            <c:strRef>
              <c:f>'SAU VAT Summary'!$U$4:$AF$4</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'SAU VAT Summary'!$U$9:$AF$9</c:f>
              <c:numCache>
                <c:formatCode>_-"$"* #,##0_-;\-"$"* #,##0_-;_-"$"*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57DB-46A6-89C8-27AD0A130892}"/>
            </c:ext>
          </c:extLst>
        </c:ser>
        <c:ser>
          <c:idx val="7"/>
          <c:order val="5"/>
          <c:tx>
            <c:strRef>
              <c:f>'SAU VAT Summary'!$T$12</c:f>
              <c:strCache>
                <c:ptCount val="1"/>
                <c:pt idx="0">
                  <c:v> OK </c:v>
                </c:pt>
              </c:strCache>
            </c:strRef>
          </c:tx>
          <c:spPr>
            <a:ln w="28575" cap="rnd">
              <a:solidFill>
                <a:schemeClr val="accent2"/>
              </a:solidFill>
              <a:prstDash val="sysDot"/>
              <a:round/>
            </a:ln>
            <a:effectLst/>
          </c:spPr>
          <c:marker>
            <c:symbol val="none"/>
          </c:marker>
          <c:cat>
            <c:strRef>
              <c:f>'SAU VAT Summary'!$U$4:$AF$4</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'SAU VAT Summary'!$U$12:$AF$12</c:f>
              <c:numCache>
                <c:formatCode>_-"$"* #,##0_-;\-"$"* #,##0_-;_-"$"* "-"??_-;_-@_-</c:formatCode>
                <c:ptCount val="12"/>
                <c:pt idx="0">
                  <c:v>75000</c:v>
                </c:pt>
                <c:pt idx="1">
                  <c:v>150000</c:v>
                </c:pt>
                <c:pt idx="2">
                  <c:v>225000</c:v>
                </c:pt>
                <c:pt idx="3">
                  <c:v>275000</c:v>
                </c:pt>
                <c:pt idx="4">
                  <c:v>325000</c:v>
                </c:pt>
                <c:pt idx="5">
                  <c:v>375000</c:v>
                </c:pt>
                <c:pt idx="6">
                  <c:v>462500</c:v>
                </c:pt>
                <c:pt idx="7">
                  <c:v>550000</c:v>
                </c:pt>
                <c:pt idx="8">
                  <c:v>637500</c:v>
                </c:pt>
                <c:pt idx="9">
                  <c:v>725000</c:v>
                </c:pt>
                <c:pt idx="10">
                  <c:v>812500</c:v>
                </c:pt>
                <c:pt idx="11">
                  <c:v>900000</c:v>
                </c:pt>
              </c:numCache>
            </c:numRef>
          </c:val>
          <c:smooth val="0"/>
          <c:extLst>
            <c:ext xmlns:c16="http://schemas.microsoft.com/office/drawing/2014/chart" uri="{C3380CC4-5D6E-409C-BE32-E72D297353CC}">
              <c16:uniqueId val="{00000001-1DF6-4909-BFFC-3692F71E9779}"/>
            </c:ext>
          </c:extLst>
        </c:ser>
        <c:ser>
          <c:idx val="6"/>
          <c:order val="6"/>
          <c:tx>
            <c:strRef>
              <c:f>'SAU VAT Summary'!$T$11</c:f>
              <c:strCache>
                <c:ptCount val="1"/>
                <c:pt idx="0">
                  <c:v> GOOD </c:v>
                </c:pt>
              </c:strCache>
            </c:strRef>
          </c:tx>
          <c:spPr>
            <a:ln w="28575" cap="rnd">
              <a:solidFill>
                <a:schemeClr val="accent6"/>
              </a:solidFill>
              <a:prstDash val="sysDot"/>
              <a:round/>
            </a:ln>
            <a:effectLst/>
          </c:spPr>
          <c:marker>
            <c:symbol val="none"/>
          </c:marker>
          <c:cat>
            <c:strRef>
              <c:f>'SAU VAT Summary'!$U$4:$AF$4</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'SAU VAT Summary'!$U$11:$AF$11</c:f>
              <c:numCache>
                <c:formatCode>_-"$"* #,##0_-;\-"$"* #,##0_-;_-"$"* "-"??_-;_-@_-</c:formatCode>
                <c:ptCount val="12"/>
                <c:pt idx="0">
                  <c:v>112500</c:v>
                </c:pt>
                <c:pt idx="1">
                  <c:v>225000</c:v>
                </c:pt>
                <c:pt idx="2">
                  <c:v>337500</c:v>
                </c:pt>
                <c:pt idx="3">
                  <c:v>387500</c:v>
                </c:pt>
                <c:pt idx="4">
                  <c:v>437500</c:v>
                </c:pt>
                <c:pt idx="5">
                  <c:v>487500</c:v>
                </c:pt>
                <c:pt idx="6">
                  <c:v>631250</c:v>
                </c:pt>
                <c:pt idx="7">
                  <c:v>775000</c:v>
                </c:pt>
                <c:pt idx="8">
                  <c:v>918750</c:v>
                </c:pt>
                <c:pt idx="9">
                  <c:v>1062500</c:v>
                </c:pt>
                <c:pt idx="10">
                  <c:v>1206250</c:v>
                </c:pt>
                <c:pt idx="11">
                  <c:v>1350000</c:v>
                </c:pt>
              </c:numCache>
            </c:numRef>
          </c:val>
          <c:smooth val="0"/>
          <c:extLst>
            <c:ext xmlns:c16="http://schemas.microsoft.com/office/drawing/2014/chart" uri="{C3380CC4-5D6E-409C-BE32-E72D297353CC}">
              <c16:uniqueId val="{00000000-1DF6-4909-BFFC-3692F71E9779}"/>
            </c:ext>
          </c:extLst>
        </c:ser>
        <c:ser>
          <c:idx val="5"/>
          <c:order val="7"/>
          <c:tx>
            <c:strRef>
              <c:f>'SAU VAT Summary'!$T$10</c:f>
              <c:strCache>
                <c:ptCount val="1"/>
                <c:pt idx="0">
                  <c:v> GREAT </c:v>
                </c:pt>
              </c:strCache>
            </c:strRef>
          </c:tx>
          <c:spPr>
            <a:ln w="28575" cap="rnd">
              <a:solidFill>
                <a:schemeClr val="accent3">
                  <a:lumMod val="60000"/>
                  <a:lumOff val="40000"/>
                </a:schemeClr>
              </a:solidFill>
              <a:prstDash val="sysDot"/>
              <a:round/>
            </a:ln>
            <a:effectLst/>
          </c:spPr>
          <c:marker>
            <c:symbol val="none"/>
          </c:marker>
          <c:cat>
            <c:strRef>
              <c:f>'SAU VAT Summary'!$U$4:$AF$4</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'SAU VAT Summary'!$U$10:$AF$10</c:f>
              <c:numCache>
                <c:formatCode>_-"$"* #,##0_-;\-"$"* #,##0_-;_-"$"* "-"??_-;_-@_-</c:formatCode>
                <c:ptCount val="12"/>
                <c:pt idx="0">
                  <c:v>150000</c:v>
                </c:pt>
                <c:pt idx="1">
                  <c:v>300000</c:v>
                </c:pt>
                <c:pt idx="2">
                  <c:v>450000</c:v>
                </c:pt>
                <c:pt idx="3">
                  <c:v>500000</c:v>
                </c:pt>
                <c:pt idx="4">
                  <c:v>550000</c:v>
                </c:pt>
                <c:pt idx="5">
                  <c:v>600000</c:v>
                </c:pt>
                <c:pt idx="6">
                  <c:v>800000</c:v>
                </c:pt>
                <c:pt idx="7">
                  <c:v>1000000</c:v>
                </c:pt>
                <c:pt idx="8">
                  <c:v>1200000</c:v>
                </c:pt>
                <c:pt idx="9">
                  <c:v>1400000</c:v>
                </c:pt>
                <c:pt idx="10">
                  <c:v>1600000</c:v>
                </c:pt>
                <c:pt idx="11">
                  <c:v>1800000</c:v>
                </c:pt>
              </c:numCache>
            </c:numRef>
          </c:val>
          <c:smooth val="0"/>
          <c:extLst>
            <c:ext xmlns:c16="http://schemas.microsoft.com/office/drawing/2014/chart" uri="{C3380CC4-5D6E-409C-BE32-E72D297353CC}">
              <c16:uniqueId val="{00000005-57DB-46A6-89C8-27AD0A130892}"/>
            </c:ext>
          </c:extLst>
        </c:ser>
        <c:dLbls>
          <c:showLegendKey val="0"/>
          <c:showVal val="0"/>
          <c:showCatName val="0"/>
          <c:showSerName val="0"/>
          <c:showPercent val="0"/>
          <c:showBubbleSize val="0"/>
        </c:dLbls>
        <c:smooth val="0"/>
        <c:axId val="1297579791"/>
        <c:axId val="1297586031"/>
      </c:lineChart>
      <c:catAx>
        <c:axId val="129757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586031"/>
        <c:crosses val="autoZero"/>
        <c:auto val="1"/>
        <c:lblAlgn val="ctr"/>
        <c:lblOffset val="100"/>
        <c:noMultiLvlLbl val="0"/>
      </c:catAx>
      <c:valAx>
        <c:axId val="129758603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5797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VIC Projected</a:t>
            </a:r>
            <a:r>
              <a:rPr lang="en-AU" baseline="0"/>
              <a:t> Revenue FY25/26</a:t>
            </a:r>
            <a:endParaRPr lang="en-AU"/>
          </a:p>
        </c:rich>
      </c:tx>
      <c:layout>
        <c:manualLayout>
          <c:xMode val="edge"/>
          <c:yMode val="edge"/>
          <c:x val="0.36079732856059199"/>
          <c:y val="3.20791679062378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lineChart>
        <c:grouping val="standard"/>
        <c:varyColors val="0"/>
        <c:ser>
          <c:idx val="0"/>
          <c:order val="0"/>
          <c:tx>
            <c:strRef>
              <c:f>'VIC VAT Summary'!$T$27</c:f>
              <c:strCache>
                <c:ptCount val="1"/>
                <c:pt idx="0">
                  <c:v> C/S </c:v>
                </c:pt>
              </c:strCache>
            </c:strRef>
          </c:tx>
          <c:spPr>
            <a:ln w="28575" cap="rnd">
              <a:solidFill>
                <a:schemeClr val="tx2"/>
              </a:solidFill>
              <a:round/>
            </a:ln>
            <a:effectLst/>
          </c:spPr>
          <c:marker>
            <c:symbol val="none"/>
          </c:marker>
          <c:cat>
            <c:strRef>
              <c:f>'VIC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'VIC VAT Summary'!$U$27:$AF$27</c:f>
              <c:numCache>
                <c:formatCode>_-"$"* #,##0_-;\-"$"* #,##0_-;_-"$"* "-"??_-;_-@_-</c:formatCode>
                <c:ptCount val="12"/>
                <c:pt idx="0">
                  <c:v>394.92</c:v>
                </c:pt>
                <c:pt idx="1">
                  <c:v>274664.51999999996</c:v>
                </c:pt>
                <c:pt idx="2">
                  <c:v>964354.47</c:v>
                </c:pt>
                <c:pt idx="3">
                  <c:v>1698759.5449999999</c:v>
                </c:pt>
                <c:pt idx="4">
                  <c:v>2288439.0049999999</c:v>
                </c:pt>
                <c:pt idx="5">
                  <c:v>2716658.0949999997</c:v>
                </c:pt>
                <c:pt idx="6">
                  <c:v>3113573.7199999997</c:v>
                </c:pt>
                <c:pt idx="7">
                  <c:v>3253993.7199999997</c:v>
                </c:pt>
                <c:pt idx="8">
                  <c:v>3253993.7199999997</c:v>
                </c:pt>
                <c:pt idx="9">
                  <c:v>3253993.7199999997</c:v>
                </c:pt>
                <c:pt idx="10">
                  <c:v>3253993.7199999997</c:v>
                </c:pt>
                <c:pt idx="11">
                  <c:v>3253993.7199999997</c:v>
                </c:pt>
              </c:numCache>
            </c:numRef>
          </c:val>
          <c:smooth val="0"/>
          <c:extLst>
            <c:ext xmlns:c16="http://schemas.microsoft.com/office/drawing/2014/chart" uri="{C3380CC4-5D6E-409C-BE32-E72D297353CC}">
              <c16:uniqueId val="{00000000-C396-4AE6-B6E5-88E88CCF1C03}"/>
            </c:ext>
          </c:extLst>
        </c:ser>
        <c:ser>
          <c:idx val="1"/>
          <c:order val="1"/>
          <c:tx>
            <c:strRef>
              <c:f>'VIC VAT Summary'!$T$28</c:f>
              <c:strCache>
                <c:ptCount val="1"/>
                <c:pt idx="0">
                  <c:v> DVF+ </c:v>
                </c:pt>
              </c:strCache>
            </c:strRef>
          </c:tx>
          <c:spPr>
            <a:ln w="28575" cap="rnd">
              <a:solidFill>
                <a:schemeClr val="tx2">
                  <a:lumMod val="50000"/>
                  <a:lumOff val="50000"/>
                </a:schemeClr>
              </a:solidFill>
              <a:round/>
            </a:ln>
            <a:effectLst/>
          </c:spPr>
          <c:marker>
            <c:symbol val="none"/>
          </c:marker>
          <c:cat>
            <c:strRef>
              <c:f>'VIC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'VIC VAT Summary'!$U$28:$AF$28</c:f>
              <c:numCache>
                <c:formatCode>_-"$"* #,##0_-;\-"$"* #,##0_-;_-"$"* "-"??_-;_-@_-</c:formatCode>
                <c:ptCount val="12"/>
                <c:pt idx="0">
                  <c:v>394.92</c:v>
                </c:pt>
                <c:pt idx="1">
                  <c:v>274664.51999999996</c:v>
                </c:pt>
                <c:pt idx="2">
                  <c:v>964354.47</c:v>
                </c:pt>
                <c:pt idx="3">
                  <c:v>1698759.5449999999</c:v>
                </c:pt>
                <c:pt idx="4">
                  <c:v>2288439.0049999999</c:v>
                </c:pt>
                <c:pt idx="5">
                  <c:v>2716658.0949999997</c:v>
                </c:pt>
                <c:pt idx="6">
                  <c:v>3113573.7199999997</c:v>
                </c:pt>
                <c:pt idx="7">
                  <c:v>3253993.7199999997</c:v>
                </c:pt>
                <c:pt idx="8">
                  <c:v>3253993.7199999997</c:v>
                </c:pt>
                <c:pt idx="9">
                  <c:v>3253993.7199999997</c:v>
                </c:pt>
                <c:pt idx="10">
                  <c:v>3253993.7199999997</c:v>
                </c:pt>
                <c:pt idx="11">
                  <c:v>3253993.7199999997</c:v>
                </c:pt>
              </c:numCache>
            </c:numRef>
          </c:val>
          <c:smooth val="0"/>
          <c:extLst>
            <c:ext xmlns:c16="http://schemas.microsoft.com/office/drawing/2014/chart" uri="{C3380CC4-5D6E-409C-BE32-E72D297353CC}">
              <c16:uniqueId val="{00000001-C396-4AE6-B6E5-88E88CCF1C03}"/>
            </c:ext>
          </c:extLst>
        </c:ser>
        <c:ser>
          <c:idx val="2"/>
          <c:order val="2"/>
          <c:tx>
            <c:strRef>
              <c:f>'VIC VAT Summary'!$T$29</c:f>
              <c:strCache>
                <c:ptCount val="1"/>
                <c:pt idx="0">
                  <c:v> DF+ </c:v>
                </c:pt>
              </c:strCache>
            </c:strRef>
          </c:tx>
          <c:spPr>
            <a:ln w="28575" cap="rnd">
              <a:solidFill>
                <a:schemeClr val="accent5"/>
              </a:solidFill>
              <a:round/>
            </a:ln>
            <a:effectLst/>
          </c:spPr>
          <c:marker>
            <c:symbol val="none"/>
          </c:marker>
          <c:cat>
            <c:strRef>
              <c:f>'VIC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'VIC VAT Summary'!$U$29:$AF$29</c:f>
              <c:numCache>
                <c:formatCode>_-"$"* #,##0_-;\-"$"* #,##0_-;_-"$"* "-"??_-;_-@_-</c:formatCode>
                <c:ptCount val="12"/>
                <c:pt idx="0">
                  <c:v>394.92</c:v>
                </c:pt>
                <c:pt idx="1">
                  <c:v>274664.51999999996</c:v>
                </c:pt>
                <c:pt idx="2">
                  <c:v>964354.47</c:v>
                </c:pt>
                <c:pt idx="3">
                  <c:v>1698759.5449999999</c:v>
                </c:pt>
                <c:pt idx="4">
                  <c:v>2288439.0049999999</c:v>
                </c:pt>
                <c:pt idx="5">
                  <c:v>2716658.0949999997</c:v>
                </c:pt>
                <c:pt idx="6">
                  <c:v>3113573.7199999997</c:v>
                </c:pt>
                <c:pt idx="7">
                  <c:v>3253993.7199999997</c:v>
                </c:pt>
                <c:pt idx="8">
                  <c:v>3253993.7199999997</c:v>
                </c:pt>
                <c:pt idx="9">
                  <c:v>3253993.7199999997</c:v>
                </c:pt>
                <c:pt idx="10">
                  <c:v>3253993.7199999997</c:v>
                </c:pt>
                <c:pt idx="11">
                  <c:v>3253993.7199999997</c:v>
                </c:pt>
              </c:numCache>
            </c:numRef>
          </c:val>
          <c:smooth val="0"/>
          <c:extLst>
            <c:ext xmlns:c16="http://schemas.microsoft.com/office/drawing/2014/chart" uri="{C3380CC4-5D6E-409C-BE32-E72D297353CC}">
              <c16:uniqueId val="{00000002-C396-4AE6-B6E5-88E88CCF1C03}"/>
            </c:ext>
          </c:extLst>
        </c:ser>
        <c:ser>
          <c:idx val="3"/>
          <c:order val="3"/>
          <c:tx>
            <c:strRef>
              <c:f>'VIC VAT Summary'!$T$30</c:f>
              <c:strCache>
                <c:ptCount val="1"/>
                <c:pt idx="0">
                  <c:v> Q+ </c:v>
                </c:pt>
              </c:strCache>
            </c:strRef>
          </c:tx>
          <c:spPr>
            <a:ln w="28575" cap="rnd">
              <a:solidFill>
                <a:schemeClr val="accent2"/>
              </a:solidFill>
              <a:round/>
            </a:ln>
            <a:effectLst/>
          </c:spPr>
          <c:marker>
            <c:symbol val="none"/>
          </c:marker>
          <c:cat>
            <c:strRef>
              <c:f>'VIC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'VIC VAT Summary'!$U$30:$AF$30</c:f>
              <c:numCache>
                <c:formatCode>_-"$"* #,##0_-;\-"$"* #,##0_-;_-"$"* "-"??_-;_-@_-</c:formatCode>
                <c:ptCount val="12"/>
                <c:pt idx="0">
                  <c:v>394.92</c:v>
                </c:pt>
                <c:pt idx="1">
                  <c:v>274664.51999999996</c:v>
                </c:pt>
                <c:pt idx="2">
                  <c:v>964354.47</c:v>
                </c:pt>
                <c:pt idx="3">
                  <c:v>1698759.5449999999</c:v>
                </c:pt>
                <c:pt idx="4">
                  <c:v>2288439.0049999999</c:v>
                </c:pt>
                <c:pt idx="5">
                  <c:v>2716658.0949999997</c:v>
                </c:pt>
                <c:pt idx="6">
                  <c:v>3113573.7199999997</c:v>
                </c:pt>
                <c:pt idx="7">
                  <c:v>3253993.7199999997</c:v>
                </c:pt>
                <c:pt idx="8">
                  <c:v>3373993.7199999997</c:v>
                </c:pt>
                <c:pt idx="9">
                  <c:v>3799593.7199999997</c:v>
                </c:pt>
                <c:pt idx="10">
                  <c:v>4225193.72</c:v>
                </c:pt>
                <c:pt idx="11">
                  <c:v>4545193.72</c:v>
                </c:pt>
              </c:numCache>
            </c:numRef>
          </c:val>
          <c:smooth val="0"/>
          <c:extLst>
            <c:ext xmlns:c16="http://schemas.microsoft.com/office/drawing/2014/chart" uri="{C3380CC4-5D6E-409C-BE32-E72D297353CC}">
              <c16:uniqueId val="{00000003-C396-4AE6-B6E5-88E88CCF1C03}"/>
            </c:ext>
          </c:extLst>
        </c:ser>
        <c:ser>
          <c:idx val="5"/>
          <c:order val="5"/>
          <c:tx>
            <c:strRef>
              <c:f>'VIC VAT Summary'!$T$32</c:f>
              <c:strCache>
                <c:ptCount val="1"/>
                <c:pt idx="0">
                  <c:v> GREAT </c:v>
                </c:pt>
              </c:strCache>
            </c:strRef>
          </c:tx>
          <c:spPr>
            <a:ln w="28575" cap="rnd">
              <a:solidFill>
                <a:schemeClr val="accent3">
                  <a:lumMod val="60000"/>
                  <a:lumOff val="40000"/>
                </a:schemeClr>
              </a:solidFill>
              <a:prstDash val="sysDot"/>
              <a:round/>
            </a:ln>
            <a:effectLst/>
          </c:spPr>
          <c:marker>
            <c:symbol val="none"/>
          </c:marker>
          <c:cat>
            <c:strRef>
              <c:f>'VIC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'VIC VAT Summary'!$U$32:$AF$32</c:f>
              <c:numCache>
                <c:formatCode>_-"$"* #,##0_-;\-"$"* #,##0_-;_-"$"* "-"??_-;_-@_-</c:formatCode>
                <c:ptCount val="12"/>
                <c:pt idx="0">
                  <c:v>681818.18181818177</c:v>
                </c:pt>
                <c:pt idx="1">
                  <c:v>1363636.3636363635</c:v>
                </c:pt>
                <c:pt idx="2">
                  <c:v>2045454.5454545454</c:v>
                </c:pt>
                <c:pt idx="3">
                  <c:v>2500000</c:v>
                </c:pt>
                <c:pt idx="4">
                  <c:v>2954545.4545454546</c:v>
                </c:pt>
                <c:pt idx="5">
                  <c:v>3409090.9090909092</c:v>
                </c:pt>
                <c:pt idx="6">
                  <c:v>4204545.4545454551</c:v>
                </c:pt>
                <c:pt idx="7">
                  <c:v>5000000</c:v>
                </c:pt>
                <c:pt idx="8">
                  <c:v>5795454.5454545449</c:v>
                </c:pt>
                <c:pt idx="9">
                  <c:v>6590909.0909090899</c:v>
                </c:pt>
                <c:pt idx="10">
                  <c:v>7386363.6363636348</c:v>
                </c:pt>
                <c:pt idx="11">
                  <c:v>8181818.1818181798</c:v>
                </c:pt>
              </c:numCache>
            </c:numRef>
          </c:val>
          <c:smooth val="0"/>
          <c:extLst>
            <c:ext xmlns:c16="http://schemas.microsoft.com/office/drawing/2014/chart" uri="{C3380CC4-5D6E-409C-BE32-E72D297353CC}">
              <c16:uniqueId val="{00000005-C396-4AE6-B6E5-88E88CCF1C03}"/>
            </c:ext>
          </c:extLst>
        </c:ser>
        <c:ser>
          <c:idx val="6"/>
          <c:order val="6"/>
          <c:tx>
            <c:strRef>
              <c:f>'VIC VAT Summary'!$T$33</c:f>
              <c:strCache>
                <c:ptCount val="1"/>
                <c:pt idx="0">
                  <c:v> GOOD </c:v>
                </c:pt>
              </c:strCache>
            </c:strRef>
          </c:tx>
          <c:spPr>
            <a:ln w="28575" cap="rnd">
              <a:solidFill>
                <a:schemeClr val="accent6"/>
              </a:solidFill>
              <a:prstDash val="sysDot"/>
              <a:round/>
            </a:ln>
            <a:effectLst/>
          </c:spPr>
          <c:marker>
            <c:symbol val="none"/>
          </c:marker>
          <c:cat>
            <c:strRef>
              <c:f>'VIC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'VIC VAT Summary'!$U$33:$AF$33</c:f>
              <c:numCache>
                <c:formatCode>_-"$"* #,##0_-;\-"$"* #,##0_-;_-"$"* "-"??_-;_-@_-</c:formatCode>
                <c:ptCount val="12"/>
                <c:pt idx="0">
                  <c:v>568181.81818181812</c:v>
                </c:pt>
                <c:pt idx="1">
                  <c:v>1136363.6363636362</c:v>
                </c:pt>
                <c:pt idx="2">
                  <c:v>1704545.4545454544</c:v>
                </c:pt>
                <c:pt idx="3">
                  <c:v>2159090.9090909087</c:v>
                </c:pt>
                <c:pt idx="4">
                  <c:v>2613636.3636363633</c:v>
                </c:pt>
                <c:pt idx="5">
                  <c:v>3068181.8181818179</c:v>
                </c:pt>
                <c:pt idx="6">
                  <c:v>3693181.8181818179</c:v>
                </c:pt>
                <c:pt idx="7">
                  <c:v>4318181.8181818184</c:v>
                </c:pt>
                <c:pt idx="8">
                  <c:v>4943181.8181818184</c:v>
                </c:pt>
                <c:pt idx="9">
                  <c:v>5568181.8181818184</c:v>
                </c:pt>
                <c:pt idx="10">
                  <c:v>6193181.8181818184</c:v>
                </c:pt>
                <c:pt idx="11">
                  <c:v>6818181.8181818184</c:v>
                </c:pt>
              </c:numCache>
            </c:numRef>
          </c:val>
          <c:smooth val="0"/>
          <c:extLst>
            <c:ext xmlns:c16="http://schemas.microsoft.com/office/drawing/2014/chart" uri="{C3380CC4-5D6E-409C-BE32-E72D297353CC}">
              <c16:uniqueId val="{00000000-C469-4ADF-93B0-BC7E0C94FAC0}"/>
            </c:ext>
          </c:extLst>
        </c:ser>
        <c:ser>
          <c:idx val="7"/>
          <c:order val="7"/>
          <c:tx>
            <c:strRef>
              <c:f>'VIC VAT Summary'!$T$34</c:f>
              <c:strCache>
                <c:ptCount val="1"/>
                <c:pt idx="0">
                  <c:v> OK </c:v>
                </c:pt>
              </c:strCache>
            </c:strRef>
          </c:tx>
          <c:spPr>
            <a:ln w="28575" cap="rnd">
              <a:solidFill>
                <a:schemeClr val="accent2"/>
              </a:solidFill>
              <a:prstDash val="sysDot"/>
              <a:round/>
            </a:ln>
            <a:effectLst/>
          </c:spPr>
          <c:marker>
            <c:symbol val="none"/>
          </c:marker>
          <c:cat>
            <c:strRef>
              <c:f>'VIC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'VIC VAT Summary'!$U$34:$AF$34</c:f>
              <c:numCache>
                <c:formatCode>_-"$"* #,##0_-;\-"$"* #,##0_-;_-"$"* "-"??_-;_-@_-</c:formatCode>
                <c:ptCount val="12"/>
                <c:pt idx="0">
                  <c:v>500000</c:v>
                </c:pt>
                <c:pt idx="1">
                  <c:v>1000000</c:v>
                </c:pt>
                <c:pt idx="2">
                  <c:v>1500000</c:v>
                </c:pt>
                <c:pt idx="3">
                  <c:v>2000000</c:v>
                </c:pt>
                <c:pt idx="4">
                  <c:v>2500000</c:v>
                </c:pt>
                <c:pt idx="5">
                  <c:v>3000000</c:v>
                </c:pt>
                <c:pt idx="6">
                  <c:v>3500000</c:v>
                </c:pt>
                <c:pt idx="7">
                  <c:v>4000000</c:v>
                </c:pt>
                <c:pt idx="8">
                  <c:v>4500000</c:v>
                </c:pt>
                <c:pt idx="9">
                  <c:v>5000000</c:v>
                </c:pt>
                <c:pt idx="10">
                  <c:v>5500000</c:v>
                </c:pt>
                <c:pt idx="11">
                  <c:v>6000000</c:v>
                </c:pt>
              </c:numCache>
            </c:numRef>
          </c:val>
          <c:smooth val="0"/>
          <c:extLst>
            <c:ext xmlns:c16="http://schemas.microsoft.com/office/drawing/2014/chart" uri="{C3380CC4-5D6E-409C-BE32-E72D297353CC}">
              <c16:uniqueId val="{00000001-C469-4ADF-93B0-BC7E0C94FAC0}"/>
            </c:ext>
          </c:extLst>
        </c:ser>
        <c:dLbls>
          <c:showLegendKey val="0"/>
          <c:showVal val="0"/>
          <c:showCatName val="0"/>
          <c:showSerName val="0"/>
          <c:showPercent val="0"/>
          <c:showBubbleSize val="0"/>
        </c:dLbls>
        <c:smooth val="0"/>
        <c:axId val="1098771455"/>
        <c:axId val="1098761375"/>
        <c:extLst>
          <c:ext xmlns:c15="http://schemas.microsoft.com/office/drawing/2012/chart" uri="{02D57815-91ED-43cb-92C2-25804820EDAC}">
            <c15:filteredLineSeries>
              <c15:ser>
                <c:idx val="4"/>
                <c:order val="4"/>
                <c:tx>
                  <c:strRef>
                    <c:extLst>
                      <c:ext uri="{02D57815-91ED-43cb-92C2-25804820EDAC}">
                        <c15:formulaRef>
                          <c15:sqref>'VIC VAT Summary'!$T$31</c15:sqref>
                        </c15:formulaRef>
                      </c:ext>
                    </c:extLst>
                    <c:strCache>
                      <c:ptCount val="1"/>
                      <c:pt idx="0">
                        <c:v> VAT Lead </c:v>
                      </c:pt>
                    </c:strCache>
                  </c:strRef>
                </c:tx>
                <c:spPr>
                  <a:ln w="28575" cap="rnd">
                    <a:solidFill>
                      <a:srgbClr val="FF0000"/>
                    </a:solidFill>
                    <a:round/>
                  </a:ln>
                  <a:effectLst/>
                </c:spPr>
                <c:marker>
                  <c:symbol val="none"/>
                </c:marker>
                <c:cat>
                  <c:strRef>
                    <c:extLst>
                      <c:ext uri="{02D57815-91ED-43cb-92C2-25804820EDAC}">
                        <c15:formulaRef>
                          <c15:sqref>'VIC VAT Summary'!$U$26:$AF$26</c15:sqref>
                        </c15:formulaRef>
                      </c:ext>
                    </c:extLst>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extLst>
                      <c:ext uri="{02D57815-91ED-43cb-92C2-25804820EDAC}">
                        <c15:formulaRef>
                          <c15:sqref>'VIC VAT Summary'!$U$31:$AF$31</c15:sqref>
                        </c15:formulaRef>
                      </c:ext>
                    </c:extLst>
                    <c:numCache>
                      <c:formatCode>_-"$"* #,##0_-;\-"$"* #,##0_-;_-"$"*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C396-4AE6-B6E5-88E88CCF1C03}"/>
                  </c:ext>
                </c:extLst>
              </c15:ser>
            </c15:filteredLineSeries>
          </c:ext>
        </c:extLst>
      </c:lineChart>
      <c:catAx>
        <c:axId val="109877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761375"/>
        <c:crosses val="autoZero"/>
        <c:auto val="1"/>
        <c:lblAlgn val="ctr"/>
        <c:lblOffset val="100"/>
        <c:noMultiLvlLbl val="0"/>
      </c:catAx>
      <c:valAx>
        <c:axId val="109876137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771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VIC</a:t>
            </a:r>
            <a:r>
              <a:rPr lang="en-AU" baseline="0"/>
              <a:t> </a:t>
            </a:r>
            <a:r>
              <a:rPr lang="en-AU"/>
              <a:t>Projected Gross Margin Contribution FY25/26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'VIC VAT Summary'!$T$5</c:f>
              <c:strCache>
                <c:ptCount val="1"/>
                <c:pt idx="0">
                  <c:v> C/S </c:v>
                </c:pt>
              </c:strCache>
            </c:strRef>
          </c:tx>
          <c:spPr>
            <a:ln w="28575" cap="rnd">
              <a:solidFill>
                <a:schemeClr val="tx1"/>
              </a:solidFill>
              <a:round/>
            </a:ln>
            <a:effectLst/>
          </c:spPr>
          <c:marker>
            <c:symbol val="none"/>
          </c:marker>
          <c:cat>
            <c:strRef>
              <c:f>'VIC VAT Summary'!$U$4:$AF$4</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'VIC VAT Summary'!$U$5:$AF$5</c:f>
              <c:numCache>
                <c:formatCode>_-"$"* #,##0_-;\-"$"* #,##0_-;_-"$"* "-"??_-;_-@_-</c:formatCode>
                <c:ptCount val="12"/>
                <c:pt idx="0">
                  <c:v>-1120.31</c:v>
                </c:pt>
                <c:pt idx="1">
                  <c:v>85668.039999999979</c:v>
                </c:pt>
                <c:pt idx="2">
                  <c:v>291061.87000000011</c:v>
                </c:pt>
                <c:pt idx="3">
                  <c:v>526050.88499999978</c:v>
                </c:pt>
                <c:pt idx="4">
                  <c:v>715547.44499999983</c:v>
                </c:pt>
                <c:pt idx="5">
                  <c:v>849033.33499999996</c:v>
                </c:pt>
                <c:pt idx="6">
                  <c:v>976437.31</c:v>
                </c:pt>
                <c:pt idx="7">
                  <c:v>1026935.03</c:v>
                </c:pt>
                <c:pt idx="8">
                  <c:v>1026935.03</c:v>
                </c:pt>
                <c:pt idx="9">
                  <c:v>1026935.03</c:v>
                </c:pt>
                <c:pt idx="10">
                  <c:v>1026935.03</c:v>
                </c:pt>
                <c:pt idx="11">
                  <c:v>1026935.03</c:v>
                </c:pt>
              </c:numCache>
            </c:numRef>
          </c:val>
          <c:smooth val="0"/>
          <c:extLst>
            <c:ext xmlns:c16="http://schemas.microsoft.com/office/drawing/2014/chart" uri="{C3380CC4-5D6E-409C-BE32-E72D297353CC}">
              <c16:uniqueId val="{00000000-A2AD-4221-ADB2-FE97303CBCC7}"/>
            </c:ext>
          </c:extLst>
        </c:ser>
        <c:ser>
          <c:idx val="1"/>
          <c:order val="1"/>
          <c:tx>
            <c:strRef>
              <c:f>'VIC VAT Summary'!$T$6</c:f>
              <c:strCache>
                <c:ptCount val="1"/>
                <c:pt idx="0">
                  <c:v> DVF+ </c:v>
                </c:pt>
              </c:strCache>
            </c:strRef>
          </c:tx>
          <c:spPr>
            <a:ln w="28575" cap="rnd">
              <a:solidFill>
                <a:schemeClr val="accent4"/>
              </a:solidFill>
              <a:round/>
            </a:ln>
            <a:effectLst/>
          </c:spPr>
          <c:marker>
            <c:symbol val="none"/>
          </c:marker>
          <c:cat>
            <c:strRef>
              <c:f>'VIC VAT Summary'!$U$4:$AF$4</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'VIC VAT Summary'!$U$6:$AF$6</c:f>
              <c:numCache>
                <c:formatCode>_-"$"* #,##0_-;\-"$"* #,##0_-;_-"$"* "-"??_-;_-@_-</c:formatCode>
                <c:ptCount val="12"/>
                <c:pt idx="0">
                  <c:v>-1120.31</c:v>
                </c:pt>
                <c:pt idx="1">
                  <c:v>85668.039999999979</c:v>
                </c:pt>
                <c:pt idx="2">
                  <c:v>291061.87000000011</c:v>
                </c:pt>
                <c:pt idx="3">
                  <c:v>526050.88499999978</c:v>
                </c:pt>
                <c:pt idx="4">
                  <c:v>715547.44499999983</c:v>
                </c:pt>
                <c:pt idx="5">
                  <c:v>849033.33499999996</c:v>
                </c:pt>
                <c:pt idx="6">
                  <c:v>976437.31</c:v>
                </c:pt>
                <c:pt idx="7">
                  <c:v>1026935.03</c:v>
                </c:pt>
                <c:pt idx="8">
                  <c:v>1026935.03</c:v>
                </c:pt>
                <c:pt idx="9">
                  <c:v>1026935.03</c:v>
                </c:pt>
                <c:pt idx="10">
                  <c:v>1026935.03</c:v>
                </c:pt>
                <c:pt idx="11">
                  <c:v>1026935.03</c:v>
                </c:pt>
              </c:numCache>
            </c:numRef>
          </c:val>
          <c:smooth val="0"/>
          <c:extLst>
            <c:ext xmlns:c16="http://schemas.microsoft.com/office/drawing/2014/chart" uri="{C3380CC4-5D6E-409C-BE32-E72D297353CC}">
              <c16:uniqueId val="{00000001-A2AD-4221-ADB2-FE97303CBCC7}"/>
            </c:ext>
          </c:extLst>
        </c:ser>
        <c:ser>
          <c:idx val="2"/>
          <c:order val="2"/>
          <c:tx>
            <c:strRef>
              <c:f>'VIC VAT Summary'!$T$7</c:f>
              <c:strCache>
                <c:ptCount val="1"/>
                <c:pt idx="0">
                  <c:v> DF+ </c:v>
                </c:pt>
              </c:strCache>
            </c:strRef>
          </c:tx>
          <c:spPr>
            <a:ln w="28575" cap="rnd">
              <a:solidFill>
                <a:schemeClr val="accent5"/>
              </a:solidFill>
              <a:round/>
            </a:ln>
            <a:effectLst/>
          </c:spPr>
          <c:marker>
            <c:symbol val="none"/>
          </c:marker>
          <c:cat>
            <c:strRef>
              <c:f>'VIC VAT Summary'!$U$4:$AF$4</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'VIC VAT Summary'!$U$7:$AF$7</c:f>
              <c:numCache>
                <c:formatCode>_-"$"* #,##0_-;\-"$"* #,##0_-;_-"$"* "-"??_-;_-@_-</c:formatCode>
                <c:ptCount val="12"/>
                <c:pt idx="0">
                  <c:v>-1120.31</c:v>
                </c:pt>
                <c:pt idx="1">
                  <c:v>85668.039999999979</c:v>
                </c:pt>
                <c:pt idx="2">
                  <c:v>291061.87000000011</c:v>
                </c:pt>
                <c:pt idx="3">
                  <c:v>526050.88499999978</c:v>
                </c:pt>
                <c:pt idx="4">
                  <c:v>715547.44499999983</c:v>
                </c:pt>
                <c:pt idx="5">
                  <c:v>849033.33499999996</c:v>
                </c:pt>
                <c:pt idx="6">
                  <c:v>976437.31</c:v>
                </c:pt>
                <c:pt idx="7">
                  <c:v>1026935.03</c:v>
                </c:pt>
                <c:pt idx="8">
                  <c:v>1026935.03</c:v>
                </c:pt>
                <c:pt idx="9">
                  <c:v>1026935.03</c:v>
                </c:pt>
                <c:pt idx="10">
                  <c:v>1026935.03</c:v>
                </c:pt>
                <c:pt idx="11">
                  <c:v>1026935.03</c:v>
                </c:pt>
              </c:numCache>
            </c:numRef>
          </c:val>
          <c:smooth val="0"/>
          <c:extLst>
            <c:ext xmlns:c16="http://schemas.microsoft.com/office/drawing/2014/chart" uri="{C3380CC4-5D6E-409C-BE32-E72D297353CC}">
              <c16:uniqueId val="{00000002-A2AD-4221-ADB2-FE97303CBCC7}"/>
            </c:ext>
          </c:extLst>
        </c:ser>
        <c:ser>
          <c:idx val="3"/>
          <c:order val="3"/>
          <c:tx>
            <c:strRef>
              <c:f>'VIC VAT Summary'!$T$8</c:f>
              <c:strCache>
                <c:ptCount val="1"/>
                <c:pt idx="0">
                  <c:v> Q+ </c:v>
                </c:pt>
              </c:strCache>
            </c:strRef>
          </c:tx>
          <c:spPr>
            <a:ln w="28575" cap="rnd">
              <a:solidFill>
                <a:schemeClr val="accent2"/>
              </a:solidFill>
              <a:round/>
            </a:ln>
            <a:effectLst/>
          </c:spPr>
          <c:marker>
            <c:symbol val="none"/>
          </c:marker>
          <c:cat>
            <c:strRef>
              <c:f>'VIC VAT Summary'!$U$4:$AF$4</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'VIC VAT Summary'!$U$8:$AF$8</c:f>
              <c:numCache>
                <c:formatCode>_-"$"* #,##0_-;\-"$"* #,##0_-;_-"$"* "-"??_-;_-@_-</c:formatCode>
                <c:ptCount val="12"/>
                <c:pt idx="0">
                  <c:v>-1120.31</c:v>
                </c:pt>
                <c:pt idx="1">
                  <c:v>85668.039999999979</c:v>
                </c:pt>
                <c:pt idx="2">
                  <c:v>291061.87000000011</c:v>
                </c:pt>
                <c:pt idx="3">
                  <c:v>526050.88499999978</c:v>
                </c:pt>
                <c:pt idx="4">
                  <c:v>715547.44499999983</c:v>
                </c:pt>
                <c:pt idx="5">
                  <c:v>849033.33499999996</c:v>
                </c:pt>
                <c:pt idx="6">
                  <c:v>976437.31</c:v>
                </c:pt>
                <c:pt idx="7">
                  <c:v>1026935.03</c:v>
                </c:pt>
                <c:pt idx="8">
                  <c:v>1026935.03</c:v>
                </c:pt>
                <c:pt idx="9">
                  <c:v>1026935.03</c:v>
                </c:pt>
                <c:pt idx="10">
                  <c:v>1026935.03</c:v>
                </c:pt>
                <c:pt idx="11">
                  <c:v>1026935.03</c:v>
                </c:pt>
              </c:numCache>
            </c:numRef>
          </c:val>
          <c:smooth val="0"/>
          <c:extLst>
            <c:ext xmlns:c16="http://schemas.microsoft.com/office/drawing/2014/chart" uri="{C3380CC4-5D6E-409C-BE32-E72D297353CC}">
              <c16:uniqueId val="{00000003-A2AD-4221-ADB2-FE97303CBCC7}"/>
            </c:ext>
          </c:extLst>
        </c:ser>
        <c:ser>
          <c:idx val="5"/>
          <c:order val="5"/>
          <c:tx>
            <c:strRef>
              <c:f>'VIC VAT Summary'!$T$10</c:f>
              <c:strCache>
                <c:ptCount val="1"/>
                <c:pt idx="0">
                  <c:v> GREAT </c:v>
                </c:pt>
              </c:strCache>
            </c:strRef>
          </c:tx>
          <c:spPr>
            <a:ln w="28575" cap="rnd">
              <a:solidFill>
                <a:schemeClr val="accent3">
                  <a:lumMod val="60000"/>
                  <a:lumOff val="40000"/>
                </a:schemeClr>
              </a:solidFill>
              <a:prstDash val="sysDot"/>
              <a:round/>
            </a:ln>
            <a:effectLst/>
          </c:spPr>
          <c:marker>
            <c:symbol val="none"/>
          </c:marker>
          <c:cat>
            <c:strRef>
              <c:f>'VIC VAT Summary'!$U$4:$AF$4</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'VIC VAT Summary'!$U$10:$AF$10</c:f>
              <c:numCache>
                <c:formatCode>_-"$"* #,##0_-;\-"$"* #,##0_-;_-"$"* "-"??_-;_-@_-</c:formatCode>
                <c:ptCount val="12"/>
                <c:pt idx="0">
                  <c:v>225000</c:v>
                </c:pt>
                <c:pt idx="1">
                  <c:v>450000</c:v>
                </c:pt>
                <c:pt idx="2">
                  <c:v>675000</c:v>
                </c:pt>
                <c:pt idx="3">
                  <c:v>825000</c:v>
                </c:pt>
                <c:pt idx="4">
                  <c:v>975000</c:v>
                </c:pt>
                <c:pt idx="5">
                  <c:v>1125000</c:v>
                </c:pt>
                <c:pt idx="6">
                  <c:v>1387500</c:v>
                </c:pt>
                <c:pt idx="7">
                  <c:v>1650000</c:v>
                </c:pt>
                <c:pt idx="8">
                  <c:v>1912500</c:v>
                </c:pt>
                <c:pt idx="9">
                  <c:v>2175000</c:v>
                </c:pt>
                <c:pt idx="10">
                  <c:v>2437500</c:v>
                </c:pt>
                <c:pt idx="11">
                  <c:v>2700000</c:v>
                </c:pt>
              </c:numCache>
            </c:numRef>
          </c:val>
          <c:smooth val="0"/>
          <c:extLst>
            <c:ext xmlns:c16="http://schemas.microsoft.com/office/drawing/2014/chart" uri="{C3380CC4-5D6E-409C-BE32-E72D297353CC}">
              <c16:uniqueId val="{00000005-A2AD-4221-ADB2-FE97303CBCC7}"/>
            </c:ext>
          </c:extLst>
        </c:ser>
        <c:ser>
          <c:idx val="6"/>
          <c:order val="6"/>
          <c:tx>
            <c:strRef>
              <c:f>'VIC VAT Summary'!$T$11</c:f>
              <c:strCache>
                <c:ptCount val="1"/>
                <c:pt idx="0">
                  <c:v> GOOD </c:v>
                </c:pt>
              </c:strCache>
            </c:strRef>
          </c:tx>
          <c:spPr>
            <a:ln w="28575" cap="rnd">
              <a:solidFill>
                <a:schemeClr val="accent6"/>
              </a:solidFill>
              <a:prstDash val="sysDot"/>
              <a:round/>
            </a:ln>
            <a:effectLst/>
          </c:spPr>
          <c:marker>
            <c:symbol val="none"/>
          </c:marker>
          <c:cat>
            <c:strRef>
              <c:f>'VIC VAT Summary'!$U$4:$AF$4</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'VIC VAT Summary'!$U$11:$AF$11</c:f>
              <c:numCache>
                <c:formatCode>_-"$"* #,##0_-;\-"$"* #,##0_-;_-"$"* "-"??_-;_-@_-</c:formatCode>
                <c:ptCount val="12"/>
                <c:pt idx="0">
                  <c:v>187500</c:v>
                </c:pt>
                <c:pt idx="1">
                  <c:v>375000</c:v>
                </c:pt>
                <c:pt idx="2">
                  <c:v>562500</c:v>
                </c:pt>
                <c:pt idx="3">
                  <c:v>712500</c:v>
                </c:pt>
                <c:pt idx="4">
                  <c:v>862500</c:v>
                </c:pt>
                <c:pt idx="5">
                  <c:v>1012500</c:v>
                </c:pt>
                <c:pt idx="6">
                  <c:v>1218750</c:v>
                </c:pt>
                <c:pt idx="7">
                  <c:v>1425000</c:v>
                </c:pt>
                <c:pt idx="8">
                  <c:v>1631250</c:v>
                </c:pt>
                <c:pt idx="9">
                  <c:v>1837500</c:v>
                </c:pt>
                <c:pt idx="10">
                  <c:v>2043750</c:v>
                </c:pt>
                <c:pt idx="11">
                  <c:v>2250000</c:v>
                </c:pt>
              </c:numCache>
            </c:numRef>
          </c:val>
          <c:smooth val="0"/>
          <c:extLst>
            <c:ext xmlns:c16="http://schemas.microsoft.com/office/drawing/2014/chart" uri="{C3380CC4-5D6E-409C-BE32-E72D297353CC}">
              <c16:uniqueId val="{00000000-688E-4C5B-B478-95AEC1619849}"/>
            </c:ext>
          </c:extLst>
        </c:ser>
        <c:ser>
          <c:idx val="7"/>
          <c:order val="7"/>
          <c:tx>
            <c:strRef>
              <c:f>'VIC VAT Summary'!$T$12</c:f>
              <c:strCache>
                <c:ptCount val="1"/>
                <c:pt idx="0">
                  <c:v> OK </c:v>
                </c:pt>
              </c:strCache>
            </c:strRef>
          </c:tx>
          <c:spPr>
            <a:ln w="28575" cap="rnd">
              <a:solidFill>
                <a:schemeClr val="accent2"/>
              </a:solidFill>
              <a:prstDash val="sysDot"/>
              <a:round/>
            </a:ln>
            <a:effectLst/>
          </c:spPr>
          <c:marker>
            <c:symbol val="none"/>
          </c:marker>
          <c:cat>
            <c:strRef>
              <c:f>'VIC VAT Summary'!$U$4:$AF$4</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'VIC VAT Summary'!$U$12:$AF$12</c:f>
              <c:numCache>
                <c:formatCode>_-"$"* #,##0_-;\-"$"* #,##0_-;_-"$"* "-"??_-;_-@_-</c:formatCode>
                <c:ptCount val="12"/>
                <c:pt idx="0">
                  <c:v>150000</c:v>
                </c:pt>
                <c:pt idx="1">
                  <c:v>300000</c:v>
                </c:pt>
                <c:pt idx="2">
                  <c:v>450000</c:v>
                </c:pt>
                <c:pt idx="3">
                  <c:v>600000</c:v>
                </c:pt>
                <c:pt idx="4">
                  <c:v>750000</c:v>
                </c:pt>
                <c:pt idx="5">
                  <c:v>900000</c:v>
                </c:pt>
                <c:pt idx="6">
                  <c:v>1050000</c:v>
                </c:pt>
                <c:pt idx="7">
                  <c:v>1200000</c:v>
                </c:pt>
                <c:pt idx="8">
                  <c:v>1350000</c:v>
                </c:pt>
                <c:pt idx="9">
                  <c:v>1500000</c:v>
                </c:pt>
                <c:pt idx="10">
                  <c:v>1650000</c:v>
                </c:pt>
                <c:pt idx="11">
                  <c:v>1800000</c:v>
                </c:pt>
              </c:numCache>
            </c:numRef>
          </c:val>
          <c:smooth val="0"/>
          <c:extLst>
            <c:ext xmlns:c16="http://schemas.microsoft.com/office/drawing/2014/chart" uri="{C3380CC4-5D6E-409C-BE32-E72D297353CC}">
              <c16:uniqueId val="{00000001-688E-4C5B-B478-95AEC1619849}"/>
            </c:ext>
          </c:extLst>
        </c:ser>
        <c:dLbls>
          <c:showLegendKey val="0"/>
          <c:showVal val="0"/>
          <c:showCatName val="0"/>
          <c:showSerName val="0"/>
          <c:showPercent val="0"/>
          <c:showBubbleSize val="0"/>
        </c:dLbls>
        <c:smooth val="0"/>
        <c:axId val="1297579791"/>
        <c:axId val="1297586031"/>
        <c:extLst>
          <c:ext xmlns:c15="http://schemas.microsoft.com/office/drawing/2012/chart" uri="{02D57815-91ED-43cb-92C2-25804820EDAC}">
            <c15:filteredLineSeries>
              <c15:ser>
                <c:idx val="4"/>
                <c:order val="4"/>
                <c:tx>
                  <c:strRef>
                    <c:extLst>
                      <c:ext uri="{02D57815-91ED-43cb-92C2-25804820EDAC}">
                        <c15:formulaRef>
                          <c15:sqref>'VIC VAT Summary'!$T$9</c15:sqref>
                        </c15:formulaRef>
                      </c:ext>
                    </c:extLst>
                    <c:strCache>
                      <c:ptCount val="1"/>
                      <c:pt idx="0">
                        <c:v> VAT Lead </c:v>
                      </c:pt>
                    </c:strCache>
                  </c:strRef>
                </c:tx>
                <c:spPr>
                  <a:ln w="28575" cap="rnd">
                    <a:solidFill>
                      <a:srgbClr val="FF0000"/>
                    </a:solidFill>
                    <a:round/>
                  </a:ln>
                  <a:effectLst/>
                </c:spPr>
                <c:marker>
                  <c:symbol val="none"/>
                </c:marker>
                <c:cat>
                  <c:strRef>
                    <c:extLst>
                      <c:ext uri="{02D57815-91ED-43cb-92C2-25804820EDAC}">
                        <c15:formulaRef>
                          <c15:sqref>'VIC VAT Summary'!$U$4:$AF$4</c15:sqref>
                        </c15:formulaRef>
                      </c:ext>
                    </c:extLst>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extLst>
                      <c:ext uri="{02D57815-91ED-43cb-92C2-25804820EDAC}">
                        <c15:formulaRef>
                          <c15:sqref>'VIC VAT Summary'!$U$9:$AF$9</c15:sqref>
                        </c15:formulaRef>
                      </c:ext>
                    </c:extLst>
                    <c:numCache>
                      <c:formatCode>_-"$"* #,##0_-;\-"$"* #,##0_-;_-"$"*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A2AD-4221-ADB2-FE97303CBCC7}"/>
                  </c:ext>
                </c:extLst>
              </c15:ser>
            </c15:filteredLineSeries>
          </c:ext>
        </c:extLst>
      </c:lineChart>
      <c:catAx>
        <c:axId val="129757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586031"/>
        <c:crosses val="autoZero"/>
        <c:auto val="1"/>
        <c:lblAlgn val="ctr"/>
        <c:lblOffset val="100"/>
        <c:noMultiLvlLbl val="0"/>
      </c:catAx>
      <c:valAx>
        <c:axId val="129758603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5797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DISR Projected</a:t>
            </a:r>
            <a:r>
              <a:rPr lang="en-AU" baseline="0"/>
              <a:t> Revenue FY25/26</a:t>
            </a:r>
            <a:endParaRPr lang="en-AU"/>
          </a:p>
        </c:rich>
      </c:tx>
      <c:layout>
        <c:manualLayout>
          <c:xMode val="edge"/>
          <c:yMode val="edge"/>
          <c:x val="0.36079732856059199"/>
          <c:y val="3.20791679062378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lineChart>
        <c:grouping val="standard"/>
        <c:varyColors val="0"/>
        <c:ser>
          <c:idx val="0"/>
          <c:order val="0"/>
          <c:tx>
            <c:strRef>
              <c:f>'DISR VAT Summary'!$T$27</c:f>
              <c:strCache>
                <c:ptCount val="1"/>
                <c:pt idx="0">
                  <c:v> C/S </c:v>
                </c:pt>
              </c:strCache>
            </c:strRef>
          </c:tx>
          <c:spPr>
            <a:ln w="28575" cap="rnd">
              <a:solidFill>
                <a:schemeClr val="tx2"/>
              </a:solidFill>
              <a:round/>
            </a:ln>
            <a:effectLst/>
          </c:spPr>
          <c:marker>
            <c:symbol val="none"/>
          </c:marker>
          <c:cat>
            <c:strRef>
              <c:f>'DISR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'DISR VAT Summary'!$U$27:$AF$27</c:f>
              <c:numCache>
                <c:formatCode>_-"$"* #,##0_-;\-"$"* #,##0_-;_-"$"* "-"??_-;_-@_-</c:formatCode>
                <c:ptCount val="12"/>
                <c:pt idx="0">
                  <c:v>15197.5</c:v>
                </c:pt>
                <c:pt idx="1">
                  <c:v>46147.5</c:v>
                </c:pt>
                <c:pt idx="2">
                  <c:v>127258</c:v>
                </c:pt>
                <c:pt idx="3">
                  <c:v>391075.4375</c:v>
                </c:pt>
                <c:pt idx="4">
                  <c:v>761087.21249999991</c:v>
                </c:pt>
                <c:pt idx="5">
                  <c:v>1141311.8624999998</c:v>
                </c:pt>
                <c:pt idx="6">
                  <c:v>1625780.8324999998</c:v>
                </c:pt>
                <c:pt idx="7">
                  <c:v>2240118.7497805026</c:v>
                </c:pt>
                <c:pt idx="8">
                  <c:v>2908895.920324374</c:v>
                </c:pt>
                <c:pt idx="9">
                  <c:v>3297548.0694474131</c:v>
                </c:pt>
                <c:pt idx="10">
                  <c:v>3698134.3452290935</c:v>
                </c:pt>
                <c:pt idx="11">
                  <c:v>4161628.4939780356</c:v>
                </c:pt>
              </c:numCache>
            </c:numRef>
          </c:val>
          <c:smooth val="0"/>
          <c:extLst>
            <c:ext xmlns:c16="http://schemas.microsoft.com/office/drawing/2014/chart" uri="{C3380CC4-5D6E-409C-BE32-E72D297353CC}">
              <c16:uniqueId val="{00000000-B643-4FBE-B19F-70C8C5042CF0}"/>
            </c:ext>
          </c:extLst>
        </c:ser>
        <c:ser>
          <c:idx val="1"/>
          <c:order val="1"/>
          <c:tx>
            <c:strRef>
              <c:f>'DISR VAT Summary'!$T$28</c:f>
              <c:strCache>
                <c:ptCount val="1"/>
                <c:pt idx="0">
                  <c:v> DVF+ </c:v>
                </c:pt>
              </c:strCache>
            </c:strRef>
          </c:tx>
          <c:spPr>
            <a:ln w="28575" cap="rnd">
              <a:solidFill>
                <a:schemeClr val="tx2">
                  <a:lumMod val="50000"/>
                  <a:lumOff val="50000"/>
                </a:schemeClr>
              </a:solidFill>
              <a:round/>
            </a:ln>
            <a:effectLst/>
          </c:spPr>
          <c:marker>
            <c:symbol val="none"/>
          </c:marker>
          <c:cat>
            <c:strRef>
              <c:f>'DISR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'DISR VAT Summary'!$U$28:$AF$28</c:f>
              <c:numCache>
                <c:formatCode>_-"$"* #,##0_-;\-"$"* #,##0_-;_-"$"* "-"??_-;_-@_-</c:formatCode>
                <c:ptCount val="12"/>
                <c:pt idx="0">
                  <c:v>15197.5</c:v>
                </c:pt>
                <c:pt idx="1">
                  <c:v>46147.5</c:v>
                </c:pt>
                <c:pt idx="2">
                  <c:v>127258</c:v>
                </c:pt>
                <c:pt idx="3">
                  <c:v>391075.4375</c:v>
                </c:pt>
                <c:pt idx="4">
                  <c:v>761087.21249999991</c:v>
                </c:pt>
                <c:pt idx="5">
                  <c:v>1141311.8624999998</c:v>
                </c:pt>
                <c:pt idx="6">
                  <c:v>1625780.8324999998</c:v>
                </c:pt>
                <c:pt idx="7">
                  <c:v>2240118.7497805026</c:v>
                </c:pt>
                <c:pt idx="8">
                  <c:v>2908895.920324374</c:v>
                </c:pt>
                <c:pt idx="9">
                  <c:v>3297548.0694474131</c:v>
                </c:pt>
                <c:pt idx="10">
                  <c:v>3698134.3452290935</c:v>
                </c:pt>
                <c:pt idx="11">
                  <c:v>4161628.4939780356</c:v>
                </c:pt>
              </c:numCache>
            </c:numRef>
          </c:val>
          <c:smooth val="0"/>
          <c:extLst>
            <c:ext xmlns:c16="http://schemas.microsoft.com/office/drawing/2014/chart" uri="{C3380CC4-5D6E-409C-BE32-E72D297353CC}">
              <c16:uniqueId val="{00000001-B643-4FBE-B19F-70C8C5042CF0}"/>
            </c:ext>
          </c:extLst>
        </c:ser>
        <c:ser>
          <c:idx val="2"/>
          <c:order val="2"/>
          <c:tx>
            <c:strRef>
              <c:f>'DISR VAT Summary'!$T$29</c:f>
              <c:strCache>
                <c:ptCount val="1"/>
                <c:pt idx="0">
                  <c:v> DF+ </c:v>
                </c:pt>
              </c:strCache>
            </c:strRef>
          </c:tx>
          <c:spPr>
            <a:ln w="28575" cap="rnd">
              <a:solidFill>
                <a:schemeClr val="accent5"/>
              </a:solidFill>
              <a:round/>
            </a:ln>
            <a:effectLst/>
          </c:spPr>
          <c:marker>
            <c:symbol val="none"/>
          </c:marker>
          <c:cat>
            <c:strRef>
              <c:f>'DISR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'DISR VAT Summary'!$U$29:$AF$29</c:f>
              <c:numCache>
                <c:formatCode>_-"$"* #,##0_-;\-"$"* #,##0_-;_-"$"* "-"??_-;_-@_-</c:formatCode>
                <c:ptCount val="12"/>
                <c:pt idx="0">
                  <c:v>15197.5</c:v>
                </c:pt>
                <c:pt idx="1">
                  <c:v>46147.5</c:v>
                </c:pt>
                <c:pt idx="2">
                  <c:v>127258</c:v>
                </c:pt>
                <c:pt idx="3">
                  <c:v>391075.4375</c:v>
                </c:pt>
                <c:pt idx="4">
                  <c:v>761087.21249999991</c:v>
                </c:pt>
                <c:pt idx="5">
                  <c:v>1141311.8624999998</c:v>
                </c:pt>
                <c:pt idx="6">
                  <c:v>1625780.8324999998</c:v>
                </c:pt>
                <c:pt idx="7">
                  <c:v>2240118.7497805026</c:v>
                </c:pt>
                <c:pt idx="8">
                  <c:v>2908895.920324374</c:v>
                </c:pt>
                <c:pt idx="9">
                  <c:v>3297548.0694474131</c:v>
                </c:pt>
                <c:pt idx="10">
                  <c:v>3698134.3452290935</c:v>
                </c:pt>
                <c:pt idx="11">
                  <c:v>4161628.4939780356</c:v>
                </c:pt>
              </c:numCache>
            </c:numRef>
          </c:val>
          <c:smooth val="0"/>
          <c:extLst>
            <c:ext xmlns:c16="http://schemas.microsoft.com/office/drawing/2014/chart" uri="{C3380CC4-5D6E-409C-BE32-E72D297353CC}">
              <c16:uniqueId val="{00000002-B643-4FBE-B19F-70C8C5042CF0}"/>
            </c:ext>
          </c:extLst>
        </c:ser>
        <c:ser>
          <c:idx val="3"/>
          <c:order val="3"/>
          <c:tx>
            <c:strRef>
              <c:f>'DISR VAT Summary'!$T$30</c:f>
              <c:strCache>
                <c:ptCount val="1"/>
                <c:pt idx="0">
                  <c:v> Q+ </c:v>
                </c:pt>
              </c:strCache>
            </c:strRef>
          </c:tx>
          <c:spPr>
            <a:ln w="28575" cap="rnd">
              <a:solidFill>
                <a:schemeClr val="accent2"/>
              </a:solidFill>
              <a:round/>
            </a:ln>
            <a:effectLst/>
          </c:spPr>
          <c:marker>
            <c:symbol val="none"/>
          </c:marker>
          <c:cat>
            <c:strRef>
              <c:f>'DISR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'DISR VAT Summary'!$U$30:$AF$30</c:f>
              <c:numCache>
                <c:formatCode>_-"$"* #,##0_-;\-"$"* #,##0_-;_-"$"* "-"??_-;_-@_-</c:formatCode>
                <c:ptCount val="12"/>
                <c:pt idx="0">
                  <c:v>15197.5</c:v>
                </c:pt>
                <c:pt idx="1">
                  <c:v>46147.5</c:v>
                </c:pt>
                <c:pt idx="2">
                  <c:v>127258</c:v>
                </c:pt>
                <c:pt idx="3">
                  <c:v>391075.4375</c:v>
                </c:pt>
                <c:pt idx="4">
                  <c:v>761087.21249999991</c:v>
                </c:pt>
                <c:pt idx="5">
                  <c:v>1141311.8624999998</c:v>
                </c:pt>
                <c:pt idx="6">
                  <c:v>1625780.8324999998</c:v>
                </c:pt>
                <c:pt idx="7">
                  <c:v>2240118.7497805026</c:v>
                </c:pt>
                <c:pt idx="8">
                  <c:v>2908895.920324374</c:v>
                </c:pt>
                <c:pt idx="9">
                  <c:v>3297548.0694474131</c:v>
                </c:pt>
                <c:pt idx="10">
                  <c:v>3698134.3452290935</c:v>
                </c:pt>
                <c:pt idx="11">
                  <c:v>4161628.4939780356</c:v>
                </c:pt>
              </c:numCache>
            </c:numRef>
          </c:val>
          <c:smooth val="0"/>
          <c:extLst>
            <c:ext xmlns:c16="http://schemas.microsoft.com/office/drawing/2014/chart" uri="{C3380CC4-5D6E-409C-BE32-E72D297353CC}">
              <c16:uniqueId val="{00000003-B643-4FBE-B19F-70C8C5042CF0}"/>
            </c:ext>
          </c:extLst>
        </c:ser>
        <c:ser>
          <c:idx val="7"/>
          <c:order val="5"/>
          <c:tx>
            <c:strRef>
              <c:f>'DISR VAT Summary'!$T$34</c:f>
              <c:strCache>
                <c:ptCount val="1"/>
                <c:pt idx="0">
                  <c:v> OK </c:v>
                </c:pt>
              </c:strCache>
            </c:strRef>
          </c:tx>
          <c:spPr>
            <a:ln w="28575" cap="rnd">
              <a:solidFill>
                <a:schemeClr val="accent2"/>
              </a:solidFill>
              <a:prstDash val="sysDot"/>
              <a:round/>
            </a:ln>
            <a:effectLst/>
          </c:spPr>
          <c:marker>
            <c:symbol val="none"/>
          </c:marker>
          <c:cat>
            <c:strRef>
              <c:f>'DISR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'DISR VAT Summary'!$U$34:$AF$34</c:f>
              <c:numCache>
                <c:formatCode>_-"$"* #,##0_-;\-"$"* #,##0_-;_-"$"* "-"??_-;_-@_-</c:formatCode>
                <c:ptCount val="12"/>
                <c:pt idx="0">
                  <c:v>15000</c:v>
                </c:pt>
                <c:pt idx="1">
                  <c:v>45000</c:v>
                </c:pt>
                <c:pt idx="2">
                  <c:v>125000</c:v>
                </c:pt>
                <c:pt idx="3">
                  <c:v>366666.66666666663</c:v>
                </c:pt>
                <c:pt idx="4">
                  <c:v>608333.33333333326</c:v>
                </c:pt>
                <c:pt idx="5">
                  <c:v>849999.99999999988</c:v>
                </c:pt>
                <c:pt idx="6">
                  <c:v>1091666.6666666665</c:v>
                </c:pt>
                <c:pt idx="7">
                  <c:v>1333333.3333333333</c:v>
                </c:pt>
                <c:pt idx="8">
                  <c:v>1575000</c:v>
                </c:pt>
                <c:pt idx="9">
                  <c:v>1816666.6666666667</c:v>
                </c:pt>
                <c:pt idx="10">
                  <c:v>2058333.3333333335</c:v>
                </c:pt>
                <c:pt idx="11">
                  <c:v>2300000</c:v>
                </c:pt>
              </c:numCache>
            </c:numRef>
          </c:val>
          <c:smooth val="0"/>
          <c:extLst>
            <c:ext xmlns:c16="http://schemas.microsoft.com/office/drawing/2014/chart" uri="{C3380CC4-5D6E-409C-BE32-E72D297353CC}">
              <c16:uniqueId val="{00000005-B643-4FBE-B19F-70C8C5042CF0}"/>
            </c:ext>
          </c:extLst>
        </c:ser>
        <c:ser>
          <c:idx val="6"/>
          <c:order val="6"/>
          <c:tx>
            <c:strRef>
              <c:f>'DISR VAT Summary'!$T$33</c:f>
              <c:strCache>
                <c:ptCount val="1"/>
                <c:pt idx="0">
                  <c:v> GOOD </c:v>
                </c:pt>
              </c:strCache>
            </c:strRef>
          </c:tx>
          <c:spPr>
            <a:ln w="28575" cap="rnd">
              <a:solidFill>
                <a:schemeClr val="accent6"/>
              </a:solidFill>
              <a:prstDash val="sysDot"/>
              <a:round/>
            </a:ln>
            <a:effectLst/>
          </c:spPr>
          <c:marker>
            <c:symbol val="none"/>
          </c:marker>
          <c:cat>
            <c:strRef>
              <c:f>'DISR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'DISR VAT Summary'!$U$33:$AF$33</c:f>
              <c:numCache>
                <c:formatCode>_-"$"* #,##0_-;\-"$"* #,##0_-;_-"$"* "-"??_-;_-@_-</c:formatCode>
                <c:ptCount val="12"/>
                <c:pt idx="0">
                  <c:v>15000</c:v>
                </c:pt>
                <c:pt idx="1">
                  <c:v>45000</c:v>
                </c:pt>
                <c:pt idx="2">
                  <c:v>125000</c:v>
                </c:pt>
                <c:pt idx="3">
                  <c:v>555555.5555555555</c:v>
                </c:pt>
                <c:pt idx="4">
                  <c:v>986111.11111111101</c:v>
                </c:pt>
                <c:pt idx="5">
                  <c:v>1416666.6666666665</c:v>
                </c:pt>
                <c:pt idx="6">
                  <c:v>1847222.222222222</c:v>
                </c:pt>
                <c:pt idx="7">
                  <c:v>2277777.7777777775</c:v>
                </c:pt>
                <c:pt idx="8">
                  <c:v>2708333.333333333</c:v>
                </c:pt>
                <c:pt idx="9">
                  <c:v>3138888.8888888885</c:v>
                </c:pt>
                <c:pt idx="10">
                  <c:v>3569444.444444444</c:v>
                </c:pt>
                <c:pt idx="11">
                  <c:v>3999999.9999999995</c:v>
                </c:pt>
              </c:numCache>
            </c:numRef>
          </c:val>
          <c:smooth val="0"/>
          <c:extLst>
            <c:ext xmlns:c16="http://schemas.microsoft.com/office/drawing/2014/chart" uri="{C3380CC4-5D6E-409C-BE32-E72D297353CC}">
              <c16:uniqueId val="{00000006-B643-4FBE-B19F-70C8C5042CF0}"/>
            </c:ext>
          </c:extLst>
        </c:ser>
        <c:ser>
          <c:idx val="5"/>
          <c:order val="7"/>
          <c:tx>
            <c:strRef>
              <c:f>'DISR VAT Summary'!$T$32</c:f>
              <c:strCache>
                <c:ptCount val="1"/>
                <c:pt idx="0">
                  <c:v> GREAT </c:v>
                </c:pt>
              </c:strCache>
            </c:strRef>
          </c:tx>
          <c:spPr>
            <a:ln w="28575" cap="rnd">
              <a:solidFill>
                <a:schemeClr val="accent3">
                  <a:lumMod val="60000"/>
                  <a:lumOff val="40000"/>
                </a:schemeClr>
              </a:solidFill>
              <a:prstDash val="sysDot"/>
              <a:round/>
            </a:ln>
            <a:effectLst/>
          </c:spPr>
          <c:marker>
            <c:symbol val="none"/>
          </c:marker>
          <c:cat>
            <c:strRef>
              <c:f>'DISR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'DISR VAT Summary'!$U$32:$AF$32</c:f>
              <c:numCache>
                <c:formatCode>_-"$"* #,##0_-;\-"$"* #,##0_-;_-"$"* "-"??_-;_-@_-</c:formatCode>
                <c:ptCount val="12"/>
                <c:pt idx="0">
                  <c:v>15000</c:v>
                </c:pt>
                <c:pt idx="1">
                  <c:v>45000</c:v>
                </c:pt>
                <c:pt idx="2">
                  <c:v>125000</c:v>
                </c:pt>
                <c:pt idx="3">
                  <c:v>666666.66666666663</c:v>
                </c:pt>
                <c:pt idx="4">
                  <c:v>1208333.3333333333</c:v>
                </c:pt>
                <c:pt idx="5">
                  <c:v>1750000</c:v>
                </c:pt>
                <c:pt idx="6">
                  <c:v>2291666.6666666665</c:v>
                </c:pt>
                <c:pt idx="7">
                  <c:v>2833333.333333333</c:v>
                </c:pt>
                <c:pt idx="8">
                  <c:v>3374999.9999999995</c:v>
                </c:pt>
                <c:pt idx="9">
                  <c:v>3916666.666666666</c:v>
                </c:pt>
                <c:pt idx="10">
                  <c:v>4458333.333333333</c:v>
                </c:pt>
                <c:pt idx="11">
                  <c:v>5000000</c:v>
                </c:pt>
              </c:numCache>
            </c:numRef>
          </c:val>
          <c:smooth val="0"/>
          <c:extLst>
            <c:ext xmlns:c16="http://schemas.microsoft.com/office/drawing/2014/chart" uri="{C3380CC4-5D6E-409C-BE32-E72D297353CC}">
              <c16:uniqueId val="{00000007-B643-4FBE-B19F-70C8C5042CF0}"/>
            </c:ext>
          </c:extLst>
        </c:ser>
        <c:dLbls>
          <c:showLegendKey val="0"/>
          <c:showVal val="0"/>
          <c:showCatName val="0"/>
          <c:showSerName val="0"/>
          <c:showPercent val="0"/>
          <c:showBubbleSize val="0"/>
        </c:dLbls>
        <c:smooth val="0"/>
        <c:axId val="1098771455"/>
        <c:axId val="1098761375"/>
        <c:extLst>
          <c:ext xmlns:c15="http://schemas.microsoft.com/office/drawing/2012/chart" uri="{02D57815-91ED-43cb-92C2-25804820EDAC}">
            <c15:filteredLineSeries>
              <c15:ser>
                <c:idx val="4"/>
                <c:order val="4"/>
                <c:tx>
                  <c:strRef>
                    <c:extLst>
                      <c:ext uri="{02D57815-91ED-43cb-92C2-25804820EDAC}">
                        <c15:formulaRef>
                          <c15:sqref>'DISR VAT Summary'!$T$31</c15:sqref>
                        </c15:formulaRef>
                      </c:ext>
                    </c:extLst>
                    <c:strCache>
                      <c:ptCount val="1"/>
                      <c:pt idx="0">
                        <c:v> VAT Lead </c:v>
                      </c:pt>
                    </c:strCache>
                  </c:strRef>
                </c:tx>
                <c:spPr>
                  <a:ln w="28575" cap="rnd">
                    <a:solidFill>
                      <a:srgbClr val="FF0000"/>
                    </a:solidFill>
                    <a:round/>
                  </a:ln>
                  <a:effectLst/>
                </c:spPr>
                <c:marker>
                  <c:symbol val="none"/>
                </c:marker>
                <c:cat>
                  <c:strRef>
                    <c:extLst>
                      <c:ext uri="{02D57815-91ED-43cb-92C2-25804820EDAC}">
                        <c15:formulaRef>
                          <c15:sqref>'DISR VAT Summary'!$U$26:$AF$26</c15:sqref>
                        </c15:formulaRef>
                      </c:ext>
                    </c:extLst>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extLst>
                      <c:ext uri="{02D57815-91ED-43cb-92C2-25804820EDAC}">
                        <c15:formulaRef>
                          <c15:sqref>'DISR VAT Summary'!$U$31:$AF$31</c15:sqref>
                        </c15:formulaRef>
                      </c:ext>
                    </c:extLst>
                    <c:numCache>
                      <c:formatCode>_-"$"* #,##0_-;\-"$"* #,##0_-;_-"$"*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B643-4FBE-B19F-70C8C5042CF0}"/>
                  </c:ext>
                </c:extLst>
              </c15:ser>
            </c15:filteredLineSeries>
          </c:ext>
        </c:extLst>
      </c:lineChart>
      <c:catAx>
        <c:axId val="109877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761375"/>
        <c:crosses val="autoZero"/>
        <c:auto val="1"/>
        <c:lblAlgn val="ctr"/>
        <c:lblOffset val="100"/>
        <c:noMultiLvlLbl val="0"/>
      </c:catAx>
      <c:valAx>
        <c:axId val="109876137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771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DISR Projected Gross Margin Contribution FY25/26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'DISR VAT Summary'!$T$5</c:f>
              <c:strCache>
                <c:ptCount val="1"/>
                <c:pt idx="0">
                  <c:v> C/S </c:v>
                </c:pt>
              </c:strCache>
            </c:strRef>
          </c:tx>
          <c:spPr>
            <a:ln w="28575" cap="rnd">
              <a:solidFill>
                <a:schemeClr val="tx1"/>
              </a:solidFill>
              <a:round/>
            </a:ln>
            <a:effectLst/>
          </c:spPr>
          <c:marker>
            <c:symbol val="none"/>
          </c:marker>
          <c:cat>
            <c:strRef>
              <c:f>'DISR VAT Summary'!$U$4:$AF$4</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'DISR VAT Summary'!$U$5:$AF$5</c:f>
              <c:numCache>
                <c:formatCode>_-"$"* #,##0_-;\-"$"* #,##0_-;_-"$"* "-"??_-;_-@_-</c:formatCode>
                <c:ptCount val="12"/>
                <c:pt idx="0">
                  <c:v>7094.5</c:v>
                </c:pt>
                <c:pt idx="1">
                  <c:v>21866.5</c:v>
                </c:pt>
                <c:pt idx="2">
                  <c:v>61240.460000000006</c:v>
                </c:pt>
                <c:pt idx="3">
                  <c:v>156669.33749999991</c:v>
                </c:pt>
                <c:pt idx="4">
                  <c:v>247264.23250000007</c:v>
                </c:pt>
                <c:pt idx="5">
                  <c:v>342410.24250000005</c:v>
                </c:pt>
                <c:pt idx="6">
                  <c:v>456107.53250000032</c:v>
                </c:pt>
                <c:pt idx="7">
                  <c:v>605119.2744055033</c:v>
                </c:pt>
                <c:pt idx="8">
                  <c:v>750077.49737437442</c:v>
                </c:pt>
                <c:pt idx="9">
                  <c:v>827347.48404741357</c:v>
                </c:pt>
                <c:pt idx="10">
                  <c:v>916424.37932909408</c:v>
                </c:pt>
                <c:pt idx="11">
                  <c:v>1019510.1405030361</c:v>
                </c:pt>
              </c:numCache>
            </c:numRef>
          </c:val>
          <c:smooth val="0"/>
          <c:extLst>
            <c:ext xmlns:c16="http://schemas.microsoft.com/office/drawing/2014/chart" uri="{C3380CC4-5D6E-409C-BE32-E72D297353CC}">
              <c16:uniqueId val="{00000000-1182-4B12-94EE-765E25FC94FF}"/>
            </c:ext>
          </c:extLst>
        </c:ser>
        <c:ser>
          <c:idx val="1"/>
          <c:order val="1"/>
          <c:tx>
            <c:strRef>
              <c:f>'DISR VAT Summary'!$T$6</c:f>
              <c:strCache>
                <c:ptCount val="1"/>
                <c:pt idx="0">
                  <c:v> DVF+ </c:v>
                </c:pt>
              </c:strCache>
            </c:strRef>
          </c:tx>
          <c:spPr>
            <a:ln w="28575" cap="rnd">
              <a:solidFill>
                <a:schemeClr val="accent4"/>
              </a:solidFill>
              <a:round/>
            </a:ln>
            <a:effectLst/>
          </c:spPr>
          <c:marker>
            <c:symbol val="none"/>
          </c:marker>
          <c:cat>
            <c:strRef>
              <c:f>'DISR VAT Summary'!$U$4:$AF$4</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'DISR VAT Summary'!$U$6:$AF$6</c:f>
              <c:numCache>
                <c:formatCode>_-"$"* #,##0_-;\-"$"* #,##0_-;_-"$"* "-"??_-;_-@_-</c:formatCode>
                <c:ptCount val="12"/>
                <c:pt idx="0">
                  <c:v>7094.5</c:v>
                </c:pt>
                <c:pt idx="1">
                  <c:v>21866.5</c:v>
                </c:pt>
                <c:pt idx="2">
                  <c:v>61240.460000000006</c:v>
                </c:pt>
                <c:pt idx="3">
                  <c:v>156669.33749999991</c:v>
                </c:pt>
                <c:pt idx="4">
                  <c:v>247264.23250000007</c:v>
                </c:pt>
                <c:pt idx="5">
                  <c:v>342410.24250000005</c:v>
                </c:pt>
                <c:pt idx="6">
                  <c:v>456107.53250000032</c:v>
                </c:pt>
                <c:pt idx="7">
                  <c:v>605119.2744055033</c:v>
                </c:pt>
                <c:pt idx="8">
                  <c:v>750077.49737437442</c:v>
                </c:pt>
                <c:pt idx="9">
                  <c:v>827347.48404741357</c:v>
                </c:pt>
                <c:pt idx="10">
                  <c:v>916424.37932909408</c:v>
                </c:pt>
                <c:pt idx="11">
                  <c:v>1019510.1405030361</c:v>
                </c:pt>
              </c:numCache>
            </c:numRef>
          </c:val>
          <c:smooth val="0"/>
          <c:extLst>
            <c:ext xmlns:c16="http://schemas.microsoft.com/office/drawing/2014/chart" uri="{C3380CC4-5D6E-409C-BE32-E72D297353CC}">
              <c16:uniqueId val="{00000001-1182-4B12-94EE-765E25FC94FF}"/>
            </c:ext>
          </c:extLst>
        </c:ser>
        <c:ser>
          <c:idx val="2"/>
          <c:order val="2"/>
          <c:tx>
            <c:strRef>
              <c:f>'DISR VAT Summary'!$T$7</c:f>
              <c:strCache>
                <c:ptCount val="1"/>
                <c:pt idx="0">
                  <c:v> DF+ </c:v>
                </c:pt>
              </c:strCache>
            </c:strRef>
          </c:tx>
          <c:spPr>
            <a:ln w="28575" cap="rnd">
              <a:solidFill>
                <a:schemeClr val="accent5"/>
              </a:solidFill>
              <a:round/>
            </a:ln>
            <a:effectLst/>
          </c:spPr>
          <c:marker>
            <c:symbol val="none"/>
          </c:marker>
          <c:cat>
            <c:strRef>
              <c:f>'DISR VAT Summary'!$U$4:$AF$4</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'DISR VAT Summary'!$U$7:$AF$7</c:f>
              <c:numCache>
                <c:formatCode>_-"$"* #,##0_-;\-"$"* #,##0_-;_-"$"* "-"??_-;_-@_-</c:formatCode>
                <c:ptCount val="12"/>
                <c:pt idx="0">
                  <c:v>7094.5</c:v>
                </c:pt>
                <c:pt idx="1">
                  <c:v>21866.5</c:v>
                </c:pt>
                <c:pt idx="2">
                  <c:v>61240.460000000006</c:v>
                </c:pt>
                <c:pt idx="3">
                  <c:v>156669.33749999991</c:v>
                </c:pt>
                <c:pt idx="4">
                  <c:v>247264.23250000007</c:v>
                </c:pt>
                <c:pt idx="5">
                  <c:v>342410.24250000005</c:v>
                </c:pt>
                <c:pt idx="6">
                  <c:v>456107.53250000032</c:v>
                </c:pt>
                <c:pt idx="7">
                  <c:v>605119.2744055033</c:v>
                </c:pt>
                <c:pt idx="8">
                  <c:v>750077.49737437442</c:v>
                </c:pt>
                <c:pt idx="9">
                  <c:v>827347.48404741357</c:v>
                </c:pt>
                <c:pt idx="10">
                  <c:v>916424.37932909408</c:v>
                </c:pt>
                <c:pt idx="11">
                  <c:v>1019510.1405030361</c:v>
                </c:pt>
              </c:numCache>
            </c:numRef>
          </c:val>
          <c:smooth val="0"/>
          <c:extLst>
            <c:ext xmlns:c16="http://schemas.microsoft.com/office/drawing/2014/chart" uri="{C3380CC4-5D6E-409C-BE32-E72D297353CC}">
              <c16:uniqueId val="{00000002-1182-4B12-94EE-765E25FC94FF}"/>
            </c:ext>
          </c:extLst>
        </c:ser>
        <c:ser>
          <c:idx val="3"/>
          <c:order val="3"/>
          <c:tx>
            <c:strRef>
              <c:f>'DISR VAT Summary'!$T$8</c:f>
              <c:strCache>
                <c:ptCount val="1"/>
                <c:pt idx="0">
                  <c:v> Q+ </c:v>
                </c:pt>
              </c:strCache>
            </c:strRef>
          </c:tx>
          <c:spPr>
            <a:ln w="28575" cap="rnd">
              <a:solidFill>
                <a:schemeClr val="accent2"/>
              </a:solidFill>
              <a:round/>
            </a:ln>
            <a:effectLst/>
          </c:spPr>
          <c:marker>
            <c:symbol val="none"/>
          </c:marker>
          <c:cat>
            <c:strRef>
              <c:f>'DISR VAT Summary'!$U$4:$AF$4</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'DISR VAT Summary'!$U$8:$AF$8</c:f>
              <c:numCache>
                <c:formatCode>_-"$"* #,##0_-;\-"$"* #,##0_-;_-"$"* "-"??_-;_-@_-</c:formatCode>
                <c:ptCount val="12"/>
                <c:pt idx="0">
                  <c:v>7094.5</c:v>
                </c:pt>
                <c:pt idx="1">
                  <c:v>21866.5</c:v>
                </c:pt>
                <c:pt idx="2">
                  <c:v>61240.460000000006</c:v>
                </c:pt>
                <c:pt idx="3">
                  <c:v>156669.33749999991</c:v>
                </c:pt>
                <c:pt idx="4">
                  <c:v>247264.23250000007</c:v>
                </c:pt>
                <c:pt idx="5">
                  <c:v>342410.24250000005</c:v>
                </c:pt>
                <c:pt idx="6">
                  <c:v>456107.53250000032</c:v>
                </c:pt>
                <c:pt idx="7">
                  <c:v>605119.2744055033</c:v>
                </c:pt>
                <c:pt idx="8">
                  <c:v>750077.49737437442</c:v>
                </c:pt>
                <c:pt idx="9">
                  <c:v>827347.48404741357</c:v>
                </c:pt>
                <c:pt idx="10">
                  <c:v>916424.37932909408</c:v>
                </c:pt>
                <c:pt idx="11">
                  <c:v>1019510.1405030361</c:v>
                </c:pt>
              </c:numCache>
            </c:numRef>
          </c:val>
          <c:smooth val="0"/>
          <c:extLst>
            <c:ext xmlns:c16="http://schemas.microsoft.com/office/drawing/2014/chart" uri="{C3380CC4-5D6E-409C-BE32-E72D297353CC}">
              <c16:uniqueId val="{00000003-1182-4B12-94EE-765E25FC94FF}"/>
            </c:ext>
          </c:extLst>
        </c:ser>
        <c:ser>
          <c:idx val="7"/>
          <c:order val="5"/>
          <c:tx>
            <c:strRef>
              <c:f>'DISR VAT Summary'!$T$12</c:f>
              <c:strCache>
                <c:ptCount val="1"/>
                <c:pt idx="0">
                  <c:v> OK </c:v>
                </c:pt>
              </c:strCache>
            </c:strRef>
          </c:tx>
          <c:spPr>
            <a:ln w="28575" cap="rnd">
              <a:solidFill>
                <a:schemeClr val="accent2"/>
              </a:solidFill>
              <a:prstDash val="sysDot"/>
              <a:round/>
            </a:ln>
            <a:effectLst/>
          </c:spPr>
          <c:marker>
            <c:symbol val="none"/>
          </c:marker>
          <c:cat>
            <c:strRef>
              <c:f>'DISR VAT Summary'!$U$4:$AF$4</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'DISR VAT Summary'!$U$12:$AF$12</c:f>
              <c:numCache>
                <c:formatCode>_-"$"* #,##0_-;\-"$"* #,##0_-;_-"$"* "-"??_-;_-@_-</c:formatCode>
                <c:ptCount val="12"/>
                <c:pt idx="0">
                  <c:v>4500</c:v>
                </c:pt>
                <c:pt idx="1">
                  <c:v>13500</c:v>
                </c:pt>
                <c:pt idx="2">
                  <c:v>37500</c:v>
                </c:pt>
                <c:pt idx="3">
                  <c:v>110000</c:v>
                </c:pt>
                <c:pt idx="4">
                  <c:v>182500</c:v>
                </c:pt>
                <c:pt idx="5">
                  <c:v>255000</c:v>
                </c:pt>
                <c:pt idx="6">
                  <c:v>327500</c:v>
                </c:pt>
                <c:pt idx="7">
                  <c:v>400000</c:v>
                </c:pt>
                <c:pt idx="8">
                  <c:v>472500</c:v>
                </c:pt>
                <c:pt idx="9">
                  <c:v>545000</c:v>
                </c:pt>
                <c:pt idx="10">
                  <c:v>617500</c:v>
                </c:pt>
                <c:pt idx="11">
                  <c:v>690000</c:v>
                </c:pt>
              </c:numCache>
            </c:numRef>
          </c:val>
          <c:smooth val="0"/>
          <c:extLst>
            <c:ext xmlns:c16="http://schemas.microsoft.com/office/drawing/2014/chart" uri="{C3380CC4-5D6E-409C-BE32-E72D297353CC}">
              <c16:uniqueId val="{00000005-1182-4B12-94EE-765E25FC94FF}"/>
            </c:ext>
          </c:extLst>
        </c:ser>
        <c:ser>
          <c:idx val="6"/>
          <c:order val="6"/>
          <c:tx>
            <c:strRef>
              <c:f>'DISR VAT Summary'!$T$11</c:f>
              <c:strCache>
                <c:ptCount val="1"/>
                <c:pt idx="0">
                  <c:v> GOOD </c:v>
                </c:pt>
              </c:strCache>
            </c:strRef>
          </c:tx>
          <c:spPr>
            <a:ln w="28575" cap="rnd">
              <a:solidFill>
                <a:schemeClr val="accent6"/>
              </a:solidFill>
              <a:prstDash val="sysDot"/>
              <a:round/>
            </a:ln>
            <a:effectLst/>
          </c:spPr>
          <c:marker>
            <c:symbol val="none"/>
          </c:marker>
          <c:cat>
            <c:strRef>
              <c:f>'DISR VAT Summary'!$U$4:$AF$4</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'DISR VAT Summary'!$U$11:$AF$11</c:f>
              <c:numCache>
                <c:formatCode>_-"$"* #,##0_-;\-"$"* #,##0_-;_-"$"* "-"??_-;_-@_-</c:formatCode>
                <c:ptCount val="12"/>
                <c:pt idx="0">
                  <c:v>4500</c:v>
                </c:pt>
                <c:pt idx="1">
                  <c:v>13500</c:v>
                </c:pt>
                <c:pt idx="2">
                  <c:v>37500</c:v>
                </c:pt>
                <c:pt idx="3">
                  <c:v>166666.66666666666</c:v>
                </c:pt>
                <c:pt idx="4">
                  <c:v>295833.33333333331</c:v>
                </c:pt>
                <c:pt idx="5">
                  <c:v>425000</c:v>
                </c:pt>
                <c:pt idx="6">
                  <c:v>554166.66666666663</c:v>
                </c:pt>
                <c:pt idx="7">
                  <c:v>683333.33333333326</c:v>
                </c:pt>
                <c:pt idx="8">
                  <c:v>812499.99999999988</c:v>
                </c:pt>
                <c:pt idx="9">
                  <c:v>941666.66666666651</c:v>
                </c:pt>
                <c:pt idx="10">
                  <c:v>1070833.3333333333</c:v>
                </c:pt>
                <c:pt idx="11">
                  <c:v>1200000</c:v>
                </c:pt>
              </c:numCache>
            </c:numRef>
          </c:val>
          <c:smooth val="0"/>
          <c:extLst>
            <c:ext xmlns:c16="http://schemas.microsoft.com/office/drawing/2014/chart" uri="{C3380CC4-5D6E-409C-BE32-E72D297353CC}">
              <c16:uniqueId val="{00000006-1182-4B12-94EE-765E25FC94FF}"/>
            </c:ext>
          </c:extLst>
        </c:ser>
        <c:ser>
          <c:idx val="5"/>
          <c:order val="7"/>
          <c:tx>
            <c:strRef>
              <c:f>'DISR VAT Summary'!$T$10</c:f>
              <c:strCache>
                <c:ptCount val="1"/>
                <c:pt idx="0">
                  <c:v> GREAT </c:v>
                </c:pt>
              </c:strCache>
            </c:strRef>
          </c:tx>
          <c:spPr>
            <a:ln w="28575" cap="rnd">
              <a:solidFill>
                <a:schemeClr val="accent3">
                  <a:lumMod val="60000"/>
                  <a:lumOff val="40000"/>
                </a:schemeClr>
              </a:solidFill>
              <a:prstDash val="sysDot"/>
              <a:round/>
            </a:ln>
            <a:effectLst/>
          </c:spPr>
          <c:marker>
            <c:symbol val="none"/>
          </c:marker>
          <c:cat>
            <c:strRef>
              <c:f>'DISR VAT Summary'!$U$4:$AF$4</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'DISR VAT Summary'!$U$10:$AF$10</c:f>
              <c:numCache>
                <c:formatCode>_-"$"* #,##0_-;\-"$"* #,##0_-;_-"$"* "-"??_-;_-@_-</c:formatCode>
                <c:ptCount val="12"/>
                <c:pt idx="0">
                  <c:v>4500</c:v>
                </c:pt>
                <c:pt idx="1">
                  <c:v>13500</c:v>
                </c:pt>
                <c:pt idx="2">
                  <c:v>37500</c:v>
                </c:pt>
                <c:pt idx="3">
                  <c:v>199999.99999999997</c:v>
                </c:pt>
                <c:pt idx="4">
                  <c:v>362499.99999999994</c:v>
                </c:pt>
                <c:pt idx="5">
                  <c:v>524999.99999999988</c:v>
                </c:pt>
                <c:pt idx="6">
                  <c:v>687499.99999999988</c:v>
                </c:pt>
                <c:pt idx="7">
                  <c:v>849999.99999999988</c:v>
                </c:pt>
                <c:pt idx="8">
                  <c:v>1012499.9999999999</c:v>
                </c:pt>
                <c:pt idx="9">
                  <c:v>1174999.9999999998</c:v>
                </c:pt>
                <c:pt idx="10">
                  <c:v>1337499.9999999998</c:v>
                </c:pt>
                <c:pt idx="11">
                  <c:v>1499999.9999999998</c:v>
                </c:pt>
              </c:numCache>
            </c:numRef>
          </c:val>
          <c:smooth val="0"/>
          <c:extLst>
            <c:ext xmlns:c16="http://schemas.microsoft.com/office/drawing/2014/chart" uri="{C3380CC4-5D6E-409C-BE32-E72D297353CC}">
              <c16:uniqueId val="{00000007-1182-4B12-94EE-765E25FC94FF}"/>
            </c:ext>
          </c:extLst>
        </c:ser>
        <c:dLbls>
          <c:showLegendKey val="0"/>
          <c:showVal val="0"/>
          <c:showCatName val="0"/>
          <c:showSerName val="0"/>
          <c:showPercent val="0"/>
          <c:showBubbleSize val="0"/>
        </c:dLbls>
        <c:smooth val="0"/>
        <c:axId val="1297579791"/>
        <c:axId val="1297586031"/>
        <c:extLst>
          <c:ext xmlns:c15="http://schemas.microsoft.com/office/drawing/2012/chart" uri="{02D57815-91ED-43cb-92C2-25804820EDAC}">
            <c15:filteredLineSeries>
              <c15:ser>
                <c:idx val="4"/>
                <c:order val="4"/>
                <c:tx>
                  <c:strRef>
                    <c:extLst>
                      <c:ext uri="{02D57815-91ED-43cb-92C2-25804820EDAC}">
                        <c15:formulaRef>
                          <c15:sqref>'DISR VAT Summary'!$T$9</c15:sqref>
                        </c15:formulaRef>
                      </c:ext>
                    </c:extLst>
                    <c:strCache>
                      <c:ptCount val="1"/>
                      <c:pt idx="0">
                        <c:v> VAT Lead </c:v>
                      </c:pt>
                    </c:strCache>
                  </c:strRef>
                </c:tx>
                <c:spPr>
                  <a:ln w="28575" cap="rnd">
                    <a:solidFill>
                      <a:srgbClr val="FF0000"/>
                    </a:solidFill>
                    <a:round/>
                  </a:ln>
                  <a:effectLst/>
                </c:spPr>
                <c:marker>
                  <c:symbol val="none"/>
                </c:marker>
                <c:cat>
                  <c:strRef>
                    <c:extLst>
                      <c:ext uri="{02D57815-91ED-43cb-92C2-25804820EDAC}">
                        <c15:formulaRef>
                          <c15:sqref>'DISR VAT Summary'!$U$4:$AF$4</c15:sqref>
                        </c15:formulaRef>
                      </c:ext>
                    </c:extLst>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extLst>
                      <c:ext uri="{02D57815-91ED-43cb-92C2-25804820EDAC}">
                        <c15:formulaRef>
                          <c15:sqref>'DISR VAT Summary'!$U$9:$AF$9</c15:sqref>
                        </c15:formulaRef>
                      </c:ext>
                    </c:extLst>
                    <c:numCache>
                      <c:formatCode>_-"$"* #,##0_-;\-"$"* #,##0_-;_-"$"*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1182-4B12-94EE-765E25FC94FF}"/>
                  </c:ext>
                </c:extLst>
              </c15:ser>
            </c15:filteredLineSeries>
          </c:ext>
        </c:extLst>
      </c:lineChart>
      <c:catAx>
        <c:axId val="129757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586031"/>
        <c:crosses val="autoZero"/>
        <c:auto val="1"/>
        <c:lblAlgn val="ctr"/>
        <c:lblOffset val="100"/>
        <c:noMultiLvlLbl val="0"/>
      </c:catAx>
      <c:valAx>
        <c:axId val="129758603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5797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EMERGING Projected</a:t>
            </a:r>
            <a:r>
              <a:rPr lang="en-AU" baseline="0"/>
              <a:t> Revenue FY25/26</a:t>
            </a:r>
            <a:endParaRPr lang="en-AU"/>
          </a:p>
        </c:rich>
      </c:tx>
      <c:layout>
        <c:manualLayout>
          <c:xMode val="edge"/>
          <c:yMode val="edge"/>
          <c:x val="0.36079732856059199"/>
          <c:y val="3.20791679062378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lineChart>
        <c:grouping val="standard"/>
        <c:varyColors val="0"/>
        <c:ser>
          <c:idx val="0"/>
          <c:order val="0"/>
          <c:tx>
            <c:strRef>
              <c:f>'EMERGING VAT Summary'!$T$27</c:f>
              <c:strCache>
                <c:ptCount val="1"/>
                <c:pt idx="0">
                  <c:v> C/S </c:v>
                </c:pt>
              </c:strCache>
            </c:strRef>
          </c:tx>
          <c:spPr>
            <a:ln w="28575" cap="rnd">
              <a:solidFill>
                <a:schemeClr val="tx2"/>
              </a:solidFill>
              <a:round/>
            </a:ln>
            <a:effectLst/>
          </c:spPr>
          <c:marker>
            <c:symbol val="none"/>
          </c:marker>
          <c:cat>
            <c:strRef>
              <c:f>'EMERGING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'EMERGING VAT Summary'!$U$27:$AF$27</c:f>
              <c:numCache>
                <c:formatCode>_-"$"* #,##0_-;\-"$"* #,##0_-;_-"$"* "-"??_-;_-@_-</c:formatCode>
                <c:ptCount val="12"/>
                <c:pt idx="0">
                  <c:v>272049.5</c:v>
                </c:pt>
                <c:pt idx="1">
                  <c:v>558503.05000000005</c:v>
                </c:pt>
                <c:pt idx="2">
                  <c:v>592529.05000000005</c:v>
                </c:pt>
                <c:pt idx="3">
                  <c:v>672925.05</c:v>
                </c:pt>
                <c:pt idx="4">
                  <c:v>778905.05</c:v>
                </c:pt>
                <c:pt idx="5">
                  <c:v>800325.05</c:v>
                </c:pt>
                <c:pt idx="6">
                  <c:v>820317.05</c:v>
                </c:pt>
                <c:pt idx="7">
                  <c:v>841737.05</c:v>
                </c:pt>
                <c:pt idx="8">
                  <c:v>876009.05</c:v>
                </c:pt>
                <c:pt idx="9">
                  <c:v>903141.05</c:v>
                </c:pt>
                <c:pt idx="10">
                  <c:v>931701.05</c:v>
                </c:pt>
                <c:pt idx="11">
                  <c:v>960261.05</c:v>
                </c:pt>
              </c:numCache>
            </c:numRef>
          </c:val>
          <c:smooth val="0"/>
          <c:extLst>
            <c:ext xmlns:c16="http://schemas.microsoft.com/office/drawing/2014/chart" uri="{C3380CC4-5D6E-409C-BE32-E72D297353CC}">
              <c16:uniqueId val="{00000000-52A3-45DD-AA2F-6F65CA955D01}"/>
            </c:ext>
          </c:extLst>
        </c:ser>
        <c:ser>
          <c:idx val="1"/>
          <c:order val="1"/>
          <c:tx>
            <c:strRef>
              <c:f>'EMERGING VAT Summary'!$T$28</c:f>
              <c:strCache>
                <c:ptCount val="1"/>
                <c:pt idx="0">
                  <c:v> DVF+ </c:v>
                </c:pt>
              </c:strCache>
            </c:strRef>
          </c:tx>
          <c:spPr>
            <a:ln w="28575" cap="rnd">
              <a:solidFill>
                <a:schemeClr val="tx2">
                  <a:lumMod val="50000"/>
                  <a:lumOff val="50000"/>
                </a:schemeClr>
              </a:solidFill>
              <a:round/>
            </a:ln>
            <a:effectLst/>
          </c:spPr>
          <c:marker>
            <c:symbol val="none"/>
          </c:marker>
          <c:cat>
            <c:strRef>
              <c:f>'EMERGING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'EMERGING VAT Summary'!$U$28:$AF$28</c:f>
              <c:numCache>
                <c:formatCode>_-"$"* #,##0_-;\-"$"* #,##0_-;_-"$"* "-"??_-;_-@_-</c:formatCode>
                <c:ptCount val="12"/>
                <c:pt idx="0">
                  <c:v>272049.5</c:v>
                </c:pt>
                <c:pt idx="1">
                  <c:v>558503.05000000005</c:v>
                </c:pt>
                <c:pt idx="2">
                  <c:v>592529.05000000005</c:v>
                </c:pt>
                <c:pt idx="3">
                  <c:v>672925.05</c:v>
                </c:pt>
                <c:pt idx="4">
                  <c:v>778905.05</c:v>
                </c:pt>
                <c:pt idx="5">
                  <c:v>800325.05</c:v>
                </c:pt>
                <c:pt idx="6">
                  <c:v>820317.05</c:v>
                </c:pt>
                <c:pt idx="7">
                  <c:v>841737.05</c:v>
                </c:pt>
                <c:pt idx="8">
                  <c:v>876009.05</c:v>
                </c:pt>
                <c:pt idx="9">
                  <c:v>903141.05</c:v>
                </c:pt>
                <c:pt idx="10">
                  <c:v>931701.05</c:v>
                </c:pt>
                <c:pt idx="11">
                  <c:v>960261.05</c:v>
                </c:pt>
              </c:numCache>
            </c:numRef>
          </c:val>
          <c:smooth val="0"/>
          <c:extLst>
            <c:ext xmlns:c16="http://schemas.microsoft.com/office/drawing/2014/chart" uri="{C3380CC4-5D6E-409C-BE32-E72D297353CC}">
              <c16:uniqueId val="{00000001-52A3-45DD-AA2F-6F65CA955D01}"/>
            </c:ext>
          </c:extLst>
        </c:ser>
        <c:ser>
          <c:idx val="2"/>
          <c:order val="2"/>
          <c:tx>
            <c:strRef>
              <c:f>'EMERGING VAT Summary'!$T$29</c:f>
              <c:strCache>
                <c:ptCount val="1"/>
                <c:pt idx="0">
                  <c:v> DF+ </c:v>
                </c:pt>
              </c:strCache>
            </c:strRef>
          </c:tx>
          <c:spPr>
            <a:ln w="28575" cap="rnd">
              <a:solidFill>
                <a:schemeClr val="accent5"/>
              </a:solidFill>
              <a:round/>
            </a:ln>
            <a:effectLst/>
          </c:spPr>
          <c:marker>
            <c:symbol val="none"/>
          </c:marker>
          <c:cat>
            <c:strRef>
              <c:f>'EMERGING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'EMERGING VAT Summary'!$U$29:$AF$29</c:f>
              <c:numCache>
                <c:formatCode>_-"$"* #,##0_-;\-"$"* #,##0_-;_-"$"* "-"??_-;_-@_-</c:formatCode>
                <c:ptCount val="12"/>
                <c:pt idx="0">
                  <c:v>272049.5</c:v>
                </c:pt>
                <c:pt idx="1">
                  <c:v>558503.05000000005</c:v>
                </c:pt>
                <c:pt idx="2">
                  <c:v>592529.05000000005</c:v>
                </c:pt>
                <c:pt idx="3">
                  <c:v>672925.05</c:v>
                </c:pt>
                <c:pt idx="4">
                  <c:v>778905.05</c:v>
                </c:pt>
                <c:pt idx="5">
                  <c:v>800325.05</c:v>
                </c:pt>
                <c:pt idx="6">
                  <c:v>820317.05</c:v>
                </c:pt>
                <c:pt idx="7">
                  <c:v>841737.05</c:v>
                </c:pt>
                <c:pt idx="8">
                  <c:v>876009.05</c:v>
                </c:pt>
                <c:pt idx="9">
                  <c:v>903141.05</c:v>
                </c:pt>
                <c:pt idx="10">
                  <c:v>931701.05</c:v>
                </c:pt>
                <c:pt idx="11">
                  <c:v>960261.05</c:v>
                </c:pt>
              </c:numCache>
            </c:numRef>
          </c:val>
          <c:smooth val="0"/>
          <c:extLst>
            <c:ext xmlns:c16="http://schemas.microsoft.com/office/drawing/2014/chart" uri="{C3380CC4-5D6E-409C-BE32-E72D297353CC}">
              <c16:uniqueId val="{00000002-52A3-45DD-AA2F-6F65CA955D01}"/>
            </c:ext>
          </c:extLst>
        </c:ser>
        <c:ser>
          <c:idx val="3"/>
          <c:order val="3"/>
          <c:tx>
            <c:strRef>
              <c:f>'EMERGING VAT Summary'!$T$30</c:f>
              <c:strCache>
                <c:ptCount val="1"/>
                <c:pt idx="0">
                  <c:v> Q+ </c:v>
                </c:pt>
              </c:strCache>
            </c:strRef>
          </c:tx>
          <c:spPr>
            <a:ln w="28575" cap="rnd">
              <a:solidFill>
                <a:schemeClr val="accent2"/>
              </a:solidFill>
              <a:round/>
            </a:ln>
            <a:effectLst/>
          </c:spPr>
          <c:marker>
            <c:symbol val="none"/>
          </c:marker>
          <c:cat>
            <c:strRef>
              <c:f>'EMERGING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'EMERGING VAT Summary'!$U$30:$AF$30</c:f>
              <c:numCache>
                <c:formatCode>_-"$"* #,##0_-;\-"$"* #,##0_-;_-"$"* "-"??_-;_-@_-</c:formatCode>
                <c:ptCount val="12"/>
                <c:pt idx="0">
                  <c:v>272049.5</c:v>
                </c:pt>
                <c:pt idx="1">
                  <c:v>558503.05000000005</c:v>
                </c:pt>
                <c:pt idx="2">
                  <c:v>592529.05000000005</c:v>
                </c:pt>
                <c:pt idx="3">
                  <c:v>672925.05</c:v>
                </c:pt>
                <c:pt idx="4">
                  <c:v>778905.05</c:v>
                </c:pt>
                <c:pt idx="5">
                  <c:v>800325.05</c:v>
                </c:pt>
                <c:pt idx="6">
                  <c:v>820317.05</c:v>
                </c:pt>
                <c:pt idx="7">
                  <c:v>841737.05</c:v>
                </c:pt>
                <c:pt idx="8">
                  <c:v>876009.05</c:v>
                </c:pt>
                <c:pt idx="9">
                  <c:v>903141.05</c:v>
                </c:pt>
                <c:pt idx="10">
                  <c:v>931701.05</c:v>
                </c:pt>
                <c:pt idx="11">
                  <c:v>960261.05</c:v>
                </c:pt>
              </c:numCache>
            </c:numRef>
          </c:val>
          <c:smooth val="0"/>
          <c:extLst>
            <c:ext xmlns:c16="http://schemas.microsoft.com/office/drawing/2014/chart" uri="{C3380CC4-5D6E-409C-BE32-E72D297353CC}">
              <c16:uniqueId val="{00000003-52A3-45DD-AA2F-6F65CA955D01}"/>
            </c:ext>
          </c:extLst>
        </c:ser>
        <c:ser>
          <c:idx val="7"/>
          <c:order val="5"/>
          <c:tx>
            <c:strRef>
              <c:f>'EMERGING VAT Summary'!$T$34</c:f>
              <c:strCache>
                <c:ptCount val="1"/>
                <c:pt idx="0">
                  <c:v> OK </c:v>
                </c:pt>
              </c:strCache>
            </c:strRef>
          </c:tx>
          <c:spPr>
            <a:ln w="28575" cap="rnd">
              <a:solidFill>
                <a:schemeClr val="accent2"/>
              </a:solidFill>
              <a:prstDash val="sysDot"/>
              <a:round/>
            </a:ln>
            <a:effectLst/>
          </c:spPr>
          <c:marker>
            <c:symbol val="none"/>
          </c:marker>
          <c:cat>
            <c:strRef>
              <c:f>'EMERGING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'EMERGING VAT Summary'!$U$34:$AF$34</c:f>
              <c:numCache>
                <c:formatCode>_-"$"* #,##0_-;\-"$"* #,##0_-;_-"$"* "-"??_-;_-@_-</c:formatCode>
                <c:ptCount val="12"/>
                <c:pt idx="0">
                  <c:v>112500</c:v>
                </c:pt>
                <c:pt idx="1">
                  <c:v>225000</c:v>
                </c:pt>
                <c:pt idx="2">
                  <c:v>337500</c:v>
                </c:pt>
                <c:pt idx="3">
                  <c:v>450000</c:v>
                </c:pt>
                <c:pt idx="4">
                  <c:v>562500</c:v>
                </c:pt>
                <c:pt idx="5">
                  <c:v>675000</c:v>
                </c:pt>
                <c:pt idx="6">
                  <c:v>787500</c:v>
                </c:pt>
                <c:pt idx="7">
                  <c:v>900000</c:v>
                </c:pt>
                <c:pt idx="8">
                  <c:v>1012500</c:v>
                </c:pt>
                <c:pt idx="9">
                  <c:v>1125000</c:v>
                </c:pt>
                <c:pt idx="10">
                  <c:v>1237500</c:v>
                </c:pt>
                <c:pt idx="11">
                  <c:v>1350000</c:v>
                </c:pt>
              </c:numCache>
            </c:numRef>
          </c:val>
          <c:smooth val="0"/>
          <c:extLst>
            <c:ext xmlns:c16="http://schemas.microsoft.com/office/drawing/2014/chart" uri="{C3380CC4-5D6E-409C-BE32-E72D297353CC}">
              <c16:uniqueId val="{00000005-52A3-45DD-AA2F-6F65CA955D01}"/>
            </c:ext>
          </c:extLst>
        </c:ser>
        <c:ser>
          <c:idx val="6"/>
          <c:order val="6"/>
          <c:tx>
            <c:strRef>
              <c:f>'EMERGING VAT Summary'!$T$33</c:f>
              <c:strCache>
                <c:ptCount val="1"/>
                <c:pt idx="0">
                  <c:v> GOOD </c:v>
                </c:pt>
              </c:strCache>
            </c:strRef>
          </c:tx>
          <c:spPr>
            <a:ln w="28575" cap="rnd">
              <a:solidFill>
                <a:schemeClr val="accent6"/>
              </a:solidFill>
              <a:prstDash val="sysDot"/>
              <a:round/>
            </a:ln>
            <a:effectLst/>
          </c:spPr>
          <c:marker>
            <c:symbol val="none"/>
          </c:marker>
          <c:cat>
            <c:strRef>
              <c:f>'EMERGING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'EMERGING VAT Summary'!$U$33:$AF$33</c:f>
              <c:numCache>
                <c:formatCode>_-"$"* #,##0_-;\-"$"* #,##0_-;_-"$"* "-"??_-;_-@_-</c:formatCode>
                <c:ptCount val="12"/>
                <c:pt idx="0">
                  <c:v>183333.33333333334</c:v>
                </c:pt>
                <c:pt idx="1">
                  <c:v>366666.66666666669</c:v>
                </c:pt>
                <c:pt idx="2">
                  <c:v>550000</c:v>
                </c:pt>
                <c:pt idx="3">
                  <c:v>733333.33333333337</c:v>
                </c:pt>
                <c:pt idx="4">
                  <c:v>916666.66666666674</c:v>
                </c:pt>
                <c:pt idx="5">
                  <c:v>1100000</c:v>
                </c:pt>
                <c:pt idx="6">
                  <c:v>1283333.3333333333</c:v>
                </c:pt>
                <c:pt idx="7">
                  <c:v>1466666.6666666665</c:v>
                </c:pt>
                <c:pt idx="8">
                  <c:v>1649999.9999999998</c:v>
                </c:pt>
                <c:pt idx="9">
                  <c:v>1833333.333333333</c:v>
                </c:pt>
                <c:pt idx="10">
                  <c:v>2016666.6666666663</c:v>
                </c:pt>
                <c:pt idx="11">
                  <c:v>2199999.9999999995</c:v>
                </c:pt>
              </c:numCache>
            </c:numRef>
          </c:val>
          <c:smooth val="0"/>
          <c:extLst>
            <c:ext xmlns:c16="http://schemas.microsoft.com/office/drawing/2014/chart" uri="{C3380CC4-5D6E-409C-BE32-E72D297353CC}">
              <c16:uniqueId val="{00000006-52A3-45DD-AA2F-6F65CA955D01}"/>
            </c:ext>
          </c:extLst>
        </c:ser>
        <c:ser>
          <c:idx val="5"/>
          <c:order val="7"/>
          <c:tx>
            <c:strRef>
              <c:f>'EMERGING VAT Summary'!$T$32</c:f>
              <c:strCache>
                <c:ptCount val="1"/>
                <c:pt idx="0">
                  <c:v> GREAT </c:v>
                </c:pt>
              </c:strCache>
            </c:strRef>
          </c:tx>
          <c:spPr>
            <a:ln w="28575" cap="rnd">
              <a:solidFill>
                <a:schemeClr val="accent3">
                  <a:lumMod val="60000"/>
                  <a:lumOff val="40000"/>
                </a:schemeClr>
              </a:solidFill>
              <a:prstDash val="sysDot"/>
              <a:round/>
            </a:ln>
            <a:effectLst/>
          </c:spPr>
          <c:marker>
            <c:symbol val="none"/>
          </c:marker>
          <c:cat>
            <c:strRef>
              <c:f>'EMERGING VAT Summary'!$U$26:$AF$26</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'EMERGING VAT Summary'!$U$32:$AF$32</c:f>
              <c:numCache>
                <c:formatCode>_-"$"* #,##0_-;\-"$"* #,##0_-;_-"$"* "-"??_-;_-@_-</c:formatCode>
                <c:ptCount val="12"/>
                <c:pt idx="0">
                  <c:v>229166.66666666666</c:v>
                </c:pt>
                <c:pt idx="1">
                  <c:v>458333.33333333331</c:v>
                </c:pt>
                <c:pt idx="2">
                  <c:v>687500</c:v>
                </c:pt>
                <c:pt idx="3">
                  <c:v>916666.66666666663</c:v>
                </c:pt>
                <c:pt idx="4">
                  <c:v>1145833.3333333333</c:v>
                </c:pt>
                <c:pt idx="5">
                  <c:v>1375000</c:v>
                </c:pt>
                <c:pt idx="6">
                  <c:v>1604166.6666666667</c:v>
                </c:pt>
                <c:pt idx="7">
                  <c:v>1833333.3333333335</c:v>
                </c:pt>
                <c:pt idx="8">
                  <c:v>2062500.0000000002</c:v>
                </c:pt>
                <c:pt idx="9">
                  <c:v>2291666.666666667</c:v>
                </c:pt>
                <c:pt idx="10">
                  <c:v>2520833.3333333335</c:v>
                </c:pt>
                <c:pt idx="11">
                  <c:v>2750000</c:v>
                </c:pt>
              </c:numCache>
            </c:numRef>
          </c:val>
          <c:smooth val="0"/>
          <c:extLst>
            <c:ext xmlns:c16="http://schemas.microsoft.com/office/drawing/2014/chart" uri="{C3380CC4-5D6E-409C-BE32-E72D297353CC}">
              <c16:uniqueId val="{00000007-52A3-45DD-AA2F-6F65CA955D01}"/>
            </c:ext>
          </c:extLst>
        </c:ser>
        <c:dLbls>
          <c:showLegendKey val="0"/>
          <c:showVal val="0"/>
          <c:showCatName val="0"/>
          <c:showSerName val="0"/>
          <c:showPercent val="0"/>
          <c:showBubbleSize val="0"/>
        </c:dLbls>
        <c:smooth val="0"/>
        <c:axId val="1098771455"/>
        <c:axId val="1098761375"/>
        <c:extLst>
          <c:ext xmlns:c15="http://schemas.microsoft.com/office/drawing/2012/chart" uri="{02D57815-91ED-43cb-92C2-25804820EDAC}">
            <c15:filteredLineSeries>
              <c15:ser>
                <c:idx val="4"/>
                <c:order val="4"/>
                <c:tx>
                  <c:strRef>
                    <c:extLst>
                      <c:ext uri="{02D57815-91ED-43cb-92C2-25804820EDAC}">
                        <c15:formulaRef>
                          <c15:sqref>'EMERGING VAT Summary'!$T$31</c15:sqref>
                        </c15:formulaRef>
                      </c:ext>
                    </c:extLst>
                    <c:strCache>
                      <c:ptCount val="1"/>
                      <c:pt idx="0">
                        <c:v> VAT Lead </c:v>
                      </c:pt>
                    </c:strCache>
                  </c:strRef>
                </c:tx>
                <c:spPr>
                  <a:ln w="28575" cap="rnd">
                    <a:solidFill>
                      <a:srgbClr val="FF0000"/>
                    </a:solidFill>
                    <a:round/>
                  </a:ln>
                  <a:effectLst/>
                </c:spPr>
                <c:marker>
                  <c:symbol val="none"/>
                </c:marker>
                <c:cat>
                  <c:strRef>
                    <c:extLst>
                      <c:ext uri="{02D57815-91ED-43cb-92C2-25804820EDAC}">
                        <c15:formulaRef>
                          <c15:sqref>'EMERGING VAT Summary'!$U$26:$AF$26</c15:sqref>
                        </c15:formulaRef>
                      </c:ext>
                    </c:extLst>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extLst>
                      <c:ext uri="{02D57815-91ED-43cb-92C2-25804820EDAC}">
                        <c15:formulaRef>
                          <c15:sqref>'EMERGING VAT Summary'!$U$31:$AF$31</c15:sqref>
                        </c15:formulaRef>
                      </c:ext>
                    </c:extLst>
                    <c:numCache>
                      <c:formatCode>_-"$"* #,##0_-;\-"$"* #,##0_-;_-"$"*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52A3-45DD-AA2F-6F65CA955D01}"/>
                  </c:ext>
                </c:extLst>
              </c15:ser>
            </c15:filteredLineSeries>
          </c:ext>
        </c:extLst>
      </c:lineChart>
      <c:catAx>
        <c:axId val="109877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761375"/>
        <c:crosses val="autoZero"/>
        <c:auto val="1"/>
        <c:lblAlgn val="ctr"/>
        <c:lblOffset val="100"/>
        <c:noMultiLvlLbl val="0"/>
      </c:catAx>
      <c:valAx>
        <c:axId val="109876137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771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EMERGING Projected Gross Margin Contribution FY25/26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'EMERGING VAT Summary'!$T$5</c:f>
              <c:strCache>
                <c:ptCount val="1"/>
                <c:pt idx="0">
                  <c:v> C/S </c:v>
                </c:pt>
              </c:strCache>
            </c:strRef>
          </c:tx>
          <c:spPr>
            <a:ln w="28575" cap="rnd">
              <a:solidFill>
                <a:schemeClr val="tx1"/>
              </a:solidFill>
              <a:round/>
            </a:ln>
            <a:effectLst/>
          </c:spPr>
          <c:marker>
            <c:symbol val="none"/>
          </c:marker>
          <c:cat>
            <c:strRef>
              <c:f>'EMERGING VAT Summary'!$U$4:$AF$4</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'EMERGING VAT Summary'!$U$5:$AF$5</c:f>
              <c:numCache>
                <c:formatCode>_-"$"* #,##0_-;\-"$"* #,##0_-;_-"$"* "-"??_-;_-@_-</c:formatCode>
                <c:ptCount val="12"/>
                <c:pt idx="0">
                  <c:v>77214.510000000155</c:v>
                </c:pt>
                <c:pt idx="1">
                  <c:v>259746.51000000015</c:v>
                </c:pt>
                <c:pt idx="2">
                  <c:v>262477.26000000013</c:v>
                </c:pt>
                <c:pt idx="3">
                  <c:v>290160.46000000014</c:v>
                </c:pt>
                <c:pt idx="4">
                  <c:v>334219.66000000015</c:v>
                </c:pt>
                <c:pt idx="5">
                  <c:v>335599.66000000015</c:v>
                </c:pt>
                <c:pt idx="6">
                  <c:v>336887.66000000015</c:v>
                </c:pt>
                <c:pt idx="7">
                  <c:v>338267.66000000015</c:v>
                </c:pt>
                <c:pt idx="8">
                  <c:v>340475.66000000015</c:v>
                </c:pt>
                <c:pt idx="9">
                  <c:v>342223.66000000015</c:v>
                </c:pt>
                <c:pt idx="10">
                  <c:v>344063.66000000015</c:v>
                </c:pt>
                <c:pt idx="11">
                  <c:v>345903.66000000015</c:v>
                </c:pt>
              </c:numCache>
            </c:numRef>
          </c:val>
          <c:smooth val="0"/>
          <c:extLst>
            <c:ext xmlns:c16="http://schemas.microsoft.com/office/drawing/2014/chart" uri="{C3380CC4-5D6E-409C-BE32-E72D297353CC}">
              <c16:uniqueId val="{00000000-05B1-464E-A707-96C5D82F3FA0}"/>
            </c:ext>
          </c:extLst>
        </c:ser>
        <c:ser>
          <c:idx val="1"/>
          <c:order val="1"/>
          <c:tx>
            <c:strRef>
              <c:f>'EMERGING VAT Summary'!$T$6</c:f>
              <c:strCache>
                <c:ptCount val="1"/>
                <c:pt idx="0">
                  <c:v> DVF+ </c:v>
                </c:pt>
              </c:strCache>
            </c:strRef>
          </c:tx>
          <c:spPr>
            <a:ln w="28575" cap="rnd">
              <a:solidFill>
                <a:schemeClr val="accent4"/>
              </a:solidFill>
              <a:round/>
            </a:ln>
            <a:effectLst/>
          </c:spPr>
          <c:marker>
            <c:symbol val="none"/>
          </c:marker>
          <c:cat>
            <c:strRef>
              <c:f>'EMERGING VAT Summary'!$U$4:$AF$4</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'EMERGING VAT Summary'!$U$6:$AF$6</c:f>
              <c:numCache>
                <c:formatCode>_-"$"* #,##0_-;\-"$"* #,##0_-;_-"$"* "-"??_-;_-@_-</c:formatCode>
                <c:ptCount val="12"/>
                <c:pt idx="0">
                  <c:v>77214.510000000155</c:v>
                </c:pt>
                <c:pt idx="1">
                  <c:v>259746.51000000015</c:v>
                </c:pt>
                <c:pt idx="2">
                  <c:v>262477.26000000013</c:v>
                </c:pt>
                <c:pt idx="3">
                  <c:v>290160.46000000014</c:v>
                </c:pt>
                <c:pt idx="4">
                  <c:v>334219.66000000015</c:v>
                </c:pt>
                <c:pt idx="5">
                  <c:v>335599.66000000015</c:v>
                </c:pt>
                <c:pt idx="6">
                  <c:v>336887.66000000015</c:v>
                </c:pt>
                <c:pt idx="7">
                  <c:v>338267.66000000015</c:v>
                </c:pt>
                <c:pt idx="8">
                  <c:v>340475.66000000015</c:v>
                </c:pt>
                <c:pt idx="9">
                  <c:v>342223.66000000015</c:v>
                </c:pt>
                <c:pt idx="10">
                  <c:v>344063.66000000015</c:v>
                </c:pt>
                <c:pt idx="11">
                  <c:v>345903.66000000015</c:v>
                </c:pt>
              </c:numCache>
            </c:numRef>
          </c:val>
          <c:smooth val="0"/>
          <c:extLst>
            <c:ext xmlns:c16="http://schemas.microsoft.com/office/drawing/2014/chart" uri="{C3380CC4-5D6E-409C-BE32-E72D297353CC}">
              <c16:uniqueId val="{00000001-05B1-464E-A707-96C5D82F3FA0}"/>
            </c:ext>
          </c:extLst>
        </c:ser>
        <c:ser>
          <c:idx val="2"/>
          <c:order val="2"/>
          <c:tx>
            <c:strRef>
              <c:f>'EMERGING VAT Summary'!$T$7</c:f>
              <c:strCache>
                <c:ptCount val="1"/>
                <c:pt idx="0">
                  <c:v> DF+ </c:v>
                </c:pt>
              </c:strCache>
            </c:strRef>
          </c:tx>
          <c:spPr>
            <a:ln w="28575" cap="rnd">
              <a:solidFill>
                <a:schemeClr val="accent5"/>
              </a:solidFill>
              <a:round/>
            </a:ln>
            <a:effectLst/>
          </c:spPr>
          <c:marker>
            <c:symbol val="none"/>
          </c:marker>
          <c:cat>
            <c:strRef>
              <c:f>'EMERGING VAT Summary'!$U$4:$AF$4</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'EMERGING VAT Summary'!$U$7:$AF$7</c:f>
              <c:numCache>
                <c:formatCode>_-"$"* #,##0_-;\-"$"* #,##0_-;_-"$"* "-"??_-;_-@_-</c:formatCode>
                <c:ptCount val="12"/>
                <c:pt idx="0">
                  <c:v>77214.510000000155</c:v>
                </c:pt>
                <c:pt idx="1">
                  <c:v>259746.51000000015</c:v>
                </c:pt>
                <c:pt idx="2">
                  <c:v>262477.26000000013</c:v>
                </c:pt>
                <c:pt idx="3">
                  <c:v>290160.46000000014</c:v>
                </c:pt>
                <c:pt idx="4">
                  <c:v>334219.66000000015</c:v>
                </c:pt>
                <c:pt idx="5">
                  <c:v>335599.66000000015</c:v>
                </c:pt>
                <c:pt idx="6">
                  <c:v>336887.66000000015</c:v>
                </c:pt>
                <c:pt idx="7">
                  <c:v>338267.66000000015</c:v>
                </c:pt>
                <c:pt idx="8">
                  <c:v>340475.66000000015</c:v>
                </c:pt>
                <c:pt idx="9">
                  <c:v>342223.66000000015</c:v>
                </c:pt>
                <c:pt idx="10">
                  <c:v>344063.66000000015</c:v>
                </c:pt>
                <c:pt idx="11">
                  <c:v>345903.66000000015</c:v>
                </c:pt>
              </c:numCache>
            </c:numRef>
          </c:val>
          <c:smooth val="0"/>
          <c:extLst>
            <c:ext xmlns:c16="http://schemas.microsoft.com/office/drawing/2014/chart" uri="{C3380CC4-5D6E-409C-BE32-E72D297353CC}">
              <c16:uniqueId val="{00000002-05B1-464E-A707-96C5D82F3FA0}"/>
            </c:ext>
          </c:extLst>
        </c:ser>
        <c:ser>
          <c:idx val="3"/>
          <c:order val="3"/>
          <c:tx>
            <c:strRef>
              <c:f>'EMERGING VAT Summary'!$T$8</c:f>
              <c:strCache>
                <c:ptCount val="1"/>
                <c:pt idx="0">
                  <c:v> Q+ </c:v>
                </c:pt>
              </c:strCache>
            </c:strRef>
          </c:tx>
          <c:spPr>
            <a:ln w="28575" cap="rnd">
              <a:solidFill>
                <a:schemeClr val="accent2"/>
              </a:solidFill>
              <a:round/>
            </a:ln>
            <a:effectLst/>
          </c:spPr>
          <c:marker>
            <c:symbol val="none"/>
          </c:marker>
          <c:cat>
            <c:strRef>
              <c:f>'EMERGING VAT Summary'!$U$4:$AF$4</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'EMERGING VAT Summary'!$U$8:$AF$8</c:f>
              <c:numCache>
                <c:formatCode>_-"$"* #,##0_-;\-"$"* #,##0_-;_-"$"* "-"??_-;_-@_-</c:formatCode>
                <c:ptCount val="12"/>
                <c:pt idx="0">
                  <c:v>77214.510000000155</c:v>
                </c:pt>
                <c:pt idx="1">
                  <c:v>259746.51000000015</c:v>
                </c:pt>
                <c:pt idx="2">
                  <c:v>262477.26000000013</c:v>
                </c:pt>
                <c:pt idx="3">
                  <c:v>290160.46000000014</c:v>
                </c:pt>
                <c:pt idx="4">
                  <c:v>334219.66000000015</c:v>
                </c:pt>
                <c:pt idx="5">
                  <c:v>335599.66000000015</c:v>
                </c:pt>
                <c:pt idx="6">
                  <c:v>336887.66000000015</c:v>
                </c:pt>
                <c:pt idx="7">
                  <c:v>338267.66000000015</c:v>
                </c:pt>
                <c:pt idx="8">
                  <c:v>340475.66000000015</c:v>
                </c:pt>
                <c:pt idx="9">
                  <c:v>342223.66000000015</c:v>
                </c:pt>
                <c:pt idx="10">
                  <c:v>344063.66000000015</c:v>
                </c:pt>
                <c:pt idx="11">
                  <c:v>345903.66000000015</c:v>
                </c:pt>
              </c:numCache>
            </c:numRef>
          </c:val>
          <c:smooth val="0"/>
          <c:extLst>
            <c:ext xmlns:c16="http://schemas.microsoft.com/office/drawing/2014/chart" uri="{C3380CC4-5D6E-409C-BE32-E72D297353CC}">
              <c16:uniqueId val="{00000003-05B1-464E-A707-96C5D82F3FA0}"/>
            </c:ext>
          </c:extLst>
        </c:ser>
        <c:ser>
          <c:idx val="7"/>
          <c:order val="5"/>
          <c:tx>
            <c:strRef>
              <c:f>'EMERGING VAT Summary'!$T$12</c:f>
              <c:strCache>
                <c:ptCount val="1"/>
                <c:pt idx="0">
                  <c:v> OK </c:v>
                </c:pt>
              </c:strCache>
            </c:strRef>
          </c:tx>
          <c:spPr>
            <a:ln w="28575" cap="rnd">
              <a:solidFill>
                <a:schemeClr val="accent2"/>
              </a:solidFill>
              <a:prstDash val="sysDot"/>
              <a:round/>
            </a:ln>
            <a:effectLst/>
          </c:spPr>
          <c:marker>
            <c:symbol val="none"/>
          </c:marker>
          <c:cat>
            <c:strRef>
              <c:f>'EMERGING VAT Summary'!$U$4:$AF$4</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'EMERGING VAT Summary'!$U$12:$AF$12</c:f>
              <c:numCache>
                <c:formatCode>_-"$"* #,##0_-;\-"$"* #,##0_-;_-"$"* "-"??_-;_-@_-</c:formatCode>
                <c:ptCount val="12"/>
                <c:pt idx="0">
                  <c:v>45000</c:v>
                </c:pt>
                <c:pt idx="1">
                  <c:v>90000</c:v>
                </c:pt>
                <c:pt idx="2">
                  <c:v>135000</c:v>
                </c:pt>
                <c:pt idx="3">
                  <c:v>180000</c:v>
                </c:pt>
                <c:pt idx="4">
                  <c:v>225000</c:v>
                </c:pt>
                <c:pt idx="5">
                  <c:v>270000</c:v>
                </c:pt>
                <c:pt idx="6">
                  <c:v>315000</c:v>
                </c:pt>
                <c:pt idx="7">
                  <c:v>360000</c:v>
                </c:pt>
                <c:pt idx="8">
                  <c:v>405000</c:v>
                </c:pt>
                <c:pt idx="9">
                  <c:v>450000</c:v>
                </c:pt>
                <c:pt idx="10">
                  <c:v>495000</c:v>
                </c:pt>
                <c:pt idx="11">
                  <c:v>540000</c:v>
                </c:pt>
              </c:numCache>
            </c:numRef>
          </c:val>
          <c:smooth val="0"/>
          <c:extLst>
            <c:ext xmlns:c16="http://schemas.microsoft.com/office/drawing/2014/chart" uri="{C3380CC4-5D6E-409C-BE32-E72D297353CC}">
              <c16:uniqueId val="{00000005-05B1-464E-A707-96C5D82F3FA0}"/>
            </c:ext>
          </c:extLst>
        </c:ser>
        <c:ser>
          <c:idx val="6"/>
          <c:order val="6"/>
          <c:tx>
            <c:strRef>
              <c:f>'EMERGING VAT Summary'!$T$11</c:f>
              <c:strCache>
                <c:ptCount val="1"/>
                <c:pt idx="0">
                  <c:v> GOOD </c:v>
                </c:pt>
              </c:strCache>
            </c:strRef>
          </c:tx>
          <c:spPr>
            <a:ln w="28575" cap="rnd">
              <a:solidFill>
                <a:schemeClr val="accent6"/>
              </a:solidFill>
              <a:prstDash val="sysDot"/>
              <a:round/>
            </a:ln>
            <a:effectLst/>
          </c:spPr>
          <c:marker>
            <c:symbol val="none"/>
          </c:marker>
          <c:cat>
            <c:strRef>
              <c:f>'EMERGING VAT Summary'!$U$4:$AF$4</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'EMERGING VAT Summary'!$U$11:$AF$11</c:f>
              <c:numCache>
                <c:formatCode>_-"$"* #,##0_-;\-"$"* #,##0_-;_-"$"* "-"??_-;_-@_-</c:formatCode>
                <c:ptCount val="12"/>
                <c:pt idx="0">
                  <c:v>73333.333333333343</c:v>
                </c:pt>
                <c:pt idx="1">
                  <c:v>146666.66666666669</c:v>
                </c:pt>
                <c:pt idx="2">
                  <c:v>220000.00000000003</c:v>
                </c:pt>
                <c:pt idx="3">
                  <c:v>293333.33333333337</c:v>
                </c:pt>
                <c:pt idx="4">
                  <c:v>366666.66666666674</c:v>
                </c:pt>
                <c:pt idx="5">
                  <c:v>440000.00000000012</c:v>
                </c:pt>
                <c:pt idx="6">
                  <c:v>513333.33333333349</c:v>
                </c:pt>
                <c:pt idx="7">
                  <c:v>586666.66666666686</c:v>
                </c:pt>
                <c:pt idx="8">
                  <c:v>660000.00000000023</c:v>
                </c:pt>
                <c:pt idx="9">
                  <c:v>733333.3333333336</c:v>
                </c:pt>
                <c:pt idx="10">
                  <c:v>806666.66666666698</c:v>
                </c:pt>
                <c:pt idx="11">
                  <c:v>880000.00000000035</c:v>
                </c:pt>
              </c:numCache>
            </c:numRef>
          </c:val>
          <c:smooth val="0"/>
          <c:extLst>
            <c:ext xmlns:c16="http://schemas.microsoft.com/office/drawing/2014/chart" uri="{C3380CC4-5D6E-409C-BE32-E72D297353CC}">
              <c16:uniqueId val="{00000006-05B1-464E-A707-96C5D82F3FA0}"/>
            </c:ext>
          </c:extLst>
        </c:ser>
        <c:ser>
          <c:idx val="5"/>
          <c:order val="7"/>
          <c:tx>
            <c:strRef>
              <c:f>'EMERGING VAT Summary'!$T$10</c:f>
              <c:strCache>
                <c:ptCount val="1"/>
                <c:pt idx="0">
                  <c:v> GREAT </c:v>
                </c:pt>
              </c:strCache>
            </c:strRef>
          </c:tx>
          <c:spPr>
            <a:ln w="28575" cap="rnd">
              <a:solidFill>
                <a:schemeClr val="accent3">
                  <a:lumMod val="60000"/>
                  <a:lumOff val="40000"/>
                </a:schemeClr>
              </a:solidFill>
              <a:prstDash val="sysDot"/>
              <a:round/>
            </a:ln>
            <a:effectLst/>
          </c:spPr>
          <c:marker>
            <c:symbol val="none"/>
          </c:marker>
          <c:cat>
            <c:strRef>
              <c:f>'EMERGING VAT Summary'!$U$4:$AF$4</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'EMERGING VAT Summary'!$U$10:$AF$10</c:f>
              <c:numCache>
                <c:formatCode>_-"$"* #,##0_-;\-"$"* #,##0_-;_-"$"* "-"??_-;_-@_-</c:formatCode>
                <c:ptCount val="12"/>
                <c:pt idx="0">
                  <c:v>91666.666666666672</c:v>
                </c:pt>
                <c:pt idx="1">
                  <c:v>183333.33333333334</c:v>
                </c:pt>
                <c:pt idx="2">
                  <c:v>275000</c:v>
                </c:pt>
                <c:pt idx="3">
                  <c:v>366666.66666666669</c:v>
                </c:pt>
                <c:pt idx="4">
                  <c:v>458333.33333333337</c:v>
                </c:pt>
                <c:pt idx="5">
                  <c:v>550000</c:v>
                </c:pt>
                <c:pt idx="6">
                  <c:v>641666.66666666663</c:v>
                </c:pt>
                <c:pt idx="7">
                  <c:v>733333.33333333326</c:v>
                </c:pt>
                <c:pt idx="8">
                  <c:v>824999.99999999988</c:v>
                </c:pt>
                <c:pt idx="9">
                  <c:v>916666.66666666651</c:v>
                </c:pt>
                <c:pt idx="10">
                  <c:v>1008333.3333333331</c:v>
                </c:pt>
                <c:pt idx="11">
                  <c:v>1099999.9999999998</c:v>
                </c:pt>
              </c:numCache>
            </c:numRef>
          </c:val>
          <c:smooth val="0"/>
          <c:extLst>
            <c:ext xmlns:c16="http://schemas.microsoft.com/office/drawing/2014/chart" uri="{C3380CC4-5D6E-409C-BE32-E72D297353CC}">
              <c16:uniqueId val="{00000007-05B1-464E-A707-96C5D82F3FA0}"/>
            </c:ext>
          </c:extLst>
        </c:ser>
        <c:dLbls>
          <c:showLegendKey val="0"/>
          <c:showVal val="0"/>
          <c:showCatName val="0"/>
          <c:showSerName val="0"/>
          <c:showPercent val="0"/>
          <c:showBubbleSize val="0"/>
        </c:dLbls>
        <c:smooth val="0"/>
        <c:axId val="1297579791"/>
        <c:axId val="1297586031"/>
        <c:extLst>
          <c:ext xmlns:c15="http://schemas.microsoft.com/office/drawing/2012/chart" uri="{02D57815-91ED-43cb-92C2-25804820EDAC}">
            <c15:filteredLineSeries>
              <c15:ser>
                <c:idx val="4"/>
                <c:order val="4"/>
                <c:tx>
                  <c:strRef>
                    <c:extLst>
                      <c:ext uri="{02D57815-91ED-43cb-92C2-25804820EDAC}">
                        <c15:formulaRef>
                          <c15:sqref>'EMERGING VAT Summary'!$T$9</c15:sqref>
                        </c15:formulaRef>
                      </c:ext>
                    </c:extLst>
                    <c:strCache>
                      <c:ptCount val="1"/>
                      <c:pt idx="0">
                        <c:v> VAT Lead </c:v>
                      </c:pt>
                    </c:strCache>
                  </c:strRef>
                </c:tx>
                <c:spPr>
                  <a:ln w="28575" cap="rnd">
                    <a:solidFill>
                      <a:srgbClr val="FF0000"/>
                    </a:solidFill>
                    <a:round/>
                  </a:ln>
                  <a:effectLst/>
                </c:spPr>
                <c:marker>
                  <c:symbol val="none"/>
                </c:marker>
                <c:cat>
                  <c:strRef>
                    <c:extLst>
                      <c:ext uri="{02D57815-91ED-43cb-92C2-25804820EDAC}">
                        <c15:formulaRef>
                          <c15:sqref>'EMERGING VAT Summary'!$U$4:$AF$4</c15:sqref>
                        </c15:formulaRef>
                      </c:ext>
                    </c:extLst>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extLst>
                      <c:ext uri="{02D57815-91ED-43cb-92C2-25804820EDAC}">
                        <c15:formulaRef>
                          <c15:sqref>'EMERGING VAT Summary'!$U$9:$AF$9</c15:sqref>
                        </c15:formulaRef>
                      </c:ext>
                    </c:extLst>
                    <c:numCache>
                      <c:formatCode>_-"$"* #,##0_-;\-"$"* #,##0_-;_-"$"*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05B1-464E-A707-96C5D82F3FA0}"/>
                  </c:ext>
                </c:extLst>
              </c15:ser>
            </c15:filteredLineSeries>
          </c:ext>
        </c:extLst>
      </c:lineChart>
      <c:catAx>
        <c:axId val="129757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586031"/>
        <c:crosses val="autoZero"/>
        <c:auto val="1"/>
        <c:lblAlgn val="ctr"/>
        <c:lblOffset val="100"/>
        <c:noMultiLvlLbl val="0"/>
      </c:catAx>
      <c:valAx>
        <c:axId val="129758603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5797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GROWTH Projected</a:t>
            </a:r>
            <a:r>
              <a:rPr lang="en-AU" baseline="0"/>
              <a:t> Revenue FY25/26</a:t>
            </a:r>
            <a:endParaRPr lang="en-AU"/>
          </a:p>
        </c:rich>
      </c:tx>
      <c:layout>
        <c:manualLayout>
          <c:xMode val="edge"/>
          <c:yMode val="edge"/>
          <c:x val="0.36079732856059199"/>
          <c:y val="3.20791679062378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lineChart>
        <c:grouping val="standard"/>
        <c:varyColors val="0"/>
        <c:ser>
          <c:idx val="0"/>
          <c:order val="0"/>
          <c:tx>
            <c:strRef>
              <c:f>'GROWTH VAT Summary'!$T$28</c:f>
              <c:strCache>
                <c:ptCount val="1"/>
                <c:pt idx="0">
                  <c:v> C/S </c:v>
                </c:pt>
              </c:strCache>
            </c:strRef>
          </c:tx>
          <c:spPr>
            <a:ln w="28575" cap="rnd">
              <a:solidFill>
                <a:schemeClr val="tx2"/>
              </a:solidFill>
              <a:round/>
            </a:ln>
            <a:effectLst/>
          </c:spPr>
          <c:marker>
            <c:symbol val="none"/>
          </c:marker>
          <c:cat>
            <c:strRef>
              <c:f>'GROWTH VAT Summary'!$U$27:$AF$27</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'GROWTH VAT Summary'!$U$28:$AF$28</c:f>
              <c:numCache>
                <c:formatCode>_-"$"* #,##0_-;\-"$"* #,##0_-;_-"$"* "-"??_-;_-@_-</c:formatCode>
                <c:ptCount val="12"/>
                <c:pt idx="0">
                  <c:v>0</c:v>
                </c:pt>
                <c:pt idx="1">
                  <c:v>245270.5</c:v>
                </c:pt>
                <c:pt idx="2">
                  <c:v>909930.5</c:v>
                </c:pt>
                <c:pt idx="3">
                  <c:v>1676205</c:v>
                </c:pt>
                <c:pt idx="4">
                  <c:v>2111595</c:v>
                </c:pt>
                <c:pt idx="5">
                  <c:v>2403875</c:v>
                </c:pt>
                <c:pt idx="6">
                  <c:v>2415350</c:v>
                </c:pt>
                <c:pt idx="7">
                  <c:v>2507977.6</c:v>
                </c:pt>
                <c:pt idx="8">
                  <c:v>2704598.4</c:v>
                </c:pt>
                <c:pt idx="9">
                  <c:v>2874624.4</c:v>
                </c:pt>
                <c:pt idx="10">
                  <c:v>3036204.4</c:v>
                </c:pt>
                <c:pt idx="11">
                  <c:v>3203046.23</c:v>
                </c:pt>
              </c:numCache>
            </c:numRef>
          </c:val>
          <c:smooth val="0"/>
          <c:extLst>
            <c:ext xmlns:c16="http://schemas.microsoft.com/office/drawing/2014/chart" uri="{C3380CC4-5D6E-409C-BE32-E72D297353CC}">
              <c16:uniqueId val="{00000000-70B6-42D0-8925-783827B03D61}"/>
            </c:ext>
          </c:extLst>
        </c:ser>
        <c:ser>
          <c:idx val="1"/>
          <c:order val="1"/>
          <c:tx>
            <c:strRef>
              <c:f>'GROWTH VAT Summary'!$T$29</c:f>
              <c:strCache>
                <c:ptCount val="1"/>
                <c:pt idx="0">
                  <c:v> DVF+ </c:v>
                </c:pt>
              </c:strCache>
            </c:strRef>
          </c:tx>
          <c:spPr>
            <a:ln w="28575" cap="rnd">
              <a:solidFill>
                <a:schemeClr val="tx2">
                  <a:lumMod val="50000"/>
                  <a:lumOff val="50000"/>
                </a:schemeClr>
              </a:solidFill>
              <a:round/>
            </a:ln>
            <a:effectLst/>
          </c:spPr>
          <c:marker>
            <c:symbol val="none"/>
          </c:marker>
          <c:cat>
            <c:strRef>
              <c:f>'GROWTH VAT Summary'!$U$27:$AF$27</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'GROWTH VAT Summary'!$U$29:$AF$29</c:f>
              <c:numCache>
                <c:formatCode>_-"$"* #,##0_-;\-"$"* #,##0_-;_-"$"* "-"??_-;_-@_-</c:formatCode>
                <c:ptCount val="12"/>
                <c:pt idx="0">
                  <c:v>0</c:v>
                </c:pt>
                <c:pt idx="1">
                  <c:v>245270.5</c:v>
                </c:pt>
                <c:pt idx="2">
                  <c:v>909930.5</c:v>
                </c:pt>
                <c:pt idx="3">
                  <c:v>1676205</c:v>
                </c:pt>
                <c:pt idx="4">
                  <c:v>2111595</c:v>
                </c:pt>
                <c:pt idx="5">
                  <c:v>2403875</c:v>
                </c:pt>
                <c:pt idx="6">
                  <c:v>2415350</c:v>
                </c:pt>
                <c:pt idx="7">
                  <c:v>2601542</c:v>
                </c:pt>
                <c:pt idx="8">
                  <c:v>3190864.8</c:v>
                </c:pt>
                <c:pt idx="9">
                  <c:v>5097308.4000000004</c:v>
                </c:pt>
                <c:pt idx="10">
                  <c:v>6488605.5999999996</c:v>
                </c:pt>
                <c:pt idx="11">
                  <c:v>9435088.2300000004</c:v>
                </c:pt>
              </c:numCache>
            </c:numRef>
          </c:val>
          <c:smooth val="0"/>
          <c:extLst>
            <c:ext xmlns:c16="http://schemas.microsoft.com/office/drawing/2014/chart" uri="{C3380CC4-5D6E-409C-BE32-E72D297353CC}">
              <c16:uniqueId val="{00000001-70B6-42D0-8925-783827B03D61}"/>
            </c:ext>
          </c:extLst>
        </c:ser>
        <c:ser>
          <c:idx val="2"/>
          <c:order val="2"/>
          <c:tx>
            <c:strRef>
              <c:f>'GROWTH VAT Summary'!$T$30</c:f>
              <c:strCache>
                <c:ptCount val="1"/>
                <c:pt idx="0">
                  <c:v> DF+ </c:v>
                </c:pt>
              </c:strCache>
            </c:strRef>
          </c:tx>
          <c:spPr>
            <a:ln w="28575" cap="rnd">
              <a:solidFill>
                <a:schemeClr val="accent5"/>
              </a:solidFill>
              <a:round/>
            </a:ln>
            <a:effectLst/>
          </c:spPr>
          <c:marker>
            <c:symbol val="none"/>
          </c:marker>
          <c:cat>
            <c:strRef>
              <c:f>'GROWTH VAT Summary'!$U$27:$AF$27</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'GROWTH VAT Summary'!$U$30:$AF$30</c:f>
              <c:numCache>
                <c:formatCode>_-"$"* #,##0_-;\-"$"* #,##0_-;_-"$"* "-"??_-;_-@_-</c:formatCode>
                <c:ptCount val="12"/>
                <c:pt idx="0">
                  <c:v>0</c:v>
                </c:pt>
                <c:pt idx="1">
                  <c:v>245270.5</c:v>
                </c:pt>
                <c:pt idx="2">
                  <c:v>909930.5</c:v>
                </c:pt>
                <c:pt idx="3">
                  <c:v>1676205</c:v>
                </c:pt>
                <c:pt idx="4">
                  <c:v>2111595</c:v>
                </c:pt>
                <c:pt idx="5">
                  <c:v>2403875</c:v>
                </c:pt>
                <c:pt idx="6">
                  <c:v>2415350</c:v>
                </c:pt>
                <c:pt idx="7">
                  <c:v>2794892</c:v>
                </c:pt>
                <c:pt idx="8">
                  <c:v>4110772.8</c:v>
                </c:pt>
                <c:pt idx="9">
                  <c:v>6590899.4000000004</c:v>
                </c:pt>
                <c:pt idx="10">
                  <c:v>8337686.5999999996</c:v>
                </c:pt>
                <c:pt idx="11">
                  <c:v>11645757.23</c:v>
                </c:pt>
              </c:numCache>
            </c:numRef>
          </c:val>
          <c:smooth val="0"/>
          <c:extLst>
            <c:ext xmlns:c16="http://schemas.microsoft.com/office/drawing/2014/chart" uri="{C3380CC4-5D6E-409C-BE32-E72D297353CC}">
              <c16:uniqueId val="{00000002-70B6-42D0-8925-783827B03D61}"/>
            </c:ext>
          </c:extLst>
        </c:ser>
        <c:ser>
          <c:idx val="3"/>
          <c:order val="3"/>
          <c:tx>
            <c:strRef>
              <c:f>'GROWTH VAT Summary'!$T$31</c:f>
              <c:strCache>
                <c:ptCount val="1"/>
                <c:pt idx="0">
                  <c:v> Q+ </c:v>
                </c:pt>
              </c:strCache>
            </c:strRef>
          </c:tx>
          <c:spPr>
            <a:ln w="28575" cap="rnd">
              <a:solidFill>
                <a:schemeClr val="accent2"/>
              </a:solidFill>
              <a:round/>
            </a:ln>
            <a:effectLst/>
          </c:spPr>
          <c:marker>
            <c:symbol val="none"/>
          </c:marker>
          <c:cat>
            <c:strRef>
              <c:f>'GROWTH VAT Summary'!$U$27:$AF$27</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'GROWTH VAT Summary'!$U$31:$AF$31</c:f>
              <c:numCache>
                <c:formatCode>_-"$"* #,##0_-;\-"$"* #,##0_-;_-"$"* "-"??_-;_-@_-</c:formatCode>
                <c:ptCount val="12"/>
                <c:pt idx="0">
                  <c:v>0</c:v>
                </c:pt>
                <c:pt idx="1">
                  <c:v>245270.5</c:v>
                </c:pt>
                <c:pt idx="2">
                  <c:v>909930.5</c:v>
                </c:pt>
                <c:pt idx="3">
                  <c:v>1676205</c:v>
                </c:pt>
                <c:pt idx="4">
                  <c:v>2111595</c:v>
                </c:pt>
                <c:pt idx="5">
                  <c:v>2403875</c:v>
                </c:pt>
                <c:pt idx="6">
                  <c:v>2415350</c:v>
                </c:pt>
                <c:pt idx="7">
                  <c:v>2794892</c:v>
                </c:pt>
                <c:pt idx="8">
                  <c:v>4110772.8</c:v>
                </c:pt>
                <c:pt idx="9">
                  <c:v>6590899.4000000004</c:v>
                </c:pt>
                <c:pt idx="10">
                  <c:v>8410406.5999999996</c:v>
                </c:pt>
                <c:pt idx="11">
                  <c:v>11718477.23</c:v>
                </c:pt>
              </c:numCache>
            </c:numRef>
          </c:val>
          <c:smooth val="0"/>
          <c:extLst>
            <c:ext xmlns:c16="http://schemas.microsoft.com/office/drawing/2014/chart" uri="{C3380CC4-5D6E-409C-BE32-E72D297353CC}">
              <c16:uniqueId val="{00000003-70B6-42D0-8925-783827B03D61}"/>
            </c:ext>
          </c:extLst>
        </c:ser>
        <c:ser>
          <c:idx val="7"/>
          <c:order val="5"/>
          <c:tx>
            <c:strRef>
              <c:f>'GROWTH VAT Summary'!$T$35</c:f>
              <c:strCache>
                <c:ptCount val="1"/>
                <c:pt idx="0">
                  <c:v> OK </c:v>
                </c:pt>
              </c:strCache>
            </c:strRef>
          </c:tx>
          <c:spPr>
            <a:ln w="28575" cap="rnd">
              <a:solidFill>
                <a:schemeClr val="accent2"/>
              </a:solidFill>
              <a:prstDash val="sysDot"/>
              <a:round/>
            </a:ln>
            <a:effectLst/>
          </c:spPr>
          <c:marker>
            <c:symbol val="none"/>
          </c:marker>
          <c:cat>
            <c:strRef>
              <c:f>'GROWTH VAT Summary'!$U$27:$AF$27</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'GROWTH VAT Summary'!$U$35:$AF$35</c:f>
              <c:numCache>
                <c:formatCode>_-"$"* #,##0_-;\-"$"* #,##0_-;_-"$"* "-"??_-;_-@_-</c:formatCode>
                <c:ptCount val="12"/>
                <c:pt idx="0">
                  <c:v>304054.05405405402</c:v>
                </c:pt>
                <c:pt idx="1">
                  <c:v>608108.10810810805</c:v>
                </c:pt>
                <c:pt idx="2">
                  <c:v>912162.16216216213</c:v>
                </c:pt>
                <c:pt idx="3">
                  <c:v>1216216.2162162161</c:v>
                </c:pt>
                <c:pt idx="4">
                  <c:v>1520270.2702702701</c:v>
                </c:pt>
                <c:pt idx="5">
                  <c:v>1824324.324324324</c:v>
                </c:pt>
                <c:pt idx="6">
                  <c:v>2128378.3783783782</c:v>
                </c:pt>
                <c:pt idx="7">
                  <c:v>2432432.4324324322</c:v>
                </c:pt>
                <c:pt idx="8">
                  <c:v>2736486.4864864862</c:v>
                </c:pt>
                <c:pt idx="9">
                  <c:v>3040540.5405405401</c:v>
                </c:pt>
                <c:pt idx="10">
                  <c:v>3344594.5945945941</c:v>
                </c:pt>
                <c:pt idx="11">
                  <c:v>3648648.6486486481</c:v>
                </c:pt>
              </c:numCache>
            </c:numRef>
          </c:val>
          <c:smooth val="0"/>
          <c:extLst>
            <c:ext xmlns:c16="http://schemas.microsoft.com/office/drawing/2014/chart" uri="{C3380CC4-5D6E-409C-BE32-E72D297353CC}">
              <c16:uniqueId val="{00000001-BE86-4FF1-B96A-BE33C9889E87}"/>
            </c:ext>
          </c:extLst>
        </c:ser>
        <c:ser>
          <c:idx val="6"/>
          <c:order val="6"/>
          <c:tx>
            <c:strRef>
              <c:f>'GROWTH VAT Summary'!$T$34</c:f>
              <c:strCache>
                <c:ptCount val="1"/>
                <c:pt idx="0">
                  <c:v> GOOD </c:v>
                </c:pt>
              </c:strCache>
            </c:strRef>
          </c:tx>
          <c:spPr>
            <a:ln w="28575" cap="rnd">
              <a:solidFill>
                <a:schemeClr val="accent6"/>
              </a:solidFill>
              <a:prstDash val="sysDot"/>
              <a:round/>
            </a:ln>
            <a:effectLst/>
          </c:spPr>
          <c:marker>
            <c:symbol val="none"/>
          </c:marker>
          <c:cat>
            <c:strRef>
              <c:f>'GROWTH VAT Summary'!$U$27:$AF$27</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'GROWTH VAT Summary'!$U$34:$AF$34</c:f>
              <c:numCache>
                <c:formatCode>_-"$"* #,##0_-;\-"$"* #,##0_-;_-"$"* "-"??_-;_-@_-</c:formatCode>
                <c:ptCount val="12"/>
                <c:pt idx="0">
                  <c:v>458333.33333333331</c:v>
                </c:pt>
                <c:pt idx="1">
                  <c:v>916666.66666666663</c:v>
                </c:pt>
                <c:pt idx="2">
                  <c:v>1375000</c:v>
                </c:pt>
                <c:pt idx="3">
                  <c:v>1833333.3333333333</c:v>
                </c:pt>
                <c:pt idx="4">
                  <c:v>2291666.6666666665</c:v>
                </c:pt>
                <c:pt idx="5">
                  <c:v>2750000</c:v>
                </c:pt>
                <c:pt idx="6">
                  <c:v>3208333.3333333335</c:v>
                </c:pt>
                <c:pt idx="7">
                  <c:v>3666666.666666667</c:v>
                </c:pt>
                <c:pt idx="8">
                  <c:v>4125000.0000000005</c:v>
                </c:pt>
                <c:pt idx="9">
                  <c:v>4583333.333333334</c:v>
                </c:pt>
                <c:pt idx="10">
                  <c:v>5041666.666666667</c:v>
                </c:pt>
                <c:pt idx="11">
                  <c:v>5500000</c:v>
                </c:pt>
              </c:numCache>
            </c:numRef>
          </c:val>
          <c:smooth val="0"/>
          <c:extLst>
            <c:ext xmlns:c16="http://schemas.microsoft.com/office/drawing/2014/chart" uri="{C3380CC4-5D6E-409C-BE32-E72D297353CC}">
              <c16:uniqueId val="{00000000-BE86-4FF1-B96A-BE33C9889E87}"/>
            </c:ext>
          </c:extLst>
        </c:ser>
        <c:ser>
          <c:idx val="5"/>
          <c:order val="7"/>
          <c:tx>
            <c:strRef>
              <c:f>'GROWTH VAT Summary'!$T$33</c:f>
              <c:strCache>
                <c:ptCount val="1"/>
                <c:pt idx="0">
                  <c:v> GREAT </c:v>
                </c:pt>
              </c:strCache>
            </c:strRef>
          </c:tx>
          <c:spPr>
            <a:ln w="28575" cap="rnd">
              <a:solidFill>
                <a:schemeClr val="accent3">
                  <a:lumMod val="60000"/>
                  <a:lumOff val="40000"/>
                </a:schemeClr>
              </a:solidFill>
              <a:prstDash val="sysDot"/>
              <a:round/>
            </a:ln>
            <a:effectLst/>
          </c:spPr>
          <c:marker>
            <c:symbol val="none"/>
          </c:marker>
          <c:cat>
            <c:strRef>
              <c:f>'GROWTH VAT Summary'!$U$27:$AF$27</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'GROWTH VAT Summary'!$U$33:$AF$33</c:f>
              <c:numCache>
                <c:formatCode>_-"$"* #,##0_-;\-"$"* #,##0_-;_-"$"* "-"??_-;_-@_-</c:formatCode>
                <c:ptCount val="12"/>
                <c:pt idx="0">
                  <c:v>611111.11111111112</c:v>
                </c:pt>
                <c:pt idx="1">
                  <c:v>1222222.2222222222</c:v>
                </c:pt>
                <c:pt idx="2">
                  <c:v>1833333.3333333335</c:v>
                </c:pt>
                <c:pt idx="3">
                  <c:v>2444444.4444444445</c:v>
                </c:pt>
                <c:pt idx="4">
                  <c:v>3055555.5555555555</c:v>
                </c:pt>
                <c:pt idx="5">
                  <c:v>3666666.6666666665</c:v>
                </c:pt>
                <c:pt idx="6">
                  <c:v>4277777.777777778</c:v>
                </c:pt>
                <c:pt idx="7">
                  <c:v>4888888.888888889</c:v>
                </c:pt>
                <c:pt idx="8">
                  <c:v>5500000</c:v>
                </c:pt>
                <c:pt idx="9">
                  <c:v>6111111.111111111</c:v>
                </c:pt>
                <c:pt idx="10">
                  <c:v>6722222.222222222</c:v>
                </c:pt>
                <c:pt idx="11">
                  <c:v>7333333.333333333</c:v>
                </c:pt>
              </c:numCache>
            </c:numRef>
          </c:val>
          <c:smooth val="0"/>
          <c:extLst>
            <c:ext xmlns:c16="http://schemas.microsoft.com/office/drawing/2014/chart" uri="{C3380CC4-5D6E-409C-BE32-E72D297353CC}">
              <c16:uniqueId val="{00000005-70B6-42D0-8925-783827B03D61}"/>
            </c:ext>
          </c:extLst>
        </c:ser>
        <c:dLbls>
          <c:showLegendKey val="0"/>
          <c:showVal val="0"/>
          <c:showCatName val="0"/>
          <c:showSerName val="0"/>
          <c:showPercent val="0"/>
          <c:showBubbleSize val="0"/>
        </c:dLbls>
        <c:smooth val="0"/>
        <c:axId val="1098771455"/>
        <c:axId val="1098761375"/>
        <c:extLst>
          <c:ext xmlns:c15="http://schemas.microsoft.com/office/drawing/2012/chart" uri="{02D57815-91ED-43cb-92C2-25804820EDAC}">
            <c15:filteredLineSeries>
              <c15:ser>
                <c:idx val="4"/>
                <c:order val="4"/>
                <c:tx>
                  <c:strRef>
                    <c:extLst>
                      <c:ext uri="{02D57815-91ED-43cb-92C2-25804820EDAC}">
                        <c15:formulaRef>
                          <c15:sqref>'GROWTH VAT Summary'!$T$32</c15:sqref>
                        </c15:formulaRef>
                      </c:ext>
                    </c:extLst>
                    <c:strCache>
                      <c:ptCount val="1"/>
                      <c:pt idx="0">
                        <c:v> VAT Lead </c:v>
                      </c:pt>
                    </c:strCache>
                  </c:strRef>
                </c:tx>
                <c:spPr>
                  <a:ln w="28575" cap="rnd">
                    <a:solidFill>
                      <a:srgbClr val="FF0000"/>
                    </a:solidFill>
                    <a:round/>
                  </a:ln>
                  <a:effectLst/>
                </c:spPr>
                <c:marker>
                  <c:symbol val="none"/>
                </c:marker>
                <c:cat>
                  <c:strRef>
                    <c:extLst>
                      <c:ext uri="{02D57815-91ED-43cb-92C2-25804820EDAC}">
                        <c15:formulaRef>
                          <c15:sqref>'GROWTH VAT Summary'!$U$27:$AF$27</c15:sqref>
                        </c15:formulaRef>
                      </c:ext>
                    </c:extLst>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extLst>
                      <c:ext uri="{02D57815-91ED-43cb-92C2-25804820EDAC}">
                        <c15:formulaRef>
                          <c15:sqref>'GROWTH VAT Summary'!$U$32:$AF$32</c15:sqref>
                        </c15:formulaRef>
                      </c:ext>
                    </c:extLst>
                    <c:numCache>
                      <c:formatCode>_-"$"* #,##0_-;\-"$"* #,##0_-;_-"$"*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70B6-42D0-8925-783827B03D61}"/>
                  </c:ext>
                </c:extLst>
              </c15:ser>
            </c15:filteredLineSeries>
          </c:ext>
        </c:extLst>
      </c:lineChart>
      <c:catAx>
        <c:axId val="109877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761375"/>
        <c:crosses val="autoZero"/>
        <c:auto val="1"/>
        <c:lblAlgn val="ctr"/>
        <c:lblOffset val="100"/>
        <c:noMultiLvlLbl val="0"/>
      </c:catAx>
      <c:valAx>
        <c:axId val="109876137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771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GROWTH Projected Gross Margin Contribution FY25/26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'GROWTH VAT Summary'!$T$6</c:f>
              <c:strCache>
                <c:ptCount val="1"/>
                <c:pt idx="0">
                  <c:v> C/S </c:v>
                </c:pt>
              </c:strCache>
            </c:strRef>
          </c:tx>
          <c:spPr>
            <a:ln w="28575" cap="rnd">
              <a:solidFill>
                <a:schemeClr val="tx1"/>
              </a:solidFill>
              <a:round/>
            </a:ln>
            <a:effectLst/>
          </c:spPr>
          <c:marker>
            <c:symbol val="none"/>
          </c:marker>
          <c:cat>
            <c:strRef>
              <c:f>'GROWTH VAT Summary'!$U$5:$AF$5</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'GROWTH VAT Summary'!$U$6:$AF$6</c:f>
              <c:numCache>
                <c:formatCode>_-"$"* #,##0_-;\-"$"* #,##0_-;_-"$"* "-"??_-;_-@_-</c:formatCode>
                <c:ptCount val="12"/>
                <c:pt idx="0">
                  <c:v>0</c:v>
                </c:pt>
                <c:pt idx="1">
                  <c:v>109070.63999999997</c:v>
                </c:pt>
                <c:pt idx="2">
                  <c:v>407224.39999999997</c:v>
                </c:pt>
                <c:pt idx="3">
                  <c:v>943936.49000000022</c:v>
                </c:pt>
                <c:pt idx="4">
                  <c:v>1168076.5000000002</c:v>
                </c:pt>
                <c:pt idx="5">
                  <c:v>1318270.8100000003</c:v>
                </c:pt>
                <c:pt idx="6">
                  <c:v>1322427.3100000003</c:v>
                </c:pt>
                <c:pt idx="7">
                  <c:v>1314851.9100000004</c:v>
                </c:pt>
                <c:pt idx="8">
                  <c:v>1318383.9100000004</c:v>
                </c:pt>
                <c:pt idx="9">
                  <c:v>1320016.3100000005</c:v>
                </c:pt>
                <c:pt idx="10">
                  <c:v>1320622.7100000004</c:v>
                </c:pt>
                <c:pt idx="11">
                  <c:v>1351734.9400000004</c:v>
                </c:pt>
              </c:numCache>
            </c:numRef>
          </c:val>
          <c:smooth val="0"/>
          <c:extLst>
            <c:ext xmlns:c16="http://schemas.microsoft.com/office/drawing/2014/chart" uri="{C3380CC4-5D6E-409C-BE32-E72D297353CC}">
              <c16:uniqueId val="{00000000-794B-427B-96EA-4CDD074FAD01}"/>
            </c:ext>
          </c:extLst>
        </c:ser>
        <c:ser>
          <c:idx val="1"/>
          <c:order val="1"/>
          <c:tx>
            <c:strRef>
              <c:f>'GROWTH VAT Summary'!$T$7</c:f>
              <c:strCache>
                <c:ptCount val="1"/>
                <c:pt idx="0">
                  <c:v> DVF+ </c:v>
                </c:pt>
              </c:strCache>
            </c:strRef>
          </c:tx>
          <c:spPr>
            <a:ln w="28575" cap="rnd">
              <a:solidFill>
                <a:schemeClr val="accent4"/>
              </a:solidFill>
              <a:round/>
            </a:ln>
            <a:effectLst/>
          </c:spPr>
          <c:marker>
            <c:symbol val="none"/>
          </c:marker>
          <c:cat>
            <c:strRef>
              <c:f>'GROWTH VAT Summary'!$U$5:$AF$5</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'GROWTH VAT Summary'!$U$7:$AF$7</c:f>
              <c:numCache>
                <c:formatCode>_-"$"* #,##0_-;\-"$"* #,##0_-;_-"$"* "-"??_-;_-@_-</c:formatCode>
                <c:ptCount val="12"/>
                <c:pt idx="0">
                  <c:v>0</c:v>
                </c:pt>
                <c:pt idx="1">
                  <c:v>109070.63999999997</c:v>
                </c:pt>
                <c:pt idx="2">
                  <c:v>407224.39999999997</c:v>
                </c:pt>
                <c:pt idx="3">
                  <c:v>943936.49000000022</c:v>
                </c:pt>
                <c:pt idx="4">
                  <c:v>1168076.5000000002</c:v>
                </c:pt>
                <c:pt idx="5">
                  <c:v>1318270.8100000003</c:v>
                </c:pt>
                <c:pt idx="6">
                  <c:v>1322427.3100000003</c:v>
                </c:pt>
                <c:pt idx="7">
                  <c:v>1323852.3100000003</c:v>
                </c:pt>
                <c:pt idx="8">
                  <c:v>1371526.3100000003</c:v>
                </c:pt>
                <c:pt idx="9">
                  <c:v>2354724.7100000009</c:v>
                </c:pt>
                <c:pt idx="10">
                  <c:v>2656644.3100000005</c:v>
                </c:pt>
                <c:pt idx="11">
                  <c:v>3527609.3400000008</c:v>
                </c:pt>
              </c:numCache>
            </c:numRef>
          </c:val>
          <c:smooth val="0"/>
          <c:extLst>
            <c:ext xmlns:c16="http://schemas.microsoft.com/office/drawing/2014/chart" uri="{C3380CC4-5D6E-409C-BE32-E72D297353CC}">
              <c16:uniqueId val="{00000001-794B-427B-96EA-4CDD074FAD01}"/>
            </c:ext>
          </c:extLst>
        </c:ser>
        <c:ser>
          <c:idx val="2"/>
          <c:order val="2"/>
          <c:tx>
            <c:strRef>
              <c:f>'GROWTH VAT Summary'!$T$8</c:f>
              <c:strCache>
                <c:ptCount val="1"/>
                <c:pt idx="0">
                  <c:v> DF+ </c:v>
                </c:pt>
              </c:strCache>
            </c:strRef>
          </c:tx>
          <c:spPr>
            <a:ln w="28575" cap="rnd">
              <a:solidFill>
                <a:schemeClr val="accent5"/>
              </a:solidFill>
              <a:round/>
            </a:ln>
            <a:effectLst/>
          </c:spPr>
          <c:marker>
            <c:symbol val="none"/>
          </c:marker>
          <c:cat>
            <c:strRef>
              <c:f>'GROWTH VAT Summary'!$U$5:$AF$5</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'GROWTH VAT Summary'!$U$8:$AF$8</c:f>
              <c:numCache>
                <c:formatCode>_-"$"* #,##0_-;\-"$"* #,##0_-;_-"$"* "-"??_-;_-@_-</c:formatCode>
                <c:ptCount val="12"/>
                <c:pt idx="0">
                  <c:v>0</c:v>
                </c:pt>
                <c:pt idx="1">
                  <c:v>109070.63999999997</c:v>
                </c:pt>
                <c:pt idx="2">
                  <c:v>407224.39999999997</c:v>
                </c:pt>
                <c:pt idx="3">
                  <c:v>943936.49000000022</c:v>
                </c:pt>
                <c:pt idx="4">
                  <c:v>1168076.5000000002</c:v>
                </c:pt>
                <c:pt idx="5">
                  <c:v>1318270.8100000003</c:v>
                </c:pt>
                <c:pt idx="6">
                  <c:v>1322427.3100000003</c:v>
                </c:pt>
                <c:pt idx="7">
                  <c:v>1323852.3100000003</c:v>
                </c:pt>
                <c:pt idx="8">
                  <c:v>1371526.3100000003</c:v>
                </c:pt>
                <c:pt idx="9">
                  <c:v>2354724.7100000009</c:v>
                </c:pt>
                <c:pt idx="10">
                  <c:v>2656644.3100000005</c:v>
                </c:pt>
                <c:pt idx="11">
                  <c:v>3527609.3400000008</c:v>
                </c:pt>
              </c:numCache>
            </c:numRef>
          </c:val>
          <c:smooth val="0"/>
          <c:extLst>
            <c:ext xmlns:c16="http://schemas.microsoft.com/office/drawing/2014/chart" uri="{C3380CC4-5D6E-409C-BE32-E72D297353CC}">
              <c16:uniqueId val="{00000002-794B-427B-96EA-4CDD074FAD01}"/>
            </c:ext>
          </c:extLst>
        </c:ser>
        <c:ser>
          <c:idx val="3"/>
          <c:order val="3"/>
          <c:tx>
            <c:strRef>
              <c:f>'GROWTH VAT Summary'!$T$9</c:f>
              <c:strCache>
                <c:ptCount val="1"/>
                <c:pt idx="0">
                  <c:v> Q+ </c:v>
                </c:pt>
              </c:strCache>
            </c:strRef>
          </c:tx>
          <c:spPr>
            <a:ln w="28575" cap="rnd">
              <a:solidFill>
                <a:schemeClr val="accent2"/>
              </a:solidFill>
              <a:round/>
            </a:ln>
            <a:effectLst/>
          </c:spPr>
          <c:marker>
            <c:symbol val="none"/>
          </c:marker>
          <c:cat>
            <c:strRef>
              <c:f>'GROWTH VAT Summary'!$U$5:$AF$5</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'GROWTH VAT Summary'!$U$9:$AF$9</c:f>
              <c:numCache>
                <c:formatCode>_-"$"* #,##0_-;\-"$"* #,##0_-;_-"$"* "-"??_-;_-@_-</c:formatCode>
                <c:ptCount val="12"/>
                <c:pt idx="0">
                  <c:v>0</c:v>
                </c:pt>
                <c:pt idx="1">
                  <c:v>109070.63999999997</c:v>
                </c:pt>
                <c:pt idx="2">
                  <c:v>407224.39999999997</c:v>
                </c:pt>
                <c:pt idx="3">
                  <c:v>943936.49000000022</c:v>
                </c:pt>
                <c:pt idx="4">
                  <c:v>1168076.5000000002</c:v>
                </c:pt>
                <c:pt idx="5">
                  <c:v>1318270.8100000003</c:v>
                </c:pt>
                <c:pt idx="6">
                  <c:v>1322427.3100000003</c:v>
                </c:pt>
                <c:pt idx="7">
                  <c:v>1323852.3100000003</c:v>
                </c:pt>
                <c:pt idx="8">
                  <c:v>1371526.3100000003</c:v>
                </c:pt>
                <c:pt idx="9">
                  <c:v>2354724.7100000009</c:v>
                </c:pt>
                <c:pt idx="10">
                  <c:v>2656644.3100000005</c:v>
                </c:pt>
                <c:pt idx="11">
                  <c:v>3527609.3400000008</c:v>
                </c:pt>
              </c:numCache>
            </c:numRef>
          </c:val>
          <c:smooth val="0"/>
          <c:extLst>
            <c:ext xmlns:c16="http://schemas.microsoft.com/office/drawing/2014/chart" uri="{C3380CC4-5D6E-409C-BE32-E72D297353CC}">
              <c16:uniqueId val="{00000003-794B-427B-96EA-4CDD074FAD01}"/>
            </c:ext>
          </c:extLst>
        </c:ser>
        <c:ser>
          <c:idx val="7"/>
          <c:order val="5"/>
          <c:tx>
            <c:strRef>
              <c:f>'GROWTH VAT Summary'!$T$13</c:f>
              <c:strCache>
                <c:ptCount val="1"/>
                <c:pt idx="0">
                  <c:v> OK </c:v>
                </c:pt>
              </c:strCache>
            </c:strRef>
          </c:tx>
          <c:spPr>
            <a:ln w="28575" cap="rnd">
              <a:solidFill>
                <a:schemeClr val="accent2"/>
              </a:solidFill>
              <a:prstDash val="sysDot"/>
              <a:round/>
            </a:ln>
            <a:effectLst/>
          </c:spPr>
          <c:marker>
            <c:symbol val="none"/>
          </c:marker>
          <c:cat>
            <c:strRef>
              <c:f>'GROWTH VAT Summary'!$U$5:$AF$5</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'GROWTH VAT Summary'!$U$13:$AF$13</c:f>
              <c:numCache>
                <c:formatCode>_-"$"* #,##0_-;\-"$"* #,##0_-;_-"$"* "-"??_-;_-@_-</c:formatCode>
                <c:ptCount val="12"/>
                <c:pt idx="0">
                  <c:v>112500</c:v>
                </c:pt>
                <c:pt idx="1">
                  <c:v>225000</c:v>
                </c:pt>
                <c:pt idx="2">
                  <c:v>337500</c:v>
                </c:pt>
                <c:pt idx="3">
                  <c:v>450000</c:v>
                </c:pt>
                <c:pt idx="4">
                  <c:v>562500</c:v>
                </c:pt>
                <c:pt idx="5">
                  <c:v>675000</c:v>
                </c:pt>
                <c:pt idx="6">
                  <c:v>787500</c:v>
                </c:pt>
                <c:pt idx="7">
                  <c:v>900000</c:v>
                </c:pt>
                <c:pt idx="8">
                  <c:v>1012500</c:v>
                </c:pt>
                <c:pt idx="9">
                  <c:v>1125000</c:v>
                </c:pt>
                <c:pt idx="10">
                  <c:v>1237500</c:v>
                </c:pt>
                <c:pt idx="11">
                  <c:v>1350000</c:v>
                </c:pt>
              </c:numCache>
            </c:numRef>
          </c:val>
          <c:smooth val="0"/>
          <c:extLst>
            <c:ext xmlns:c16="http://schemas.microsoft.com/office/drawing/2014/chart" uri="{C3380CC4-5D6E-409C-BE32-E72D297353CC}">
              <c16:uniqueId val="{00000001-8CD6-4ADA-84A3-7F0E1A3F1AC0}"/>
            </c:ext>
          </c:extLst>
        </c:ser>
        <c:ser>
          <c:idx val="6"/>
          <c:order val="6"/>
          <c:tx>
            <c:strRef>
              <c:f>'GROWTH VAT Summary'!$T$12</c:f>
              <c:strCache>
                <c:ptCount val="1"/>
                <c:pt idx="0">
                  <c:v> GOOD </c:v>
                </c:pt>
              </c:strCache>
            </c:strRef>
          </c:tx>
          <c:spPr>
            <a:ln w="28575" cap="rnd">
              <a:solidFill>
                <a:schemeClr val="accent6"/>
              </a:solidFill>
              <a:prstDash val="sysDot"/>
              <a:round/>
            </a:ln>
            <a:effectLst/>
          </c:spPr>
          <c:marker>
            <c:symbol val="none"/>
          </c:marker>
          <c:cat>
            <c:strRef>
              <c:f>'GROWTH VAT Summary'!$U$5:$AF$5</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'GROWTH VAT Summary'!$U$12:$AF$12</c:f>
              <c:numCache>
                <c:formatCode>_-"$"* #,##0_-;\-"$"* #,##0_-;_-"$"* "-"??_-;_-@_-</c:formatCode>
                <c:ptCount val="12"/>
                <c:pt idx="0">
                  <c:v>183333.33333333334</c:v>
                </c:pt>
                <c:pt idx="1">
                  <c:v>366666.66666666669</c:v>
                </c:pt>
                <c:pt idx="2">
                  <c:v>550000</c:v>
                </c:pt>
                <c:pt idx="3">
                  <c:v>733333.33333333337</c:v>
                </c:pt>
                <c:pt idx="4">
                  <c:v>916666.66666666674</c:v>
                </c:pt>
                <c:pt idx="5">
                  <c:v>1100000</c:v>
                </c:pt>
                <c:pt idx="6">
                  <c:v>1283333.3333333333</c:v>
                </c:pt>
                <c:pt idx="7">
                  <c:v>1466666.6666666665</c:v>
                </c:pt>
                <c:pt idx="8">
                  <c:v>1649999.9999999998</c:v>
                </c:pt>
                <c:pt idx="9">
                  <c:v>1833333.333333333</c:v>
                </c:pt>
                <c:pt idx="10">
                  <c:v>2016666.6666666663</c:v>
                </c:pt>
                <c:pt idx="11">
                  <c:v>2199999.9999999995</c:v>
                </c:pt>
              </c:numCache>
            </c:numRef>
          </c:val>
          <c:smooth val="0"/>
          <c:extLst>
            <c:ext xmlns:c16="http://schemas.microsoft.com/office/drawing/2014/chart" uri="{C3380CC4-5D6E-409C-BE32-E72D297353CC}">
              <c16:uniqueId val="{00000000-8CD6-4ADA-84A3-7F0E1A3F1AC0}"/>
            </c:ext>
          </c:extLst>
        </c:ser>
        <c:ser>
          <c:idx val="5"/>
          <c:order val="7"/>
          <c:tx>
            <c:strRef>
              <c:f>'GROWTH VAT Summary'!$T$11</c:f>
              <c:strCache>
                <c:ptCount val="1"/>
                <c:pt idx="0">
                  <c:v> GREAT </c:v>
                </c:pt>
              </c:strCache>
            </c:strRef>
          </c:tx>
          <c:spPr>
            <a:ln w="28575" cap="rnd">
              <a:solidFill>
                <a:schemeClr val="accent3">
                  <a:lumMod val="60000"/>
                  <a:lumOff val="40000"/>
                </a:schemeClr>
              </a:solidFill>
              <a:prstDash val="sysDot"/>
              <a:round/>
            </a:ln>
            <a:effectLst/>
          </c:spPr>
          <c:marker>
            <c:symbol val="none"/>
          </c:marker>
          <c:cat>
            <c:strRef>
              <c:f>'GROWTH VAT Summary'!$U$5:$AF$5</c:f>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f>'GROWTH VAT Summary'!$U$11:$AF$11</c:f>
              <c:numCache>
                <c:formatCode>_-"$"* #,##0_-;\-"$"* #,##0_-;_-"$"* "-"??_-;_-@_-</c:formatCode>
                <c:ptCount val="12"/>
                <c:pt idx="0">
                  <c:v>275000.00000000006</c:v>
                </c:pt>
                <c:pt idx="1">
                  <c:v>550000.00000000012</c:v>
                </c:pt>
                <c:pt idx="2">
                  <c:v>825000.00000000023</c:v>
                </c:pt>
                <c:pt idx="3">
                  <c:v>1100000.0000000002</c:v>
                </c:pt>
                <c:pt idx="4">
                  <c:v>1375000.0000000002</c:v>
                </c:pt>
                <c:pt idx="5">
                  <c:v>1650000.0000000002</c:v>
                </c:pt>
                <c:pt idx="6">
                  <c:v>1925000.0000000002</c:v>
                </c:pt>
                <c:pt idx="7">
                  <c:v>2200000.0000000005</c:v>
                </c:pt>
                <c:pt idx="8">
                  <c:v>2475000.0000000005</c:v>
                </c:pt>
                <c:pt idx="9">
                  <c:v>2750000.0000000005</c:v>
                </c:pt>
                <c:pt idx="10">
                  <c:v>3025000.0000000005</c:v>
                </c:pt>
                <c:pt idx="11">
                  <c:v>3300000.0000000005</c:v>
                </c:pt>
              </c:numCache>
            </c:numRef>
          </c:val>
          <c:smooth val="0"/>
          <c:extLst>
            <c:ext xmlns:c16="http://schemas.microsoft.com/office/drawing/2014/chart" uri="{C3380CC4-5D6E-409C-BE32-E72D297353CC}">
              <c16:uniqueId val="{00000005-794B-427B-96EA-4CDD074FAD01}"/>
            </c:ext>
          </c:extLst>
        </c:ser>
        <c:dLbls>
          <c:showLegendKey val="0"/>
          <c:showVal val="0"/>
          <c:showCatName val="0"/>
          <c:showSerName val="0"/>
          <c:showPercent val="0"/>
          <c:showBubbleSize val="0"/>
        </c:dLbls>
        <c:smooth val="0"/>
        <c:axId val="1297579791"/>
        <c:axId val="1297586031"/>
        <c:extLst>
          <c:ext xmlns:c15="http://schemas.microsoft.com/office/drawing/2012/chart" uri="{02D57815-91ED-43cb-92C2-25804820EDAC}">
            <c15:filteredLineSeries>
              <c15:ser>
                <c:idx val="4"/>
                <c:order val="4"/>
                <c:tx>
                  <c:strRef>
                    <c:extLst>
                      <c:ext uri="{02D57815-91ED-43cb-92C2-25804820EDAC}">
                        <c15:formulaRef>
                          <c15:sqref>'GROWTH VAT Summary'!$T$10</c15:sqref>
                        </c15:formulaRef>
                      </c:ext>
                    </c:extLst>
                    <c:strCache>
                      <c:ptCount val="1"/>
                      <c:pt idx="0">
                        <c:v> VAT Lead </c:v>
                      </c:pt>
                    </c:strCache>
                  </c:strRef>
                </c:tx>
                <c:spPr>
                  <a:ln w="28575" cap="rnd">
                    <a:solidFill>
                      <a:srgbClr val="FF0000"/>
                    </a:solidFill>
                    <a:round/>
                  </a:ln>
                  <a:effectLst/>
                </c:spPr>
                <c:marker>
                  <c:symbol val="none"/>
                </c:marker>
                <c:cat>
                  <c:strRef>
                    <c:extLst>
                      <c:ext uri="{02D57815-91ED-43cb-92C2-25804820EDAC}">
                        <c15:formulaRef>
                          <c15:sqref>'GROWTH VAT Summary'!$U$5:$AF$5</c15:sqref>
                        </c15:formulaRef>
                      </c:ext>
                    </c:extLst>
                    <c:strCache>
                      <c:ptCount val="12"/>
                      <c:pt idx="0">
                        <c:v> July </c:v>
                      </c:pt>
                      <c:pt idx="1">
                        <c:v> August </c:v>
                      </c:pt>
                      <c:pt idx="2">
                        <c:v> September </c:v>
                      </c:pt>
                      <c:pt idx="3">
                        <c:v> October </c:v>
                      </c:pt>
                      <c:pt idx="4">
                        <c:v> November </c:v>
                      </c:pt>
                      <c:pt idx="5">
                        <c:v> December </c:v>
                      </c:pt>
                      <c:pt idx="6">
                        <c:v> January </c:v>
                      </c:pt>
                      <c:pt idx="7">
                        <c:v> February </c:v>
                      </c:pt>
                      <c:pt idx="8">
                        <c:v> March </c:v>
                      </c:pt>
                      <c:pt idx="9">
                        <c:v> April </c:v>
                      </c:pt>
                      <c:pt idx="10">
                        <c:v> May </c:v>
                      </c:pt>
                      <c:pt idx="11">
                        <c:v> June </c:v>
                      </c:pt>
                    </c:strCache>
                  </c:strRef>
                </c:cat>
                <c:val>
                  <c:numRef>
                    <c:extLst>
                      <c:ext uri="{02D57815-91ED-43cb-92C2-25804820EDAC}">
                        <c15:formulaRef>
                          <c15:sqref>'GROWTH VAT Summary'!$U$10:$AF$10</c15:sqref>
                        </c15:formulaRef>
                      </c:ext>
                    </c:extLst>
                    <c:numCache>
                      <c:formatCode>_-"$"* #,##0_-;\-"$"* #,##0_-;_-"$"*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794B-427B-96EA-4CDD074FAD01}"/>
                  </c:ext>
                </c:extLst>
              </c15:ser>
            </c15:filteredLineSeries>
          </c:ext>
        </c:extLst>
      </c:lineChart>
      <c:catAx>
        <c:axId val="129757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586031"/>
        <c:crosses val="autoZero"/>
        <c:auto val="1"/>
        <c:lblAlgn val="ctr"/>
        <c:lblOffset val="100"/>
        <c:noMultiLvlLbl val="0"/>
      </c:catAx>
      <c:valAx>
        <c:axId val="129758603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5797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25</xdr:col>
      <xdr:colOff>57150</xdr:colOff>
      <xdr:row>10</xdr:row>
      <xdr:rowOff>142875</xdr:rowOff>
    </xdr:from>
    <xdr:to>
      <xdr:col>26</xdr:col>
      <xdr:colOff>390525</xdr:colOff>
      <xdr:row>18</xdr:row>
      <xdr:rowOff>85725</xdr:rowOff>
    </xdr:to>
    <mc:AlternateContent xmlns:mc="http://schemas.openxmlformats.org/markup-compatibility/2006" xmlns:a14="http://schemas.microsoft.com/office/drawing/2010/main">
      <mc:Choice Requires="a14">
        <xdr:graphicFrame macro="">
          <xdr:nvGraphicFramePr>
            <xdr:cNvPr id="2" name="Status">
              <a:extLst>
                <a:ext uri="{FF2B5EF4-FFF2-40B4-BE49-F238E27FC236}">
                  <a16:creationId xmlns:a16="http://schemas.microsoft.com/office/drawing/2014/main" id="{57A70BFA-EB3C-2361-8302-EA04B7837E73}"/>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5373350" y="1657350"/>
              <a:ext cx="1809750" cy="120967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15</xdr:col>
      <xdr:colOff>9524</xdr:colOff>
      <xdr:row>0</xdr:row>
      <xdr:rowOff>19049</xdr:rowOff>
    </xdr:from>
    <xdr:to>
      <xdr:col>27</xdr:col>
      <xdr:colOff>1009650</xdr:colOff>
      <xdr:row>38</xdr:row>
      <xdr:rowOff>57150</xdr:rowOff>
    </xdr:to>
    <xdr:graphicFrame macro="">
      <xdr:nvGraphicFramePr>
        <xdr:cNvPr id="2" name="Chart 1">
          <a:extLst>
            <a:ext uri="{FF2B5EF4-FFF2-40B4-BE49-F238E27FC236}">
              <a16:creationId xmlns:a16="http://schemas.microsoft.com/office/drawing/2014/main" id="{46812DAB-01A2-4FD6-A134-CD8A1FBE7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226597</xdr:colOff>
      <xdr:row>0</xdr:row>
      <xdr:rowOff>46758</xdr:rowOff>
    </xdr:from>
    <xdr:to>
      <xdr:col>13</xdr:col>
      <xdr:colOff>790575</xdr:colOff>
      <xdr:row>38</xdr:row>
      <xdr:rowOff>57150</xdr:rowOff>
    </xdr:to>
    <xdr:graphicFrame macro="">
      <xdr:nvGraphicFramePr>
        <xdr:cNvPr id="3" name="Chart 2">
          <a:extLst>
            <a:ext uri="{FF2B5EF4-FFF2-40B4-BE49-F238E27FC236}">
              <a16:creationId xmlns:a16="http://schemas.microsoft.com/office/drawing/2014/main" id="{A9D5CAB0-978B-40AA-BE95-2673C43B6E6A}"/>
            </a:ext>
            <a:ext uri="{147F2762-F138-4A5C-976F-8EAC2B608ADB}">
              <a16:predDERef xmlns:a16="http://schemas.microsoft.com/office/drawing/2014/main" pred="{46812DAB-01A2-4FD6-A134-CD8A1FBE7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1237419</xdr:colOff>
      <xdr:row>0</xdr:row>
      <xdr:rowOff>57978</xdr:rowOff>
    </xdr:from>
    <xdr:to>
      <xdr:col>3</xdr:col>
      <xdr:colOff>808175</xdr:colOff>
      <xdr:row>4</xdr:row>
      <xdr:rowOff>170414</xdr:rowOff>
    </xdr:to>
    <mc:AlternateContent xmlns:mc="http://schemas.openxmlformats.org/markup-compatibility/2006" xmlns:a14="http://schemas.microsoft.com/office/drawing/2010/main">
      <mc:Choice Requires="a14">
        <xdr:graphicFrame macro="">
          <xdr:nvGraphicFramePr>
            <xdr:cNvPr id="3" name="VAT 2">
              <a:extLst>
                <a:ext uri="{FF2B5EF4-FFF2-40B4-BE49-F238E27FC236}">
                  <a16:creationId xmlns:a16="http://schemas.microsoft.com/office/drawing/2014/main" id="{F422BE82-3663-3C8A-AE61-381142BCEB88}"/>
                </a:ext>
              </a:extLst>
            </xdr:cNvPr>
            <xdr:cNvGraphicFramePr/>
          </xdr:nvGraphicFramePr>
          <xdr:xfrm>
            <a:off x="0" y="0"/>
            <a:ext cx="0" cy="0"/>
          </xdr:xfrm>
          <a:graphic>
            <a:graphicData uri="http://schemas.microsoft.com/office/drawing/2010/slicer">
              <sle:slicer xmlns:sle="http://schemas.microsoft.com/office/drawing/2010/slicer" name="VAT 2"/>
            </a:graphicData>
          </a:graphic>
        </xdr:graphicFrame>
      </mc:Choice>
      <mc:Fallback xmlns="">
        <xdr:sp macro="" textlink="">
          <xdr:nvSpPr>
            <xdr:cNvPr id="0" name=""/>
            <xdr:cNvSpPr>
              <a:spLocks noTextEdit="1"/>
            </xdr:cNvSpPr>
          </xdr:nvSpPr>
          <xdr:spPr>
            <a:xfrm>
              <a:off x="2960202" y="57978"/>
              <a:ext cx="5592212" cy="559697"/>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220532</xdr:colOff>
      <xdr:row>31</xdr:row>
      <xdr:rowOff>7893</xdr:rowOff>
    </xdr:from>
    <xdr:to>
      <xdr:col>8</xdr:col>
      <xdr:colOff>134470</xdr:colOff>
      <xdr:row>59</xdr:row>
      <xdr:rowOff>38379</xdr:rowOff>
    </xdr:to>
    <xdr:graphicFrame macro="">
      <xdr:nvGraphicFramePr>
        <xdr:cNvPr id="2" name="Chart 1">
          <a:extLst>
            <a:ext uri="{FF2B5EF4-FFF2-40B4-BE49-F238E27FC236}">
              <a16:creationId xmlns:a16="http://schemas.microsoft.com/office/drawing/2014/main" id="{019AF775-A9B1-4B58-BBEE-67439B7FB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8166</xdr:colOff>
      <xdr:row>2</xdr:row>
      <xdr:rowOff>46138</xdr:rowOff>
    </xdr:from>
    <xdr:to>
      <xdr:col>8</xdr:col>
      <xdr:colOff>123825</xdr:colOff>
      <xdr:row>30</xdr:row>
      <xdr:rowOff>44822</xdr:rowOff>
    </xdr:to>
    <xdr:graphicFrame macro="">
      <xdr:nvGraphicFramePr>
        <xdr:cNvPr id="3" name="Chart 2">
          <a:extLst>
            <a:ext uri="{FF2B5EF4-FFF2-40B4-BE49-F238E27FC236}">
              <a16:creationId xmlns:a16="http://schemas.microsoft.com/office/drawing/2014/main" id="{25965FC4-6301-46D9-8368-34ECF80F92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20508</xdr:colOff>
      <xdr:row>30</xdr:row>
      <xdr:rowOff>161926</xdr:rowOff>
    </xdr:from>
    <xdr:to>
      <xdr:col>8</xdr:col>
      <xdr:colOff>123825</xdr:colOff>
      <xdr:row>59</xdr:row>
      <xdr:rowOff>28575</xdr:rowOff>
    </xdr:to>
    <xdr:graphicFrame macro="">
      <xdr:nvGraphicFramePr>
        <xdr:cNvPr id="2" name="Chart 1">
          <a:extLst>
            <a:ext uri="{FF2B5EF4-FFF2-40B4-BE49-F238E27FC236}">
              <a16:creationId xmlns:a16="http://schemas.microsoft.com/office/drawing/2014/main" id="{14BB8E74-2555-4620-8EE6-44D34F077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8166</xdr:colOff>
      <xdr:row>2</xdr:row>
      <xdr:rowOff>46139</xdr:rowOff>
    </xdr:from>
    <xdr:to>
      <xdr:col>8</xdr:col>
      <xdr:colOff>123825</xdr:colOff>
      <xdr:row>30</xdr:row>
      <xdr:rowOff>85725</xdr:rowOff>
    </xdr:to>
    <xdr:graphicFrame macro="">
      <xdr:nvGraphicFramePr>
        <xdr:cNvPr id="3" name="Chart 2">
          <a:extLst>
            <a:ext uri="{FF2B5EF4-FFF2-40B4-BE49-F238E27FC236}">
              <a16:creationId xmlns:a16="http://schemas.microsoft.com/office/drawing/2014/main" id="{37887146-373D-4E96-99EE-F7CC26BE2A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12383</xdr:colOff>
      <xdr:row>35</xdr:row>
      <xdr:rowOff>172850</xdr:rowOff>
    </xdr:from>
    <xdr:to>
      <xdr:col>8</xdr:col>
      <xdr:colOff>110938</xdr:colOff>
      <xdr:row>69</xdr:row>
      <xdr:rowOff>44823</xdr:rowOff>
    </xdr:to>
    <xdr:graphicFrame macro="">
      <xdr:nvGraphicFramePr>
        <xdr:cNvPr id="2" name="Chart 1">
          <a:extLst>
            <a:ext uri="{FF2B5EF4-FFF2-40B4-BE49-F238E27FC236}">
              <a16:creationId xmlns:a16="http://schemas.microsoft.com/office/drawing/2014/main" id="{00D5D10E-82C0-4DA5-B858-3422C18CD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8166</xdr:colOff>
      <xdr:row>2</xdr:row>
      <xdr:rowOff>46139</xdr:rowOff>
    </xdr:from>
    <xdr:to>
      <xdr:col>8</xdr:col>
      <xdr:colOff>123825</xdr:colOff>
      <xdr:row>35</xdr:row>
      <xdr:rowOff>44824</xdr:rowOff>
    </xdr:to>
    <xdr:graphicFrame macro="">
      <xdr:nvGraphicFramePr>
        <xdr:cNvPr id="3" name="Chart 2">
          <a:extLst>
            <a:ext uri="{FF2B5EF4-FFF2-40B4-BE49-F238E27FC236}">
              <a16:creationId xmlns:a16="http://schemas.microsoft.com/office/drawing/2014/main" id="{2144BB0E-5C19-45C8-84D1-8732C460A4C4}"/>
            </a:ext>
            <a:ext uri="{147F2762-F138-4A5C-976F-8EAC2B608ADB}">
              <a16:predDERef xmlns:a16="http://schemas.microsoft.com/office/drawing/2014/main" pred="{00D5D10E-82C0-4DA5-B858-3422C18CD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20508</xdr:colOff>
      <xdr:row>30</xdr:row>
      <xdr:rowOff>161926</xdr:rowOff>
    </xdr:from>
    <xdr:to>
      <xdr:col>8</xdr:col>
      <xdr:colOff>123825</xdr:colOff>
      <xdr:row>59</xdr:row>
      <xdr:rowOff>28575</xdr:rowOff>
    </xdr:to>
    <xdr:graphicFrame macro="">
      <xdr:nvGraphicFramePr>
        <xdr:cNvPr id="2" name="Chart 1">
          <a:extLst>
            <a:ext uri="{FF2B5EF4-FFF2-40B4-BE49-F238E27FC236}">
              <a16:creationId xmlns:a16="http://schemas.microsoft.com/office/drawing/2014/main" id="{6F95AD26-4D25-49B4-BBF8-D7EF68417E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8166</xdr:colOff>
      <xdr:row>2</xdr:row>
      <xdr:rowOff>46139</xdr:rowOff>
    </xdr:from>
    <xdr:to>
      <xdr:col>8</xdr:col>
      <xdr:colOff>123825</xdr:colOff>
      <xdr:row>30</xdr:row>
      <xdr:rowOff>85725</xdr:rowOff>
    </xdr:to>
    <xdr:graphicFrame macro="">
      <xdr:nvGraphicFramePr>
        <xdr:cNvPr id="3" name="Chart 2">
          <a:extLst>
            <a:ext uri="{FF2B5EF4-FFF2-40B4-BE49-F238E27FC236}">
              <a16:creationId xmlns:a16="http://schemas.microsoft.com/office/drawing/2014/main" id="{777776AD-048A-46D1-945F-D54AAB9D6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20508</xdr:colOff>
      <xdr:row>30</xdr:row>
      <xdr:rowOff>161926</xdr:rowOff>
    </xdr:from>
    <xdr:to>
      <xdr:col>8</xdr:col>
      <xdr:colOff>123825</xdr:colOff>
      <xdr:row>59</xdr:row>
      <xdr:rowOff>28575</xdr:rowOff>
    </xdr:to>
    <xdr:graphicFrame macro="">
      <xdr:nvGraphicFramePr>
        <xdr:cNvPr id="2" name="Chart 1">
          <a:extLst>
            <a:ext uri="{FF2B5EF4-FFF2-40B4-BE49-F238E27FC236}">
              <a16:creationId xmlns:a16="http://schemas.microsoft.com/office/drawing/2014/main" id="{704BA34B-DAD7-4DC4-9651-809513EFE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8166</xdr:colOff>
      <xdr:row>2</xdr:row>
      <xdr:rowOff>46139</xdr:rowOff>
    </xdr:from>
    <xdr:to>
      <xdr:col>8</xdr:col>
      <xdr:colOff>123825</xdr:colOff>
      <xdr:row>30</xdr:row>
      <xdr:rowOff>85725</xdr:rowOff>
    </xdr:to>
    <xdr:graphicFrame macro="">
      <xdr:nvGraphicFramePr>
        <xdr:cNvPr id="3" name="Chart 2">
          <a:extLst>
            <a:ext uri="{FF2B5EF4-FFF2-40B4-BE49-F238E27FC236}">
              <a16:creationId xmlns:a16="http://schemas.microsoft.com/office/drawing/2014/main" id="{6EBB5233-B5EA-4C5F-BAAA-CD22E687B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10983</xdr:colOff>
      <xdr:row>30</xdr:row>
      <xdr:rowOff>47626</xdr:rowOff>
    </xdr:from>
    <xdr:to>
      <xdr:col>8</xdr:col>
      <xdr:colOff>114300</xdr:colOff>
      <xdr:row>57</xdr:row>
      <xdr:rowOff>152401</xdr:rowOff>
    </xdr:to>
    <xdr:graphicFrame macro="">
      <xdr:nvGraphicFramePr>
        <xdr:cNvPr id="2" name="Chart 1">
          <a:extLst>
            <a:ext uri="{FF2B5EF4-FFF2-40B4-BE49-F238E27FC236}">
              <a16:creationId xmlns:a16="http://schemas.microsoft.com/office/drawing/2014/main" id="{0DBC7FBA-D0C8-4E12-8E36-5F9A8D17D1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8166</xdr:colOff>
      <xdr:row>2</xdr:row>
      <xdr:rowOff>46138</xdr:rowOff>
    </xdr:from>
    <xdr:to>
      <xdr:col>8</xdr:col>
      <xdr:colOff>123825</xdr:colOff>
      <xdr:row>29</xdr:row>
      <xdr:rowOff>142874</xdr:rowOff>
    </xdr:to>
    <xdr:graphicFrame macro="">
      <xdr:nvGraphicFramePr>
        <xdr:cNvPr id="3" name="Chart 2">
          <a:extLst>
            <a:ext uri="{FF2B5EF4-FFF2-40B4-BE49-F238E27FC236}">
              <a16:creationId xmlns:a16="http://schemas.microsoft.com/office/drawing/2014/main" id="{BFFE27D2-126E-41CD-B516-0DDB7D09D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20</xdr:col>
      <xdr:colOff>704850</xdr:colOff>
      <xdr:row>41</xdr:row>
      <xdr:rowOff>19050</xdr:rowOff>
    </xdr:from>
    <xdr:to>
      <xdr:col>22</xdr:col>
      <xdr:colOff>647700</xdr:colOff>
      <xdr:row>55</xdr:row>
      <xdr:rowOff>19050</xdr:rowOff>
    </xdr:to>
    <mc:AlternateContent xmlns:mc="http://schemas.openxmlformats.org/markup-compatibility/2006" xmlns:a14="http://schemas.microsoft.com/office/drawing/2010/main">
      <mc:Choice Requires="a14">
        <xdr:graphicFrame macro="">
          <xdr:nvGraphicFramePr>
            <xdr:cNvPr id="4" name="VAT 1">
              <a:extLst>
                <a:ext uri="{FF2B5EF4-FFF2-40B4-BE49-F238E27FC236}">
                  <a16:creationId xmlns:a16="http://schemas.microsoft.com/office/drawing/2014/main" id="{E45C66CC-8C70-782B-B753-DA6F751A8861}"/>
                </a:ext>
              </a:extLst>
            </xdr:cNvPr>
            <xdr:cNvGraphicFramePr/>
          </xdr:nvGraphicFramePr>
          <xdr:xfrm>
            <a:off x="0" y="0"/>
            <a:ext cx="0" cy="0"/>
          </xdr:xfrm>
          <a:graphic>
            <a:graphicData uri="http://schemas.microsoft.com/office/drawing/2010/slicer">
              <sle:slicer xmlns:sle="http://schemas.microsoft.com/office/drawing/2010/slicer" name="VAT 1"/>
            </a:graphicData>
          </a:graphic>
        </xdr:graphicFrame>
      </mc:Choice>
      <mc:Fallback xmlns="">
        <xdr:sp macro="" textlink="">
          <xdr:nvSpPr>
            <xdr:cNvPr id="0" name=""/>
            <xdr:cNvSpPr>
              <a:spLocks noTextEdit="1"/>
            </xdr:cNvSpPr>
          </xdr:nvSpPr>
          <xdr:spPr>
            <a:xfrm>
              <a:off x="20926425" y="200025"/>
              <a:ext cx="1981200" cy="25336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Siddhartha Sengupta" refreshedDate="46076.42045208333" createdVersion="8" refreshedVersion="8" minRefreshableVersion="3" recordCount="93" xr:uid="{FF6AB6D3-6A93-4062-931A-45D85CE819F8}">
  <cacheSource type="worksheet">
    <worksheetSource name="Table_query"/>
  </cacheSource>
  <cacheFields count="36">
    <cacheField name="Name" numFmtId="0">
      <sharedItems containsMixedTypes="1" containsNumber="1" containsInteger="1" minValue="0" maxValue="879107572176501" count="96">
        <s v="ABSXXX ServiceNow PPM &amp; IRM 202504"/>
        <s v="ACRXXX RFQ DOD WP3 transition recompete HR modules"/>
        <s v="ACTXXX Notice Enterprise Sustainability Platform 202511"/>
        <s v="AFPXXX LH-05147 One (1) Lead Business Architect 202512"/>
        <s v="AFPXXX ServiceNow Procurement opp"/>
        <s v="AGDXXX - Lobbyists 202602"/>
        <s v="AGDXXX - Mutual Assistance 202602"/>
        <s v="AGDXXX RFQ Review of ICT Services for AGS 202512"/>
        <s v="AREXXX RFQ Design Future Data Platform 202601"/>
        <s v="ATOXXX - Help with 2030 Tax IT Strategy"/>
        <s v="ATOXXX Servicenow - HR Consolidation - Operation model"/>
        <s v="BSSXXX BlueScope Steel SAP architects"/>
        <s v="DAFXXX Budget confirmation"/>
        <s v="DAFXXX DPMO PPM TOOL RFQ"/>
        <s v="DAFXXX DSSS Resource Support"/>
        <s v="DAFXXX Executive AI Enablement Sessions"/>
        <s v="DAFXXX RFQ Incident and Major Incident Management Review"/>
        <s v="DAFXXX STEPS API Delivery"/>
        <s v="DAFXXX STEPS ATM"/>
        <s v="DAFXXX STEPS Benefits Surge Work - 4 weeks"/>
        <s v="DAFXXX STEPS Digital Sustainment Model"/>
        <s v="DAFXXX STEPS Post-Gateway Response"/>
        <s v="DAFXXX STEPS Training Development Support (Surge)"/>
        <s v="DAFXXX Stocktake and Report on Opps for AI Adoption"/>
        <s v="DAFXXX TRACE ServiceNow"/>
        <s v="DAFXXX Trade and Imports Comeback"/>
        <s v="DHAXXX LH-04367 Two Senior Pega Analyst 202508"/>
        <s v="DHAXXX LH-04634 One Senior Pega Developer 202509"/>
        <s v="DHAXXX RFQ On-demand services for mainframe Capability 202511"/>
        <s v="DHAXXX Servicenow - ESM Corporate - CCM Visa Citizenship - ERP"/>
        <s v="DODXXX RFQ Workforce Prioritisation Workshops 202512"/>
        <s v="DOHXXX Servicenow - CSM Aged care - ESM Roll out"/>
        <s v="DOWXXX RFQ Downer Front Door Shared Services 202602"/>
        <s v="DPSXXX RFQ Cyber Security Assessor 202601"/>
        <s v="DTAXXX RFQ ERP 202602"/>
        <s v="EDUXXX Childcare workforce screening"/>
        <s v="FWO001-XX Digital Transformation CPBC - PoC"/>
        <s v="FWO001-XX Digital Transformation CPBC - Revision and Submission Support"/>
        <s v="FWOXXX ERP collaboration with T1"/>
        <s v="IND004-01 Portfolio Management - IRM Implementation Extension)"/>
        <s v="INDXXX IRM  Licensing"/>
        <s v="LAB001-01 DCC Program Plan (Extension)"/>
        <s v="LABXXX AFMA Various Services mini panel drawdowns"/>
        <s v="NSWXXX Dept. of Transport Engagement Strategy"/>
        <s v="PACTXXX SAP Enhancement"/>
        <s v="PANEL ACT Professional Advisory Services 202412"/>
        <s v="PANEL DMP2 New Module 3 Cloud &amp; Software"/>
        <s v="PANEL People DOF Phase 3 - Professional Contractor Services"/>
        <s v="PANEL RBA Consulting Panel 202511"/>
        <s v="PANEL Refresh DOF MAS Corp and Comm Servs 202502"/>
        <s v="PANEL VIC DJSIR mini panel"/>
        <s v="PANEL VIC HSV Asset Management Software 202602"/>
        <s v="PANEL Vic SRO ICT Supplier Panel 202510"/>
        <s v="QLDXXX Treasury and City Councils SAP Engagement Strategy"/>
        <s v="Reason CRM (Master).xlsx.url"/>
        <s v="SAU045-XX Senior Technology Architect (Sidd)"/>
        <s v="SAU046-XX Delivery Manager (Alex)"/>
        <s v="SAU052-XX Senior Solution Architect (Aniket)"/>
        <s v="SAUXXX - Confluent"/>
        <s v="SAUXXX BRE POC and Support"/>
        <s v="SAUXXX Process Direct Support"/>
        <s v="SAUXXX RFQ LH-05639 - Principal Vulnerability Assessor"/>
        <s v="SAUXXX SPES Micro-Panel - RFQLH-02700 EL1 Senior Software Engineer"/>
        <s v="SAUXXX Unsolicited Proposal - Cyber Business Case"/>
        <s v="TASXXX Emergency Services and Police Engagement Strategy"/>
        <s v="TECXXX ANAO ERP TechOne PLACEHOLDER"/>
        <s v="TECXXX DEWR DE RFQ ERP 202510"/>
        <s v="TECXXX DOF ERP TechOne PLACEHOLDER"/>
        <s v="TECXXX INF RFQ TechOne - ERP Products, Implementation, Operational"/>
        <s v="TECXXX NIAA ERP TechOne PLACEHOLDER"/>
        <s v="TECXXX NMA RFQ FMIS"/>
        <s v="TSYXXX ROI ESM Solution Replacement 202512"/>
        <s v="VAT 1 DAFF - RFI, FYI, Ideas"/>
        <s v="VAT 2 SAU - RFI, FYI, Ideas"/>
        <s v="VAT 3 VIC Govt - RFI, FYI, Ideas"/>
        <s v="VAT 4 Growth - RFI, FYI, Ideas"/>
        <s v="VAT 5 DISR - RFI, FYI, Ideas"/>
        <s v="VAT 6 Emerging - RFI, FYI, Ideas"/>
        <s v="VICXXX CenITex Initial Strategy for One VPS"/>
        <s v="VICXXX DEECA RFQ Permissions System 202512"/>
        <s v="VICXXX DEECA Strategy 202602"/>
        <s v="VICXXX DFFH Replace Child Protection System"/>
        <s v="VICXXX DJSIR Opp 1 Technical T&amp;M"/>
        <s v="VICXXX DJSIR Opp 2 Regional Hub Case Mgt"/>
        <s v="VICXXX DoE ServiceNow Engagement Strategy"/>
        <s v="VICXXX EMV Portal App"/>
        <s v="VICXXX RFI VIC Police Intelligence Mgt Application 202602"/>
        <s v="VICXXX RFQ DFFH EEC Replacement"/>
        <s v="VICXXX RFQ DJSIR Online Monitoring Ticket Scalping 202602"/>
        <s v="VICXXX RFQ SRO Data Lake Warehouse and Debt mgt 202602"/>
        <s v="VICXXX ServiceNow assessment"/>
        <s v="ZZZ - Analytics"/>
        <s v="ZZZ - NEW OPEN OPPS TEMPLATE FOLDER"/>
        <n v="0" u="1"/>
        <n v="31327" u="1"/>
        <n v="879107572176501" u="1"/>
      </sharedItems>
    </cacheField>
    <cacheField name="Phase" numFmtId="49">
      <sharedItems containsBlank="1" count="14">
        <s v="1.A - Activity"/>
        <s v="3.DF - Submitted"/>
        <s v="2.Q - Qualified"/>
        <s v="4.DVF - Shortlisted"/>
        <s v="9.FYI"/>
        <m/>
        <s v="5.S - Selected" u="1"/>
        <s v="Final" u="1"/>
        <s v="In Progress" u="1"/>
        <s v="8.R - Rejected" u="1"/>
        <s v="Published" u="1"/>
        <s v="7.L - Lost" u="1"/>
        <s v="Active" u="1"/>
        <s v="41;#Approved/Authorised|78f0c020-a4c9-4b3b-9f1b-590cb2ecefb0" u="1"/>
      </sharedItems>
    </cacheField>
    <cacheField name="Due" numFmtId="22">
      <sharedItems containsNonDate="0" containsDate="1" containsString="0" containsBlank="1" minDate="2024-07-01T00:00:00" maxDate="2026-10-01T00:00:00"/>
    </cacheField>
    <cacheField name="Value $ ex GST" numFmtId="164">
      <sharedItems containsString="0" containsBlank="1" containsNumber="1" minValue="25000" maxValue="10812528"/>
    </cacheField>
    <cacheField name="Margin" numFmtId="9">
      <sharedItems containsString="0" containsBlank="1" containsNumber="1" minValue="0.06" maxValue="0.61499999999999999" count="46">
        <m/>
        <n v="0.27"/>
        <n v="0.154"/>
        <n v="0.36"/>
        <n v="0.28999999999999998"/>
        <n v="0.28000000000000003"/>
        <n v="0.25"/>
        <n v="0.2"/>
        <n v="0.17"/>
        <n v="0.13"/>
        <n v="0.21199999999999999"/>
        <n v="0.3"/>
        <n v="0.16400000000000001"/>
        <n v="0.61499999999999999"/>
        <n v="0.43"/>
        <n v="0.14000000000000001"/>
        <n v="0.11"/>
        <n v="0.27500000000000002"/>
        <n v="0.1"/>
        <n v="0.42"/>
        <n v="0.32"/>
        <n v="0.4"/>
        <n v="0.06"/>
        <n v="0.12"/>
        <n v="0.15"/>
        <n v="0.125" u="1"/>
        <n v="0.124" u="1"/>
        <n v="0.26400000000000001" u="1"/>
        <n v="0.21" u="1"/>
        <n v="0.32600000000000001" u="1"/>
        <n v="0.35" u="1"/>
        <n v="0.26900000000000002" u="1"/>
        <n v="0.16" u="1"/>
        <n v="0.23" u="1"/>
        <n v="0.47" u="1"/>
        <n v="0.17599999999999999" u="1"/>
        <n v="0.35699999999999998" u="1"/>
        <n v="0.23699999999999999" u="1"/>
        <n v="0.39" u="1"/>
        <n v="0.14399999999999999" u="1"/>
        <n v="0.24" u="1"/>
        <n v="0.35799999999999998" u="1"/>
        <n v="0.31900000000000001" u="1"/>
        <n v="0.19500000000000001" u="1"/>
        <n v="0.19800000000000001" u="1"/>
        <n v="0.36699999999999999" u="1"/>
      </sharedItems>
    </cacheField>
    <cacheField name="Status" numFmtId="49">
      <sharedItems containsBlank="1" count="4">
        <s v="Risk"/>
        <m/>
        <s v="Fair"/>
        <s v="Good"/>
      </sharedItems>
    </cacheField>
    <cacheField name="VAT" numFmtId="49">
      <sharedItems containsBlank="1" count="15">
        <s v="GROWTH"/>
        <s v="Emerging"/>
        <s v="Vic Gov"/>
        <s v="DAFF"/>
        <s v="DISR"/>
        <m/>
        <s v="SAU"/>
        <s v="7;#Finance ＆ Business Services|a87657f0-f6c2-43f9-bad6-a74eb0f12be0" u="1"/>
        <s v=";#SAU;#" u="1"/>
        <s v=";#DAFF;#" u="1"/>
        <s v="VIC" u="1"/>
        <s v=";#VIC;#" u="1"/>
        <s v=";#GROWTH;#" u="1"/>
        <s v="45;#Comms and International|f1db5572-7306-443e-a442-d56c9f2c52d1" u="1"/>
        <s v="VICSRO" u="1"/>
      </sharedItems>
    </cacheField>
    <cacheField name="CAS Lead" numFmtId="49">
      <sharedItems containsBlank="1"/>
    </cacheField>
    <cacheField name="CSD Lead" numFmtId="0">
      <sharedItems/>
    </cacheField>
    <cacheField name="Client contact" numFmtId="0">
      <sharedItems containsBlank="1"/>
    </cacheField>
    <cacheField name="Comment" numFmtId="49">
      <sharedItems containsBlank="1"/>
    </cacheField>
    <cacheField name="Category " numFmtId="49">
      <sharedItems containsBlank="1" count="103">
        <s v="Hunt;#Partner"/>
        <s v="Hunt;#ERP;#Partner"/>
        <s v="Hunt"/>
        <s v="Hunt;#Review"/>
        <s v="Hunt;#Architecture"/>
        <s v="Farm"/>
        <m/>
        <s v="Farm;#Partner"/>
        <s v="Hunt;#Partner;#CX"/>
        <s v="Hunt;#Cyber"/>
        <s v="Hunt;#CX"/>
        <s v="Ext"/>
        <s v="Hunt;#ERP"/>
        <s v="Hunt;#Rules"/>
        <s v="Partner"/>
        <s v="Hunt;#Partner;#Rules"/>
        <s v="Farm;#Business case"/>
        <s v="Partner;#Rules"/>
        <s v="Farm;#Architecture" u="1"/>
        <s v="ERP;#Partner;#Hunt" u="1"/>
        <s v="Exemplar-P" u="1"/>
        <s v="Panel" u="1"/>
        <s v="Hunt;#Ext" u="1"/>
        <s v="Farm;#SAP" u="1"/>
        <s v="Workday;#ERP;#Tech1;#Hunt" u="1"/>
        <s v="Farm;#Cyber" u="1"/>
        <s v="CD;#Hunt" u="1"/>
        <s v="Ext;#Partner" u="1"/>
        <s v="Partner;#Hunt" u="1"/>
        <s v="CD" u="1"/>
        <s v="RFI/EOI;#ERP;#Workday;#Tech1" u="1"/>
        <s v="Rules" u="1"/>
        <s v="ERP;#Hunt" u="1"/>
        <s v="Rules;#Decis;#Farm;#Partner" u="1"/>
        <s v="Ext;#Rules;#Partner;#Decis" u="1"/>
        <s v="ERP;#Partner" u="1"/>
        <s v="Splunk;#Partner" u="1"/>
        <s v="CX;#Partner" u="1"/>
        <s v="Rules;#Hunt;#Partner" u="1"/>
        <s v="ERP;#Hunt;#Partner" u="1"/>
        <s v="CD;#Hunt;#Partner" u="1"/>
        <s v="CD;#Partner" u="1"/>
        <s v="Rules;#Partner" u="1"/>
        <s v="Hunt;#Partner;#ERP" u="1"/>
        <s v="Partner;#CX" u="1"/>
        <s v="ERP" u="1"/>
        <s v="Farm;#SI/MSP" u="1"/>
        <s v="Farm;#Partner;#ERP" u="1"/>
        <s v="RG-Insight" u="1"/>
        <s v="Infosys" u="1"/>
        <s v="SNow;#Hunt" u="1"/>
        <s v="Partner;#Hunt;#ERP" u="1"/>
        <s v="Hunt;#Rules;#Partner" u="1"/>
        <s v="Partner;#ERP" u="1"/>
        <s v="AusT" u="1"/>
        <s v="KAM" u="1"/>
        <s v="Hunt;#Business case;#PM/PMO" u="1"/>
        <s v="Farm;#Partner;#SNow" u="1"/>
        <s v="Farm;#Priority" u="1"/>
        <s v="Decis" u="1"/>
        <s v="Farm;#SNow;#Partner" u="1"/>
        <s v="TechM" u="1"/>
        <s v="SNow;#Farm;#Partner" u="1"/>
        <s v="Hunt;#SNow" u="1"/>
        <s v="SNow" u="1"/>
        <s v="SAP;#Hunt" u="1"/>
        <s v="Decis;#Hunt;#Rules" u="1"/>
        <s v="Hunt;#SNow;#ERP;#Partner" u="1"/>
        <s v="Infosys;#SNow" u="1"/>
        <s v="ERP;#Workday;#Partner" u="1"/>
        <s v="Hunt;#SNow;#Partner" u="1"/>
        <s v="ERP;#Tech1;#Partner" u="1"/>
        <s v="ERP;#SAP;#Partner" u="1"/>
        <s v="SAP;#ERP;#Partner" u="1"/>
        <s v="SForce;#Partner" u="1"/>
        <s v="SNow;#Partner" u="1"/>
        <s v="ERP;#SAP;#Workday;#Tech1;#Partner" u="1"/>
        <s v="Pega;#Rules;#Hunt;#Partner" u="1"/>
        <s v="Hunt;#Partner;#Tech1" u="1"/>
        <s v="Partner;#AWS" u="1"/>
        <s v="Infosys;#SAP" u="1"/>
        <s v="SAP;#Hunt;#ERP;#Partner" u="1"/>
        <s v="SAP;#ERP;#Workday;#Tech1;#Partner" u="1"/>
        <s v="ERP;#Workday;#Tech1;#Partner" u="1"/>
        <s v="Hunt;#SAP;#Partner" u="1"/>
        <s v="SForce;#Hunt;#Partner" u="1"/>
        <s v="Decis;#Hunt;#Partner" u="1"/>
        <s v="SForce;#CX;#Partner" u="1"/>
        <s v="ERP;#Workday;#SAP;#Hunt;#Partner" u="1"/>
        <s v="Workday;#Tech1;#SAP;#ERP;#Partner" u="1"/>
        <s v="Decis;#Partner" u="1"/>
        <s v="ERP;#SAP;#Tech1;#Partner" u="1"/>
        <s v="Decis;#Rules;#Partner" u="1"/>
        <s v="Partner;#Tech1" u="1"/>
        <s v="SForce;#Hunt" u="1"/>
        <s v="Hunt;#Partner;#ERP;#SAP" u="1"/>
        <s v="Infosys;#ERP" u="1"/>
        <s v="Infosys;#Oracle" u="1"/>
        <s v="Decis;#Hunt;#Rules;#Partner" u="1"/>
        <s v="Hunt;#SAP;#ERP;#Partner" u="1"/>
        <s v="TechM;#SForce" u="1"/>
        <s v="SForce" u="1"/>
        <s v="ERP;#SAP;#Hunt" u="1"/>
      </sharedItems>
    </cacheField>
    <cacheField name="Work Type" numFmtId="49">
      <sharedItems containsBlank="1" count="10">
        <s v="Delivery"/>
        <s v="Resource Pool"/>
        <s v="RFI/EOI"/>
        <s v="Labour Hire"/>
        <s v="Advisory"/>
        <s v="Panel"/>
        <m/>
        <s v="Digital-Fixed" u="1"/>
        <s v="Digital Labour Hire" u="1"/>
        <s v="Digital" u="1"/>
      </sharedItems>
    </cacheField>
    <cacheField name="Start Date" numFmtId="14">
      <sharedItems containsNonDate="0" containsDate="1" containsString="0" containsBlank="1" minDate="2025-03-10T00:00:00" maxDate="2027-07-02T00:00:00" count="58">
        <m/>
        <d v="2026-02-02T00:00:00"/>
        <d v="2026-07-01T00:00:00"/>
        <d v="2026-02-16T00:00:00"/>
        <d v="2026-02-23T00:00:00"/>
        <d v="2026-03-02T00:00:00"/>
        <d v="2026-03-15T00:00:00"/>
        <d v="2026-10-01T00:00:00"/>
        <d v="2026-05-04T00:00:00"/>
        <d v="2026-01-26T00:00:00"/>
        <d v="2026-04-13T00:00:00"/>
        <d v="2026-03-16T00:00:00"/>
        <d v="2026-05-18T00:00:00"/>
        <d v="2026-11-01T00:00:00"/>
        <d v="2026-12-01T00:00:00"/>
        <d v="2026-06-01T00:00:00"/>
        <d v="2026-03-01T00:00:00"/>
        <d v="2026-05-30T00:00:00"/>
        <d v="2026-04-01T00:00:00"/>
        <d v="2026-03-31T00:00:00"/>
        <d v="2026-04-20T00:00:00"/>
        <d v="2026-02-01T00:00:00"/>
        <d v="2026-03-09T00:00:00"/>
        <d v="2026-05-31T00:00:00"/>
        <d v="2026-01-30T00:00:00" u="1"/>
        <d v="2025-12-01T00:00:00" u="1"/>
        <d v="2025-07-01T00:00:00" u="1"/>
        <d v="2025-03-31T00:00:00" u="1"/>
        <d v="2025-11-01T00:00:00" u="1"/>
        <d v="2025-08-04T00:00:00" u="1"/>
        <d v="2026-01-19T00:00:00" u="1"/>
        <d v="2026-01-05T00:00:00" u="1"/>
        <d v="2025-11-15T00:00:00" u="1"/>
        <d v="2025-08-31T00:00:00" u="1"/>
        <d v="2026-08-01T00:00:00" u="1"/>
        <d v="2027-07-01T00:00:00" u="1"/>
        <d v="2025-03-10T00:00:00" u="1"/>
        <d v="2026-01-01T00:00:00" u="1"/>
        <d v="2026-01-12T00:00:00" u="1"/>
        <d v="2025-09-01T00:00:00" u="1"/>
        <d v="2026-02-09T00:00:00" u="1"/>
        <d v="2025-12-08T00:00:00" u="1"/>
        <d v="2026-01-24T00:00:00" u="1"/>
        <d v="2026-02-28T00:00:00" u="1"/>
        <d v="2026-01-16T00:00:00" u="1"/>
        <d v="2025-12-15T00:00:00" u="1"/>
        <d v="2025-12-03T00:00:00" u="1"/>
        <d v="2026-01-07T00:00:00" u="1"/>
        <d v="2026-01-06T00:00:00" u="1"/>
        <d v="2025-12-02T00:00:00" u="1"/>
        <d v="2025-12-06T00:00:00" u="1"/>
        <d v="2025-11-24T00:00:00" u="1"/>
        <d v="2026-04-27T00:00:00" u="1"/>
        <d v="2025-12-05T00:00:00" u="1"/>
        <d v="2026-02-26T00:00:00" u="1"/>
        <d v="2025-11-03T00:00:00" u="1"/>
        <d v="2026-01-21T00:00:00" u="1"/>
        <d v="2025-11-28T00:00:00" u="1"/>
      </sharedItems>
      <fieldGroup par="35"/>
    </cacheField>
    <cacheField name="Expiry Date" numFmtId="14">
      <sharedItems containsNonDate="0" containsDate="1" containsString="0" containsBlank="1" minDate="2025-09-04T00:00:00" maxDate="2031-06-02T00:00:00" count="67">
        <m/>
        <d v="2026-12-31T00:00:00"/>
        <d v="2027-06-30T00:00:00"/>
        <d v="2026-08-16T00:00:00"/>
        <d v="2026-05-15T00:00:00"/>
        <d v="2026-05-29T00:00:00"/>
        <d v="2026-02-28T00:00:00"/>
        <d v="2026-09-01T00:00:00"/>
        <d v="2026-06-19T00:00:00"/>
        <d v="2026-08-21T00:00:00"/>
        <d v="2026-11-30T00:00:00"/>
        <d v="2026-06-30T00:00:00"/>
        <d v="2026-12-15T00:00:00"/>
        <d v="2026-03-27T00:00:00"/>
        <d v="2026-09-25T00:00:00"/>
        <d v="2030-11-01T00:00:00"/>
        <d v="2030-12-01T00:00:00"/>
        <d v="2030-01-04T00:00:00"/>
        <d v="2031-06-01T00:00:00"/>
        <d v="2029-09-30T00:00:00"/>
        <d v="2029-01-31T00:00:00"/>
        <d v="2027-03-31T00:00:00"/>
        <d v="2026-12-18T00:00:00"/>
        <d v="2028-06-30T00:00:00"/>
        <d v="2026-08-31T00:00:00"/>
        <d v="2028-04-01T00:00:00"/>
        <d v="2027-08-01T00:00:00"/>
        <d v="2026-10-31T00:00:00"/>
        <d v="2027-08-31T00:00:00"/>
        <d v="2026-09-11T00:00:00"/>
        <d v="2027-05-30T00:00:00"/>
        <d v="2026-09-20T00:00:00" u="1"/>
        <d v="2027-02-28T00:00:00" u="1"/>
        <d v="2026-03-31T00:00:00" u="1"/>
        <d v="2028-03-31T00:00:00" u="1"/>
        <d v="2025-12-31T00:00:00" u="1"/>
        <d v="2026-02-15T00:00:00" u="1"/>
        <d v="2026-04-06T00:00:00" u="1"/>
        <d v="2026-04-30T00:00:00" u="1"/>
        <d v="2025-09-04T00:00:00" u="1"/>
        <d v="2026-09-30T00:00:00" u="1"/>
        <d v="2028-04-30T00:00:00" u="1"/>
        <d v="2026-10-30T00:00:00" u="1"/>
        <d v="2027-04-30T00:00:00" u="1"/>
        <d v="2026-12-25T00:00:00" u="1"/>
        <d v="2027-01-30T00:00:00" u="1"/>
        <d v="2026-08-14T00:00:00" u="1"/>
        <d v="2026-05-02T00:00:00" u="1"/>
        <d v="2026-02-03T00:00:00" u="1"/>
        <d v="2026-04-03T00:00:00" u="1"/>
        <d v="2026-07-31T00:00:00" u="1"/>
        <d v="2027-01-16T00:00:00" u="1"/>
        <d v="2029-05-04T00:00:00" u="1"/>
        <d v="2028-12-22T00:00:00" u="1"/>
        <d v="2026-08-02T00:00:00" u="1"/>
        <d v="2026-01-31T00:00:00" u="1"/>
        <d v="2026-12-21T00:00:00" u="1"/>
        <d v="2026-04-27T00:00:00" u="1"/>
        <d v="2027-05-31T00:00:00" u="1"/>
        <d v="2028-12-01T00:00:00" u="1"/>
        <d v="2026-12-14T00:00:00" u="1"/>
        <d v="2028-12-05T00:00:00" u="1"/>
        <d v="2026-03-13T00:00:00" u="1"/>
        <d v="2026-04-19T00:00:00" u="1"/>
        <d v="2029-02-05T00:00:00" u="1"/>
        <d v="2026-06-01T00:00:00" u="1"/>
        <d v="2026-12-01T00:00:00" u="1"/>
      </sharedItems>
      <fieldGroup par="31"/>
    </cacheField>
    <cacheField name="CC" numFmtId="49">
      <sharedItems containsBlank="1"/>
    </cacheField>
    <cacheField name="Modified" numFmtId="22">
      <sharedItems containsSemiMixedTypes="0" containsNonDate="0" containsDate="1" containsString="0" minDate="2024-07-28T17:25:01" maxDate="2026-02-23T08:47:49"/>
    </cacheField>
    <cacheField name="Modified By" numFmtId="49">
      <sharedItems/>
    </cacheField>
    <cacheField name="Created" numFmtId="22">
      <sharedItems containsSemiMixedTypes="0" containsNonDate="0" containsDate="1" containsString="0" minDate="2023-10-05T11:46:16" maxDate="2026-02-23T08:46:13"/>
    </cacheField>
    <cacheField name="Created By" numFmtId="49">
      <sharedItems/>
    </cacheField>
    <cacheField name="Item Type" numFmtId="49">
      <sharedItems/>
    </cacheField>
    <cacheField name="Path" numFmtId="49">
      <sharedItems count="1383">
        <s v="sites/RGSales/Shared Documents/General/1.Open Opportunities"/>
        <s v="sites/RGSales/Shared Documents/General/1.Open Opportunities/ABSXXX ServiceNow PPM &amp; IRM 202504" u="1"/>
        <s v="sites/RGSales/Shared Documents/General/1.Open Opportunities/ACRXXX RFQ DOD WP3 transition recompete HR modules" u="1"/>
        <s v="sites/RGSales/Shared Documents/General/1.Open Opportunities/ACRXXX RFQ DOD WP3 transition recompete HR modules/02. Response" u="1"/>
        <s v="sites/RGSales/Shared Documents/General/1.Open Opportunities/ACTXXX Notice Enterprise Sustainability Platform 202511" u="1"/>
        <s v="sites/RGSales/Shared Documents/General/1.Open Opportunities/ACTXXX Notice Enterprise Sustainability Platform 202511/01. RFX" u="1"/>
        <s v="sites/RGSales/Shared Documents/General/1.Open Opportunities/ACTXXX Notice Enterprise Sustainability Platform 202511/02. Response" u="1"/>
        <s v="sites/RGSales/Shared Documents/General/1.Open Opportunities/AFPXXX LH-05147 One (1) Lead Business Architect 202512" u="1"/>
        <s v="sites/RGSales/Shared Documents/General/1.Open Opportunities/AFPXXX LH-05147 One (1) Lead Business Architect 202512/01. RFX" u="1"/>
        <s v="sites/RGSales/Shared Documents/General/1.Open Opportunities/AFPXXX LH-05147 One (1) Lead Business Architect 202512/02. Response" u="1"/>
        <s v="sites/RGSales/Shared Documents/General/1.Open Opportunities/AFPXXX ServiceNow Procurement opp" u="1"/>
        <s v="sites/RGSales/Shared Documents/General/1.Open Opportunities/AFPXXX ServiceNow Procurement opp/02. Response" u="1"/>
        <s v="sites/RGSales/Shared Documents/General/1.Open Opportunities/AGDXXX RFQ Review of ICT Services for AGS 202512" u="1"/>
        <s v="sites/RGSales/Shared Documents/General/1.Open Opportunities/AGDXXX RFQ Review of ICT Services for AGS 202512/00. Mgt" u="1"/>
        <s v="sites/RGSales/Shared Documents/General/1.Open Opportunities/AGDXXX RFQ Review of ICT Services for AGS 202512/01. RFX" u="1"/>
        <s v="sites/RGSales/Shared Documents/General/1.Open Opportunities/AGDXXX RFQ Review of ICT Services for AGS 202512/02. Response" u="1"/>
        <s v="sites/RGSales/Shared Documents/General/1.Open Opportunities/APSXXX RFI One-APS Learning Technology Ecosystem 202601" u="1"/>
        <s v="sites/RGSales/Shared Documents/General/1.Open Opportunities/APSXXX RFI One-APS Learning Technology Ecosystem 202601/01. RFX" u="1"/>
        <s v="sites/RGSales/Shared Documents/General/1.Open Opportunities/APSXXX RFI One-APS Learning Technology Ecosystem 202601/02. Response" u="1"/>
        <s v="sites/RGSales/Shared Documents/General/1.Open Opportunities/AREXXX RFQ Design Future Data Platform 202601" u="1"/>
        <s v="sites/RGSales/Shared Documents/General/1.Open Opportunities/AREXXX RFQ Design Future Data Platform 202601/01. RFX" u="1"/>
        <s v="sites/RGSales/Shared Documents/General/1.Open Opportunities/AREXXX RFQ Design Future Data Platform 202601/02. Response" u="1"/>
        <s v="sites/RGSales/Shared Documents/General/1.Open Opportunities/AREXXX RFQ Design Future Data Platform 202601/99. Archive" u="1"/>
        <s v="sites/RGSales/Shared Documents/General/1.Open Opportunities/ATOXXX - Help with 2030 Tax IT Strategy" u="1"/>
        <s v="sites/RGSales/Shared Documents/General/1.Open Opportunities/ATOXXX - Help with 2030 Tax IT Strategy/02. Response" u="1"/>
        <s v="sites/RGSales/Shared Documents/General/1.Open Opportunities/ATOXXX RFQ ERP Solution Detailed Analysis and Design 202510" u="1"/>
        <s v="sites/RGSales/Shared Documents/General/1.Open Opportunities/ATOXXX RFQ ERP Solution Detailed Analysis and Design 202510/00. Mgt" u="1"/>
        <s v="sites/RGSales/Shared Documents/General/1.Open Opportunities/ATOXXX RFQ ERP Solution Detailed Analysis and Design 202510/01. RFX" u="1"/>
        <s v="sites/RGSales/Shared Documents/General/1.Open Opportunities/ATOXXX RFQ ERP Solution Detailed Analysis and Design 202510/02. Response" u="1"/>
        <s v="sites/RGSales/Shared Documents/General/1.Open Opportunities/ATOXXX RFQ ERP Solution Detailed Analysis and Design 202510/02. Response/Reference Material" u="1"/>
        <s v="sites/RGSales/Shared Documents/General/1.Open Opportunities/ATOXXX RFQ ERP Solution Detailed Analysis and Design 202510/99. Archive" u="1"/>
        <s v="sites/RGSales/Shared Documents/General/1.Open Opportunities/ATOXXX Servicenow - HR Consolidation - Operation model" u="1"/>
        <s v="sites/RGSales/Shared Documents/General/1.Open Opportunities/ATOXXX Servicenow - HR Consolidation - Operation model/02. Response" u="1"/>
        <s v="sites/RGSales/Shared Documents/General/1.Open Opportunities/BSSXXX BlueScope Steel SAP architects" u="1"/>
        <s v="sites/RGSales/Shared Documents/General/1.Open Opportunities/BSSXXX BlueScope Steel SAP architects/01. RFX" u="1"/>
        <s v="sites/RGSales/Shared Documents/General/1.Open Opportunities/BSSXXX BlueScope Steel SAP architects/02. Response" u="1"/>
        <s v="sites/RGSales/Shared Documents/General/1.Open Opportunities/BSSXXX BlueScope Steel SAP architects/99. Archive" u="1"/>
        <s v="sites/RGSales/Shared Documents/General/1.Open Opportunities/DAFXXX Budget confirmation" u="1"/>
        <s v="sites/RGSales/Shared Documents/General/1.Open Opportunities/DAFXXX Budget confirmation/02. Response" u="1"/>
        <s v="sites/RGSales/Shared Documents/General/1.Open Opportunities/DAFXXX Digital solution for Food &amp; Residues reform" u="1"/>
        <s v="sites/RGSales/Shared Documents/General/1.Open Opportunities/DAFXXX Digital solution for Food &amp; Residues reform/01. RFX" u="1"/>
        <s v="sites/RGSales/Shared Documents/General/1.Open Opportunities/DAFXXX Digital solution for Food &amp; Residues reform/02. Response" u="1"/>
        <s v="sites/RGSales/Shared Documents/General/1.Open Opportunities/DAFXXX Executive AI Enablement Sessions" u="1"/>
        <s v="sites/RGSales/Shared Documents/General/1.Open Opportunities/DAFXXX Executive AI Enablement Sessions/01. RFX" u="1"/>
        <s v="sites/RGSales/Shared Documents/General/1.Open Opportunities/DAFXXX Executive AI Enablement Sessions/02. Response" u="1"/>
        <s v="sites/RGSales/Shared Documents/General/1.Open Opportunities/DAFXXX RFQ Incident and Major Incident Management Review" u="1"/>
        <s v="sites/RGSales/Shared Documents/General/1.Open Opportunities/DAFXXX RFQ Incident and Major Incident Management Review/01. RFX" u="1"/>
        <s v="sites/RGSales/Shared Documents/General/1.Open Opportunities/DAFXXX RFQ Incident and Major Incident Management Review/02. Response" u="1"/>
        <s v="sites/RGSales/Shared Documents/General/1.Open Opportunities/DAFXXX STEPS ATM" u="1"/>
        <s v="sites/RGSales/Shared Documents/General/1.Open Opportunities/DAFXXX STEPS ATM/02. Response" u="1"/>
        <s v="sites/RGSales/Shared Documents/General/1.Open Opportunities/DAFXXX TRACE ServiceNow" u="1"/>
        <s v="sites/RGSales/Shared Documents/General/1.Open Opportunities/DAFXXX TRACE ServiceNow/01. RFX" u="1"/>
        <s v="sites/RGSales/Shared Documents/General/1.Open Opportunities/DAFXXX TRACE ServiceNow/02. Response" u="1"/>
        <s v="sites/RGSales/Shared Documents/General/1.Open Opportunities/DAFXXX TRACE ServiceNow/02. Response/Archive" u="1"/>
        <s v="sites/RGSales/Shared Documents/General/1.Open Opportunities/DAFXXX TRACE ServiceNow/DAFXXX STEPS Parallel Delivery Containers E2E" u="1"/>
        <s v="sites/RGSales/Shared Documents/General/1.Open Opportunities/DAFXXX TRACE ServiceNow/DAFXXX STEPS Parallel Delivery Containers E2E/02. Response" u="1"/>
        <s v="sites/RGSales/Shared Documents/General/1.Open Opportunities/DAFXXX Trade and Imports Comeback" u="1"/>
        <s v="sites/RGSales/Shared Documents/General/1.Open Opportunities/DAFXXX Trade and Imports Comeback/01. RFX" u="1"/>
        <s v="sites/RGSales/Shared Documents/General/1.Open Opportunities/DAFXXX Trade and Imports Comeback/02. Response" u="1"/>
        <s v="sites/RGSales/Shared Documents/General/1.Open Opportunities/DHAXXX LH-04367 Two Senior Pega Analyst 202508" u="1"/>
        <s v="sites/RGSales/Shared Documents/General/1.Open Opportunities/DHAXXX LH-04367 Two Senior Pega Analyst 202508/01. RFX" u="1"/>
        <s v="sites/RGSales/Shared Documents/General/1.Open Opportunities/DHAXXX LH-04367 Two Senior Pega Analyst 202508/02. Response" u="1"/>
        <s v="sites/RGSales/Shared Documents/General/1.Open Opportunities/DHAXXX LH-04367 Two Senior Pega Analyst 202508/02. Response/Rumesh Ananda" u="1"/>
        <s v="sites/RGSales/Shared Documents/General/1.Open Opportunities/DHAXXX LH-04367 Two Senior Pega Analyst 202508/02. Response/Venkat M" u="1"/>
        <s v="sites/RGSales/Shared Documents/General/1.Open Opportunities/DHAXXX LH-04634 One Senior Pega Developer 202509" u="1"/>
        <s v="sites/RGSales/Shared Documents/General/1.Open Opportunities/DHAXXX LH-04634 One Senior Pega Developer 202509/01. RFX" u="1"/>
        <s v="sites/RGSales/Shared Documents/General/1.Open Opportunities/DHAXXX LH-04634 One Senior Pega Developer 202509/02. Response" u="1"/>
        <s v="sites/RGSales/Shared Documents/General/1.Open Opportunities/DHAXXX LH-04634 One Senior Pega Developer 202509/02. Response/Ahmed Ali" u="1"/>
        <s v="sites/RGSales/Shared Documents/General/1.Open Opportunities/DHAXXX LH-04634 One Senior Pega Developer 202509/02. Response/Lakshman Manda" u="1"/>
        <s v="sites/RGSales/Shared Documents/General/1.Open Opportunities/DHAXXX RFQ On-demand services for mainframe Capability 202511" u="1"/>
        <s v="sites/RGSales/Shared Documents/General/1.Open Opportunities/DHAXXX RFQ On-demand services for mainframe Capability 202511/01. RFX" u="1"/>
        <s v="sites/RGSales/Shared Documents/General/1.Open Opportunities/DHAXXX RFQ On-demand services for mainframe Capability 202511/02. Response" u="1"/>
        <s v="sites/RGSales/Shared Documents/General/1.Open Opportunities/DHAXXX RFQ On-demand services for mainframe Capability 202511/02. Response/CVs" u="1"/>
        <s v="sites/RGSales/Shared Documents/General/1.Open Opportunities/DHAXXX RFQ On-demand services for mainframe Capability 202511/99. Archive" u="1"/>
        <s v="sites/RGSales/Shared Documents/General/1.Open Opportunities/DHAXXX Servicenow - ESM Corporate - CCM Visa Citizenship - ERP" u="1"/>
        <s v="sites/RGSales/Shared Documents/General/1.Open Opportunities/DHAXXX Servicenow - ESM Corporate - CCM Visa Citizenship - ERP/02. Response" u="1"/>
        <s v="sites/RGSales/Shared Documents/General/1.Open Opportunities/DODXXX RFQ Workforce Prioritisation Workshops 202512" u="1"/>
        <s v="sites/RGSales/Shared Documents/General/1.Open Opportunities/DODXXX RFQ Workforce Prioritisation Workshops 202512/01. RFX" u="1"/>
        <s v="sites/RGSales/Shared Documents/General/1.Open Opportunities/DODXXX RFQ Workforce Prioritisation Workshops 202512/02. Response" u="1"/>
        <s v="sites/RGSales/Shared Documents/General/1.Open Opportunities/DODXXX RFQ Workforce Prioritisation Workshops 202512/02. Response/Servicenow material" u="1"/>
        <s v="sites/RGSales/Shared Documents/General/1.Open Opportunities/DOHXXX Servicenow - CSM Aged care - ESM Roll out" u="1"/>
        <s v="sites/RGSales/Shared Documents/General/1.Open Opportunities/DOWXXX RFQ Downer Front Door Shared Services 202602" u="1"/>
        <s v="sites/RGSales/Shared Documents/General/1.Open Opportunities/DOWXXX RFQ Downer Front Door Shared Services 202602/01. RFQ offical" u="1"/>
        <s v="sites/RGSales/Shared Documents/General/1.Open Opportunities/DOWXXX RFQ Downer Front Door Shared Services 202602/01. RFX" u="1"/>
        <s v="sites/RGSales/Shared Documents/General/1.Open Opportunities/DOWXXX RFQ Downer Front Door Shared Services 202602/02. Response" u="1"/>
        <s v="sites/RGSales/Shared Documents/General/1.Open Opportunities/DOWXXX RFQ Downer Front Door Shared Services 202602/02. Response to RFQ official" u="1"/>
        <s v="sites/RGSales/Shared Documents/General/1.Open Opportunities/DOWXXX RFQ Downer Front Door Shared Services 202602/Downer ServiceNow Open Opp" u="1"/>
        <s v="sites/RGSales/Shared Documents/General/1.Open Opportunities/DPSXXX RFQ Cyber Security Assessor 202601" u="1"/>
        <s v="sites/RGSales/Shared Documents/General/1.Open Opportunities/DPSXXX RFQ Cyber Security Assessor 202601/01. RFX" u="1"/>
        <s v="sites/RGSales/Shared Documents/General/1.Open Opportunities/DPSXXX RFQ Cyber Security Assessor 202601/02. Response" u="1"/>
        <s v="sites/RGSales/Shared Documents/General/1.Open Opportunities/DTAXXX RFQ ERP 202602" u="1"/>
        <s v="sites/RGSales/Shared Documents/General/1.Open Opportunities/DTAXXX RFQ ERP 202602/02. Response" u="1"/>
        <s v="sites/RGSales/Shared Documents/General/1.Open Opportunities/DTAXXX RFQ ERP 202602/DTAXXX RFI ERP Implementation 202501" u="1"/>
        <s v="sites/RGSales/Shared Documents/General/1.Open Opportunities/DTAXXX RFQ ERP 202602/DTAXXX RFI ERP Implementation 202501/00. Mgt" u="1"/>
        <s v="sites/RGSales/Shared Documents/General/1.Open Opportunities/DTAXXX RFQ ERP 202602/DTAXXX RFI ERP Implementation 202501/01. RFX" u="1"/>
        <s v="sites/RGSales/Shared Documents/General/1.Open Opportunities/DTAXXX RFQ ERP 202602/DTAXXX RFI ERP Implementation 202501/02. Response" u="1"/>
        <s v="sites/RGSales/Shared Documents/General/1.Open Opportunities/EDUXXX Childcare workforce screening" u="1"/>
        <s v="sites/RGSales/Shared Documents/General/1.Open Opportunities/EDUXXX Childcare workforce screening/02. Response" u="1"/>
        <s v="sites/RGSales/Shared Documents/General/1.Open Opportunities/FWO001-XX Digital Transformation CPBC - PoC" u="1"/>
        <s v="sites/RGSales/Shared Documents/General/1.Open Opportunities/FWO001-XX Digital Transformation CPBC - PoC/02. Response" u="1"/>
        <s v="sites/RGSales/Shared Documents/General/1.Open Opportunities/FWO001-XX Digital Transformation CPBC - Revision and Submission Support" u="1"/>
        <s v="sites/RGSales/Shared Documents/General/1.Open Opportunities/FWO001-XX Digital Transformation CPBC - Revision and Submission Support/01. RFX" u="1"/>
        <s v="sites/RGSales/Shared Documents/General/1.Open Opportunities/FWO001-XX Digital Transformation CPBC - Revision and Submission Support/02. Response" u="1"/>
        <s v="sites/RGSales/Shared Documents/General/1.Open Opportunities/FWO001-XX Digital Transformation CPBC - Revision and Submission Support/03. Contract" u="1"/>
        <s v="sites/RGSales/Shared Documents/General/1.Open Opportunities/FWOXXX ERP collaboration with T1" u="1"/>
        <s v="sites/RGSales/Shared Documents/General/1.Open Opportunities/FWOXXX ERP collaboration with T1/02. Response" u="1"/>
        <s v="sites/RGSales/Shared Documents/General/1.Open Opportunities/IND004-01 Portfolio Management (Jan-Jun Extension)" u="1"/>
        <s v="sites/RGSales/Shared Documents/General/1.Open Opportunities/IND004-01 Portfolio Management (Jan-Jun Extension)/02. Response" u="1"/>
        <s v="sites/RGSales/Shared Documents/General/1.Open Opportunities/INDXXX IRM BC and Licensing" u="1"/>
        <s v="sites/RGSales/Shared Documents/General/1.Open Opportunities/INDXXX IRM BC and Licensing/01. RFX" u="1"/>
        <s v="sites/RGSales/Shared Documents/General/1.Open Opportunities/INDXXX IRM BC and Licensing/02. Response" u="1"/>
        <s v="sites/RGSales/Shared Documents/General/1.Open Opportunities/ISYXXX RFQ DOD WP3 tranistion recompete HR modules" u="1"/>
        <s v="sites/RGSales/Shared Documents/General/1.Open Opportunities/ISYXXX RFQ DOD WP3 tranistion recompete HR modules/02. Response" u="1"/>
        <s v="sites/RGSales/Shared Documents/General/1.Open Opportunities/LAB001-01 DCC Program Plan (Extension)" u="1"/>
        <s v="sites/RGSales/Shared Documents/General/1.Open Opportunities/LAB001-01 DCC Program Plan (Extension)/02. Response" u="1"/>
        <s v="sites/RGSales/Shared Documents/General/1.Open Opportunities/LABXXX AFMA Various Services mini panel drawdowns" u="1"/>
        <s v="sites/RGSales/Shared Documents/General/1.Open Opportunities/LABXXX AFMA Various Services mini panel drawdowns/02. Response" u="1"/>
        <s v="sites/RGSales/Shared Documents/General/1.Open Opportunities/NSWXXX Dept. of Transport Engagement Strategy" u="1"/>
        <s v="sites/RGSales/Shared Documents/General/1.Open Opportunities/NSWXXX Dept. of Transport Engagement Strategy/02. Response" u="1"/>
        <s v="sites/RGSales/Shared Documents/General/1.Open Opportunities/PACTXXX SAP Enhancement" u="1"/>
        <s v="sites/RGSales/Shared Documents/General/1.Open Opportunities/PACTXXX SAP Enhancement/02. Response" u="1"/>
        <s v="sites/RGSales/Shared Documents/General/1.Open Opportunities/PANEL ACT Professional Advisory Services 202412" u="1"/>
        <s v="sites/RGSales/Shared Documents/General/1.Open Opportunities/PANEL ACT Professional Advisory Services 202412/00. Mgt" u="1"/>
        <s v="sites/RGSales/Shared Documents/General/1.Open Opportunities/PANEL ACT Professional Advisory Services 202412/01. RFX" u="1"/>
        <s v="sites/RGSales/Shared Documents/General/1.Open Opportunities/PANEL ACT Professional Advisory Services 202412/02. Response" u="1"/>
        <s v="sites/RGSales/Shared Documents/General/1.Open Opportunities/PANEL DMP2 New Module 3 Cloud &amp; Software" u="1"/>
        <s v="sites/RGSales/Shared Documents/General/1.Open Opportunities/PANEL DMP2 New Module 3 Cloud &amp; Software/01. RFX" u="1"/>
        <s v="sites/RGSales/Shared Documents/General/1.Open Opportunities/PANEL DMP2 New Module 3 Cloud &amp; Software/02. Response" u="1"/>
        <s v="sites/RGSales/Shared Documents/General/1.Open Opportunities/PANEL People DOF Phase 3 - Professional Contractor Services" u="1"/>
        <s v="sites/RGSales/Shared Documents/General/1.Open Opportunities/PANEL People DOF Phase 3 - Professional Contractor Services/01. RFX" u="1"/>
        <s v="sites/RGSales/Shared Documents/General/1.Open Opportunities/PANEL People DOF Phase 3 - Professional Contractor Services/02. Response" u="1"/>
        <s v="sites/RGSales/Shared Documents/General/1.Open Opportunities/PANEL People DOF Phase 3 - Professional Contractor Services/99. Archive" u="1"/>
        <s v="sites/RGSales/Shared Documents/General/1.Open Opportunities/PANEL People DOF Phase 3 - Professional Contractor Services/PANEL MAS Corporate &amp; Commercial Refresh" u="1"/>
        <s v="sites/RGSales/Shared Documents/General/1.Open Opportunities/PANEL RBA Consulting Panel 202511" u="1"/>
        <s v="sites/RGSales/Shared Documents/General/1.Open Opportunities/PANEL RBA Consulting Panel 202511/00. Mgt" u="1"/>
        <s v="sites/RGSales/Shared Documents/General/1.Open Opportunities/PANEL RBA Consulting Panel 202511/01. RFX" u="1"/>
        <s v="sites/RGSales/Shared Documents/General/1.Open Opportunities/PANEL RBA Consulting Panel 202511/02. Response" u="1"/>
        <s v="sites/RGSales/Shared Documents/General/1.Open Opportunities/PANEL RBA Consulting Panel 202511/99. Archive" u="1"/>
        <s v="sites/RGSales/Shared Documents/General/1.Open Opportunities/PANEL Refresh DOF MAS Corp and Comm Servs 202502" u="1"/>
        <s v="sites/RGSales/Shared Documents/General/1.Open Opportunities/PANEL Refresh DOF MAS Corp and Comm Servs 202502/00. Mgt" u="1"/>
        <s v="sites/RGSales/Shared Documents/General/1.Open Opportunities/PANEL Refresh DOF MAS Corp and Comm Servs 202502/01. RFX" u="1"/>
        <s v="sites/RGSales/Shared Documents/General/1.Open Opportunities/PANEL Refresh DOF MAS Corp and Comm Servs 202502/02. Response" u="1"/>
        <s v="sites/RGSales/Shared Documents/General/1.Open Opportunities/PANEL Refresh DOF MAS Corp and Comm Servs 202502/99. Archive" u="1"/>
        <s v="sites/RGSales/Shared Documents/General/1.Open Opportunities/PANEL VIC DJSIR mini panel" u="1"/>
        <s v="sites/RGSales/Shared Documents/General/1.Open Opportunities/PANEL VIC DJSIR mini panel/00. Mgt" u="1"/>
        <s v="sites/RGSales/Shared Documents/General/1.Open Opportunities/PANEL VIC DJSIR mini panel/02. Response" u="1"/>
        <s v="sites/RGSales/Shared Documents/General/1.Open Opportunities/PANEL VIC HSV Asset Management Software 202602" u="1"/>
        <s v="sites/RGSales/Shared Documents/General/1.Open Opportunities/PANEL VIC HSV Asset Management Software 202602/00. Mgt" u="1"/>
        <s v="sites/RGSales/Shared Documents/General/1.Open Opportunities/PANEL VIC HSV Asset Management Software 202602/01. RFX" u="1"/>
        <s v="sites/RGSales/Shared Documents/General/1.Open Opportunities/PANEL VIC HSV Asset Management Software 202602/02. Response" u="1"/>
        <s v="sites/RGSales/Shared Documents/General/1.Open Opportunities/PANEL VIC HSV Asset Management Software 202602/VICXXX RFI HSV Asset Management Software 202510" u="1"/>
        <s v="sites/RGSales/Shared Documents/General/1.Open Opportunities/PANEL VIC HSV Asset Management Software 202602/VICXXX RFI HSV Asset Management Software 202510/01. RFX" u="1"/>
        <s v="sites/RGSales/Shared Documents/General/1.Open Opportunities/PANEL VIC HSV Asset Management Software 202602/VICXXX RFI HSV Asset Management Software 202510/02. Response" u="1"/>
        <s v="sites/RGSales/Shared Documents/General/1.Open Opportunities/PANEL Vic SRO ICT Supplier Panel 202510" u="1"/>
        <s v="sites/RGSales/Shared Documents/General/1.Open Opportunities/PANEL Vic SRO ICT Supplier Panel 202510/01. RFX" u="1"/>
        <s v="sites/RGSales/Shared Documents/General/1.Open Opportunities/PANEL Vic SRO ICT Supplier Panel 202510/02. Response" u="1"/>
        <s v="sites/RGSales/Shared Documents/General/1.Open Opportunities/PANEL Vic SRO ICT Supplier Panel 202510/02. Response/CVs" u="1"/>
        <s v="sites/RGSales/Shared Documents/General/1.Open Opportunities/PANEL Vic SRO ICT Supplier Panel 202510/99. Archive" u="1"/>
        <s v="sites/RGSales/Shared Documents/General/1.Open Opportunities/QLDXXX Treasury and City Councils SAP Engagement Strategy" u="1"/>
        <s v="sites/RGSales/Shared Documents/General/1.Open Opportunities/QLDXXX Treasury and City Councils SAP Engagement Strategy/02. Response" u="1"/>
        <s v="sites/RGSales/Shared Documents/General/1.Open Opportunities/SAU045-XX Senior Technology Architect (Sidd)" u="1"/>
        <s v="sites/RGSales/Shared Documents/General/1.Open Opportunities/SAU045-XX Senior Technology Architect (Sidd)/02. Response" u="1"/>
        <s v="sites/RGSales/Shared Documents/General/1.Open Opportunities/SAU046-XX Delivery Manager (Alex)" u="1"/>
        <s v="sites/RGSales/Shared Documents/General/1.Open Opportunities/SAU052-XX Senior Solution Architect (Aniket)" u="1"/>
        <s v="sites/RGSales/Shared Documents/General/1.Open Opportunities/SAU052-XX Senior Solution Architect (Aniket)/02. Response" u="1"/>
        <s v="sites/RGSales/Shared Documents/General/1.Open Opportunities/SAUXXX - Confluent" u="1"/>
        <s v="sites/RGSales/Shared Documents/General/1.Open Opportunities/SAUXXX - Confluent/02. Response" u="1"/>
        <s v="sites/RGSales/Shared Documents/General/1.Open Opportunities/SAUXXX BRE POC and Support" u="1"/>
        <s v="sites/RGSales/Shared Documents/General/1.Open Opportunities/SAUXXX BRE POC and Support/02. Response" u="1"/>
        <s v="sites/RGSales/Shared Documents/General/1.Open Opportunities/SAUXXX BRE POC and Support/02. Response/Process Direct" u="1"/>
        <s v="sites/RGSales/Shared Documents/General/1.Open Opportunities/SAUXXX Process Direct Support" u="1"/>
        <s v="sites/RGSales/Shared Documents/General/1.Open Opportunities/SAUXXX Process Direct Support/02. Response" u="1"/>
        <s v="sites/RGSales/Shared Documents/General/1.Open Opportunities/SAUXXX Process Direct Support/02. Response/Process Direct" u="1"/>
        <s v="sites/RGSales/Shared Documents/General/1.Open Opportunities/SAUXXX SPES Micro-Panel - RFQLH-02700 EL1 Senior Software Engineer" u="1"/>
        <s v="sites/RGSales/Shared Documents/General/1.Open Opportunities/SAUXXX SPES Micro-Panel - RFQLH-02700 EL1 Senior Software Engineer/02. Response" u="1"/>
        <s v="sites/RGSales/Shared Documents/General/1.Open Opportunities/SAUXXX SPES Micro-Panel - RFQLH-02700 EL1 Senior Software Engineer/SAUXXX RFQLH-02700 EL1 Senior Software Engineer" u="1"/>
        <s v="sites/RGSales/Shared Documents/General/1.Open Opportunities/SAUXXX SPES Micro-Panel - RFQLH-02700 EL1 Senior Software Engineer/SAUXXX RFQLH-02700 EL1 Senior Software Engineer/00. Mgt" u="1"/>
        <s v="sites/RGSales/Shared Documents/General/1.Open Opportunities/SAUXXX SPES Micro-Panel - RFQLH-02700 EL1 Senior Software Engineer/SAUXXX RFQLH-02700 EL1 Senior Software Engineer/00. Mgt/CV's" u="1"/>
        <s v="sites/RGSales/Shared Documents/General/1.Open Opportunities/SAUXXX SPES Micro-Panel - RFQLH-02700 EL1 Senior Software Engineer/SAUXXX RFQLH-02700 EL1 Senior Software Engineer/01. RFX" u="1"/>
        <s v="sites/RGSales/Shared Documents/General/1.Open Opportunities/SAUXXX SPES Micro-Panel - RFQLH-02700 EL1 Senior Software Engineer/SAUXXX RFQLH-02700 EL1 Senior Software Engineer/02. Response" u="1"/>
        <s v="sites/RGSales/Shared Documents/General/1.Open Opportunities/SAUXXX SPES Micro-Panel - RFQLH-02700 EL1 Senior Software Engineer/SAUXXX RFQLH-02700 EL1 Senior Software Engineer/SAUXXX Aged Care SAP PSCD Social Services" u="1"/>
        <s v="sites/RGSales/Shared Documents/General/1.Open Opportunities/SAUXXX SPES Micro-Panel - RFQLH-02700 EL1 Senior Software Engineer/SAUXXX RFQLH-02700 EL1 Senior Software Engineer/SAUXXX Aged Care SAP PSCD Social Services/02. Response" u="1"/>
        <s v="sites/RGSales/Shared Documents/General/1.Open Opportunities/SAUXXX Unsolicited Proposal - Cyber Business Case" u="1"/>
        <s v="sites/RGSales/Shared Documents/General/1.Open Opportunities/SAUXXX Unsolicited Proposal - Cyber Business Case/02. Response" u="1"/>
        <s v="sites/RGSales/Shared Documents/General/1.Open Opportunities/TASXXX Emergency Services and Police Engagement Strategy" u="1"/>
        <s v="sites/RGSales/Shared Documents/General/1.Open Opportunities/TASXXX Emergency Services and Police Engagement Strategy/02. Response" u="1"/>
        <s v="sites/RGSales/Shared Documents/General/1.Open Opportunities/TECXXX ANAO ERP TechOne PLACEHOLDER" u="1"/>
        <s v="sites/RGSales/Shared Documents/General/1.Open Opportunities/TECXXX ANAO ERP TechOne PLACEHOLDER/02. Response" u="1"/>
        <s v="sites/RGSales/Shared Documents/General/1.Open Opportunities/TECXXX DEWR DE RFQ ERP 202510" u="1"/>
        <s v="sites/RGSales/Shared Documents/General/1.Open Opportunities/TECXXX DEWR DE RFQ ERP 202510/00. Mgt" u="1"/>
        <s v="sites/RGSales/Shared Documents/General/1.Open Opportunities/TECXXX DEWR DE RFQ ERP 202510/01. RFX" u="1"/>
        <s v="sites/RGSales/Shared Documents/General/1.Open Opportunities/TECXXX DEWR DE RFQ ERP 202510/02. Response" u="1"/>
        <s v="sites/RGSales/Shared Documents/General/1.Open Opportunities/TECXXX DEWR DE RFQ ERP 202510/02. Response/Reference Material" u="1"/>
        <s v="sites/RGSales/Shared Documents/General/1.Open Opportunities/TECXXX DEWR DE RFQ ERP 202510/99. Archive" u="1"/>
        <s v="sites/RGSales/Shared Documents/General/1.Open Opportunities/TECXXX DOF ERP TechOne PLACEHOLDER" u="1"/>
        <s v="sites/RGSales/Shared Documents/General/1.Open Opportunities/TECXXX DOF ERP TechOne PLACEHOLDER/02. Response" u="1"/>
        <s v="sites/RGSales/Shared Documents/General/1.Open Opportunities/TECXXX INF RFQ TechOne - ERP Products, Implementation, Operational" u="1"/>
        <s v="sites/RGSales/Shared Documents/General/1.Open Opportunities/TECXXX INF RFQ TechOne - ERP Products, Implementation, Operational/00. Mgt" u="1"/>
        <s v="sites/RGSales/Shared Documents/General/1.Open Opportunities/TECXXX INF RFQ TechOne - ERP Products, Implementation, Operational/01. RFX" u="1"/>
        <s v="sites/RGSales/Shared Documents/General/1.Open Opportunities/TECXXX INF RFQ TechOne - ERP Products, Implementation, Operational/02. Response" u="1"/>
        <s v="sites/RGSales/Shared Documents/General/1.Open Opportunities/TECXXX INF RFQ TechOne - ERP Products, Implementation, Operational/02. Response/FINAL DOCS" u="1"/>
        <s v="sites/RGSales/Shared Documents/General/1.Open Opportunities/TECXXX INF RFQ TechOne - ERP Products, Implementation, Operational/03. Contract" u="1"/>
        <s v="sites/RGSales/Shared Documents/General/1.Open Opportunities/TECXXX INF RFQ TechOne - ERP Products, Implementation, Operational/99. Archive" u="1"/>
        <s v="sites/RGSales/Shared Documents/General/1.Open Opportunities/TECXXX NIAA ERP TechOne PLACEHOLDER" u="1"/>
        <s v="sites/RGSales/Shared Documents/General/1.Open Opportunities/TECXXX NIAA ERP TechOne PLACEHOLDER/02. Response" u="1"/>
        <s v="sites/RGSales/Shared Documents/General/1.Open Opportunities/TECXXX NMA RFQ FMIS" u="1"/>
        <s v="sites/RGSales/Shared Documents/General/1.Open Opportunities/TECXXX NMA RFQ FMIS/02. Response" u="1"/>
        <s v="sites/RGSales/Shared Documents/General/1.Open Opportunities/TECXXX NMA RFQ FMIS/NMAXXX RFQ Financial Management Information System 202411" u="1"/>
        <s v="sites/RGSales/Shared Documents/General/1.Open Opportunities/TECXXX NMA RFQ FMIS/NMAXXX RFQ Financial Management Information System 202411/01. RFX" u="1"/>
        <s v="sites/RGSales/Shared Documents/General/1.Open Opportunities/TECXXX NMA RFQ FMIS/NMAXXX RFQ Financial Management Information System 202411/02. Response" u="1"/>
        <s v="sites/RGSales/Shared Documents/General/1.Open Opportunities/TSYXXX ROI ESM Solution Replacement 202512" u="1"/>
        <s v="sites/RGSales/Shared Documents/General/1.Open Opportunities/TSYXXX ROI ESM Solution Replacement 202512/00. Mgt" u="1"/>
        <s v="sites/RGSales/Shared Documents/General/1.Open Opportunities/TSYXXX ROI ESM Solution Replacement 202512/01. RFX" u="1"/>
        <s v="sites/RGSales/Shared Documents/General/1.Open Opportunities/TSYXXX ROI ESM Solution Replacement 202512/02. Response" u="1"/>
        <s v="sites/RGSales/Shared Documents/General/1.Open Opportunities/TSYXXX ROI ESM Solution Replacement 202512/02. Response/Attachments" u="1"/>
        <s v="sites/RGSales/Shared Documents/General/1.Open Opportunities/TSYXXX ROI ESM Solution Replacement 202512/02. Response/ServiceNow response" u="1"/>
        <s v="sites/RGSales/Shared Documents/General/1.Open Opportunities/TSYXXX ROI ESM Solution Replacement 202512/02. Response/ServiceNow response/Old versions" u="1"/>
        <s v="sites/RGSales/Shared Documents/General/1.Open Opportunities/VAT 1 DAFF - RFI, FYI, Ideas" u="1"/>
        <s v="sites/RGSales/Shared Documents/General/1.Open Opportunities/VAT 1 DAFF - RFI, FYI, Ideas/00. Mgt" u="1"/>
        <s v="sites/RGSales/Shared Documents/General/1.Open Opportunities/VAT 1 DAFF - RFI, FYI, Ideas/DAFXXX 500K Verified Credential Trade use case pilot 202408" u="1"/>
        <s v="sites/RGSales/Shared Documents/General/1.Open Opportunities/VAT 1 DAFF - RFI, FYI, Ideas/DAFXXX 500K Verified Credential Trade use case pilot 202408/02. Response" u="1"/>
        <s v="sites/RGSales/Shared Documents/General/1.Open Opportunities/VAT 1 DAFF - RFI, FYI, Ideas/DAFXXX APVMA Shared Service application bundle 202410" u="1"/>
        <s v="sites/RGSales/Shared Documents/General/1.Open Opportunities/VAT 1 DAFF - RFI, FYI, Ideas/DAFXXX APVMA Shared Service application bundle 202410/02. Response" u="1"/>
        <s v="sites/RGSales/Shared Documents/General/1.Open Opportunities/VAT 1 DAFF - RFI, FYI, Ideas/DAFXXX Automated Decision Making Support" u="1"/>
        <s v="sites/RGSales/Shared Documents/General/1.Open Opportunities/VAT 1 DAFF - RFI, FYI, Ideas/DAFXXX Automated Decision Making Support/02. Response" u="1"/>
        <s v="sites/RGSales/Shared Documents/General/1.Open Opportunities/VAT 1 DAFF - RFI, FYI, Ideas/DAFXXX BICON redev Rules Engine - ID005 Decisively 202405" u="1"/>
        <s v="sites/RGSales/Shared Documents/General/1.Open Opportunities/VAT 1 DAFF - RFI, FYI, Ideas/DAFXXX Comeback and Investments Support – Funding Prioritisation" u="1"/>
        <s v="sites/RGSales/Shared Documents/General/1.Open Opportunities/VAT 1 DAFF - RFI, FYI, Ideas/DAFXXX Comeback and Investments Support – Funding Prioritisation/02. Response" u="1"/>
        <s v="sites/RGSales/Shared Documents/General/1.Open Opportunities/VAT 1 DAFF - RFI, FYI, Ideas/DAFXXX Data and Digital Strategy" u="1"/>
        <s v="sites/RGSales/Shared Documents/General/1.Open Opportunities/VAT 1 DAFF - RFI, FYI, Ideas/DAFXXX Data and Digital Strategy/02. Response" u="1"/>
        <s v="sites/RGSales/Shared Documents/General/1.Open Opportunities/VAT 1 DAFF - RFI, FYI, Ideas/DAFXXX DBD Cyber Backlog" u="1"/>
        <s v="sites/RGSales/Shared Documents/General/1.Open Opportunities/VAT 1 DAFF - RFI, FYI, Ideas/DAFXXX DBD Cyber Backlog/02. Response" u="1"/>
        <s v="sites/RGSales/Shared Documents/General/1.Open Opportunities/VAT 1 DAFF - RFI, FYI, Ideas/DAFXXX Digital Sustainment Model" u="1"/>
        <s v="sites/RGSales/Shared Documents/General/1.Open Opportunities/VAT 1 DAFF - RFI, FYI, Ideas/DAFXXX Digital Sustainment Model/02. Response" u="1"/>
        <s v="sites/RGSales/Shared Documents/General/1.Open Opportunities/VAT 1 DAFF - RFI, FYI, Ideas/DAFXXX EOI Laboratory Info Mgt Systems LIMS 202507" u="1"/>
        <s v="sites/RGSales/Shared Documents/General/1.Open Opportunities/VAT 1 DAFF - RFI, FYI, Ideas/DAFXXX EOI Laboratory Info Mgt Systems LIMS 202507/01. RFX" u="1"/>
        <s v="sites/RGSales/Shared Documents/General/1.Open Opportunities/VAT 1 DAFF - RFI, FYI, Ideas/DAFXXX EOI Laboratory Info Mgt Systems LIMS 202507/02. Response" u="1"/>
        <s v="sites/RGSales/Shared Documents/General/1.Open Opportunities/VAT 1 DAFF - RFI, FYI, Ideas/DAFXXX ERP TechOne RESOURCES PLACEHOLDER" u="1"/>
        <s v="sites/RGSales/Shared Documents/General/1.Open Opportunities/VAT 1 DAFF - RFI, FYI, Ideas/DAFXXX ERP TechOne RESOURCES PLACEHOLDER/02. Response" u="1"/>
        <s v="sites/RGSales/Shared Documents/General/1.Open Opportunities/VAT 1 DAFF - RFI, FYI, Ideas/DAFXXX Export Service User Request - POV - Servicenow" u="1"/>
        <s v="sites/RGSales/Shared Documents/General/1.Open Opportunities/VAT 1 DAFF - RFI, FYI, Ideas/DAFXXX Export Service User Request - POV - Servicenow/02. Response" u="1"/>
        <s v="sites/RGSales/Shared Documents/General/1.Open Opportunities/VAT 1 DAFF - RFI, FYI, Ideas/DAFXXX Export Service User Request - POV - Servicenow/99. Archive" u="1"/>
        <s v="sites/RGSales/Shared Documents/General/1.Open Opportunities/VAT 1 DAFF - RFI, FYI, Ideas/DAFXXX IdAM Approach" u="1"/>
        <s v="sites/RGSales/Shared Documents/General/1.Open Opportunities/VAT 1 DAFF - RFI, FYI, Ideas/DAFXXX IdAM Approach/02. Response" u="1"/>
        <s v="sites/RGSales/Shared Documents/General/1.Open Opportunities/VAT 1 DAFF - RFI, FYI, Ideas/DAFXXX IdAM Approach/AUPXXX Servicenow - CSM" u="1"/>
        <s v="sites/RGSales/Shared Documents/General/1.Open Opportunities/VAT 1 DAFF - RFI, FYI, Ideas/DAFXXX IdAM Approach/AUPXXX Servicenow - CSM/02. Response" u="1"/>
        <s v="sites/RGSales/Shared Documents/General/1.Open Opportunities/VAT 1 DAFF - RFI, FYI, Ideas/DAFXXX Industry API delivery" u="1"/>
        <s v="sites/RGSales/Shared Documents/General/1.Open Opportunities/VAT 1 DAFF - RFI, FYI, Ideas/DAFXXX Industry API delivery/02. Response" u="1"/>
        <s v="sites/RGSales/Shared Documents/General/1.Open Opportunities/VAT 1 DAFF - RFI, FYI, Ideas/DAFXXX Industry Engagement and Adoption" u="1"/>
        <s v="sites/RGSales/Shared Documents/General/1.Open Opportunities/VAT 1 DAFF - RFI, FYI, Ideas/DAFXXX Industry Engagement and Adoption/02. Response" u="1"/>
        <s v="sites/RGSales/Shared Documents/General/1.Open Opportunities/VAT 1 DAFF - RFI, FYI, Ideas/DAFXXX MICOR Rules engine - ID006 Decisively 202405" u="1"/>
        <s v="sites/RGSales/Shared Documents/General/1.Open Opportunities/VAT 1 DAFF - RFI, FYI, Ideas/DAFXXX Project forensic analysis services 202405" u="1"/>
        <s v="sites/RGSales/Shared Documents/General/1.Open Opportunities/VAT 1 DAFF - RFI, FYI, Ideas/DAFXXX Review of DBD Operating Model and Reuse Assessment" u="1"/>
        <s v="sites/RGSales/Shared Documents/General/1.Open Opportunities/VAT 1 DAFF - RFI, FYI, Ideas/DAFXXX Review of DBD Operating Model and Reuse Assessment/02. Response" u="1"/>
        <s v="sites/RGSales/Shared Documents/General/1.Open Opportunities/VAT 1 DAFF - RFI, FYI, Ideas/DAFXXX RFT Bundle 6 ICT Digital staff augmentation" u="1"/>
        <s v="sites/RGSales/Shared Documents/General/1.Open Opportunities/VAT 1 DAFF - RFI, FYI, Ideas/DAFXXX ServiceNow Integrated Workspace for Export (TFTM) Services" u="1"/>
        <s v="sites/RGSales/Shared Documents/General/1.Open Opportunities/VAT 1 DAFF - RFI, FYI, Ideas/DAFXXX ServiceNow Integrated Workspace for Export (TFTM) Services/01. RFX" u="1"/>
        <s v="sites/RGSales/Shared Documents/General/1.Open Opportunities/VAT 1 DAFF - RFI, FYI, Ideas/DAFXXX ServiceNow Integrated Workspace for Export (TFTM) Services/02. Response" u="1"/>
        <s v="sites/RGSales/Shared Documents/General/1.Open Opportunities/VAT 1 DAFF - RFI, FYI, Ideas/DAFXXX ServiceNow Integrated Workspace for Export (TFTM) Services/99. Archive" u="1"/>
        <s v="sites/RGSales/Shared Documents/General/1.Open Opportunities/VAT 1 DAFF - RFI, FYI, Ideas/DAFXXX ServiceNow Service Desk Consolidation (BICON and NEXDOC-EXDOC" u="1"/>
        <s v="sites/RGSales/Shared Documents/General/1.Open Opportunities/VAT 1 DAFF - RFI, FYI, Ideas/DAFXXX ServiceNow Service Desk Consolidation (BICON and NEXDOC-EXDOC/02. Response" u="1"/>
        <s v="sites/RGSales/Shared Documents/General/1.Open Opportunities/VAT 1 DAFF - RFI, FYI, Ideas/DAFXXX SoE Pilot1" u="1"/>
        <s v="sites/RGSales/Shared Documents/General/1.Open Opportunities/VAT 1 DAFF - RFI, FYI, Ideas/DAFXXX SoE Pilot1/02. Response" u="1"/>
        <s v="sites/RGSales/Shared Documents/General/1.Open Opportunities/VAT 1 DAFF - RFI, FYI, Ideas/DAFXXX STEPS Experience redesign on ServiceNow" u="1"/>
        <s v="sites/RGSales/Shared Documents/General/1.Open Opportunities/VAT 1 DAFF - RFI, FYI, Ideas/DAFXXX STEPS Experience redesign on ServiceNow/02. Response" u="1"/>
        <s v="sites/RGSales/Shared Documents/General/1.Open Opportunities/VAT 1 DAFF - RFI, FYI, Ideas/DAFXXX STEPS Gateway Planning and Prep" u="1"/>
        <s v="sites/RGSales/Shared Documents/General/1.Open Opportunities/VAT 1 DAFF - RFI, FYI, Ideas/DAFXXX STEPS Gateway Planning and Prep/02. Response" u="1"/>
        <s v="sites/RGSales/Shared Documents/General/1.Open Opportunities/VAT 1 DAFF - RFI, FYI, Ideas/DAFXXX STEPS Parallel Delivery Accelerator" u="1"/>
        <s v="sites/RGSales/Shared Documents/General/1.Open Opportunities/VAT 1 DAFF - RFI, FYI, Ideas/DAFXXX STEPS Parallel Delivery Accelerator/02. Response" u="1"/>
        <s v="sites/RGSales/Shared Documents/General/1.Open Opportunities/VAT 1 DAFF - RFI, FYI, Ideas/DAFXXX STEPS Parallel Delivery F-Ruler" u="1"/>
        <s v="sites/RGSales/Shared Documents/General/1.Open Opportunities/VAT 1 DAFF - RFI, FYI, Ideas/DAFXXX STEPS Parallel Delivery F-Ruler/02. Response" u="1"/>
        <s v="sites/RGSales/Shared Documents/General/1.Open Opportunities/VAT 1 DAFF - RFI, FYI, Ideas/DAFXXX Tech Reuse - audit platform" u="1"/>
        <s v="sites/RGSales/Shared Documents/General/1.Open Opportunities/VAT 1 DAFF - RFI, FYI, Ideas/DAFXXX Tech Reuse - audit platform/02. Response" u="1"/>
        <s v="sites/RGSales/Shared Documents/General/1.Open Opportunities/VAT 1 DAFF - RFI, FYI, Ideas/DAFXXX Tech Reuse - trade portal" u="1"/>
        <s v="sites/RGSales/Shared Documents/General/1.Open Opportunities/VAT 1 DAFF - RFI, FYI, Ideas/DAFXXX Tech Reuse - trade portal/02. Response" u="1"/>
        <s v="sites/RGSales/Shared Documents/General/1.Open Opportunities/VAT 1 DAFF - RFI, FYI, Ideas/DAFXXX Tech Reuse - workforce, workload, scheduling mgt" u="1"/>
        <s v="sites/RGSales/Shared Documents/General/1.Open Opportunities/VAT 1 DAFF - RFI, FYI, Ideas/DAFXXX Tech Reuse - workforce, workload, scheduling mgt/02. Response" u="1"/>
        <s v="sites/RGSales/Shared Documents/General/1.Open Opportunities/VAT 1 DAFF - RFI, FYI, Ideas/DAFXXX TFTM True Up" u="1"/>
        <s v="sites/RGSales/Shared Documents/General/1.Open Opportunities/VAT 1 DAFF - RFI, FYI, Ideas/DAFXXX TFTM True Up/02. Response" u="1"/>
        <s v="sites/RGSales/Shared Documents/General/1.Open Opportunities/VAT 1 DAFF - RFI, FYI, Ideas/DAFXXX TFTM-STEPS Channel Strategy follow up" u="1"/>
        <s v="sites/RGSales/Shared Documents/General/1.Open Opportunities/VAT 1 DAFF - RFI, FYI, Ideas/DAFXXX TFTM-STEPS Channel Strategy follow up/02. Response" u="1"/>
        <s v="sites/RGSales/Shared Documents/General/1.Open Opportunities/VAT 1 DAFF - RFI, FYI, Ideas/GRDXXX Business &amp; Technology Transformation" u="1"/>
        <s v="sites/RGSales/Shared Documents/General/1.Open Opportunities/VAT 1 DAFF - RFI, FYI, Ideas/GRDXXX Business &amp; Technology Transformation/01. RFX" u="1"/>
        <s v="sites/RGSales/Shared Documents/General/1.Open Opportunities/VAT 1 DAFF - RFI, FYI, Ideas/GRDXXX Business &amp; Technology Transformation/02. Response" u="1"/>
        <s v="sites/RGSales/Shared Documents/General/1.Open Opportunities/VAT 1 DAFF - RFI, FYI, Ideas/GRDXXX ICT foundations and stabilisation roadmap" u="1"/>
        <s v="sites/RGSales/Shared Documents/General/1.Open Opportunities/VAT 1 DAFF - RFI, FYI, Ideas/GRDXXX ICT foundations and stabilisation roadmap/01. RFX" u="1"/>
        <s v="sites/RGSales/Shared Documents/General/1.Open Opportunities/VAT 1 DAFF - RFI, FYI, Ideas/GRDXXX ICT foundations and stabilisation roadmap/02. Response" u="1"/>
        <s v="sites/RGSales/Shared Documents/General/1.Open Opportunities/VAT 2 SAU - RFI, FYI, Ideas" u="1"/>
        <s v="sites/RGSales/Shared Documents/General/1.Open Opportunities/VAT 2 SAU - RFI, FYI, Ideas/00. Mgt" u="1"/>
        <s v="sites/RGSales/Shared Documents/General/1.Open Opportunities/VAT 2 SAU - RFI, FYI, Ideas/DVAXXX Reforms" u="1"/>
        <s v="sites/RGSales/Shared Documents/General/1.Open Opportunities/VAT 2 SAU - RFI, FYI, Ideas/SAUXXX Aged Care CRM S4 Migration PoC" u="1"/>
        <s v="sites/RGSales/Shared Documents/General/1.Open Opportunities/VAT 2 SAU - RFI, FYI, Ideas/SAUXXX Aged Care CRM S4 Migration PoC/02. Response" u="1"/>
        <s v="sites/RGSales/Shared Documents/General/1.Open Opportunities/VAT 2 SAU - RFI, FYI, Ideas/SAUXXX Architecture Review Task Force" u="1"/>
        <s v="sites/RGSales/Shared Documents/General/1.Open Opportunities/VAT 2 SAU - RFI, FYI, Ideas/SAUXXX Architecture Review Task Force/02. Response" u="1"/>
        <s v="sites/RGSales/Shared Documents/General/1.Open Opportunities/VAT 2 SAU - RFI, FYI, Ideas/SAUXXX Centrelink Legacy Services Proposal" u="1"/>
        <s v="sites/RGSales/Shared Documents/General/1.Open Opportunities/VAT 2 SAU - RFI, FYI, Ideas/SAUXXX Centrelink Legacy Services Proposal/02. Response" u="1"/>
        <s v="sites/RGSales/Shared Documents/General/1.Open Opportunities/VAT 2 SAU - RFI, FYI, Ideas/SAUXXX CEO Reform Presentation" u="1"/>
        <s v="sites/RGSales/Shared Documents/General/1.Open Opportunities/VAT 2 SAU - RFI, FYI, Ideas/SAUXXX CEO Reform Presentation/00. Mgt" u="1"/>
        <s v="sites/RGSales/Shared Documents/General/1.Open Opportunities/VAT 2 SAU - RFI, FYI, Ideas/SAUXXX CEO Reform Presentation/02. Response" u="1"/>
        <s v="sites/RGSales/Shared Documents/General/1.Open Opportunities/VAT 2 SAU - RFI, FYI, Ideas/SAUXXX Clear Dynamics Clone to Cloud PoC CD-OM5" u="1"/>
        <s v="sites/RGSales/Shared Documents/General/1.Open Opportunities/VAT 2 SAU - RFI, FYI, Ideas/SAUXXX Clear Dynamics Clone to Cloud PoC CD-OM5/02. Response" u="1"/>
        <s v="sites/RGSales/Shared Documents/General/1.Open Opportunities/VAT 2 SAU - RFI, FYI, Ideas/SAUXXX Clear Dynamics Clone to Cloud PoC CD-OM5/SAUXXX Explore CD Use case Architecture 202408" u="1"/>
        <s v="sites/RGSales/Shared Documents/General/1.Open Opportunities/VAT 2 SAU - RFI, FYI, Ideas/SAUXXX Clear Dynamics Clone to Cloud PoC CD-OM5/SAUXXX Explore CD Use case Architecture 202408/02. Response" u="1"/>
        <s v="sites/RGSales/Shared Documents/General/1.Open Opportunities/VAT 2 SAU - RFI, FYI, Ideas/SAUXXX- LH  Merit Listed People SPES" u="1"/>
        <s v="sites/RGSales/Shared Documents/General/1.Open Opportunities/VAT 2 SAU - RFI, FYI, Ideas/SAUXXX- LH  Merit Listed People SPES/02. Response" u="1"/>
        <s v="sites/RGSales/Shared Documents/General/1.Open Opportunities/VAT 2 SAU - RFI, FYI, Ideas/SAUXXX Medicare Master Program - ID004 Decisively 202307" u="1"/>
        <s v="sites/RGSales/Shared Documents/General/1.Open Opportunities/VAT 2 SAU - RFI, FYI, Ideas/SAUXXX myGov Capability Uplift (MYEFO measure)" u="1"/>
        <s v="sites/RGSales/Shared Documents/General/1.Open Opportunities/VAT 2 SAU - RFI, FYI, Ideas/SAUXXX myGov sustain, integ, enh (Budget measure)" u="1"/>
        <s v="sites/RGSales/Shared Documents/General/1.Open Opportunities/VAT 2 SAU - RFI, FYI, Ideas/SAUXXX NCS Opportunities" u="1"/>
        <s v="sites/RGSales/Shared Documents/General/1.Open Opportunities/VAT 2 SAU - RFI, FYI, Ideas/SAUXXX NCS Opportunities/02. Response" u="1"/>
        <s v="sites/RGSales/Shared Documents/General/1.Open Opportunities/VAT 2 SAU - RFI, FYI, Ideas/SAUXXX NCS Opportunities/02. Response/Process Direct" u="1"/>
        <s v="sites/RGSales/Shared Documents/General/1.Open Opportunities/VAT 2 SAU - RFI, FYI, Ideas/SAUXXX Planned Procurement Enterprise Service Manager" u="1"/>
        <s v="sites/RGSales/Shared Documents/General/1.Open Opportunities/VAT 2 SAU - RFI, FYI, Ideas/SAUXXX Planned Procurement Enterprise Service Manager/02. Response" u="1"/>
        <s v="sites/RGSales/Shared Documents/General/1.Open Opportunities/VAT 2 SAU - RFI, FYI, Ideas/SAUXXX Planned Procurement Intelligence Mgt System" u="1"/>
        <s v="sites/RGSales/Shared Documents/General/1.Open Opportunities/VAT 2 SAU - RFI, FYI, Ideas/SAUXXX Planned Procurement Intelligence Mgt System/02. Response" u="1"/>
        <s v="sites/RGSales/Shared Documents/General/1.Open Opportunities/VAT 2 SAU - RFI, FYI, Ideas/SAUXXX Planned Procurement Kofax Solution" u="1"/>
        <s v="sites/RGSales/Shared Documents/General/1.Open Opportunities/VAT 2 SAU - RFI, FYI, Ideas/SAUXXX Planned Procurement Kofax Solution/02. Response" u="1"/>
        <s v="sites/RGSales/Shared Documents/General/1.Open Opportunities/VAT 2 SAU - RFI, FYI, Ideas/SAUXXX Planned Procurement Valuation Estimation Services" u="1"/>
        <s v="sites/RGSales/Shared Documents/General/1.Open Opportunities/VAT 2 SAU - RFI, FYI, Ideas/SAUXXX Planned Procurement Valuation Estimation Services/02. Response" u="1"/>
        <s v="sites/RGSales/Shared Documents/General/1.Open Opportunities/VAT 2 SAU - RFI, FYI, Ideas/SAUXXX Process Direct next steps 202412" u="1"/>
        <s v="sites/RGSales/Shared Documents/General/1.Open Opportunities/VAT 2 SAU - RFI, FYI, Ideas/SAUXXX Process Direct next steps 202412/02. Response" u="1"/>
        <s v="sites/RGSales/Shared Documents/General/1.Open Opportunities/VAT 2 SAU - RFI, FYI, Ideas/SAUXXX Processing Centre Review" u="1"/>
        <s v="sites/RGSales/Shared Documents/General/1.Open Opportunities/VAT 2 SAU - RFI, FYI, Ideas/SAUXXX Processing Centre Review/02. Response" u="1"/>
        <s v="sites/RGSales/Shared Documents/General/1.Open Opportunities/VAT 2 SAU - RFI, FYI, Ideas/SAUXXX RFI Complex Case Management 202503" u="1"/>
        <s v="sites/RGSales/Shared Documents/General/1.Open Opportunities/VAT 2 SAU - RFI, FYI, Ideas/SAUXXX RFI Complex Case Management 202503/01. RFX" u="1"/>
        <s v="sites/RGSales/Shared Documents/General/1.Open Opportunities/VAT 2 SAU - RFI, FYI, Ideas/SAUXXX RFI Complex Case Management 202503/02. Response" u="1"/>
        <s v="sites/RGSales/Shared Documents/General/1.Open Opportunities/VAT 2 SAU - RFI, FYI, Ideas/SAUXXX RFI Customer Appointments 202503" u="1"/>
        <s v="sites/RGSales/Shared Documents/General/1.Open Opportunities/VAT 2 SAU - RFI, FYI, Ideas/SAUXXX RFI Customer Appointments 202503/01. RFX" u="1"/>
        <s v="sites/RGSales/Shared Documents/General/1.Open Opportunities/VAT 2 SAU - RFI, FYI, Ideas/SAUXXX RFI Customer Appointments 202503/02. Response" u="1"/>
        <s v="sites/RGSales/Shared Documents/General/1.Open Opportunities/VAT 2 SAU - RFI, FYI, Ideas/SAUXXX RFI Enterprise Event Mgt and Monitoring 202502" u="1"/>
        <s v="sites/RGSales/Shared Documents/General/1.Open Opportunities/VAT 2 SAU - RFI, FYI, Ideas/SAUXXX RFI Enterprise Event Mgt and Monitoring 202502/01. RFX" u="1"/>
        <s v="sites/RGSales/Shared Documents/General/1.Open Opportunities/VAT 2 SAU - RFI, FYI, Ideas/SAUXXX RFI Enterprise Event Mgt and Monitoring 202502/02. Response" u="1"/>
        <s v="sites/RGSales/Shared Documents/General/1.Open Opportunities/VAT 2 SAU - RFI, FYI, Ideas/SAUXXX RFI Enterprise Serv Mgt Solution 202304" u="1"/>
        <s v="sites/RGSales/Shared Documents/General/1.Open Opportunities/VAT 2 SAU - RFI, FYI, Ideas/SAUXXX RFI Enterprise Serv Mgt Solution 202304/01. RFX" u="1"/>
        <s v="sites/RGSales/Shared Documents/General/1.Open Opportunities/VAT 2 SAU - RFI, FYI, Ideas/SAUXXX RFI Enterprise Serv Mgt Solution 202304/02. Response" u="1"/>
        <s v="sites/RGSales/Shared Documents/General/1.Open Opportunities/VAT 2 SAU - RFI, FYI, Ideas/SAUXXX RFI Low code 202503" u="1"/>
        <s v="sites/RGSales/Shared Documents/General/1.Open Opportunities/VAT 2 SAU - RFI, FYI, Ideas/SAUXXX RFI Low code 202503/00. Mgt" u="1"/>
        <s v="sites/RGSales/Shared Documents/General/1.Open Opportunities/VAT 2 SAU - RFI, FYI, Ideas/SAUXXX RFI Low code 202503/01. RFX" u="1"/>
        <s v="sites/RGSales/Shared Documents/General/1.Open Opportunities/VAT 2 SAU - RFI, FYI, Ideas/SAUXXX RFI Low code 202503/02. Response" u="1"/>
        <s v="sites/RGSales/Shared Documents/General/1.Open Opportunities/VAT 2 SAU - RFI, FYI, Ideas/SAUXXX SAP systems support 202404" u="1"/>
        <s v="sites/RGSales/Shared Documents/General/1.Open Opportunities/VAT 2 SAU - RFI, FYI, Ideas/SAUXXX Secure cloud migration MCA m'frame loads 202506" u="1"/>
        <s v="sites/RGSales/Shared Documents/General/1.Open Opportunities/VAT 2 SAU - RFI, FYI, Ideas/SAUXXX Secure cloud migration MCA m'frame loads 202506/02. Response" u="1"/>
        <s v="sites/RGSales/Shared Documents/General/1.Open Opportunities/VAT 2 SAU - RFI, FYI, Ideas/SAUXXX Secure cloud migration MCA m'frame loads Vault" u="1"/>
        <s v="sites/RGSales/Shared Documents/General/1.Open Opportunities/VAT 2 SAU - RFI, FYI, Ideas/SAUXXX Secure cloud migration MCA m'frame loads Vault/00. Mgt" u="1"/>
        <s v="sites/RGSales/Shared Documents/General/1.Open Opportunities/VAT 2 SAU - RFI, FYI, Ideas/SAUXXX Secure cloud migration MCA m'frame loads Vault/01. RFX" u="1"/>
        <s v="sites/RGSales/Shared Documents/General/1.Open Opportunities/VAT 2 SAU - RFI, FYI, Ideas/SAUXXX Secure cloud migration MCA m'frame loads Vault/02. Response" u="1"/>
        <s v="sites/RGSales/Shared Documents/General/1.Open Opportunities/VAT 2 SAU - RFI, FYI, Ideas/SAUXXX Secure cloud migration MCA m'frame loads Vault/99. Archive" u="1"/>
        <s v="sites/RGSales/Shared Documents/General/1.Open Opportunities/VAT 2 SAU - RFI, FYI, Ideas/SAUXXX ServiceNow ESM-ERP opp 202504" u="1"/>
        <s v="sites/RGSales/Shared Documents/General/1.Open Opportunities/VAT 2 SAU - RFI, FYI, Ideas/SAUXXX ServiceNow ESM-ERP opp 202504/02. Response" u="1"/>
        <s v="sites/RGSales/Shared Documents/General/1.Open Opportunities/VAT 2 SAU - RFI, FYI, Ideas/SAUXXX TDP Change, PMO and Release Mgt Support" u="1"/>
        <s v="sites/RGSales/Shared Documents/General/1.Open Opportunities/VAT 2 SAU - RFI, FYI, Ideas/SAUXXX TDP Change, PMO and Release Mgt Support/02. Response" u="1"/>
        <s v="sites/RGSales/Shared Documents/General/1.Open Opportunities/VAT 2 SAU - RFI, FYI, Ideas/SAUXXX Trusted Exchange (TEx) 202408" u="1"/>
        <s v="sites/RGSales/Shared Documents/General/1.Open Opportunities/VAT 2 SAU - RFI, FYI, Ideas/SAUXXX Trusted Exchange (TEx) 202408/02. Response" u="1"/>
        <s v="sites/RGSales/Shared Documents/General/1.Open Opportunities/VAT 2 SAU - RFI, FYI, Ideas/SAUXXX Worker Database PoC" u="1"/>
        <s v="sites/RGSales/Shared Documents/General/1.Open Opportunities/VAT 2 SAU - RFI, FYI, Ideas/SAUXXX Worker Database PoC/02. Response" u="1"/>
        <s v="sites/RGSales/Shared Documents/General/1.Open Opportunities/VAT 3 VIC Govt - RFI, FYI, Ideas" u="1"/>
        <s v="sites/RGSales/Shared Documents/General/1.Open Opportunities/VAT 3 VIC Govt - RFI, FYI, Ideas/00. Mgt" u="1"/>
        <s v="sites/RGSales/Shared Documents/General/1.Open Opportunities/VAT 3 VIC Govt - RFI, FYI, Ideas/DOFXXX RFI ERP DOF DEWR DOE 202410" u="1"/>
        <s v="sites/RGSales/Shared Documents/General/1.Open Opportunities/VAT 3 VIC Govt - RFI, FYI, Ideas/DOFXXX RFI ERP DOF DEWR DOE 202410/00. Mgt" u="1"/>
        <s v="sites/RGSales/Shared Documents/General/1.Open Opportunities/VAT 3 VIC Govt - RFI, FYI, Ideas/DOFXXX RFI ERP DOF DEWR DOE 202410/01. RFX" u="1"/>
        <s v="sites/RGSales/Shared Documents/General/1.Open Opportunities/VAT 3 VIC Govt - RFI, FYI, Ideas/DOFXXX RFI ERP DOF DEWR DOE 202410/02. Response" u="1"/>
        <s v="sites/RGSales/Shared Documents/General/1.Open Opportunities/VAT 3 VIC Govt - RFI, FYI, Ideas/DOFXXX RFI ERP DOF DEWR DOE 202410/99. Archive" u="1"/>
        <s v="sites/RGSales/Shared Documents/General/1.Open Opportunities/VAT 3 VIC Govt - RFI, FYI, Ideas/ISY010-01 VIC SRO T3 (Extension)" u="1"/>
        <s v="sites/RGSales/Shared Documents/General/1.Open Opportunities/VAT 3 VIC Govt - RFI, FYI, Ideas/ISY010-01 VIC SRO T3 (Extension)/02. Response" u="1"/>
        <s v="sites/RGSales/Shared Documents/General/1.Open Opportunities/VAT 3 VIC Govt - RFI, FYI, Ideas/ISYXXX RFX VIC SRO Managed service for SNOW 202409" u="1"/>
        <s v="sites/RGSales/Shared Documents/General/1.Open Opportunities/VAT 3 VIC Govt - RFI, FYI, Ideas/ISYXXX RFX VIC SRO Managed service for SNOW 202409/00. Mgt" u="1"/>
        <s v="sites/RGSales/Shared Documents/General/1.Open Opportunities/VAT 3 VIC Govt - RFI, FYI, Ideas/ISYXXX RFX VIC SRO Managed service for SNOW 202409/02. Response" u="1"/>
        <s v="sites/RGSales/Shared Documents/General/1.Open Opportunities/VAT 3 VIC Govt - RFI, FYI, Ideas/VICXXX DFFH" u="1"/>
        <s v="sites/RGSales/Shared Documents/General/1.Open Opportunities/VAT 3 VIC Govt - RFI, FYI, Ideas/VICXXX DFFH/02. Response" u="1"/>
        <s v="sites/RGSales/Shared Documents/General/1.Open Opportunities/VAT 3 VIC Govt - RFI, FYI, Ideas/VICXXX EOI DOT Digital Planning Assistant 202502" u="1"/>
        <s v="sites/RGSales/Shared Documents/General/1.Open Opportunities/VAT 3 VIC Govt - RFI, FYI, Ideas/VICXXX EOI DOT Digital Planning Assistant 202502/01. RFX" u="1"/>
        <s v="sites/RGSales/Shared Documents/General/1.Open Opportunities/VAT 3 VIC Govt - RFI, FYI, Ideas/VICXXX EOI DOT Digital Planning Assistant 202502/02. Response" u="1"/>
        <s v="sites/RGSales/Shared Documents/General/1.Open Opportunities/VAT 3 VIC Govt - RFI, FYI, Ideas/VICXXX EOI Health Commission Complaints and Case Mgt solution 202507" u="1"/>
        <s v="sites/RGSales/Shared Documents/General/1.Open Opportunities/VAT 3 VIC Govt - RFI, FYI, Ideas/VICXXX EOI Health Commission Complaints and Case Mgt solution 202507/01. RFX" u="1"/>
        <s v="sites/RGSales/Shared Documents/General/1.Open Opportunities/VAT 3 VIC Govt - RFI, FYI, Ideas/VICXXX EOI Health Commission Complaints and Case Mgt solution 202507/02. Response" u="1"/>
        <s v="sites/RGSales/Shared Documents/General/1.Open Opportunities/VAT 3 VIC Govt - RFI, FYI, Ideas/VICXXX EOI TAC Next Gen Claims Mgt Solution 202402" u="1"/>
        <s v="sites/RGSales/Shared Documents/General/1.Open Opportunities/VAT 3 VIC Govt - RFI, FYI, Ideas/VICXXX EOI TAC Next Gen Claims Mgt Solution 202402/01. RFX" u="1"/>
        <s v="sites/RGSales/Shared Documents/General/1.Open Opportunities/VAT 3 VIC Govt - RFI, FYI, Ideas/VICXXX EOI TAC Next Gen Claims Mgt Solution 202402/02. Response" u="1"/>
        <s v="sites/RGSales/Shared Documents/General/1.Open Opportunities/VAT 3 VIC Govt - RFI, FYI, Ideas/VICXXX RFI HSV Vendor Mgmt System for Medical Locum Agencies" u="1"/>
        <s v="sites/RGSales/Shared Documents/General/1.Open Opportunities/VAT 3 VIC Govt - RFI, FYI, Ideas/VICXXX RFI HSV Vendor Mgmt System for Medical Locum Agencies/01. RFX" u="1"/>
        <s v="sites/RGSales/Shared Documents/General/1.Open Opportunities/VAT 3 VIC Govt - RFI, FYI, Ideas/VICXXX RFI HSV Vendor Mgmt System for Medical Locum Agencies/02. Response" u="1"/>
        <s v="sites/RGSales/Shared Documents/General/1.Open Opportunities/VAT 3 VIC Govt - RFI, FYI, Ideas/VICXXX RFI HSV Vendor Mgmt System for Medical Locum Agencies/99. Archive" u="1"/>
        <s v="sites/RGSales/Shared Documents/General/1.Open Opportunities/VAT 3 VIC Govt - RFI, FYI, Ideas/VICXXX RFI TAC Digital Toolkit 202509" u="1"/>
        <s v="sites/RGSales/Shared Documents/General/1.Open Opportunities/VAT 3 VIC Govt - RFI, FYI, Ideas/VICXXX RFI TAC Digital Toolkit 202509/01. RFX" u="1"/>
        <s v="sites/RGSales/Shared Documents/General/1.Open Opportunities/VAT 3 VIC Govt - RFI, FYI, Ideas/VICXXX RFI TAC Digital Toolkit 202509/02. Response" u="1"/>
        <s v="sites/RGSales/Shared Documents/General/1.Open Opportunities/VAT 3 VIC Govt - RFI, FYI, Ideas/VICXXX RFI TAC Digital Toolkit 202509/99. Archive" u="1"/>
        <s v="sites/RGSales/Shared Documents/General/1.Open Opportunities/VAT 3 VIC Govt - RFI, FYI, Ideas/VICXXX RFQ Northern Health Enterprise Service Mgt Platform 202508" u="1"/>
        <s v="sites/RGSales/Shared Documents/General/1.Open Opportunities/VAT 3 VIC Govt - RFI, FYI, Ideas/VICXXX RFQ Northern Health Enterprise Service Mgt Platform 202508/01. RFX" u="1"/>
        <s v="sites/RGSales/Shared Documents/General/1.Open Opportunities/VAT 3 VIC Govt - RFI, FYI, Ideas/VICXXX RFQ Northern Health Enterprise Service Mgt Platform 202508/02. Response" u="1"/>
        <s v="sites/RGSales/Shared Documents/General/1.Open Opportunities/VAT 3 VIC Govt - RFI, FYI, Ideas/VICXXX RFT FRV SAP SuccessFactors HR Transformation Partner 202412" u="1"/>
        <s v="sites/RGSales/Shared Documents/General/1.Open Opportunities/VAT 3 VIC Govt - RFI, FYI, Ideas/VICXXX RFT FRV SAP SuccessFactors HR Transformation Partner 202412/01. RFX" u="1"/>
        <s v="sites/RGSales/Shared Documents/General/1.Open Opportunities/VAT 3 VIC Govt - RFI, FYI, Ideas/VICXXX RFT FRV SAP SuccessFactors HR Transformation Partner 202412/02. Response" u="1"/>
        <s v="sites/RGSales/Shared Documents/General/1.Open Opportunities/VAT 3 VIC Govt - RFI, FYI, Ideas/VICXXX SRO Eloqua" u="1"/>
        <s v="sites/RGSales/Shared Documents/General/1.Open Opportunities/VAT 3 VIC Govt - RFI, FYI, Ideas/VICXXX SRO Eloqua/02. Response" u="1"/>
        <s v="sites/RGSales/Shared Documents/General/1.Open Opportunities/VAT 3 VIC Govt - RFI, FYI, Ideas/VICXXX SRO Oracle Modernisation - Tranche 4" u="1"/>
        <s v="sites/RGSales/Shared Documents/General/1.Open Opportunities/VAT 3 VIC Govt - RFI, FYI, Ideas/VICXXX SRO Oracle Modernisation - Tranche 4/VICXXX SRO BRE Licensing, Implementation and MSE - ID003 Decisively 202405" u="1"/>
        <s v="sites/RGSales/Shared Documents/General/1.Open Opportunities/VAT 3 VIC Govt - RFI, FYI, Ideas/VICXXX SRO Oracle Modernisation - Tranche 4/VICXXX SRO BRE Licensing, Implementation and MSE - Year 2" u="1"/>
        <s v="sites/RGSales/Shared Documents/General/1.Open Opportunities/VAT 3 VIC Govt - RFI, FYI, Ideas/VICXXX SRO Oracle Modernisation - Tranche 4/VICXXX SRO Oracle Modernisation - Product to Platform" u="1"/>
        <s v="sites/RGSales/Shared Documents/General/1.Open Opportunities/VAT 3 VIC Govt - RFI, FYI, Ideas/VICXXX SRO RFQ T4 Discovery program 202510" u="1"/>
        <s v="sites/RGSales/Shared Documents/General/1.Open Opportunities/VAT 3 VIC Govt - RFI, FYI, Ideas/VICXXX TAC Architecture Review" u="1"/>
        <s v="sites/RGSales/Shared Documents/General/1.Open Opportunities/VAT 3 VIC Govt - RFI, FYI, Ideas/VICXXX TAC Architecture Review/00. Mgt" u="1"/>
        <s v="sites/RGSales/Shared Documents/General/1.Open Opportunities/VAT 3 VIC Govt - RFI, FYI, Ideas/VICXXX TAC Architecture Review/02. Response" u="1"/>
        <s v="sites/RGSales/Shared Documents/General/1.Open Opportunities/VAT 3 VIC Govt - RFI, FYI, Ideas/VICXXX TAC Architecture Review/99. Archive" u="1"/>
        <s v="sites/RGSales/Shared Documents/General/1.Open Opportunities/VAT 4 Growth - RFI, FYI, Ideas" u="1"/>
        <s v="sites/RGSales/Shared Documents/General/1.Open Opportunities/VAT 4 Growth - RFI, FYI, Ideas/00. Mgt" u="1"/>
        <s v="sites/RGSales/Shared Documents/General/1.Open Opportunities/VAT 4 Growth - RFI, FYI, Ideas/ABSXXX - ERP" u="1"/>
        <s v="sites/RGSales/Shared Documents/General/1.Open Opportunities/VAT 4 Growth - RFI, FYI, Ideas/ABSXXX - ERP/02. Response" u="1"/>
        <s v="sites/RGSales/Shared Documents/General/1.Open Opportunities/VAT 4 Growth - RFI, FYI, Ideas/ACIXXX EPI-USE ERP CANVAS ServiceNow Implementation" u="1"/>
        <s v="sites/RGSales/Shared Documents/General/1.Open Opportunities/VAT 4 Growth - RFI, FYI, Ideas/ACIXXX EPI-USE ERP CANVAS ServiceNow Implementation/02. Response" u="1"/>
        <s v="sites/RGSales/Shared Documents/General/1.Open Opportunities/VAT 4 Growth - RFI, FYI, Ideas/ACMXXX RFI Governance, Risk and Compliance (GRC) system" u="1"/>
        <s v="sites/RGSales/Shared Documents/General/1.Open Opportunities/VAT 4 Growth - RFI, FYI, Ideas/ACMXXX RFI Governance, Risk and Compliance (GRC) system/00. Mgt" u="1"/>
        <s v="sites/RGSales/Shared Documents/General/1.Open Opportunities/VAT 4 Growth - RFI, FYI, Ideas/ACMXXX RFI Governance, Risk and Compliance (GRC) system/01. RFX" u="1"/>
        <s v="sites/RGSales/Shared Documents/General/1.Open Opportunities/VAT 4 Growth - RFI, FYI, Ideas/ACMXXX RFI Governance, Risk and Compliance (GRC) system/02. Response" u="1"/>
        <s v="sites/RGSales/Shared Documents/General/1.Open Opportunities/VAT 4 Growth - RFI, FYI, Ideas/ACMXXX RFI Governance, Risk and Compliance (GRC) system/02. Response/Attachments" u="1"/>
        <s v="sites/RGSales/Shared Documents/General/1.Open Opportunities/VAT 4 Growth - RFI, FYI, Ideas/ACMXXX RFI Governance, Risk and Compliance (GRC) system/02. Response/ServiceNow response" u="1"/>
        <s v="sites/RGSales/Shared Documents/General/1.Open Opportunities/VAT 4 Growth - RFI, FYI, Ideas/ACRXXX RFX DOD Accenture Microsoft partnering 202409" u="1"/>
        <s v="sites/RGSales/Shared Documents/General/1.Open Opportunities/VAT 4 Growth - RFI, FYI, Ideas/ACRXXX RFX DOD Accenture Microsoft partnering 202409/02. Response" u="1"/>
        <s v="sites/RGSales/Shared Documents/General/1.Open Opportunities/VAT 4 Growth - RFI, FYI, Ideas/ACT012-XX ACTIC Procurement RFT advisory 202411" u="1"/>
        <s v="sites/RGSales/Shared Documents/General/1.Open Opportunities/VAT 4 Growth - RFI, FYI, Ideas/ACT012-XX ACTIC Procurement RFT advisory 202411/02. Response" u="1"/>
        <s v="sites/RGSales/Shared Documents/General/1.Open Opportunities/VAT 4 Growth - RFI, FYI, Ideas/ACTXXX - CIT ERP" u="1"/>
        <s v="sites/RGSales/Shared Documents/General/1.Open Opportunities/VAT 4 Growth - RFI, FYI, Ideas/ACTXXX - CIT ERP/02. Response" u="1"/>
        <s v="sites/RGSales/Shared Documents/General/1.Open Opportunities/VAT 4 Growth - RFI, FYI, Ideas/ACTXXX - ERP" u="1"/>
        <s v="sites/RGSales/Shared Documents/General/1.Open Opportunities/VAT 4 Growth - RFI, FYI, Ideas/ACTXXX - ERP/02. Response" u="1"/>
        <s v="sites/RGSales/Shared Documents/General/1.Open Opportunities/VAT 4 Growth - RFI, FYI, Ideas/ACTXXX EOI WofG ERP solution 202311" u="1"/>
        <s v="sites/RGSales/Shared Documents/General/1.Open Opportunities/VAT 4 Growth - RFI, FYI, Ideas/ACTXXX EOI WofG ERP solution 202311/00. Mgt" u="1"/>
        <s v="sites/RGSales/Shared Documents/General/1.Open Opportunities/VAT 4 Growth - RFI, FYI, Ideas/ACTXXX EOI WofG ERP solution 202311/01. RFX" u="1"/>
        <s v="sites/RGSales/Shared Documents/General/1.Open Opportunities/VAT 4 Growth - RFI, FYI, Ideas/ACTXXX EOI WofG ERP solution 202311/02. Response" u="1"/>
        <s v="sites/RGSales/Shared Documents/General/1.Open Opportunities/VAT 4 Growth - RFI, FYI, Ideas/ACTXXX EOI WofG ERP solution 202311/98. Correspondence" u="1"/>
        <s v="sites/RGSales/Shared Documents/General/1.Open Opportunities/VAT 4 Growth - RFI, FYI, Ideas/ACTXXX EOI WofG ERP solution 202311/99. Archive" u="1"/>
        <s v="sites/RGSales/Shared Documents/General/1.Open Opportunities/VAT 4 Growth - RFI, FYI, Ideas/ACTXXX RFI Design Services Supplier Profiles 202305" u="1"/>
        <s v="sites/RGSales/Shared Documents/General/1.Open Opportunities/VAT 4 Growth - RFI, FYI, Ideas/ACTXXX RFI Design Services Supplier Profiles 202305/01. RFX" u="1"/>
        <s v="sites/RGSales/Shared Documents/General/1.Open Opportunities/VAT 4 Growth - RFI, FYI, Ideas/ACTXXX RFI Design Services Supplier Profiles 202305/02. Response" u="1"/>
        <s v="sites/RGSales/Shared Documents/General/1.Open Opportunities/VAT 4 Growth - RFI, FYI, Ideas/ACTXXX RFI Design Services Supplier Profiles 202305/02. Response/Profiles" u="1"/>
        <s v="sites/RGSales/Shared Documents/General/1.Open Opportunities/VAT 4 Growth - RFI, FYI, Ideas/ACTXXX RFT Business Services and Project Delivery Process Review" u="1"/>
        <s v="sites/RGSales/Shared Documents/General/1.Open Opportunities/VAT 4 Growth - RFI, FYI, Ideas/ACTXXX RFT Business Services and Project Delivery Process Review/01. RFX" u="1"/>
        <s v="sites/RGSales/Shared Documents/General/1.Open Opportunities/VAT 4 Growth - RFI, FYI, Ideas/ACTXXX RFT Business Services and Project Delivery Process Review/02. Response" u="1"/>
        <s v="sites/RGSales/Shared Documents/General/1.Open Opportunities/VAT 4 Growth - RFI, FYI, Ideas/ACTXXX RFT Case management system 202410" u="1"/>
        <s v="sites/RGSales/Shared Documents/General/1.Open Opportunities/VAT 4 Growth - RFI, FYI, Ideas/ACTXXX RFT Case management system 202410/01. RFX" u="1"/>
        <s v="sites/RGSales/Shared Documents/General/1.Open Opportunities/VAT 4 Growth - RFI, FYI, Ideas/ACTXXX RFT Case management system 202410/02. Response" u="1"/>
        <s v="sites/RGSales/Shared Documents/General/1.Open Opportunities/VAT 4 Growth - RFI, FYI, Ideas/ACTXXX Transforming Revenue Mgt 202510" u="1"/>
        <s v="sites/RGSales/Shared Documents/General/1.Open Opportunities/VAT 4 Growth - RFI, FYI, Ideas/ACTXXX Transforming Revenue Mgt 202510/00. Mgt" u="1"/>
        <s v="sites/RGSales/Shared Documents/General/1.Open Opportunities/VAT 4 Growth - RFI, FYI, Ideas/ACTXXX Transforming Revenue Mgt 202510/01. RFX" u="1"/>
        <s v="sites/RGSales/Shared Documents/General/1.Open Opportunities/VAT 4 Growth - RFI, FYI, Ideas/ACTXXX Transforming Revenue Mgt 202510/02. Response" u="1"/>
        <s v="sites/RGSales/Shared Documents/General/1.Open Opportunities/VAT 4 Growth - RFI, FYI, Ideas/ACTXXX Transforming Revenue Mgt 202510/99. Archive" u="1"/>
        <s v="sites/RGSales/Shared Documents/General/1.Open Opportunities/VAT 4 Growth - RFI, FYI, Ideas/ADHXXX RFI Digital health data analysis 202303" u="1"/>
        <s v="sites/RGSales/Shared Documents/General/1.Open Opportunities/VAT 4 Growth - RFI, FYI, Ideas/ADHXXX RFI Digital health data analysis 202303/00. Mgt" u="1"/>
        <s v="sites/RGSales/Shared Documents/General/1.Open Opportunities/VAT 4 Growth - RFI, FYI, Ideas/ADHXXX RFI Digital health data analysis 202303/01. RFX" u="1"/>
        <s v="sites/RGSales/Shared Documents/General/1.Open Opportunities/VAT 4 Growth - RFI, FYI, Ideas/ADHXXX RFI Digital health data analysis 202303/02. Response" u="1"/>
        <s v="sites/RGSales/Shared Documents/General/1.Open Opportunities/VAT 4 Growth - RFI, FYI, Ideas/ADHXXX RFQ Snr Proj Mgr Resource as a Service 202307" u="1"/>
        <s v="sites/RGSales/Shared Documents/General/1.Open Opportunities/VAT 4 Growth - RFI, FYI, Ideas/ADHXXX RFQ Snr Proj Mgr Resource as a Service 202307/01. RFX" u="1"/>
        <s v="sites/RGSales/Shared Documents/General/1.Open Opportunities/VAT 4 Growth - RFI, FYI, Ideas/ADHXXX RFQ Snr Proj Mgr Resource as a Service 202307/02. Response" u="1"/>
        <s v="sites/RGSales/Shared Documents/General/1.Open Opportunities/VAT 4 Growth - RFI, FYI, Ideas/AECXXX Indigo ServiceNow 202425" u="1"/>
        <s v="sites/RGSales/Shared Documents/General/1.Open Opportunities/VAT 4 Growth - RFI, FYI, Ideas/AECXXX Indigo ServiceNow 202425/02. Response" u="1"/>
        <s v="sites/RGSales/Shared Documents/General/1.Open Opportunities/VAT 4 Growth - RFI, FYI, Ideas/AFMXXX - ERP" u="1"/>
        <s v="sites/RGSales/Shared Documents/General/1.Open Opportunities/VAT 4 Growth - RFI, FYI, Ideas/AFMXXX - ERP/02. Response" u="1"/>
        <s v="sites/RGSales/Shared Documents/General/1.Open Opportunities/VAT 4 Growth - RFI, FYI, Ideas/AFPXXX - ERP" u="1"/>
        <s v="sites/RGSales/Shared Documents/General/1.Open Opportunities/VAT 4 Growth - RFI, FYI, Ideas/AFPXXX - ERP/02. Response" u="1"/>
        <s v="sites/RGSales/Shared Documents/General/1.Open Opportunities/VAT 4 Growth - RFI, FYI, Ideas/AFSXXX New CIO 202404" u="1"/>
        <s v="sites/RGSales/Shared Documents/General/1.Open Opportunities/VAT 4 Growth - RFI, FYI, Ideas/AGDXXX RFI Centralised SIEM 202311" u="1"/>
        <s v="sites/RGSales/Shared Documents/General/1.Open Opportunities/VAT 4 Growth - RFI, FYI, Ideas/AGDXXX RFI Centralised SIEM 202311/01. RFX" u="1"/>
        <s v="sites/RGSales/Shared Documents/General/1.Open Opportunities/VAT 4 Growth - RFI, FYI, Ideas/AGDXXX RFI Centralised SIEM 202311/02. Response" u="1"/>
        <s v="sites/RGSales/Shared Documents/General/1.Open Opportunities/VAT 4 Growth - RFI, FYI, Ideas/AGDXXX RFI Centralised SIEM 202311/99. Archive" u="1"/>
        <s v="sites/RGSales/Shared Documents/General/1.Open Opportunities/VAT 4 Growth - RFI, FYI, Ideas/AIHXXX RFI Workflow solution 202312" u="1"/>
        <s v="sites/RGSales/Shared Documents/General/1.Open Opportunities/VAT 4 Growth - RFI, FYI, Ideas/AIHXXX RFI Workflow solution 202312/01. RFX" u="1"/>
        <s v="sites/RGSales/Shared Documents/General/1.Open Opportunities/VAT 4 Growth - RFI, FYI, Ideas/AIHXXX RFI Workflow solution 202312/02. Response" u="1"/>
        <s v="sites/RGSales/Shared Documents/General/1.Open Opportunities/VAT 4 Growth - RFI, FYI, Ideas/ANAXXX Planned procurement ERP" u="1"/>
        <s v="sites/RGSales/Shared Documents/General/1.Open Opportunities/VAT 4 Growth - RFI, FYI, Ideas/ANAXXX Planned procurement ERP/02. Response" u="1"/>
        <s v="sites/RGSales/Shared Documents/General/1.Open Opportunities/VAT 4 Growth - RFI, FYI, Ideas/ANAXXX RFI e-Discovery capability 202304" u="1"/>
        <s v="sites/RGSales/Shared Documents/General/1.Open Opportunities/VAT 4 Growth - RFI, FYI, Ideas/ANAXXX RFI e-Discovery capability 202304/00. Mgt" u="1"/>
        <s v="sites/RGSales/Shared Documents/General/1.Open Opportunities/VAT 4 Growth - RFI, FYI, Ideas/ANAXXX RFI e-Discovery capability 202304/01. RFX" u="1"/>
        <s v="sites/RGSales/Shared Documents/General/1.Open Opportunities/VAT 4 Growth - RFI, FYI, Ideas/ANAXXX RFI e-Discovery capability 202304/02. Response" u="1"/>
        <s v="sites/RGSales/Shared Documents/General/1.Open Opportunities/VAT 4 Growth - RFI, FYI, Ideas/ANAXXX RFI e-Discovery capability 202304/99. Archive" u="1"/>
        <s v="sites/RGSales/Shared Documents/General/1.Open Opportunities/VAT 4 Growth - RFI, FYI, Ideas/ANSXXX RFI Business Review SAP S4HANA Tech Upgrades" u="1"/>
        <s v="sites/RGSales/Shared Documents/General/1.Open Opportunities/VAT 4 Growth - RFI, FYI, Ideas/ANSXXX RFI Business Review SAP S4HANA Tech Upgrades/00. Mgt" u="1"/>
        <s v="sites/RGSales/Shared Documents/General/1.Open Opportunities/VAT 4 Growth - RFI, FYI, Ideas/ANSXXX RFI Business Review SAP S4HANA Tech Upgrades/01. RFX" u="1"/>
        <s v="sites/RGSales/Shared Documents/General/1.Open Opportunities/VAT 4 Growth - RFI, FYI, Ideas/ANSXXX RFI Business Review SAP S4HANA Tech Upgrades/01. RFX/Business Procedures Trg Docs" u="1"/>
        <s v="sites/RGSales/Shared Documents/General/1.Open Opportunities/VAT 4 Growth - RFI, FYI, Ideas/ANSXXX RFI Business Review SAP S4HANA Tech Upgrades/01. RFX/Business Procedures Trg Docs/Anaplan" u="1"/>
        <s v="sites/RGSales/Shared Documents/General/1.Open Opportunities/VAT 4 Growth - RFI, FYI, Ideas/ANSXXX RFI Business Review SAP S4HANA Tech Upgrades/01. RFX/Business Procedures Trg Docs/BW" u="1"/>
        <s v="sites/RGSales/Shared Documents/General/1.Open Opportunities/VAT 4 Growth - RFI, FYI, Ideas/ANSXXX RFI Business Review SAP S4HANA Tech Upgrades/01. RFX/Business Procedures Trg Docs/C4C" u="1"/>
        <s v="sites/RGSales/Shared Documents/General/1.Open Opportunities/VAT 4 Growth - RFI, FYI, Ideas/ANSXXX RFI Business Review SAP S4HANA Tech Upgrades/01. RFX/Business Procedures Trg Docs/EAM" u="1"/>
        <s v="sites/RGSales/Shared Documents/General/1.Open Opportunities/VAT 4 Growth - RFI, FYI, Ideas/ANSXXX RFI Business Review SAP S4HANA Tech Upgrades/01. RFX/Business Procedures Trg Docs/EAM/Training Material" u="1"/>
        <s v="sites/RGSales/Shared Documents/General/1.Open Opportunities/VAT 4 Growth - RFI, FYI, Ideas/ANSXXX RFI Business Review SAP S4HANA Tech Upgrades/01. RFX/Business Procedures Trg Docs/FI" u="1"/>
        <s v="sites/RGSales/Shared Documents/General/1.Open Opportunities/VAT 4 Growth - RFI, FYI, Ideas/ANSXXX RFI Business Review SAP S4HANA Tech Upgrades/01. RFX/Business Procedures Trg Docs/FIORI" u="1"/>
        <s v="sites/RGSales/Shared Documents/General/1.Open Opportunities/VAT 4 Growth - RFI, FYI, Ideas/ANSXXX RFI Business Review SAP S4HANA Tech Upgrades/01. RFX/Business Procedures Trg Docs/HCM" u="1"/>
        <s v="sites/RGSales/Shared Documents/General/1.Open Opportunities/VAT 4 Growth - RFI, FYI, Ideas/ANSXXX RFI Business Review SAP S4HANA Tech Upgrades/01. RFX/Business Procedures Trg Docs/Inven-Sales-Prod Srv" u="1"/>
        <s v="sites/RGSales/Shared Documents/General/1.Open Opportunities/VAT 4 Growth - RFI, FYI, Ideas/ANSXXX RFI Business Review SAP S4HANA Tech Upgrades/01. RFX/Business Procedures Trg Docs/Inven-Sales-Prod Srv/Trg" u="1"/>
        <s v="sites/RGSales/Shared Documents/General/1.Open Opportunities/VAT 4 Growth - RFI, FYI, Ideas/ANSXXX RFI Business Review SAP S4HANA Tech Upgrades/01. RFX/Business Procedures Trg Docs/Planning-Manufacturing-Quality" u="1"/>
        <s v="sites/RGSales/Shared Documents/General/1.Open Opportunities/VAT 4 Growth - RFI, FYI, Ideas/ANSXXX RFI Business Review SAP S4HANA Tech Upgrades/01. RFX/Business Procedures Trg Docs/Planning-Manufacturing-Quality/Training Material" u="1"/>
        <s v="sites/RGSales/Shared Documents/General/1.Open Opportunities/VAT 4 Growth - RFI, FYI, Ideas/ANSXXX RFI Business Review SAP S4HANA Tech Upgrades/01. RFX/Business Procedures Trg Docs/PPM-PS" u="1"/>
        <s v="sites/RGSales/Shared Documents/General/1.Open Opportunities/VAT 4 Growth - RFI, FYI, Ideas/ANSXXX RFI Business Review SAP S4HANA Tech Upgrades/01. RFX/Business Procedures Trg Docs/PPM-PS/Training Material" u="1"/>
        <s v="sites/RGSales/Shared Documents/General/1.Open Opportunities/VAT 4 Growth - RFI, FYI, Ideas/ANSXXX RFI Business Review SAP S4HANA Tech Upgrades/01. RFX/Current System Landscape" u="1"/>
        <s v="sites/RGSales/Shared Documents/General/1.Open Opportunities/VAT 4 Growth - RFI, FYI, Ideas/ANSXXX RFI Business Review SAP S4HANA Tech Upgrades/01. RFX/Future Landscape" u="1"/>
        <s v="sites/RGSales/Shared Documents/General/1.Open Opportunities/VAT 4 Growth - RFI, FYI, Ideas/ANSXXX RFI Business Review SAP S4HANA Tech Upgrades/01. RFX/Interfaces List and WRICEF List" u="1"/>
        <s v="sites/RGSales/Shared Documents/General/1.Open Opportunities/VAT 4 Growth - RFI, FYI, Ideas/ANSXXX RFI Business Review SAP S4HANA Tech Upgrades/01. RFX/SAP ECC Enterprise Structure" u="1"/>
        <s v="sites/RGSales/Shared Documents/General/1.Open Opportunities/VAT 4 Growth - RFI, FYI, Ideas/ANSXXX RFI Business Review SAP S4HANA Tech Upgrades/01. RFX/SAP ECC User Profiles and User Counts" u="1"/>
        <s v="sites/RGSales/Shared Documents/General/1.Open Opportunities/VAT 4 Growth - RFI, FYI, Ideas/ANSXXX RFI Business Review SAP S4HANA Tech Upgrades/01. RFX/SAP Modules and Systems" u="1"/>
        <s v="sites/RGSales/Shared Documents/General/1.Open Opportunities/VAT 4 Growth - RFI, FYI, Ideas/ANSXXX RFI Business Review SAP S4HANA Tech Upgrades/01. RFX/SAP RISE Adoption Frameworks" u="1"/>
        <s v="sites/RGSales/Shared Documents/General/1.Open Opportunities/VAT 4 Growth - RFI, FYI, Ideas/ANSXXX RFI Business Review SAP S4HANA Tech Upgrades/01. RFX/SAP Test Scripts" u="1"/>
        <s v="sites/RGSales/Shared Documents/General/1.Open Opportunities/VAT 4 Growth - RFI, FYI, Ideas/ANSXXX RFI Business Review SAP S4HANA Tech Upgrades/01. RFX/Silicon Service sales &amp; Irradiation" u="1"/>
        <s v="sites/RGSales/Shared Documents/General/1.Open Opportunities/VAT 4 Growth - RFI, FYI, Ideas/ANSXXX RFI Business Review SAP S4HANA Tech Upgrades/02. Response" u="1"/>
        <s v="sites/RGSales/Shared Documents/General/1.Open Opportunities/VAT 4 Growth - RFI, FYI, Ideas/ANSXXX RFI Business Review SAP S4HANA Tech Upgrades/99. Archive" u="1"/>
        <s v="sites/RGSales/Shared Documents/General/1.Open Opportunities/VAT 4 Growth - RFI, FYI, Ideas/ASIXXX Planned Procurement Early Case Assessment Mgt Software" u="1"/>
        <s v="sites/RGSales/Shared Documents/General/1.Open Opportunities/VAT 4 Growth - RFI, FYI, Ideas/ASIXXX Planned Procurement Early Case Assessment Mgt Software/02. Response" u="1"/>
        <s v="sites/RGSales/Shared Documents/General/1.Open Opportunities/VAT 4 Growth - RFI, FYI, Ideas/ASIXXX RFI Cloud security management platform 202311" u="1"/>
        <s v="sites/RGSales/Shared Documents/General/1.Open Opportunities/VAT 4 Growth - RFI, FYI, Ideas/ASIXXX RFI Cloud security management platform 202311/01. RFX" u="1"/>
        <s v="sites/RGSales/Shared Documents/General/1.Open Opportunities/VAT 4 Growth - RFI, FYI, Ideas/ASIXXX RFI Cloud security management platform 202311/02. Response" u="1"/>
        <s v="sites/RGSales/Shared Documents/General/1.Open Opportunities/VAT 4 Growth - RFI, FYI, Ideas/ASIXXX RFI Cloud security management platform 202311/99. Archive" u="1"/>
        <s v="sites/RGSales/Shared Documents/General/1.Open Opportunities/VAT 4 Growth - RFI, FYI, Ideas/ASIXXX RFI Managed services EU experience monitoring 202303" u="1"/>
        <s v="sites/RGSales/Shared Documents/General/1.Open Opportunities/VAT 4 Growth - RFI, FYI, Ideas/ASIXXX RFI Managed services EU experience monitoring 202303/00. Mgt" u="1"/>
        <s v="sites/RGSales/Shared Documents/General/1.Open Opportunities/VAT 4 Growth - RFI, FYI, Ideas/ASIXXX RFI Managed services EU experience monitoring 202303/01. RFX" u="1"/>
        <s v="sites/RGSales/Shared Documents/General/1.Open Opportunities/VAT 4 Growth - RFI, FYI, Ideas/ASIXXX RFI Managed services EU experience monitoring 202303/02. Response" u="1"/>
        <s v="sites/RGSales/Shared Documents/General/1.Open Opportunities/VAT 4 Growth - RFI, FYI, Ideas/ATIXXX RFI Austrade ERP Market Research 202510" u="1"/>
        <s v="sites/RGSales/Shared Documents/General/1.Open Opportunities/VAT 4 Growth - RFI, FYI, Ideas/ATIXXX RFI Austrade ERP Market Research 202510/00. Mgt" u="1"/>
        <s v="sites/RGSales/Shared Documents/General/1.Open Opportunities/VAT 4 Growth - RFI, FYI, Ideas/ATIXXX RFI Austrade ERP Market Research 202510/01. RFX" u="1"/>
        <s v="sites/RGSales/Shared Documents/General/1.Open Opportunities/VAT 4 Growth - RFI, FYI, Ideas/ATIXXX RFI Austrade ERP Market Research 202510/02. Response" u="1"/>
        <s v="sites/RGSales/Shared Documents/General/1.Open Opportunities/VAT 4 Growth - RFI, FYI, Ideas/ATIXXX RFI Austrade ERP Market Research 202510/98. Correspondence" u="1"/>
        <s v="sites/RGSales/Shared Documents/General/1.Open Opportunities/VAT 4 Growth - RFI, FYI, Ideas/ATIXXX RFI Austrade ERP Market Research 202510/99. Archive" u="1"/>
        <s v="sites/RGSales/Shared Documents/General/1.Open Opportunities/VAT 4 Growth - RFI, FYI, Ideas/ATIXXX RFQ Events Management Digital Solution" u="1"/>
        <s v="sites/RGSales/Shared Documents/General/1.Open Opportunities/VAT 4 Growth - RFI, FYI, Ideas/ATIXXX RFQ Events Management Digital Solution/01. RFX" u="1"/>
        <s v="sites/RGSales/Shared Documents/General/1.Open Opportunities/VAT 4 Growth - RFI, FYI, Ideas/ATIXXX RFQ Events Management Digital Solution/02. Response" u="1"/>
        <s v="sites/RGSales/Shared Documents/General/1.Open Opportunities/VAT 4 Growth - RFI, FYI, Ideas/ATOXXX - ERP" u="1"/>
        <s v="sites/RGSales/Shared Documents/General/1.Open Opportunities/VAT 4 Growth - RFI, FYI, Ideas/ATOXXX - ERP/02. Response" u="1"/>
        <s v="sites/RGSales/Shared Documents/General/1.Open Opportunities/VAT 4 Growth - RFI, FYI, Ideas/ATOXXX RFI Business Automation Solution 202410" u="1"/>
        <s v="sites/RGSales/Shared Documents/General/1.Open Opportunities/VAT 4 Growth - RFI, FYI, Ideas/ATOXXX RFI Business Automation Solution 202410/00. Mgt" u="1"/>
        <s v="sites/RGSales/Shared Documents/General/1.Open Opportunities/VAT 4 Growth - RFI, FYI, Ideas/ATOXXX RFI Business Automation Solution 202410/01. RFX" u="1"/>
        <s v="sites/RGSales/Shared Documents/General/1.Open Opportunities/VAT 4 Growth - RFI, FYI, Ideas/ATOXXX RFI Business Automation Solution 202410/02. Response" u="1"/>
        <s v="sites/RGSales/Shared Documents/General/1.Open Opportunities/VAT 4 Growth - RFI, FYI, Ideas/ATOXXX RFI Business Automation Solution 202410/99. Archive" u="1"/>
        <s v="sites/RGSales/Shared Documents/General/1.Open Opportunities/VAT 4 Growth - RFI, FYI, Ideas/ATOXXX RFQ Data and Analytics 202504" u="1"/>
        <s v="sites/RGSales/Shared Documents/General/1.Open Opportunities/VAT 4 Growth - RFI, FYI, Ideas/ATOXXX RFQ Data and Analytics 202504/01. RFX" u="1"/>
        <s v="sites/RGSales/Shared Documents/General/1.Open Opportunities/VAT 4 Growth - RFI, FYI, Ideas/ATOXXX RFQ Data and Analytics 202504/02. Response" u="1"/>
        <s v="sites/RGSales/Shared Documents/General/1.Open Opportunities/VAT 4 Growth - RFI, FYI, Ideas/ATOXXX RFQ042 – STARS Portfolio" u="1"/>
        <s v="sites/RGSales/Shared Documents/General/1.Open Opportunities/VAT 4 Growth - RFI, FYI, Ideas/ATOXXX RFQ042 – STARS Portfolio/01. RFX" u="1"/>
        <s v="sites/RGSales/Shared Documents/General/1.Open Opportunities/VAT 4 Growth - RFI, FYI, Ideas/ATOXXX RFQ042 – STARS Portfolio/02. Response" u="1"/>
        <s v="sites/RGSales/Shared Documents/General/1.Open Opportunities/VAT 4 Growth - RFI, FYI, Ideas/ATOXXX RFQ042 – STARS Portfolio/02. Response/RG Commercial Planning" u="1"/>
        <s v="sites/RGSales/Shared Documents/General/1.Open Opportunities/VAT 4 Growth - RFI, FYI, Ideas/ATOXXX RFQ042 – STARS Portfolio/99. Archive" u="1"/>
        <s v="sites/RGSales/Shared Documents/General/1.Open Opportunities/VAT 4 Growth - RFI, FYI, Ideas/CITXXX Techone ERP Implementation" u="1"/>
        <s v="sites/RGSales/Shared Documents/General/1.Open Opportunities/VAT 4 Growth - RFI, FYI, Ideas/CITXXX Techone ERP Implementation/02. Response" u="1"/>
        <s v="sites/RGSales/Shared Documents/General/1.Open Opportunities/VAT 4 Growth - RFI, FYI, Ideas/CSIXXX RFI Copernicus Regional Data Hub 202304" u="1"/>
        <s v="sites/RGSales/Shared Documents/General/1.Open Opportunities/VAT 4 Growth - RFI, FYI, Ideas/CSIXXX RFI Copernicus Regional Data Hub 202304/00. Mgt" u="1"/>
        <s v="sites/RGSales/Shared Documents/General/1.Open Opportunities/VAT 4 Growth - RFI, FYI, Ideas/CSIXXX RFI Copernicus Regional Data Hub 202304/01. RFX" u="1"/>
        <s v="sites/RGSales/Shared Documents/General/1.Open Opportunities/VAT 4 Growth - RFI, FYI, Ideas/CSIXXX RFI Copernicus Regional Data Hub 202304/01. RFX/Industry Briefing" u="1"/>
        <s v="sites/RGSales/Shared Documents/General/1.Open Opportunities/VAT 4 Growth - RFI, FYI, Ideas/CSIXXX RFI Copernicus Regional Data Hub 202304/02. Response" u="1"/>
        <s v="sites/RGSales/Shared Documents/General/1.Open Opportunities/VAT 4 Growth - RFI, FYI, Ideas/CSIXXX RFI Enterprise Services Transformation 202306" u="1"/>
        <s v="sites/RGSales/Shared Documents/General/1.Open Opportunities/VAT 4 Growth - RFI, FYI, Ideas/CSIXXX RFI Enterprise Services Transformation 202306/01. RFX" u="1"/>
        <s v="sites/RGSales/Shared Documents/General/1.Open Opportunities/VAT 4 Growth - RFI, FYI, Ideas/CSIXXX RFI Enterprise Services Transformation 202306/02. Response" u="1"/>
        <s v="sites/RGSales/Shared Documents/General/1.Open Opportunities/VAT 4 Growth - RFI, FYI, Ideas/CSIXXX RFI Enterprise Services Transformation 202306/03. Contract" u="1"/>
        <s v="sites/RGSales/Shared Documents/General/1.Open Opportunities/VAT 4 Growth - RFI, FYI, Ideas/CSIXXX RFI Enterprise Services Transformation 202306/99. Archive" u="1"/>
        <s v="sites/RGSales/Shared Documents/General/1.Open Opportunities/VAT 4 Growth - RFI, FYI, Ideas/CSIXXX RFI Guided Self-Service Contract Assembly 202509" u="1"/>
        <s v="sites/RGSales/Shared Documents/General/1.Open Opportunities/VAT 4 Growth - RFI, FYI, Ideas/CSIXXX RFI Guided Self-Service Contract Assembly 202509/01. RFX" u="1"/>
        <s v="sites/RGSales/Shared Documents/General/1.Open Opportunities/VAT 4 Growth - RFI, FYI, Ideas/CSIXXX RFI Guided Self-Service Contract Assembly 202509/02. Response" u="1"/>
        <s v="sites/RGSales/Shared Documents/General/1.Open Opportunities/VAT 4 Growth - RFI, FYI, Ideas/CSIXXX RFI Guided Self-Service Contract Assembly 202509/02. Response/Additional Documents" u="1"/>
        <s v="sites/RGSales/Shared Documents/General/1.Open Opportunities/VAT 4 Growth - RFI, FYI, Ideas/CSIXXX RFI Process Improvement Capability 202403" u="1"/>
        <s v="sites/RGSales/Shared Documents/General/1.Open Opportunities/VAT 4 Growth - RFI, FYI, Ideas/CSIXXX RFI Process Improvement Capability 202403/01. RFX" u="1"/>
        <s v="sites/RGSales/Shared Documents/General/1.Open Opportunities/VAT 4 Growth - RFI, FYI, Ideas/CSIXXX RFI Process Improvement Capability 202403/02. Response" u="1"/>
        <s v="sites/RGSales/Shared Documents/General/1.Open Opportunities/VAT 4 Growth - RFI, FYI, Ideas/DCCXXX RFI Grant proposal mapping app 202304" u="1"/>
        <s v="sites/RGSales/Shared Documents/General/1.Open Opportunities/VAT 4 Growth - RFI, FYI, Ideas/DCCXXX RFI Grant proposal mapping app 202304/00. Mgt" u="1"/>
        <s v="sites/RGSales/Shared Documents/General/1.Open Opportunities/VAT 4 Growth - RFI, FYI, Ideas/DCCXXX RFI Grant proposal mapping app 202304/01. RFX" u="1"/>
        <s v="sites/RGSales/Shared Documents/General/1.Open Opportunities/VAT 4 Growth - RFI, FYI, Ideas/DCCXXX RFI Grant proposal mapping app 202304/02. Response" u="1"/>
        <s v="sites/RGSales/Shared Documents/General/1.Open Opportunities/VAT 4 Growth - RFI, FYI, Ideas/DCCXXX RFI Grant proposal mapping app 202304/02. Response/Draft" u="1"/>
        <s v="sites/RGSales/Shared Documents/General/1.Open Opportunities/VAT 4 Growth - RFI, FYI, Ideas/DCCXXX Transition off legacy perimeter environment" u="1"/>
        <s v="sites/RGSales/Shared Documents/General/1.Open Opportunities/VAT 4 Growth - RFI, FYI, Ideas/DCCXXX Transition off legacy perimeter environment/02. Response" u="1"/>
        <s v="sites/RGSales/Shared Documents/General/1.Open Opportunities/VAT 4 Growth - RFI, FYI, Ideas/DFAXXX ERP advisory 202411" u="1"/>
        <s v="sites/RGSales/Shared Documents/General/1.Open Opportunities/VAT 4 Growth - RFI, FYI, Ideas/DFAXXX IB ICT Program 202409" u="1"/>
        <s v="sites/RGSales/Shared Documents/General/1.Open Opportunities/VAT 4 Growth - RFI, FYI, Ideas/DFAXXX IB ICT Program 202409/01. RFX" u="1"/>
        <s v="sites/RGSales/Shared Documents/General/1.Open Opportunities/VAT 4 Growth - RFI, FYI, Ideas/DFAXXX IB ICT Program 202409/02. Response" u="1"/>
        <s v="sites/RGSales/Shared Documents/General/1.Open Opportunities/VAT 4 Growth - RFI, FYI, Ideas/DFAXXX RFI-02637 ERP Implementation 202411" u="1"/>
        <s v="sites/RGSales/Shared Documents/General/1.Open Opportunities/VAT 4 Growth - RFI, FYI, Ideas/DFAXXX RFI-02637 ERP Implementation 202411/01. RFX" u="1"/>
        <s v="sites/RGSales/Shared Documents/General/1.Open Opportunities/VAT 4 Growth - RFI, FYI, Ideas/DFAXXX RFI-02637 ERP Implementation 202411/02. Response" u="1"/>
        <s v="sites/RGSales/Shared Documents/General/1.Open Opportunities/VAT 4 Growth - RFI, FYI, Ideas/DFAXXX RFI-02637 ERP Implementation 202411/02. Response/SAP partner pack" u="1"/>
        <s v="sites/RGSales/Shared Documents/General/1.Open Opportunities/VAT 4 Growth - RFI, FYI, Ideas/DFAXXX RFI-02637 ERP Implementation 202411/02. Response/Workday partner pack" u="1"/>
        <s v="sites/RGSales/Shared Documents/General/1.Open Opportunities/VAT 4 Growth - RFI, FYI, Ideas/DOFXXX Future of Shared Services (MYEFO measure)" u="1"/>
        <s v="sites/RGSales/Shared Documents/General/1.Open Opportunities/VAT 4 Growth - RFI, FYI, Ideas/DOFXXX Legislative Reform Agenda (MYEFO measure)" u="1"/>
        <s v="sites/RGSales/Shared Documents/General/1.Open Opportunities/VAT 4 Growth - RFI, FYI, Ideas/DOFXXX RFI APS Net Zero Data Platform 202311" u="1"/>
        <s v="sites/RGSales/Shared Documents/General/1.Open Opportunities/VAT 4 Growth - RFI, FYI, Ideas/DOFXXX RFI APS Net Zero Data Platform 202311/01. RFX" u="1"/>
        <s v="sites/RGSales/Shared Documents/General/1.Open Opportunities/VAT 4 Growth - RFI, FYI, Ideas/DOFXXX RFI APS Net Zero Data Platform 202311/02. Response" u="1"/>
        <s v="sites/RGSales/Shared Documents/General/1.Open Opportunities/VAT 4 Growth - RFI, FYI, Ideas/DOFXXX RFI ERP DOF DEWR DOE 202410" u="1"/>
        <s v="sites/RGSales/Shared Documents/General/1.Open Opportunities/VAT 4 Growth - RFI, FYI, Ideas/DOFXXX RFI ERP DOF DEWR DOE 202410/00. Mgt" u="1"/>
        <s v="sites/RGSales/Shared Documents/General/1.Open Opportunities/VAT 4 Growth - RFI, FYI, Ideas/DOFXXX RFI ERP DOF DEWR DOE 202410/01. RFX" u="1"/>
        <s v="sites/RGSales/Shared Documents/General/1.Open Opportunities/VAT 4 Growth - RFI, FYI, Ideas/DOFXXX RFI ERP DOF DEWR DOE 202410/02. Response" u="1"/>
        <s v="sites/RGSales/Shared Documents/General/1.Open Opportunities/VAT 4 Growth - RFI, FYI, Ideas/DOFXXX RFI ERP DOF DEWR DOE 202410/99. Archive" u="1"/>
        <s v="sites/RGSales/Shared Documents/General/1.Open Opportunities/VAT 4 Growth - RFI, FYI, Ideas/DOFXXX RFI ERP Uplift Support 202408" u="1"/>
        <s v="sites/RGSales/Shared Documents/General/1.Open Opportunities/VAT 4 Growth - RFI, FYI, Ideas/DOFXXX RFI ERP Uplift Support 202408/01. RFX" u="1"/>
        <s v="sites/RGSales/Shared Documents/General/1.Open Opportunities/VAT 4 Growth - RFI, FYI, Ideas/DOFXXX RFI ERP Uplift Support 202408/02. Response" u="1"/>
        <s v="sites/RGSales/Shared Documents/General/1.Open Opportunities/VAT 4 Growth - RFI, FYI, Ideas/DOFXXX RFI Verifiable Credentials Market Landscape 202512" u="1"/>
        <s v="sites/RGSales/Shared Documents/General/1.Open Opportunities/VAT 4 Growth - RFI, FYI, Ideas/DOFXXX RFI Verifiable Credentials Market Landscape 202512/01. RFX" u="1"/>
        <s v="sites/RGSales/Shared Documents/General/1.Open Opportunities/VAT 4 Growth - RFI, FYI, Ideas/DOFXXX RFI Verifiable Credentials Market Landscape 202512/02. Response" u="1"/>
        <s v="sites/RGSales/Shared Documents/General/1.Open Opportunities/VAT 4 Growth - RFI, FYI, Ideas/DOFXXX RFI Verified Credentials pilots 202504" u="1"/>
        <s v="sites/RGSales/Shared Documents/General/1.Open Opportunities/VAT 4 Growth - RFI, FYI, Ideas/DOFXXX SAP ERP Upgrade and Cloud Migration 202409" u="1"/>
        <s v="sites/RGSales/Shared Documents/General/1.Open Opportunities/VAT 4 Growth - RFI, FYI, Ideas/DOFXXX SAP ERP Upgrade and Cloud Migration 202409/02. Response" u="1"/>
        <s v="sites/RGSales/Shared Documents/General/1.Open Opportunities/VAT 4 Growth - RFI, FYI, Ideas/DOFXXX SAP SDO Advisory and Consulting + future tech delivery" u="1"/>
        <s v="sites/RGSales/Shared Documents/General/1.Open Opportunities/VAT 4 Growth - RFI, FYI, Ideas/DOFXXX SAP SDO Advisory and Consulting + future tech delivery/02. Response" u="1"/>
        <s v="sites/RGSales/Shared Documents/General/1.Open Opportunities/VAT 4 Growth - RFI, FYI, Ideas/DOFXXX SNOW Advisory and Consulting + future tech delivery" u="1"/>
        <s v="sites/RGSales/Shared Documents/General/1.Open Opportunities/VAT 4 Growth - RFI, FYI, Ideas/DOFXXX SNOW Advisory and Consulting + future tech delivery/02. Response" u="1"/>
        <s v="sites/RGSales/Shared Documents/General/1.Open Opportunities/VAT 4 Growth - RFI, FYI, Ideas/DPSXXX RFX ERP 202410" u="1"/>
        <s v="sites/RGSales/Shared Documents/General/1.Open Opportunities/VAT 4 Growth - RFI, FYI, Ideas/DPSXXX RFX ERP 202410/02. Response" u="1"/>
        <s v="sites/RGSales/Shared Documents/General/1.Open Opportunities/VAT 4 Growth - RFI, FYI, Ideas/DTAXXX Explore CD use case CD-OM6 202408" u="1"/>
        <s v="sites/RGSales/Shared Documents/General/1.Open Opportunities/VAT 4 Growth - RFI, FYI, Ideas/DTAXXX Explore CD use case CD-OM6 202408/02. Response" u="1"/>
        <s v="sites/RGSales/Shared Documents/General/1.Open Opportunities/VAT 4 Growth - RFI, FYI, Ideas/DTAXXX RFI GenAI services and support 202311" u="1"/>
        <s v="sites/RGSales/Shared Documents/General/1.Open Opportunities/VAT 4 Growth - RFI, FYI, Ideas/DTAXXX RFI GenAI services and support 202311/01. RFX" u="1"/>
        <s v="sites/RGSales/Shared Documents/General/1.Open Opportunities/VAT 4 Growth - RFI, FYI, Ideas/DTAXXX RFI GenAI services and support 202311/02. Response" u="1"/>
        <s v="sites/RGSales/Shared Documents/General/1.Open Opportunities/VAT 4 Growth - RFI, FYI, Ideas/DTAXXX Rule Engine Demonstrators - ID002 Decisively 202306" u="1"/>
        <s v="sites/RGSales/Shared Documents/General/1.Open Opportunities/VAT 4 Growth - RFI, FYI, Ideas/DTAXXX SAP SDO Advisory and Consulting + future tech delivery" u="1"/>
        <s v="sites/RGSales/Shared Documents/General/1.Open Opportunities/VAT 4 Growth - RFI, FYI, Ideas/DTAXXX SAP SDO Advisory and Consulting + future tech delivery/02. Response" u="1"/>
        <s v="sites/RGSales/Shared Documents/General/1.Open Opportunities/VAT 4 Growth - RFI, FYI, Ideas/DVAXXX - ERP" u="1"/>
        <s v="sites/RGSales/Shared Documents/General/1.Open Opportunities/VAT 4 Growth - RFI, FYI, Ideas/DVAXXX - ERP/02. Response" u="1"/>
        <s v="sites/RGSales/Shared Documents/General/1.Open Opportunities/VAT 4 Growth - RFI, FYI, Ideas/DVAXXX RFI Business Rules Engine - ID001 Decisively 202504" u="1"/>
        <s v="sites/RGSales/Shared Documents/General/1.Open Opportunities/VAT 4 Growth - RFI, FYI, Ideas/DVAXXX RFI Business Rules Engine - ID001 Decisively 202504/01. RFX" u="1"/>
        <s v="sites/RGSales/Shared Documents/General/1.Open Opportunities/VAT 4 Growth - RFI, FYI, Ideas/DVAXXX RFI Business Rules Engine - ID001 Decisively 202504/02. Response" u="1"/>
        <s v="sites/RGSales/Shared Documents/General/1.Open Opportunities/VAT 4 Growth - RFI, FYI, Ideas/DVAXXX RFI HRMS 202411" u="1"/>
        <s v="sites/RGSales/Shared Documents/General/1.Open Opportunities/VAT 4 Growth - RFI, FYI, Ideas/DVAXXX RFI HRMS 202411/00. Mgt" u="1"/>
        <s v="sites/RGSales/Shared Documents/General/1.Open Opportunities/VAT 4 Growth - RFI, FYI, Ideas/DVAXXX RFI HRMS 202411/01. RFX" u="1"/>
        <s v="sites/RGSales/Shared Documents/General/1.Open Opportunities/VAT 4 Growth - RFI, FYI, Ideas/DVAXXX RFI HRMS 202411/02. Response" u="1"/>
        <s v="sites/RGSales/Shared Documents/General/1.Open Opportunities/VAT 4 Growth - RFI, FYI, Ideas/DVAXXX RFI War Graves System Replacement 202304" u="1"/>
        <s v="sites/RGSales/Shared Documents/General/1.Open Opportunities/VAT 4 Growth - RFI, FYI, Ideas/DVAXXX RFI War Graves System Replacement 202304/00. Mgt" u="1"/>
        <s v="sites/RGSales/Shared Documents/General/1.Open Opportunities/VAT 4 Growth - RFI, FYI, Ideas/DVAXXX RFI War Graves System Replacement 202304/01. RFX" u="1"/>
        <s v="sites/RGSales/Shared Documents/General/1.Open Opportunities/VAT 4 Growth - RFI, FYI, Ideas/DVAXXX RFI War Graves System Replacement 202304/02. Response" u="1"/>
        <s v="sites/RGSales/Shared Documents/General/1.Open Opportunities/VAT 4 Growth - RFI, FYI, Ideas/DVAXXX Salesforce Implementation" u="1"/>
        <s v="sites/RGSales/Shared Documents/General/1.Open Opportunities/VAT 4 Growth - RFI, FYI, Ideas/DVAXXX Salesforce Implementation/01. RFX" u="1"/>
        <s v="sites/RGSales/Shared Documents/General/1.Open Opportunities/VAT 4 Growth - RFI, FYI, Ideas/EDUXXX SAP SDO Advisory and Consulting + future tech delivery" u="1"/>
        <s v="sites/RGSales/Shared Documents/General/1.Open Opportunities/VAT 4 Growth - RFI, FYI, Ideas/EDUXXX SAP SDO Advisory and Consulting + future tech delivery/02. Response" u="1"/>
        <s v="sites/RGSales/Shared Documents/General/1.Open Opportunities/VAT 4 Growth - RFI, FYI, Ideas/EMPXXX Digital Skills Migration improve visa system (MYEFO measure)" u="1"/>
        <s v="sites/RGSales/Shared Documents/General/1.Open Opportunities/VAT 4 Growth - RFI, FYI, Ideas/EMPXXX Digital Skills Migration improve visa system (MYEFO measure)/00. Mgt" u="1"/>
        <s v="sites/RGSales/Shared Documents/General/1.Open Opportunities/VAT 4 Growth - RFI, FYI, Ideas/EMPXXX RFI Integrated security management tool 202305" u="1"/>
        <s v="sites/RGSales/Shared Documents/General/1.Open Opportunities/VAT 4 Growth - RFI, FYI, Ideas/EMPXXX RFI Integrated security management tool 202305/01. RFX" u="1"/>
        <s v="sites/RGSales/Shared Documents/General/1.Open Opportunities/VAT 4 Growth - RFI, FYI, Ideas/EMPXXX RFI Integrated security management tool 202305/02. Response" u="1"/>
        <s v="sites/RGSales/Shared Documents/General/1.Open Opportunities/VAT 4 Growth - RFI, FYI, Ideas/EYAXXX DOH ERP System Integrator Services IWOW 202508" u="1"/>
        <s v="sites/RGSales/Shared Documents/General/1.Open Opportunities/VAT 4 Growth - RFI, FYI, Ideas/EYAXXX DOH ERP System Integrator Services IWOW 202508/01. RFX" u="1"/>
        <s v="sites/RGSales/Shared Documents/General/1.Open Opportunities/VAT 4 Growth - RFI, FYI, Ideas/EYAXXX DOH ERP System Integrator Services IWOW 202508/02. Response" u="1"/>
        <s v="sites/RGSales/Shared Documents/General/1.Open Opportunities/VAT 4 Growth - RFI, FYI, Ideas/EYAXXX DOH ERP System Integrator Services IWOW 202508/03. Contract" u="1"/>
        <s v="sites/RGSales/Shared Documents/General/1.Open Opportunities/VAT 4 Growth - RFI, FYI, Ideas/ICOXXX RFI Customer Mgt Platform Service Design 202303" u="1"/>
        <s v="sites/RGSales/Shared Documents/General/1.Open Opportunities/VAT 4 Growth - RFI, FYI, Ideas/ICOXXX RFI Customer Mgt Platform Service Design 202303/00. Mgt" u="1"/>
        <s v="sites/RGSales/Shared Documents/General/1.Open Opportunities/VAT 4 Growth - RFI, FYI, Ideas/ICOXXX RFI Customer Mgt Platform Service Design 202303/01. RFX" u="1"/>
        <s v="sites/RGSales/Shared Documents/General/1.Open Opportunities/VAT 4 Growth - RFI, FYI, Ideas/ICOXXX RFI Customer Mgt Platform Service Design 202303/02. Response" u="1"/>
        <s v="sites/RGSales/Shared Documents/General/1.Open Opportunities/VAT 4 Growth - RFI, FYI, Ideas/INFXXX IDAM opp headsup from CIO" u="1"/>
        <s v="sites/RGSales/Shared Documents/General/1.Open Opportunities/VAT 4 Growth - RFI, FYI, Ideas/INFXXX RFI Cloud based ERP products 202407" u="1"/>
        <s v="sites/RGSales/Shared Documents/General/1.Open Opportunities/VAT 4 Growth - RFI, FYI, Ideas/INFXXX RFI Cloud based ERP products 202407/01. RFX" u="1"/>
        <s v="sites/RGSales/Shared Documents/General/1.Open Opportunities/VAT 4 Growth - RFI, FYI, Ideas/INFXXX RFI Cloud based ERP products 202407/02. Response" u="1"/>
        <s v="sites/RGSales/Shared Documents/General/1.Open Opportunities/VAT 4 Growth - RFI, FYI, Ideas/INFXXX RFI Cloud-based Case Management System 202511" u="1"/>
        <s v="sites/RGSales/Shared Documents/General/1.Open Opportunities/VAT 4 Growth - RFI, FYI, Ideas/INFXXX RFI Cloud-based Case Management System 202511/01. RFX" u="1"/>
        <s v="sites/RGSales/Shared Documents/General/1.Open Opportunities/VAT 4 Growth - RFI, FYI, Ideas/INFXXX RFI Cloud-based Case Management System 202511/02. Response" u="1"/>
        <s v="sites/RGSales/Shared Documents/General/1.Open Opportunities/VAT 4 Growth - RFI, FYI, Ideas/INFXXX RFI Cloud-based Case Management System 202511/02. Response/ServiceNow Partner pack" u="1"/>
        <s v="sites/RGSales/Shared Documents/General/1.Open Opportunities/VAT 4 Growth - RFI, FYI, Ideas/INFXXX RFT Automotive data services procurement 2026 202511" u="1"/>
        <s v="sites/RGSales/Shared Documents/General/1.Open Opportunities/VAT 4 Growth - RFI, FYI, Ideas/INFXXX RFT Automotive data services procurement 2026 202511/01. RFX" u="1"/>
        <s v="sites/RGSales/Shared Documents/General/1.Open Opportunities/VAT 4 Growth - RFI, FYI, Ideas/INFXXX RFT Automotive data services procurement 2026 202511/02. Response" u="1"/>
        <s v="sites/RGSales/Shared Documents/General/1.Open Opportunities/VAT 4 Growth - RFI, FYI, Ideas/ISYXXX QLD EOI Urban Utilities ERP 202410" u="1"/>
        <s v="sites/RGSales/Shared Documents/General/1.Open Opportunities/VAT 4 Growth - RFI, FYI, Ideas/ISYXXX QLD EOI Urban Utilities ERP 202410/01. RFX" u="1"/>
        <s v="sites/RGSales/Shared Documents/General/1.Open Opportunities/VAT 4 Growth - RFI, FYI, Ideas/ISYXXX QLD EOI Urban Utilities ERP 202410/02. Response" u="1"/>
        <s v="sites/RGSales/Shared Documents/General/1.Open Opportunities/VAT 4 Growth - RFI, FYI, Ideas/ISYXXX RFI QLD QRO Fines Modernisation Program 202409" u="1"/>
        <s v="sites/RGSales/Shared Documents/General/1.Open Opportunities/VAT 4 Growth - RFI, FYI, Ideas/ISYXXX RFI QLD QRO Fines Modernisation Program 202409/01. RFX" u="1"/>
        <s v="sites/RGSales/Shared Documents/General/1.Open Opportunities/VAT 4 Growth - RFI, FYI, Ideas/ISYXXX RFI QLD QRO Fines Modernisation Program 202409/02. Response" u="1"/>
        <s v="sites/RGSales/Shared Documents/General/1.Open Opportunities/VAT 4 Growth - RFI, FYI, Ideas/ISYXXX RFI QLD QRO Fines Modernisation Program 202409/03. Contract" u="1"/>
        <s v="sites/RGSales/Shared Documents/General/1.Open Opportunities/VAT 4 Growth - RFI, FYI, Ideas/ISYXXX RFI QLD QRO Fines Modernisation Program 202409/99. Archive" u="1"/>
        <s v="sites/RGSales/Shared Documents/General/1.Open Opportunities/VAT 4 Growth - RFI, FYI, Ideas/ISYXXX RFX VIC DFFH .Net Migration 202410" u="1"/>
        <s v="sites/RGSales/Shared Documents/General/1.Open Opportunities/VAT 4 Growth - RFI, FYI, Ideas/ISYXXX RFX VIC DFFH .Net Migration 202410/00. Mgt" u="1"/>
        <s v="sites/RGSales/Shared Documents/General/1.Open Opportunities/VAT 4 Growth - RFI, FYI, Ideas/ISYXXX RFX VIC DFFH .Net Migration 202410/02. Response" u="1"/>
        <s v="sites/RGSales/Shared Documents/General/1.Open Opportunities/VAT 4 Growth - RFI, FYI, Ideas/ISYXXX RFX VIC DFFH .Net Migration 202410/02. Response/[1] Wassim Aziz [PM]" u="1"/>
        <s v="sites/RGSales/Shared Documents/General/1.Open Opportunities/VAT 4 Growth - RFI, FYI, Ideas/ISYXXX RFX VIC DFFH .Net Migration 202410/02. Response/Abdul Khan" u="1"/>
        <s v="sites/RGSales/Shared Documents/General/1.Open Opportunities/VAT 4 Growth - RFI, FYI, Ideas/ISYXXX RFX VIC DFFH .Net Migration 202410/02. Response/Abdul Mohammad" u="1"/>
        <s v="sites/RGSales/Shared Documents/General/1.Open Opportunities/VAT 4 Growth - RFI, FYI, Ideas/ISYXXX RFX VIC DFFH .Net Migration 202410/02. Response/Arjit Gupta" u="1"/>
        <s v="sites/RGSales/Shared Documents/General/1.Open Opportunities/VAT 4 Growth - RFI, FYI, Ideas/ISYXXX RFX VIC DFFH .Net Migration 202410/02. Response/Chiranjeevi Ommi" u="1"/>
        <s v="sites/RGSales/Shared Documents/General/1.Open Opportunities/VAT 4 Growth - RFI, FYI, Ideas/ISYXXX RFX VIC DFFH .Net Migration 202410/02. Response/Murtaza Hassan" u="1"/>
        <s v="sites/RGSales/Shared Documents/General/1.Open Opportunities/VAT 4 Growth - RFI, FYI, Ideas/ISYXXX RFX VIC DFFH .Net Migration 202410/02. Response/Paul Djimritsch" u="1"/>
        <s v="sites/RGSales/Shared Documents/General/1.Open Opportunities/VAT 4 Growth - RFI, FYI, Ideas/ISYXXX RFX VIC DFFH .Net Migration 202410/02. Response/Paul Hotchin" u="1"/>
        <s v="sites/RGSales/Shared Documents/General/1.Open Opportunities/VAT 4 Growth - RFI, FYI, Ideas/ISYXXX RFX VIC DFFH .Net Migration 202410/02. Response/Revant Damarla" u="1"/>
        <s v="sites/RGSales/Shared Documents/General/1.Open Opportunities/VAT 4 Growth - RFI, FYI, Ideas/ISYXXX RFX VIC DFFH .Net Migration 202410/02. Response/Salman Ahmed" u="1"/>
        <s v="sites/RGSales/Shared Documents/General/1.Open Opportunities/VAT 4 Growth - RFI, FYI, Ideas/ISYXXX RFX VIC DFFH .Net Migration 202410/02. Response/Shantanu Negi" u="1"/>
        <s v="sites/RGSales/Shared Documents/General/1.Open Opportunities/VAT 4 Growth - RFI, FYI, Ideas/ISYXXX RFX VIC DFFH .Net Migration 202410/02. Response/Shéamus Paul Morrissey" u="1"/>
        <s v="sites/RGSales/Shared Documents/General/1.Open Opportunities/VAT 4 Growth - RFI, FYI, Ideas/ISYXXX RFX VIC DFFH .Net Migration 202410/ISYXXX .NET Opportunity" u="1"/>
        <s v="sites/RGSales/Shared Documents/General/1.Open Opportunities/VAT 4 Growth - RFI, FYI, Ideas/ISYXXX RFX VIC DFFH .Net Migration 202410/ISYXXX .NET Opportunity/02. Response" u="1"/>
        <s v="sites/RGSales/Shared Documents/General/1.Open Opportunities/VAT 4 Growth - RFI, FYI, Ideas/ISYXXX RFX VIC DFFH Managed service for SNOW 202409" u="1"/>
        <s v="sites/RGSales/Shared Documents/General/1.Open Opportunities/VAT 4 Growth - RFI, FYI, Ideas/ISYXXX RFX VIC DFFH Managed service for SNOW 202409/00. Mgt" u="1"/>
        <s v="sites/RGSales/Shared Documents/General/1.Open Opportunities/VAT 4 Growth - RFI, FYI, Ideas/ISYXXX RFX VIC DFFH Managed service for SNOW 202409/02. Response" u="1"/>
        <s v="sites/RGSales/Shared Documents/General/1.Open Opportunities/VAT 4 Growth - RFI, FYI, Ideas/ISYXXX RFX VIC DGS Managed service for SNOW 202409" u="1"/>
        <s v="sites/RGSales/Shared Documents/General/1.Open Opportunities/VAT 4 Growth - RFI, FYI, Ideas/ISYXXX RFX VIC DGS Managed service for SNOW 202409/00. Mgt" u="1"/>
        <s v="sites/RGSales/Shared Documents/General/1.Open Opportunities/VAT 4 Growth - RFI, FYI, Ideas/ISYXXX RFX VIC DGS Managed service for SNOW 202409/02. Response" u="1"/>
        <s v="sites/RGSales/Shared Documents/General/1.Open Opportunities/VAT 4 Growth - RFI, FYI, Ideas/ISYXXX RFX VIC DJSIR Transformation SOC Automation Assistance 202409" u="1"/>
        <s v="sites/RGSales/Shared Documents/General/1.Open Opportunities/VAT 4 Growth - RFI, FYI, Ideas/ISYXXX RFX VIC DJSIR Transformation SOC Automation Assistance 202409/00. Mgt" u="1"/>
        <s v="sites/RGSales/Shared Documents/General/1.Open Opportunities/VAT 4 Growth - RFI, FYI, Ideas/ISYXXX RFX VIC DJSIR Transformation SOC Automation Assistance 202409/02. Response" u="1"/>
        <s v="sites/RGSales/Shared Documents/General/1.Open Opportunities/VAT 4 Growth - RFI, FYI, Ideas/ISYXXX RFX VIC DOH Managed service for SNOW 202409" u="1"/>
        <s v="sites/RGSales/Shared Documents/General/1.Open Opportunities/VAT 4 Growth - RFI, FYI, Ideas/ISYXXX RFX VIC DOH Managed service for SNOW 202409/00. Mgt" u="1"/>
        <s v="sites/RGSales/Shared Documents/General/1.Open Opportunities/VAT 4 Growth - RFI, FYI, Ideas/ISYXXX RFX VIC DOH Managed service for SNOW 202409/02. Response" u="1"/>
        <s v="sites/RGSales/Shared Documents/General/1.Open Opportunities/VAT 4 Growth - RFI, FYI, Ideas/ISYXXX RFX VIC DOH Oracle Migration 202409" u="1"/>
        <s v="sites/RGSales/Shared Documents/General/1.Open Opportunities/VAT 4 Growth - RFI, FYI, Ideas/ISYXXX RFX VIC DOH Oracle Migration 202409/00. Mgt" u="1"/>
        <s v="sites/RGSales/Shared Documents/General/1.Open Opportunities/VAT 4 Growth - RFI, FYI, Ideas/ISYXXX RFX VIC DOH Oracle Migration 202409/02. Response" u="1"/>
        <s v="sites/RGSales/Shared Documents/General/1.Open Opportunities/VAT 4 Growth - RFI, FYI, Ideas/ISYXXX RFX VIC DOH Oracle Migration 202409/ISYXXX .NET Opportunity" u="1"/>
        <s v="sites/RGSales/Shared Documents/General/1.Open Opportunities/VAT 4 Growth - RFI, FYI, Ideas/ISYXXX RFX VIC DOH Oracle Migration 202409/ISYXXX .NET Opportunity/02. Response" u="1"/>
        <s v="sites/RGSales/Shared Documents/General/1.Open Opportunities/VAT 4 Growth - RFI, FYI, Ideas/ISYXXX VIC TAC Architecture implementation 202408" u="1"/>
        <s v="sites/RGSales/Shared Documents/General/1.Open Opportunities/VAT 4 Growth - RFI, FYI, Ideas/ISYXXX VIC TAC Architecture implementation 202408/02. Response" u="1"/>
        <s v="sites/RGSales/Shared Documents/General/1.Open Opportunities/VAT 4 Growth - RFI, FYI, Ideas/KAM BIG PLAY ERP market offer 202408" u="1"/>
        <s v="sites/RGSales/Shared Documents/General/1.Open Opportunities/VAT 4 Growth - RFI, FYI, Ideas/KAM BIG PLAY ERP market offer 202408/00. Mgt" u="1"/>
        <s v="sites/RGSales/Shared Documents/General/1.Open Opportunities/VAT 4 Growth - RFI, FYI, Ideas/KAM BIG PLAY ERP market offer 202408/02. Response" u="1"/>
        <s v="sites/RGSales/Shared Documents/General/1.Open Opportunities/VAT 4 Growth - RFI, FYI, Ideas/KAM DOD Account Plan 2024-25" u="1"/>
        <s v="sites/RGSales/Shared Documents/General/1.Open Opportunities/VAT 4 Growth - RFI, FYI, Ideas/KAM DOD Account Plan 2024-25/00. Mgt" u="1"/>
        <s v="sites/RGSales/Shared Documents/General/1.Open Opportunities/VAT 4 Growth - RFI, FYI, Ideas/KAM DOD Account Plan 2024-25/02. Response" u="1"/>
        <s v="sites/RGSales/Shared Documents/General/1.Open Opportunities/VAT 4 Growth - RFI, FYI, Ideas/KAM DOD Account Plan 2024-25/DODXXX BRIEFING Defence Intelligence Group 202408" u="1"/>
        <s v="sites/RGSales/Shared Documents/General/1.Open Opportunities/VAT 4 Growth - RFI, FYI, Ideas/KAM DOD Account Plan 2024-25/DODXXX BRIEFING Defence Intelligence Group 202408/01. RFX" u="1"/>
        <s v="sites/RGSales/Shared Documents/General/1.Open Opportunities/VAT 4 Growth - RFI, FYI, Ideas/KAM DOD Account Plan 2024-25/DODXXX BRIEFING Defence Intelligence Group 202408/02. Response" u="1"/>
        <s v="sites/RGSales/Shared Documents/General/1.Open Opportunities/VAT 4 Growth - RFI, FYI, Ideas/KAM DOD Account Plan 2024-25/DODXXX Hornet, Project Cumulus - Multicloud" u="1"/>
        <s v="sites/RGSales/Shared Documents/General/1.Open Opportunities/VAT 4 Growth - RFI, FYI, Ideas/KAM DOD Account Plan 2024-25/DODXXX Hornet, Project Cumulus - Multicloud/02. Response" u="1"/>
        <s v="sites/RGSales/Shared Documents/General/1.Open Opportunities/VAT 4 Growth - RFI, FYI, Ideas/KAM DOD Account Plan 2024-25/DODXXX Hornet, Project Hermes - Capability Shape-Up" u="1"/>
        <s v="sites/RGSales/Shared Documents/General/1.Open Opportunities/VAT 4 Growth - RFI, FYI, Ideas/KAM DOD Account Plan 2024-25/DODXXX Hornet, Project Hermes - Capability Shape-Up/02. Response" u="1"/>
        <s v="sites/RGSales/Shared Documents/General/1.Open Opportunities/VAT 4 Growth - RFI, FYI, Ideas/KAM DOD Account Plan 2024-25/DODXXX Hornet, Project Remus - Capability Shape-Up" u="1"/>
        <s v="sites/RGSales/Shared Documents/General/1.Open Opportunities/VAT 4 Growth - RFI, FYI, Ideas/KAM DOD Account Plan 2024-25/DODXXX Hornet, Project Remus - Capability Shape-Up/02. Response" u="1"/>
        <s v="sites/RGSales/Shared Documents/General/1.Open Opportunities/VAT 4 Growth - RFI, FYI, Ideas/KAM DOD Account Plan 2024-25/DODXXX INFO Base Services Transformation Contact Centre 202407" u="1"/>
        <s v="sites/RGSales/Shared Documents/General/1.Open Opportunities/VAT 4 Growth - RFI, FYI, Ideas/KAM DOD Account Plan 2024-25/DODXXX INFO Base Services Transformation Contact Centre 202407/01. RFX" u="1"/>
        <s v="sites/RGSales/Shared Documents/General/1.Open Opportunities/VAT 4 Growth - RFI, FYI, Ideas/KAM DOD Account Plan 2024-25/DODXXX Records Management, SharePoint replacement" u="1"/>
        <s v="sites/RGSales/Shared Documents/General/1.Open Opportunities/VAT 4 Growth - RFI, FYI, Ideas/KAM DOD Account Plan 2024-25/DODXXX Records Management, SharePoint replacement/02. Response" u="1"/>
        <s v="sites/RGSales/Shared Documents/General/1.Open Opportunities/VAT 4 Growth - RFI, FYI, Ideas/KAM DOD Account Plan 2024-25/DODXXX ServiceNow UX layer" u="1"/>
        <s v="sites/RGSales/Shared Documents/General/1.Open Opportunities/VAT 4 Growth - RFI, FYI, Ideas/KAM DOD Account Plan 2024-25/DODXXX ServiceNow UX layer/02. Response" u="1"/>
        <s v="sites/RGSales/Shared Documents/General/1.Open Opportunities/VAT 4 Growth - RFI, FYI, Ideas/MDBXXX EOI Data mgt capabilities 202303" u="1"/>
        <s v="sites/RGSales/Shared Documents/General/1.Open Opportunities/VAT 4 Growth - RFI, FYI, Ideas/MDBXXX EOI Data mgt capabilities 202303/00. Mgt" u="1"/>
        <s v="sites/RGSales/Shared Documents/General/1.Open Opportunities/VAT 4 Growth - RFI, FYI, Ideas/MDBXXX EOI Data mgt capabilities 202303/01. RFX" u="1"/>
        <s v="sites/RGSales/Shared Documents/General/1.Open Opportunities/VAT 4 Growth - RFI, FYI, Ideas/MDBXXX EOI Data mgt capabilities 202303/02. Response" u="1"/>
        <s v="sites/RGSales/Shared Documents/General/1.Open Opportunities/VAT 4 Growth - RFI, FYI, Ideas/MDBXXX EOI Data mgt capabilities 202303/03. Contract" u="1"/>
        <s v="sites/RGSales/Shared Documents/General/1.Open Opportunities/VAT 4 Growth - RFI, FYI, Ideas/NCAXXX Case management system" u="1"/>
        <s v="sites/RGSales/Shared Documents/General/1.Open Opportunities/VAT 4 Growth - RFI, FYI, Ideas/NCAXXX Case management system/01. RFX" u="1"/>
        <s v="sites/RGSales/Shared Documents/General/1.Open Opportunities/VAT 4 Growth - RFI, FYI, Ideas/NCAXXX Case management system/02. Response" u="1"/>
        <s v="sites/RGSales/Shared Documents/General/1.Open Opportunities/VAT 4 Growth - RFI, FYI, Ideas/NPAXXX Parks Permit Modernisation" u="1"/>
        <s v="sites/RGSales/Shared Documents/General/1.Open Opportunities/VAT 4 Growth - RFI, FYI, Ideas/PMCXXX Complaints Management 202508" u="1"/>
        <s v="sites/RGSales/Shared Documents/General/1.Open Opportunities/VAT 4 Growth - RFI, FYI, Ideas/PMCXXX Complaints Management 202508/02. Response" u="1"/>
        <s v="sites/RGSales/Shared Documents/General/1.Open Opportunities/VAT 4 Growth - RFI, FYI, Ideas/QLDXXX EOI Core Applications &amp; Implementation Services 202509" u="1"/>
        <s v="sites/RGSales/Shared Documents/General/1.Open Opportunities/VAT 4 Growth - RFI, FYI, Ideas/QLDXXX EOI Core Applications &amp; Implementation Services 202509/00. Mgt" u="1"/>
        <s v="sites/RGSales/Shared Documents/General/1.Open Opportunities/VAT 4 Growth - RFI, FYI, Ideas/QLDXXX EOI Core Applications &amp; Implementation Services 202509/01. RFX" u="1"/>
        <s v="sites/RGSales/Shared Documents/General/1.Open Opportunities/VAT 4 Growth - RFI, FYI, Ideas/QLDXXX EOI Core Applications &amp; Implementation Services 202509/02. Response" u="1"/>
        <s v="sites/RGSales/Shared Documents/General/1.Open Opportunities/VAT 4 Growth - RFI, FYI, Ideas/QLDXXX RFI BCC AMS for SAP S4HANA Cloud Private 202411" u="1"/>
        <s v="sites/RGSales/Shared Documents/General/1.Open Opportunities/VAT 4 Growth - RFI, FYI, Ideas/QLDXXX RFI BCC AMS for SAP S4HANA Cloud Private 202411/01. RFX" u="1"/>
        <s v="sites/RGSales/Shared Documents/General/1.Open Opportunities/VAT 4 Growth - RFI, FYI, Ideas/QLDXXX RFI BCC AMS for SAP S4HANA Cloud Private 202411/02. Response" u="1"/>
        <s v="sites/RGSales/Shared Documents/General/1.Open Opportunities/VAT 4 Growth - RFI, FYI, Ideas/QLDXXX RFI BCC AMS for SAP S4HANA Cloud Private 202411/99. Archive" u="1"/>
        <s v="sites/RGSales/Shared Documents/General/1.Open Opportunities/VAT 4 Growth - RFI, FYI, Ideas/RAMXXX Planned Procurement ERP analysis and config support" u="1"/>
        <s v="sites/RGSales/Shared Documents/General/1.Open Opportunities/VAT 4 Growth - RFI, FYI, Ideas/RAMXXX Planned Procurement ERP analysis and config support/02. Response" u="1"/>
        <s v="sites/RGSales/Shared Documents/General/1.Open Opportunities/VAT 4 Growth - RFI, FYI, Ideas/RBAXXX Buy-Now-Pay-Later regulation" u="1"/>
        <s v="sites/RGSales/Shared Documents/General/1.Open Opportunities/VAT 4 Growth - RFI, FYI, Ideas/SAGXXX RFI AI Tools for Government 202509" u="1"/>
        <s v="sites/RGSales/Shared Documents/General/1.Open Opportunities/VAT 4 Growth - RFI, FYI, Ideas/SAGXXX RFI AI Tools for Government 202509/01. RFX" u="1"/>
        <s v="sites/RGSales/Shared Documents/General/1.Open Opportunities/VAT 4 Growth - RFI, FYI, Ideas/SAGXXX RFI AI Tools for Government 202509/02. Response" u="1"/>
        <s v="sites/RGSales/Shared Documents/General/1.Open Opportunities/VAT 4 Growth - RFI, FYI, Ideas/SAGXXX RFI AI Tools for Government 202509/02. Response/Attachments" u="1"/>
        <s v="sites/RGSales/Shared Documents/General/1.Open Opportunities/VAT 4 Growth - RFI, FYI, Ideas/SAGXXX RFI AI Tools for Government 202509/02. Response/Submission" u="1"/>
        <s v="sites/RGSales/Shared Documents/General/1.Open Opportunities/VAT 4 Growth - RFI, FYI, Ideas/SAGXXX RFI AI Tools for Government 202509/98. Correspondence" u="1"/>
        <s v="sites/RGSales/Shared Documents/General/1.Open Opportunities/VAT 4 Growth - RFI, FYI, Ideas/SIAXXX RFI Aust Sports Wagering Scheme Platform 202311" u="1"/>
        <s v="sites/RGSales/Shared Documents/General/1.Open Opportunities/VAT 4 Growth - RFI, FYI, Ideas/SIAXXX RFI Aust Sports Wagering Scheme Platform 202311/00. Mgt" u="1"/>
        <s v="sites/RGSales/Shared Documents/General/1.Open Opportunities/VAT 4 Growth - RFI, FYI, Ideas/SIAXXX RFI Aust Sports Wagering Scheme Platform 202311/01. RFX" u="1"/>
        <s v="sites/RGSales/Shared Documents/General/1.Open Opportunities/VAT 4 Growth - RFI, FYI, Ideas/SIAXXX RFI Aust Sports Wagering Scheme Platform 202311/02. Response" u="1"/>
        <s v="sites/RGSales/Shared Documents/General/1.Open Opportunities/VAT 4 Growth - RFI, FYI, Ideas/SIAXXX RFI Aust Sports Wagering Scheme Platform 202311/99. Archive" u="1"/>
        <s v="sites/RGSales/Shared Documents/General/1.Open Opportunities/VAT 4 Growth - RFI, FYI, Ideas/TECXXX DOF AEC EOI ERP Uplift Support Project 202509" u="1"/>
        <s v="sites/RGSales/Shared Documents/General/1.Open Opportunities/VAT 4 Growth - RFI, FYI, Ideas/TECXXX DOF AEC EOI ERP Uplift Support Project 202509/01. RFX" u="1"/>
        <s v="sites/RGSales/Shared Documents/General/1.Open Opportunities/VAT 4 Growth - RFI, FYI, Ideas/TECXXX DOF AEC EOI ERP Uplift Support Project 202509/02. Response" u="1"/>
        <s v="sites/RGSales/Shared Documents/General/1.Open Opportunities/VAT 4 Growth - RFI, FYI, Ideas/TECXXX DOF AEC EOI ERP Uplift Support Project 202509/99. Archive" u="1"/>
        <s v="sites/RGSales/Shared Documents/General/1.Open Opportunities/VAT 4 Growth - RFI, FYI, Ideas/TECXXX RFI WA Govt Decisively implementation 202511" u="1"/>
        <s v="sites/RGSales/Shared Documents/General/1.Open Opportunities/VAT 4 Growth - RFI, FYI, Ideas/TECXXX RFI WA Govt Decisively implementation 202511/02. Response" u="1"/>
        <s v="sites/RGSales/Shared Documents/General/1.Open Opportunities/VAT 4 Growth - RFI, FYI, Ideas/TEMXXX NSW Govt regulators CRM 202407" u="1"/>
        <s v="sites/RGSales/Shared Documents/General/1.Open Opportunities/VAT 4 Growth - RFI, FYI, Ideas/TEMXXX Nuix client services proposition 202407" u="1"/>
        <s v="sites/RGSales/Shared Documents/General/1.Open Opportunities/VAT 4 Growth - RFI, FYI, Ideas/TEMXXX RFX ACT CDO Secure Cloud HR Implementation 202405" u="1"/>
        <s v="sites/RGSales/Shared Documents/General/1.Open Opportunities/VAT 4 Growth - RFI, FYI, Ideas/WAG Treasury 202505" u="1"/>
        <s v="sites/RGSales/Shared Documents/General/1.Open Opportunities/VAT 4 Growth - RFI, FYI, Ideas/WAG Treasury 202505/02. Response" u="1"/>
        <s v="sites/RGSales/Shared Documents/General/1.Open Opportunities/VAT 5 DISR - RFI, FYI, Ideas" u="1"/>
        <s v="sites/RGSales/Shared Documents/General/1.Open Opportunities/VAT 5 DISR - RFI, FYI, Ideas/INDXXX Assistance with Microsoft issue 202410" u="1"/>
        <s v="sites/RGSales/Shared Documents/General/1.Open Opportunities/VAT 5 DISR - RFI, FYI, Ideas/INDXXX Assistance with Microsoft issue 202410/01. RFX" u="1"/>
        <s v="sites/RGSales/Shared Documents/General/1.Open Opportunities/VAT 5 DISR - RFI, FYI, Ideas/INDXXX Assistance with Microsoft issue 202410/02. Response" u="1"/>
        <s v="sites/RGSales/Shared Documents/General/1.Open Opportunities/VAT 5 DISR - RFI, FYI, Ideas/INDXXX RFI Endpoint Privilege Management solution 202511" u="1"/>
        <s v="sites/RGSales/Shared Documents/General/1.Open Opportunities/VAT 5 DISR - RFI, FYI, Ideas/INDXXX RFI Endpoint Privilege Management solution 202511/01. RFX" u="1"/>
        <s v="sites/RGSales/Shared Documents/General/1.Open Opportunities/VAT 5 DISR - RFI, FYI, Ideas/INDXXX RFI Endpoint Privilege Management solution 202511/02. Response" u="1"/>
        <s v="sites/RGSales/Shared Documents/General/1.Open Opportunities/VAT 5 DISR - RFI, FYI, Ideas/INDXXX RFQ Cross Divisional Financial and Market Data Services" u="1"/>
        <s v="sites/RGSales/Shared Documents/General/1.Open Opportunities/VAT 5 DISR - RFI, FYI, Ideas/INDXXX RFQ Cross Divisional Financial and Market Data Services/01. RFX" u="1"/>
        <s v="sites/RGSales/Shared Documents/General/1.Open Opportunities/VAT 5 DISR - RFI, FYI, Ideas/INDXXX RFQ Cross Divisional Financial and Market Data Services/02. Response" u="1"/>
        <s v="sites/RGSales/Shared Documents/General/1.Open Opportunities/VAT 5 DISR - RFI, FYI, Ideas/TECXXX IND RFQ TechnologyOne Options and ERP Strategy" u="1"/>
        <s v="sites/RGSales/Shared Documents/General/1.Open Opportunities/VAT 5 DISR - RFI, FYI, Ideas/TECXXX IND RFQ TechnologyOne Options and ERP Strategy/01. RFX" u="1"/>
        <s v="sites/RGSales/Shared Documents/General/1.Open Opportunities/VAT 5 DISR - RFI, FYI, Ideas/TECXXX IND RFQ TechnologyOne Options and ERP Strategy/02. Response" u="1"/>
        <s v="sites/RGSales/Shared Documents/General/1.Open Opportunities/VAT 6 Emerging - RFI, FYI, Ideas" u="1"/>
        <s v="sites/RGSales/Shared Documents/General/1.Open Opportunities/VAT 6 Emerging - RFI, FYI, Ideas/DHAXXX Broadcom VMware migration 202409" u="1"/>
        <s v="sites/RGSales/Shared Documents/General/1.Open Opportunities/VAT 6 Emerging - RFI, FYI, Ideas/DHAXXX Broadcom VMware migration 202409/02. Response" u="1"/>
        <s v="sites/RGSales/Shared Documents/General/1.Open Opportunities/VAT 6 Emerging - RFI, FYI, Ideas/DHAXXX Data Integration" u="1"/>
        <s v="sites/RGSales/Shared Documents/General/1.Open Opportunities/VAT 6 Emerging - RFI, FYI, Ideas/DHAXXX Data Integration/01. RFX" u="1"/>
        <s v="sites/RGSales/Shared Documents/General/1.Open Opportunities/VAT 6 Emerging - RFI, FYI, Ideas/DHAXXX Data Integration/02. Response" u="1"/>
        <s v="sites/RGSales/Shared Documents/General/1.Open Opportunities/VAT 6 Emerging - RFI, FYI, Ideas/DHAXXX Pega Capability Statement 202405" u="1"/>
        <s v="sites/RGSales/Shared Documents/General/1.Open Opportunities/VAT 6 Emerging - RFI, FYI, Ideas/DHAXXX RFI FOI and Privacy Case Management" u="1"/>
        <s v="sites/RGSales/Shared Documents/General/1.Open Opportunities/VAT 6 Emerging - RFI, FYI, Ideas/DHAXXX RFI FOI and Privacy Case Management/01. RFX" u="1"/>
        <s v="sites/RGSales/Shared Documents/General/1.Open Opportunities/VAT 6 Emerging - RFI, FYI, Ideas/DHAXXX RFI FOI and Privacy Case Management/02. Response" u="1"/>
        <s v="sites/RGSales/Shared Documents/General/1.Open Opportunities/VAT 6 Emerging - RFI, FYI, Ideas/DHAXXX RFI FOI and Privacy Case Management/02. Response/Attachments" u="1"/>
        <s v="sites/RGSales/Shared Documents/General/1.Open Opportunities/VAT 6 Emerging - RFI, FYI, Ideas/DHAXXX RFI FOI and Privacy Case Management/02. Response/ServiceNow Response" u="1"/>
        <s v="sites/RGSales/Shared Documents/General/1.Open Opportunities/VAT 6 Emerging - RFI, FYI, Ideas/DHAXXX RFI FOI and Privacy Case Management/99. Archive" u="1"/>
        <s v="sites/RGSales/Shared Documents/General/1.Open Opportunities/VAT 6 Emerging - RFI, FYI, Ideas/DHAXXX RFI SIAM Strategy 202309" u="1"/>
        <s v="sites/RGSales/Shared Documents/General/1.Open Opportunities/VAT 6 Emerging - RFI, FYI, Ideas/DHAXXX RFI SIAM Strategy 202309/02. Response" u="1"/>
        <s v="sites/RGSales/Shared Documents/General/1.Open Opportunities/VAT 6 Emerging - RFI, FYI, Ideas/DHAXXX RFI SIAM Strategy 202309/99. Archive" u="1"/>
        <s v="sites/RGSales/Shared Documents/General/1.Open Opportunities/VAT 6 Emerging - RFI, FYI, Ideas/DHAXXX RFT Airport Capacity and Simulation modelling 202410" u="1"/>
        <s v="sites/RGSales/Shared Documents/General/1.Open Opportunities/VAT 6 Emerging - RFI, FYI, Ideas/DHAXXX RFT Airport Capacity and Simulation modelling 202410/01. RFX" u="1"/>
        <s v="sites/RGSales/Shared Documents/General/1.Open Opportunities/VAT 6 Emerging - RFI, FYI, Ideas/DHAXXX Secure Vault migration 202409" u="1"/>
        <s v="sites/RGSales/Shared Documents/General/1.Open Opportunities/VAT 6 Emerging - RFI, FYI, Ideas/DHAXXX Secure Vault migration 202409/02. Response" u="1"/>
        <s v="sites/RGSales/Shared Documents/General/1.Open Opportunities/VAT 6 Emerging - RFI, FYI, Ideas/DoDXXX Activities" u="1"/>
        <s v="sites/RGSales/Shared Documents/General/1.Open Opportunities/VAT 6 Emerging - RFI, FYI, Ideas/DoDXXX Activities/02. Response" u="1"/>
        <s v="sites/RGSales/Shared Documents/General/1.Open Opportunities/VAT 6 Emerging - RFI, FYI, Ideas/DOHXXX - ERP" u="1"/>
        <s v="sites/RGSales/Shared Documents/General/1.Open Opportunities/VAT 6 Emerging - RFI, FYI, Ideas/DOHXXX - ERP/02. Response" u="1"/>
        <s v="sites/RGSales/Shared Documents/General/1.Open Opportunities/VAT 6 Emerging - RFI, FYI, Ideas/DoHXXX Activities" u="1"/>
        <s v="sites/RGSales/Shared Documents/General/1.Open Opportunities/VAT 6 Emerging - RFI, FYI, Ideas/DoHXXX Activities/02. Response" u="1"/>
        <s v="sites/RGSales/Shared Documents/General/1.Open Opportunities/VAT 6 Emerging - RFI, FYI, Ideas/DOHXXX Brian Large Salesforce capability 202404" u="1"/>
        <s v="sites/RGSales/Shared Documents/General/1.Open Opportunities/VAT 6 Emerging - RFI, FYI, Ideas/DOHXXX Change Management Partnership" u="1"/>
        <s v="sites/RGSales/Shared Documents/General/1.Open Opportunities/VAT 6 Emerging - RFI, FYI, Ideas/DOHXXX Change Management Partnership/02. Response" u="1"/>
        <s v="sites/RGSales/Shared Documents/General/1.Open Opportunities/VAT 6 Emerging - RFI, FYI, Ideas/DOHXXX HEADS UP ICT infrastructure and support services" u="1"/>
        <s v="sites/RGSales/Shared Documents/General/1.Open Opportunities/VAT 6 Emerging - RFI, FYI, Ideas/DOHXXX HEADS UP ICT infrastructure and support services/01. RFX" u="1"/>
        <s v="sites/RGSales/Shared Documents/General/1.Open Opportunities/VAT 6 Emerging - RFI, FYI, Ideas/DOHXXX HEADS UP ICT infrastructure and support services/DOHXXX Aged Care Future ICT Sourcing IB 202402" u="1"/>
        <s v="sites/RGSales/Shared Documents/General/1.Open Opportunities/VAT 6 Emerging - RFI, FYI, Ideas/DOHXXX HEADS UP ICT infrastructure and support services/DOHXXX Aged Care Future ICT Sourcing IB 202402/00. Mgt" u="1"/>
        <s v="sites/RGSales/Shared Documents/General/1.Open Opportunities/VAT 6 Emerging - RFI, FYI, Ideas/DOHXXX HEADS UP ICT infrastructure and support services/DOHXXX Aged Care Future ICT Sourcing IB 202402/01. RFX" u="1"/>
        <s v="sites/RGSales/Shared Documents/General/1.Open Opportunities/VAT 6 Emerging - RFI, FYI, Ideas/DOHXXX NQSC-DOHAC integrations 202404" u="1"/>
        <s v="sites/RGSales/Shared Documents/General/1.Open Opportunities/VAT 6 Emerging - RFI, FYI, Ideas/DOHXXX Reforms &amp; Info Sharing systems (MYEFO measure)" u="1"/>
        <s v="sites/RGSales/Shared Documents/General/1.Open Opportunities/VAT 6 Emerging - RFI, FYI, Ideas/DOHXXX RFI National One Stop Shop Health Research 202409" u="1"/>
        <s v="sites/RGSales/Shared Documents/General/1.Open Opportunities/VAT 6 Emerging - RFI, FYI, Ideas/DOHXXX RFI National One Stop Shop Health Research 202409/01. RFX" u="1"/>
        <s v="sites/RGSales/Shared Documents/General/1.Open Opportunities/VAT 6 Emerging - RFI, FYI, Ideas/DOHXXX RFI National One Stop Shop Health Research 202409/02. Response" u="1"/>
        <s v="sites/RGSales/Shared Documents/General/1.Open Opportunities/VAT 6 Emerging - RFI, FYI, Ideas/DOHXXX RFI National One Stop Shop Health Research 202409/99. Archive" u="1"/>
        <s v="sites/RGSales/Shared Documents/General/1.Open Opportunities/VAT 6 Emerging - RFI, FYI, Ideas/FWOXXX Activities" u="1"/>
        <s v="sites/RGSales/Shared Documents/General/1.Open Opportunities/VAT 6 Emerging - RFI, FYI, Ideas/FWOXXX Activities/01. RFX" u="1"/>
        <s v="sites/RGSales/Shared Documents/General/1.Open Opportunities/VAT 6 Emerging - RFI, FYI, Ideas/FWOXXX Activities/02. Response" u="1"/>
        <s v="sites/RGSales/Shared Documents/General/1.Open Opportunities/VAT 6 Emerging - RFI, FYI, Ideas/GLAMs KAM Account Plan 2024-25" u="1"/>
        <s v="sites/RGSales/Shared Documents/General/1.Open Opportunities/VAT 6 Emerging - RFI, FYI, Ideas/GLAMs KAM Account Plan 2024-25/02. Response" u="1"/>
        <s v="sites/RGSales/Shared Documents/General/1.Open Opportunities/VAT 6 Emerging - RFI, FYI, Ideas/KAM DHA DFAT Account Plan 2024-25" u="1"/>
        <s v="sites/RGSales/Shared Documents/General/1.Open Opportunities/VAT 6 Emerging - RFI, FYI, Ideas/KAM DHA DFAT Account Plan 2024-25/00. Mgt" u="1"/>
        <s v="sites/RGSales/Shared Documents/General/1.Open Opportunities/VAT 6 Emerging - RFI, FYI, Ideas/KAM DHA DFAT Account Plan 2024-25/00. Mgt/Home Affairs_ A mounting litany of problems that could mean the end of the super-department experiment_files" u="1"/>
        <s v="sites/RGSales/Shared Documents/General/1.Open Opportunities/VAT 6 Emerging - RFI, FYI, Ideas/KAM DHA DFAT Account Plan 2024-25/01. RFX" u="1"/>
        <s v="sites/RGSales/Shared Documents/General/1.Open Opportunities/VAT 6 Emerging - RFI, FYI, Ideas/KAM DHA DFAT Account Plan 2024-25/01. RFX/STSXXX Simplified Trade System Priorities (MYEFO measure)" u="1"/>
        <s v="sites/RGSales/Shared Documents/General/1.Open Opportunities/VAT 6 Emerging - RFI, FYI, Ideas/KAM DHA DFAT Account Plan 2024-25/02. Response" u="1"/>
        <s v="sites/RGSales/Shared Documents/General/1.Open Opportunities/VAT 6 Emerging - RFI, FYI, Ideas/NDIXXX Activities" u="1"/>
        <s v="sites/RGSales/Shared Documents/General/1.Open Opportunities/VAT 6 Emerging - RFI, FYI, Ideas/NDIXXX Activities/02. Response" u="1"/>
        <s v="sites/RGSales/Shared Documents/General/1.Open Opportunities/VAT 6 Emerging - RFI, FYI, Ideas/NDIXXX Dardo support ongoing 202310" u="1"/>
        <s v="sites/RGSales/Shared Documents/General/1.Open Opportunities/VAT 6 Emerging - RFI, FYI, Ideas/NDIXXX Dardo support ongoing 202310/00. Mgt" u="1"/>
        <s v="sites/RGSales/Shared Documents/General/1.Open Opportunities/VAT 6 Emerging - RFI, FYI, Ideas/NDIXXX ERP Trial" u="1"/>
        <s v="sites/RGSales/Shared Documents/General/1.Open Opportunities/VAT 6 Emerging - RFI, FYI, Ideas/NDIXXX RFI Future Scheme and Platforms Ecosystem 202507" u="1"/>
        <s v="sites/RGSales/Shared Documents/General/1.Open Opportunities/VAT 6 Emerging - RFI, FYI, Ideas/NDIXXX RFI Future Scheme and Platforms Ecosystem 202507/01. RFX" u="1"/>
        <s v="sites/RGSales/Shared Documents/General/1.Open Opportunities/VAT 6 Emerging - RFI, FYI, Ideas/NDIXXX RFI Implement SIEM solution 202305" u="1"/>
        <s v="sites/RGSales/Shared Documents/General/1.Open Opportunities/VAT 6 Emerging - RFI, FYI, Ideas/NDIXXX RFI Implement SIEM solution 202305/01. RFX" u="1"/>
        <s v="sites/RGSales/Shared Documents/General/1.Open Opportunities/VAT 6 Emerging - RFI, FYI, Ideas/NDIXXX RFI Implement SIEM solution 202305/02. Response" u="1"/>
        <s v="sites/RGSales/Shared Documents/General/1.Open Opportunities/VAT 6 Emerging - RFI, FYI, Ideas/NDIXXX RFI Implement SIEM solution 202305/99. Archive" u="1"/>
        <s v="sites/RGSales/Shared Documents/General/1.Open Opportunities/VAT 6 Emerging - RFI, FYI, Ideas/NDIXXX Rules Engine - ID007 Decisively 202405" u="1"/>
        <s v="sites/RGSales/Shared Documents/General/1.Open Opportunities/VAT 6 Emerging - RFI, FYI, Ideas/NGAXXX Activities" u="1"/>
        <s v="sites/RGSales/Shared Documents/General/1.Open Opportunities/VAT 6 Emerging - RFI, FYI, Ideas/NGAXXX Activities/02. Response" u="1"/>
        <s v="sites/RGSales/Shared Documents/General/1.Open Opportunities/VAT 6 Emerging - RFI, FYI, Ideas/NGAXXX ITSM and Service catalogue 202405" u="1"/>
        <s v="sites/RGSales/Shared Documents/General/1.Open Opportunities/VAT 6 Emerging - RFI, FYI, Ideas/NGAXXX ITSM and Service catalogue 202405/01. RFX" u="1"/>
        <s v="sites/RGSales/Shared Documents/General/1.Open Opportunities/VAT 6 Emerging - RFI, FYI, Ideas/NGAXXX RFI Managed Cyber Security Services" u="1"/>
        <s v="sites/RGSales/Shared Documents/General/1.Open Opportunities/VAT 6 Emerging - RFI, FYI, Ideas/NGAXXX RFI Managed Cyber Security Services/01. RFX" u="1"/>
        <s v="sites/RGSales/Shared Documents/General/1.Open Opportunities/VAT 6 Emerging - RFI, FYI, Ideas/NGAXXX RFI Managed Cyber Security Services/01. RFX/Reference Material" u="1"/>
        <s v="sites/RGSales/Shared Documents/General/1.Open Opportunities/VAT 6 Emerging - RFI, FYI, Ideas/NGAXXX RFI Managed Cyber Security Services/02. Response" u="1"/>
        <s v="sites/RGSales/Shared Documents/General/1.Open Opportunities/VAT 6 Emerging - RFI, FYI, Ideas/NLA Strategy Session" u="1"/>
        <s v="sites/RGSales/Shared Documents/General/1.Open Opportunities/VAT 6 Emerging - RFI, FYI, Ideas/NLA Strategy Session/01. RFX" u="1"/>
        <s v="sites/RGSales/Shared Documents/General/1.Open Opportunities/VAT 6 Emerging - RFI, FYI, Ideas/NLA Strategy Session/02. Response" u="1"/>
        <s v="sites/RGSales/Shared Documents/General/1.Open Opportunities/VAT 6 Emerging - RFI, FYI, Ideas/NLAXXX Activities" u="1"/>
        <s v="sites/RGSales/Shared Documents/General/1.Open Opportunities/VAT 6 Emerging - RFI, FYI, Ideas/NLAXXX Activities/02. Response" u="1"/>
        <s v="sites/RGSales/Shared Documents/General/1.Open Opportunities/VAT 6 Emerging - RFI, FYI, Ideas/NLAXXX AI POC 202405" u="1"/>
        <s v="sites/RGSales/Shared Documents/General/1.Open Opportunities/VAT 6 Emerging - RFI, FYI, Ideas/NLAXXX RFI Enterprise CRM Solution 202406" u="1"/>
        <s v="sites/RGSales/Shared Documents/General/1.Open Opportunities/VAT 6 Emerging - RFI, FYI, Ideas/NLAXXX RFI Enterprise CRM Solution 202406/01. RFX" u="1"/>
        <s v="sites/RGSales/Shared Documents/General/1.Open Opportunities/VAT 6 Emerging - RFI, FYI, Ideas/NLAXXX RFI Enterprise CRM Solution 202406/02. Response" u="1"/>
        <s v="sites/RGSales/Shared Documents/General/1.Open Opportunities/VAT 6 Emerging - RFI, FYI, Ideas/NLAXXX RFI Enterprise CRM Solution 202406/99. Archive" u="1"/>
        <s v="sites/RGSales/Shared Documents/General/1.Open Opportunities/VAT 6 Emerging - RFI, FYI, Ideas/NLAXXX RFI IT Asset Management 202405" u="1"/>
        <s v="sites/RGSales/Shared Documents/General/1.Open Opportunities/VAT 6 Emerging - RFI, FYI, Ideas/NLAXXX RFI IT Asset Management 202405/01. RFX" u="1"/>
        <s v="sites/RGSales/Shared Documents/General/1.Open Opportunities/VAT 6 Emerging - RFI, FYI, Ideas/NLAXXX RFI IT Asset Management 202405/02. Response" u="1"/>
        <s v="sites/RGSales/Shared Documents/General/1.Open Opportunities/VAT 6 Emerging - RFI, FYI, Ideas/NLAXXX RFI IT Asset Management 202405/99. Archive" u="1"/>
        <s v="sites/RGSales/Shared Documents/General/1.Open Opportunities/VAT 6 Emerging - RFI, FYI, Ideas/NLAXXX Scan and categorise 80 000 docs (Babel)" u="1"/>
        <s v="sites/RGSales/Shared Documents/General/1.Open Opportunities/VAT 6 Emerging - RFI, FYI, Ideas/NQSXXX - ERP" u="1"/>
        <s v="sites/RGSales/Shared Documents/General/1.Open Opportunities/VAT 6 Emerging - RFI, FYI, Ideas/NQSXXX - ERP/02. Response" u="1"/>
        <s v="sites/RGSales/Shared Documents/General/1.Open Opportunities/VAT 6 Emerging - RFI, FYI, Ideas/NQSXXX Activities" u="1"/>
        <s v="sites/RGSales/Shared Documents/General/1.Open Opportunities/VAT 6 Emerging - RFI, FYI, Ideas/NQSXXX Activities/02. Response" u="1"/>
        <s v="sites/RGSales/Shared Documents/General/1.Open Opportunities/VAT 6 Emerging - RFI, FYI, Ideas/NQSXXX DOF GovERP reuse 202404" u="1"/>
        <s v="sites/RGSales/Shared Documents/General/1.Open Opportunities/VAT 6 Emerging - RFI, FYI, Ideas/NQSXXX ERP Solution" u="1"/>
        <s v="sites/RGSales/Shared Documents/General/1.Open Opportunities/VAT 6 Emerging - RFI, FYI, Ideas/NQSXXX ITSM and SIAM 202411" u="1"/>
        <s v="sites/RGSales/Shared Documents/General/1.Open Opportunities/VAT 6 Emerging - RFI, FYI, Ideas/NQSXXX ITSM and SIAM 202411/02. Response" u="1"/>
        <s v="sites/RGSales/Shared Documents/General/1.Open Opportunities/VAT 6 Emerging - RFI, FYI, Ideas/NQSXXX NQSC Data Quality and Cleansing 202405" u="1"/>
        <s v="sites/RGSales/Shared Documents/General/1.Open Opportunities/VAT 6 Emerging - RFI, FYI, Ideas/NQSXXX RFI Content Management System 202502" u="1"/>
        <s v="sites/RGSales/Shared Documents/General/1.Open Opportunities/VAT 6 Emerging - RFI, FYI, Ideas/NQSXXX RFI Content Management System 202502/01. RFX" u="1"/>
        <s v="sites/RGSales/Shared Documents/General/1.Open Opportunities/VAT 6 Emerging - RFI, FYI, Ideas/NQSXXX RFI Content Management System 202502/02. Response" u="1"/>
        <s v="sites/RGSales/Shared Documents/General/1.Open Opportunities/VAT 6 Emerging - RFI, FYI, Ideas/NQSXXX RFI LMS Services 202502" u="1"/>
        <s v="sites/RGSales/Shared Documents/General/1.Open Opportunities/VAT 6 Emerging - RFI, FYI, Ideas/NQSXXX RFI LMS Services 202502/01. RFX" u="1"/>
        <s v="sites/RGSales/Shared Documents/General/1.Open Opportunities/VAT 6 Emerging - RFI, FYI, Ideas/NQSXXX RFI LMS Services 202502/02. Response" u="1"/>
        <s v="sites/RGSales/Shared Documents/General/1.Open Opportunities/VAT 6 Emerging - RFI, FYI, Ideas/NQSXXX Rules Engine - ID008 Decisively 202406" u="1"/>
        <s v="sites/RGSales/Shared Documents/General/1.Open Opportunities/VAT 6 Emerging - RFI, FYI, Ideas/NQSXXX SIEM and SOC 202411" u="1"/>
        <s v="sites/RGSales/Shared Documents/General/1.Open Opportunities/VAT 6 Emerging - RFI, FYI, Ideas/NQSXXX SIEM and SOC 202411/02. Response" u="1"/>
        <s v="sites/RGSales/Shared Documents/General/1.Open Opportunities/VAT 6 Emerging - RFI, FYI, Ideas/NQSXXX Worker Digital Identity Demo to MK" u="1"/>
        <s v="sites/RGSales/Shared Documents/General/1.Open Opportunities/VICXXX CenITex Initial Strategy for One VPS" u="1"/>
        <s v="sites/RGSales/Shared Documents/General/1.Open Opportunities/VICXXX CenITex Initial Strategy for One VPS/02. Response" u="1"/>
        <s v="sites/RGSales/Shared Documents/General/1.Open Opportunities/VICXXX DEECA RFQ Permissions System 202512" u="1"/>
        <s v="sites/RGSales/Shared Documents/General/1.Open Opportunities/VICXXX DEECA RFQ Permissions System 202512/01. RFX" u="1"/>
        <s v="sites/RGSales/Shared Documents/General/1.Open Opportunities/VICXXX DEECA RFQ Permissions System 202512/02. Response" u="1"/>
        <s v="sites/RGSales/Shared Documents/General/1.Open Opportunities/VICXXX DEECA RFQ Permissions System 202512/99. Archive" u="1"/>
        <s v="sites/RGSales/Shared Documents/General/1.Open Opportunities/VICXXX DEECA RFQ Permissions System 202512/VICXXX RFI Permissions System Project 202504" u="1"/>
        <s v="sites/RGSales/Shared Documents/General/1.Open Opportunities/VICXXX DEECA RFQ Permissions System 202512/VICXXX RFI Permissions System Project 202504/01. RFX" u="1"/>
        <s v="sites/RGSales/Shared Documents/General/1.Open Opportunities/VICXXX DEECA RFQ Permissions System 202512/VICXXX RFI Permissions System Project 202504/02. Response" u="1"/>
        <s v="sites/RGSales/Shared Documents/General/1.Open Opportunities/VICXXX DEECA RFQ Permissions System 202512/VICXXX RFI Permissions System Project 202504/99. Archive" u="1"/>
        <s v="sites/RGSales/Shared Documents/General/1.Open Opportunities/VICXXX DEECA Strategy 202602" u="1"/>
        <s v="sites/RGSales/Shared Documents/General/1.Open Opportunities/VICXXX DEECA Strategy 202602/02. Response" u="1"/>
        <s v="sites/RGSales/Shared Documents/General/1.Open Opportunities/VICXXX DFFH Replace Child Protection System" u="1"/>
        <s v="sites/RGSales/Shared Documents/General/1.Open Opportunities/VICXXX DFFH Replace Child Protection System/01. RFX" u="1"/>
        <s v="sites/RGSales/Shared Documents/General/1.Open Opportunities/VICXXX DFFH Replace Child Protection System/02. Response" u="1"/>
        <s v="sites/RGSales/Shared Documents/General/1.Open Opportunities/VICXXX DJSIR Opp 1 Technical T&amp;M" u="1"/>
        <s v="sites/RGSales/Shared Documents/General/1.Open Opportunities/VICXXX DJSIR Opp 1 Technical T&amp;M/01. RFX" u="1"/>
        <s v="sites/RGSales/Shared Documents/General/1.Open Opportunities/VICXXX DJSIR Opp 1 Technical T&amp;M/02. Response" u="1"/>
        <s v="sites/RGSales/Shared Documents/General/1.Open Opportunities/VICXXX DJSIR Opp 2 Regional Hub Case Mgt" u="1"/>
        <s v="sites/RGSales/Shared Documents/General/1.Open Opportunities/VICXXX DJSIR Opp 2 Regional Hub Case Mgt/02. Response" u="1"/>
        <s v="sites/RGSales/Shared Documents/General/1.Open Opportunities/VICXXX DoE ServiceNow Engagement Strategy" u="1"/>
        <s v="sites/RGSales/Shared Documents/General/1.Open Opportunities/VICXXX DoE ServiceNow Engagement Strategy/02. Response" u="1"/>
        <s v="sites/RGSales/Shared Documents/General/1.Open Opportunities/VICXXX EMV Portal App" u="1"/>
        <s v="sites/RGSales/Shared Documents/General/1.Open Opportunities/VICXXX EMV Portal App/02. Response" u="1"/>
        <s v="sites/RGSales/Shared Documents/General/1.Open Opportunities/VICXXX RFI VIC Police Intelligence Mgt Application 202602" u="1"/>
        <s v="sites/RGSales/Shared Documents/General/1.Open Opportunities/VICXXX RFI VIC Police Intelligence Mgt Application 202602/01. RFX" u="1"/>
        <s v="sites/RGSales/Shared Documents/General/1.Open Opportunities/VICXXX RFI VIC Police Intelligence Mgt Application 202602/02. Response" u="1"/>
        <s v="sites/RGSales/Shared Documents/General/1.Open Opportunities/VICXXX RFQ DFFH EEC Replacement" u="1"/>
        <s v="sites/RGSales/Shared Documents/General/1.Open Opportunities/VICXXX RFQ DFFH EEC Replacement/02. Response" u="1"/>
        <s v="sites/RGSales/Shared Documents/General/1.Open Opportunities/VICXXX RFQ DFFH EEC Replacement/VICXXX RFQ DFFH EEC Applications 202601" u="1"/>
        <s v="sites/RGSales/Shared Documents/General/1.Open Opportunities/VICXXX RFQ DFFH EEC Replacement/VICXXX RFQ DFFH EEC Applications 202601/01. RFX" u="1"/>
        <s v="sites/RGSales/Shared Documents/General/1.Open Opportunities/VICXXX RFQ DFFH EEC Replacement/VICXXX RFQ DFFH EEC Applications 202601/02. Response" u="1"/>
        <s v="sites/RGSales/Shared Documents/General/1.Open Opportunities/VICXXX RFQ DJSIR Online Monitoring Ticket Scalping 202602" u="1"/>
        <s v="sites/RGSales/Shared Documents/General/1.Open Opportunities/VICXXX RFQ DJSIR Online Monitoring Ticket Scalping 202602/01. RFX" u="1"/>
        <s v="sites/RGSales/Shared Documents/General/1.Open Opportunities/VICXXX RFQ DJSIR Online Monitoring Ticket Scalping 202602/02. Response" u="1"/>
        <s v="sites/RGSales/Shared Documents/General/1.Open Opportunities/VICXXX RFQ SRO Data Lake Warehouse and Debt mgt 202602" u="1"/>
        <s v="sites/RGSales/Shared Documents/General/1.Open Opportunities/VICXXX RFQ SRO Data Lake Warehouse and Debt mgt 202602/02. Response" u="1"/>
        <s v="sites/RGSales/Shared Documents/General/1.Open Opportunities/VICXXX ServiceNow assessment" u="1"/>
        <s v="sites/RGSales/Shared Documents/General/1.Open Opportunities/VICXXX ServiceNow assessment/01. RFX" u="1"/>
        <s v="sites/RGSales/Shared Documents/General/1.Open Opportunities/VICXXX ServiceNow assessment/02. Response" u="1"/>
        <s v="sites/RGSales/Shared Documents/General/1.Open Opportunities/ZZZ - Analytics" u="1"/>
        <s v="sites/RGSales/Shared Documents/General/1.Open Opportunities/ZZZ - Analytics/Capability Bench" u="1"/>
        <s v="sites/RGSales/Shared Documents/General/1.Open Opportunities/ZZZ - Analytics/Capability Bench/Authorisation emails" u="1"/>
        <s v="sites/RGSales/Shared Documents/General/1.Open Opportunities/ZZZ - Analytics/Capability Bench/Authorisation emails/RFQDM24-092 - SPES - Developers" u="1"/>
        <s v="sites/RGSales/Shared Documents/General/1.Open Opportunities/ZZZ - Analytics/Capability Bench/Authorisation emails/RFQDM24-094 - SPES - Systems Analysts" u="1"/>
        <s v="sites/RGSales/Shared Documents/General/1.Open Opportunities/ZZZ - Analytics/Capability Bench/Authorisation emails/RFQDM24-104 - SAP Functional Analyst (ERP HR)" u="1"/>
        <s v="sites/RGSales/Shared Documents/General/1.Open Opportunities/ZZZ - Analytics/Capability Bench/Authorisation emails/RFQDM24-111 - Reporting and Risk Manager" u="1"/>
        <s v="sites/RGSales/Shared Documents/General/1.Open Opportunities/ZZZ - Analytics/Capability Bench/Authorisation emails/RFQDM24-113 - SAP Functional Analyst (ERP FI)" u="1"/>
        <s v="sites/RGSales/Shared Documents/General/1.Open Opportunities/ZZZ - Analytics/Capability Bench/Authorisation emails/RFQDM24-115 - SAP FI Functional configuration and Business Analyst" u="1"/>
        <s v="sites/RGSales/Shared Documents/General/1.Open Opportunities/ZZZ - Analytics/Capability Bench/Authorisation emails/RFQDM24-118 - Automation Test Developers" u="1"/>
        <s v="sites/RGSales/Shared Documents/General/1.Open Opportunities/ZZZ - Analytics/Capability Bench/Authorisation emails/RFQDM24-120 - SAP Delivery Manager" u="1"/>
        <s v="sites/RGSales/Shared Documents/General/1.Open Opportunities/ZZZ - Analytics/Capability Bench/Authorisation emails/RFQDM24-135 Data Architect" u="1"/>
        <s v="sites/RGSales/Shared Documents/General/1.Open Opportunities/ZZZ - Analytics/Capability Bench/Authorisation emails/RFQDM24-142 - Senior System Analyst" u="1"/>
        <s v="sites/RGSales/Shared Documents/General/1.Open Opportunities/ZZZ - Analytics/Capability Bench/Authorisation emails/RFQDM24-144 - Developers" u="1"/>
        <s v="sites/RGSales/Shared Documents/General/1.Open Opportunities/ZZZ - Analytics/Capability Bench/Authorisation emails/RFQDM24-145 - SPES - Senior Development Lead" u="1"/>
        <s v="sites/RGSales/Shared Documents/General/1.Open Opportunities/ZZZ - Analytics/Capability Bench/Authorisation emails/RFQDM24-146 - SPES - Senior Solution Designer" u="1"/>
        <s v="sites/RGSales/Shared Documents/General/1.Open Opportunities/ZZZ - Analytics/Capability Bench/Authorisation emails/RFQDM24-147 - SPES - Technical Development Expert" u="1"/>
        <s v="sites/RGSales/Shared Documents/General/1.Open Opportunities/ZZZ - Analytics/Capability Bench/Authorisation emails/RFQDM24-148 - SPES - Functional Development Expert" u="1"/>
        <s v="sites/RGSales/Shared Documents/General/1.Open Opportunities/ZZZ - Analytics/Capability Bench/Authorisation emails/RFQDM24-149 - Analyst - System" u="1"/>
        <s v="sites/RGSales/Shared Documents/General/1.Open Opportunities/ZZZ - Analytics/Capability Bench/Authorisation emails/RFQDM24-153 Senior Cyber Security Architect" u="1"/>
        <s v="sites/RGSales/Shared Documents/General/1.Open Opportunities/ZZZ - Analytics/Capability Bench/Authorisation emails/RFQDM24-154 Cyber Security Architect" u="1"/>
        <s v="sites/RGSales/Shared Documents/General/1.Open Opportunities/ZZZ - Analytics/Capability Bench/Authorisation emails/RFQDM24-155 - Senior UNIX Infrastructure Expert" u="1"/>
        <s v="sites/RGSales/Shared Documents/General/1.Open Opportunities/ZZZ - Analytics/Capability Bench/Authorisation emails/RFQDM24-156 - Expert Database Technical Lead" u="1"/>
        <s v="sites/RGSales/Shared Documents/General/1.Open Opportunities/ZZZ - Analytics/Capability Bench/Authorisation emails/RFQDM24-166 NTDPG Strategic Service Designer" u="1"/>
        <s v="sites/RGSales/Shared Documents/General/1.Open Opportunities/ZZZ - Analytics/Capability Bench/Authorisation emails/RFQDM24-169 - Cyber Security Analyst" u="1"/>
        <s v="sites/RGSales/Shared Documents/General/1.Open Opportunities/ZZZ - Analytics/Capability Bench/Authorisation emails/RFQDM24-178 - Technical Delivery Manager" u="1"/>
        <s v="sites/RGSales/Shared Documents/General/1.Open Opportunities/ZZZ - NEW OPEN OPPS TEMPLATE FOLDER" u="1"/>
        <s v="sites/RGSales/Shared Documents/General/1.Open Opportunities/ZZZ - NEW OPEN OPPS TEMPLATE FOLDER/02. Response" u="1"/>
        <s v="sites/RGSales/Shared Documents/General/1.Open Opportunities/FWOXXX Digital Transformation PoC" u="1"/>
        <s v="sites/RGSales/Shared Documents/General/1.Open Opportunities/FWOXXX Digital Transformation PoC/02. Response" u="1"/>
        <s v="sites/RGSales/Shared Documents/General/1.Open Opportunities/AGDXXX RFQ Case Management System 202509" u="1"/>
        <s v="sites/RGSales/Shared Documents/General/1.Open Opportunities/AGDXXX RFQ Case Management System 202509/01. RFX" u="1"/>
        <s v="sites/RGSales/Shared Documents/General/1.Open Opportunities/AGDXXX RFQ Case Management System 202509/01. RFX/RFX1" u="1"/>
        <s v="sites/RGSales/Shared Documents/General/1.Open Opportunities/AGDXXX RFQ Case Management System 202509/01. RFX/RFX2" u="1"/>
        <s v="sites/RGSales/Shared Documents/General/1.Open Opportunities/AGDXXX RFQ Case Management System 202509/02. Response" u="1"/>
        <s v="sites/RGSales/Shared Documents/General/1.Open Opportunities/AGDXXX RFQ Case Management System 202509/02. Response/Response1" u="1"/>
        <s v="sites/RGSales/Shared Documents/General/1.Open Opportunities/AGDXXX RFQ Case Management System 202509/02. Response/Response1/CVs" u="1"/>
        <s v="sites/RGSales/Shared Documents/General/1.Open Opportunities/AGDXXX RFQ Case Management System 202509/02. Response/Response2" u="1"/>
        <s v="sites/RGSales/Shared Documents/General/1.Open Opportunities/AGDXXX RFQ Case Management System 202509/02. Response/Response2/CVs" u="1"/>
        <s v="sites/RGSales/Shared Documents/General/1.Open Opportunities/AGDXXX RFQ Case Management System 202509/03. Contract" u="1"/>
        <s v="sites/RGSales/Shared Documents/General/1.Open Opportunities/AGDXXX RFQ Case Management System 202509/06. Onboarding" u="1"/>
        <s v="sites/RGSales/Shared Documents/General/1.Open Opportunities/AGDXXX RFQ Case Management System 202509/99. Archive" u="1"/>
        <s v="sites/RGSales/Shared Documents/General/1.Open Opportunities/AGDXXX RFQ Case Management System 202509/LABXXX AGD CIO opp 202502" u="1"/>
        <s v="sites/RGSales/Shared Documents/General/1.Open Opportunities/AGDXXX RFQ Case Management System 202509/LABXXX AGD CIO opp 202502/02. Response" u="1"/>
        <s v="sites/RGSales/Shared Documents/General/1.Open Opportunities/AGDXXX RFQ Case Management System 202509/LABXXX AGD CIO opp 202502/99. Archive" u="1"/>
        <s v="sites/RGSales/Shared Documents/General/1.Open Opportunities/ATOXXX Pre-notice Interactions Centre Solution Procurement" u="1"/>
        <s v="sites/RGSales/Shared Documents/General/1.Open Opportunities/ATOXXX Pre-notice Interactions Centre Solution Procurement/01. RFX" u="1"/>
        <s v="sites/RGSales/Shared Documents/General/1.Open Opportunities/ATOXXX Pre-notice Interactions Centre Solution Procurement/02. Response" u="1"/>
        <s v="sites/RGSales/Shared Documents/General/1.Open Opportunities/DAFXX RFQ Northern Australia Biosecurity 202601" u="1"/>
        <s v="sites/RGSales/Shared Documents/General/1.Open Opportunities/DAFXX RFQ Northern Australia Biosecurity 202601/01. RFX" u="1"/>
        <s v="sites/RGSales/Shared Documents/General/1.Open Opportunities/DAFXX RFQ Northern Australia Biosecurity 202601/02. Response" u="1"/>
        <s v="sites/RGSales/Shared Documents/General/1.Open Opportunities/DOFXX RFQ Service Delivery Program 202511" u="1"/>
        <s v="sites/RGSales/Shared Documents/General/1.Open Opportunities/DOFXX RFQ Service Delivery Program 202511/01. RFX" u="1"/>
        <s v="sites/RGSales/Shared Documents/General/1.Open Opportunities/DOFXX RFQ Service Delivery Program 202511/02. Response" u="1"/>
        <s v="sites/RGSales/Shared Documents/General/1.Open Opportunities/DOFXX RFQ Service Delivery Program 202511/02. Response/Archive" u="1"/>
        <s v="sites/RGSales/Shared Documents/General/1.Open Opportunities/DOFXX RFQ Service Delivery Program 202511/02. Response/CVs" u="1"/>
        <s v="sites/RGSales/Shared Documents/General/1.Open Opportunities/DOFXX RFQ Service Delivery Program 202511/99. Archive" u="1"/>
        <s v="sites/RGSales/Shared Documents/General/1.Open Opportunities/DOWXXX Downer Shared Services 202512" u="1"/>
        <s v="sites/RGSales/Shared Documents/General/1.Open Opportunities/DOWXXX Downer Shared Services 202512/01. RFX" u="1"/>
        <s v="sites/RGSales/Shared Documents/General/1.Open Opportunities/DOWXXX Downer Shared Services 202512/02. Response" u="1"/>
        <s v="sites/RGSales/Shared Documents/General/1.Open Opportunities/DOWXXX Downer Shared Services 202512/Downer ServiceNow Open Opp" u="1"/>
        <s v="sites/RGSales/Shared Documents/General/1.Open Opportunities/DVAXXX RFQ Microsoft 365 E5 Capability Uplift 202601" u="1"/>
        <s v="sites/RGSales/Shared Documents/General/1.Open Opportunities/DVAXXX RFQ Microsoft 365 E5 Capability Uplift 202601/01. RFX" u="1"/>
        <s v="sites/RGSales/Shared Documents/General/1.Open Opportunities/DVAXXX RFQ Microsoft 365 E5 Capability Uplift 202601/02. Response" u="1"/>
        <s v="sites/RGSales/Shared Documents/General/1.Open Opportunities/ISY010-01 VIC SRO T3 (Extension)" u="1"/>
        <s v="sites/RGSales/Shared Documents/General/1.Open Opportunities/ISY010-01 VIC SRO T3 (Extension)/02. Response" u="1"/>
        <s v="sites/RGSales/Shared Documents/General/1.Open Opportunities/SAUXXX RFT Commercial off-the-shelf Investigation &amp; IIMS 202601" u="1"/>
        <s v="sites/RGSales/Shared Documents/General/1.Open Opportunities/SAUXXX RFT Commercial off-the-shelf Investigation &amp; IIMS 202601/01. RFX" u="1"/>
        <s v="sites/RGSales/Shared Documents/General/1.Open Opportunities/SAUXXX RFT Commercial off-the-shelf Investigation &amp; IIMS 202601/02. Response" u="1"/>
        <s v="sites/RGSales/Shared Documents/General/1.Open Opportunities/VAT 3 VIC Govt - RFI, FYI, Ideas/BSSXXX BlueScope Steel SAP architects" u="1"/>
        <s v="sites/RGSales/Shared Documents/General/1.Open Opportunities/VAT 3 VIC Govt - RFI, FYI, Ideas/BSSXXX BlueScope Steel SAP architects/01. RFX" u="1"/>
        <s v="sites/RGSales/Shared Documents/General/1.Open Opportunities/VAT 3 VIC Govt - RFI, FYI, Ideas/BSSXXX BlueScope Steel SAP architects/02. Response" u="1"/>
        <s v="sites/RGSales/Shared Documents/General/1.Open Opportunities/VAT 3 VIC Govt - RFI, FYI, Ideas/BSSXXX BlueScope Steel SAP architects/99. Archive" u="1"/>
        <s v="sites/RGSales/Shared Documents/General/1.Open Opportunities/VAT 4 Growth - RFI, FYI, Ideas/DTAXXX RFI ERP Implementation 202501" u="1"/>
        <s v="sites/RGSales/Shared Documents/General/1.Open Opportunities/VAT 4 Growth - RFI, FYI, Ideas/DTAXXX RFI ERP Implementation 202501/00. Mgt" u="1"/>
        <s v="sites/RGSales/Shared Documents/General/1.Open Opportunities/VAT 4 Growth - RFI, FYI, Ideas/DTAXXX RFI ERP Implementation 202501/01. RFX" u="1"/>
        <s v="sites/RGSales/Shared Documents/General/1.Open Opportunities/VAT 4 Growth - RFI, FYI, Ideas/DTAXXX RFI ERP Implementation 202501/02. Response" u="1"/>
        <s v="sites/RGSales/Shared Documents/General/1.Open Opportunities/VAT 4 Growth - RFI, FYI, Ideas/DTAXXX RFI ERP Implementation 202501/DOFXXX RFI ERP DOF DEWR DOE 202410" u="1"/>
        <s v="sites/RGSales/Shared Documents/General/1.Open Opportunities/VAT 4 Growth - RFI, FYI, Ideas/DTAXXX RFI ERP Implementation 202501/DOFXXX RFI ERP DOF DEWR DOE 202410/00. Mgt" u="1"/>
        <s v="sites/RGSales/Shared Documents/General/1.Open Opportunities/VAT 4 Growth - RFI, FYI, Ideas/DTAXXX RFI ERP Implementation 202501/DOFXXX RFI ERP DOF DEWR DOE 202410/01. RFX" u="1"/>
        <s v="sites/RGSales/Shared Documents/General/1.Open Opportunities/VAT 4 Growth - RFI, FYI, Ideas/DTAXXX RFI ERP Implementation 202501/DOFXXX RFI ERP DOF DEWR DOE 202410/02. Response" u="1"/>
        <s v="sites/RGSales/Shared Documents/General/1.Open Opportunities/VAT 4 Growth - RFI, FYI, Ideas/DTAXXX RFI ERP Implementation 202501/DOFXXX RFI ERP DOF DEWR DOE 202410/99. Archive" u="1"/>
        <s v="sites/RGSales/Shared Documents/General/1.Open Opportunities/VICXXX RFI HSV Vendor Mgmt System for Medical Locum Agencies" u="1"/>
        <s v="sites/RGSales/Shared Documents/General/1.Open Opportunities/VICXXX RFI HSV Vendor Mgmt System for Medical Locum Agencies/01. RFX" u="1"/>
        <s v="sites/RGSales/Shared Documents/General/1.Open Opportunities/VICXXX RFI HSV Vendor Mgmt System for Medical Locum Agencies/02. Response" u="1"/>
        <s v="sites/RGSales/Shared Documents/General/1.Open Opportunities/VICXXX RFI HSV Vendor Mgmt System for Medical Locum Agencies/99. Archive" u="1"/>
        <s v="sites/RGSales/Shared Documents/General/1.Open Opportunities/VICXXX RFQ DFFH EEC Applications 202601" u="1"/>
        <s v="sites/RGSales/Shared Documents/General/1.Open Opportunities/VICXXX RFQ DFFH EEC Applications 202601/01. RFX" u="1"/>
        <s v="sites/RGSales/Shared Documents/General/1.Open Opportunities/VICXXX RFQ DFFH EEC Applications 202601/02. Response" u="1"/>
        <s v="sites/RGSales/Shared Documents/General/1.Open Opportunities/VICXXX SRO Eloqua" u="1"/>
        <s v="sites/RGSales/Shared Documents/General/1.Open Opportunities/VICXXX SRO Eloqua/02. Response" u="1"/>
        <s v="sites/RGSales/Shared Documents/General/1.Open Opportunities/VICXXX SRO Oracle Modernisation - Tranche 4" u="1"/>
        <s v="sites/RGSales/Shared Documents/General/1.Open Opportunities/VICXXX SRO Oracle Modernisation - Tranche 4/VICXXX SRO BRE Licensing, Implementation and MSE - ID003 Decisively 202405" u="1"/>
        <s v="sites/RGSales/Shared Documents/General/1.Open Opportunities/VICXXX SRO Oracle Modernisation - Tranche 4/VICXXX SRO BRE Licensing, Implementation and MSE - Year 2" u="1"/>
        <s v="sites/RGSales/Shared Documents/General/1.Open Opportunities/VICXXX SRO Oracle Modernisation - Tranche 4/VICXXX SRO Oracle Modernisation - Product to Platform" u="1"/>
        <s v="sites/RGSales/Shared Documents/General/1.Open Opportunities/VICXXX SRO RFQ T4 Discovery program 202510" u="1"/>
        <s v="sites/RGSales/Shared Documents/General/1.Open Opportunities/ZZZ - TEMPLATE NEW OPEN OPPS - COPY THIS FOLDER" u="1"/>
        <s v="sites/RGSales/Shared Documents/General/1.Open Opportunities/ZZZ - TEMPLATE NEW OPEN OPPS - COPY THIS FOLDER/02. Response" u="1"/>
        <s v="sites/RGSales/Shared Documents/General/1.Open Opportunities/DAFXXX ATM" u="1"/>
        <s v="sites/RGSales/Shared Documents/General/1.Open Opportunities/DAFXXX ATM/02. Response" u="1"/>
        <s v="sites/RGSales/Shared Documents/General/1.Open Opportunities/DAFXXX DBD Cyber Backlog" u="1"/>
        <s v="sites/RGSales/Shared Documents/General/1.Open Opportunities/DAFXXX DBD Cyber Backlog/02. Response" u="1"/>
        <s v="sites/RGSales/Shared Documents/General/1.Open Opportunities/DAFXXX Digital Sustainment Model" u="1"/>
        <s v="sites/RGSales/Shared Documents/General/1.Open Opportunities/DAFXXX Digital Sustainment Model/02. Response" u="1"/>
        <s v="sites/RGSales/Shared Documents/General/1.Open Opportunities/DAFXXX ERP TechOne RESOURCES PLACEHOLDER" u="1"/>
        <s v="sites/RGSales/Shared Documents/General/1.Open Opportunities/DAFXXX ERP TechOne RESOURCES PLACEHOLDER/02. Response" u="1"/>
        <s v="sites/RGSales/Shared Documents/General/1.Open Opportunities/DAFXXX IdAM Approach" u="1"/>
        <s v="sites/RGSales/Shared Documents/General/1.Open Opportunities/DAFXXX IdAM Approach/02. Response" u="1"/>
        <s v="sites/RGSales/Shared Documents/General/1.Open Opportunities/DAFXXX IdAM Approach/AUPXXX Servicenow - CSM" u="1"/>
        <s v="sites/RGSales/Shared Documents/General/1.Open Opportunities/DAFXXX IdAM Approach/AUPXXX Servicenow - CSM/02. Response" u="1"/>
        <s v="sites/RGSales/Shared Documents/General/1.Open Opportunities/DAFXXX Industry API delivery" u="1"/>
        <s v="sites/RGSales/Shared Documents/General/1.Open Opportunities/DAFXXX Industry API delivery/02. Response" u="1"/>
        <s v="sites/RGSales/Shared Documents/General/1.Open Opportunities/DAFXXX STEPS 079 Budget-TCV Top up" u="1"/>
        <s v="sites/RGSales/Shared Documents/General/1.Open Opportunities/DAFXXX STEPS 079 Budget-TCV Top up/02. Response" u="1"/>
        <s v="sites/RGSales/Shared Documents/General/1.Open Opportunities/DAFXXX STEPS Parallel Delivery F-Ruler" u="1"/>
        <s v="sites/RGSales/Shared Documents/General/1.Open Opportunities/DAFXXX STEPS Parallel Delivery F-Ruler/02. Response" u="1"/>
        <s v="sites/RGSales/Shared Documents/General/1.Open Opportunities/DFAXXX RFQ ERP Systems Support 202512" u="1"/>
        <s v="sites/RGSales/Shared Documents/General/1.Open Opportunities/DFAXXX RFQ ERP Systems Support 202512/01. RFX" u="1"/>
        <s v="sites/RGSales/Shared Documents/General/1.Open Opportunities/DFAXXX RFQ ERP Systems Support 202512/02. Response" u="1"/>
        <s v="sites/RGSales/Shared Documents/General/1.Open Opportunities/DoDXXX Activities" u="1"/>
        <s v="sites/RGSales/Shared Documents/General/1.Open Opportunities/DoDXXX Activities/02. Response" u="1"/>
        <s v="sites/RGSales/Shared Documents/General/1.Open Opportunities/DoHXXX Activities" u="1"/>
        <s v="sites/RGSales/Shared Documents/General/1.Open Opportunities/DoHXXX Activities/02. Response" u="1"/>
        <s v="sites/RGSales/Shared Documents/General/1.Open Opportunities/DOHXXX RFQ Enterprise Computing Services 202601" u="1"/>
        <s v="sites/RGSales/Shared Documents/General/1.Open Opportunities/DOHXXX RFQ Enterprise Computing Services 202601/01. RFX" u="1"/>
        <s v="sites/RGSales/Shared Documents/General/1.Open Opportunities/DOHXXX RFQ Enterprise Computing Services 202601/01. RFX/Draft Contract" u="1"/>
        <s v="sites/RGSales/Shared Documents/General/1.Open Opportunities/DOHXXX RFQ Enterprise Computing Services 202601/01. RFX/Schedule 1 - Glossary" u="1"/>
        <s v="sites/RGSales/Shared Documents/General/1.Open Opportunities/DOHXXX RFQ Enterprise Computing Services 202601/01. RFX/Schedule 10 - Applicable Requirements" u="1"/>
        <s v="sites/RGSales/Shared Documents/General/1.Open Opportunities/DOHXXX RFQ Enterprise Computing Services 202601/01. RFX/Schedule 2 - Statement of Requirements" u="1"/>
        <s v="sites/RGSales/Shared Documents/General/1.Open Opportunities/DOHXXX RFQ Enterprise Computing Services 202601/01. RFX/Schedule 3 - Performance Management" u="1"/>
        <s v="sites/RGSales/Shared Documents/General/1.Open Opportunities/DOHXXX RFQ Enterprise Computing Services 202601/01. RFX/Schedule 4 - Pricing and Financial Provisions" u="1"/>
        <s v="sites/RGSales/Shared Documents/General/1.Open Opportunities/DOHXXX RFQ Enterprise Computing Services 202601/01. RFX/Schedule 5 - Subcontractor Deed" u="1"/>
        <s v="sites/RGSales/Shared Documents/General/1.Open Opportunities/DOHXXX RFQ Enterprise Computing Services 202601/01. RFX/Schedule 6 - Guarantees" u="1"/>
        <s v="sites/RGSales/Shared Documents/General/1.Open Opportunities/DOHXXX RFQ Enterprise Computing Services 202601/01. RFX/Schedule 7 - Deed of Confidentiality" u="1"/>
        <s v="sites/RGSales/Shared Documents/General/1.Open Opportunities/DOHXXX RFQ Enterprise Computing Services 202601/02. Response" u="1"/>
        <s v="sites/RGSales/Shared Documents/General/1.Open Opportunities/FWOXXX Activities" u="1"/>
        <s v="sites/RGSales/Shared Documents/General/1.Open Opportunities/FWOXXX Activities/01. RFX" u="1"/>
        <s v="sites/RGSales/Shared Documents/General/1.Open Opportunities/FWOXXX Activities/02. Response" u="1"/>
        <s v="sites/RGSales/Shared Documents/General/1.Open Opportunities/NDIXXX Activities" u="1"/>
        <s v="sites/RGSales/Shared Documents/General/1.Open Opportunities/NDIXXX Activities/02. Response" u="1"/>
        <s v="sites/RGSales/Shared Documents/General/1.Open Opportunities/NGAXXX Activities" u="1"/>
        <s v="sites/RGSales/Shared Documents/General/1.Open Opportunities/NGAXXX Activities/02. Response" u="1"/>
        <s v="sites/RGSales/Shared Documents/General/1.Open Opportunities/NLAXXX Activities" u="1"/>
        <s v="sites/RGSales/Shared Documents/General/1.Open Opportunities/NLAXXX Activities/02. Response" u="1"/>
        <s v="sites/RGSales/Shared Documents/General/1.Open Opportunities/NQSXXX Activities" u="1"/>
        <s v="sites/RGSales/Shared Documents/General/1.Open Opportunities/NQSXXX Activities/02. Response" u="1"/>
        <s v="sites/RGSales/Shared Documents/General/1.Open Opportunities/WAG Treasury 202505" u="1"/>
        <s v="sites/RGSales/Shared Documents/General/1.Open Opportunities/WAG Treasury 202505/02. Response" u="1"/>
        <s v="sites/RGSales/Shared Documents/General/1.Open Opportunities/DAFXXX RFQ Climate Smart Agriculture Program Design Review 202512" u="1"/>
        <s v="sites/RGSales/Shared Documents/General/1.Open Opportunities/DAFXXX RFQ Climate Smart Agriculture Program Design Review 202512/01. RFX" u="1"/>
        <s v="sites/RGSales/Shared Documents/General/1.Open Opportunities/DAFXXX RFQ Climate Smart Agriculture Program Design Review 202512/02. Response" u="1"/>
        <s v="sites/RGSales/Shared Documents/General/1.Open Opportunities/DOFXXX RFI Verifiable Credentials Market Landscape 202512" u="1"/>
        <s v="sites/RGSales/Shared Documents/General/1.Open Opportunities/DOFXXX RFI Verifiable Credentials Market Landscape 202512/01. RFX" u="1"/>
        <s v="sites/RGSales/Shared Documents/General/1.Open Opportunities/DOFXXX RFI Verifiable Credentials Market Landscape 202512/02. Response" u="1"/>
        <s v="sites/RGSales/Shared Documents/General/1.Open Opportunities/SAUXXX - Confluent/PANEL VIC DJSIR mini panel" u="1"/>
        <s v="sites/RGSales/Shared Documents/General/1.Open Opportunities/SAUXXX - Confluent/PANEL VIC DJSIR mini panel/02. Response" u="1"/>
        <s v="sites/RGSales/Shared Documents/General/1.Open Opportunities/SAUXXX - Senior Cyber Uplift Project Manager - LH-03498" u="1"/>
        <s v="sites/RGSales/Shared Documents/General/1.Open Opportunities/SAUXXX - Senior Cyber Uplift Project Manager - LH-03498/01. RFX" u="1"/>
        <s v="sites/RGSales/Shared Documents/General/1.Open Opportunities/SAUXXX - Senior Cyber Uplift Project Manager - LH-03498/02. Response" u="1"/>
        <s v="sites/RGSales/Shared Documents/General/1.Open Opportunities/SAUXXX - Senior Cyber Uplift Project Manager - LH-03498/03. Contract" u="1"/>
        <s v="sites/RGSales/Shared Documents/General/1.Open Opportunities/TEQXXX RFQ Implementation Partner for CMS 202510" u="1"/>
        <s v="sites/RGSales/Shared Documents/General/1.Open Opportunities/TEQXXX RFQ Implementation Partner for CMS 202510/00. Mgt" u="1"/>
        <s v="sites/RGSales/Shared Documents/General/1.Open Opportunities/TEQXXX RFQ Implementation Partner for CMS 202510/01. RFX" u="1"/>
        <s v="sites/RGSales/Shared Documents/General/1.Open Opportunities/TEQXXX RFQ Implementation Partner for CMS 202510/02. Response" u="1"/>
        <s v="sites/RGSales/Shared Documents/General/1.Open Opportunities/TEQXXX RFQ Implementation Partner for CMS 202510/99. Archive" u="1"/>
        <s v="sites/RGSales/Shared Documents/General/1.Open Opportunities/ACCXXX RFQ Cyber, Info Systems &amp; Biometrics for Digital ID 202511" u="1"/>
        <s v="sites/RGSales/Shared Documents/General/1.Open Opportunities/ACCXXX RFQ Cyber, Info Systems &amp; Biometrics for Digital ID 202511/01. RFX" u="1"/>
        <s v="sites/RGSales/Shared Documents/General/1.Open Opportunities/ACCXXX RFQ Cyber, Info Systems &amp; Biometrics for Digital ID 202511/02. Response" u="1"/>
        <s v="sites/RGSales/Shared Documents/General/1.Open Opportunities/ACMXXX RFI Governance, Risk and Compliance (GRC) system" u="1"/>
        <s v="sites/RGSales/Shared Documents/General/1.Open Opportunities/ACMXXX RFI Governance, Risk and Compliance (GRC) system/00. Mgt" u="1"/>
        <s v="sites/RGSales/Shared Documents/General/1.Open Opportunities/ACMXXX RFI Governance, Risk and Compliance (GRC) system/01. RFX" u="1"/>
        <s v="sites/RGSales/Shared Documents/General/1.Open Opportunities/ACMXXX RFI Governance, Risk and Compliance (GRC) system/02. Response" u="1"/>
        <s v="sites/RGSales/Shared Documents/General/1.Open Opportunities/ACMXXX RFI Governance, Risk and Compliance (GRC) system/02. Response/Attachments" u="1"/>
        <s v="sites/RGSales/Shared Documents/General/1.Open Opportunities/ACMXXX RFI Governance, Risk and Compliance (GRC) system/02. Response/ServiceNow response" u="1"/>
        <s v="sites/RGSales/Shared Documents/General/1.Open Opportunities/ACTXXX Transforming Revenue Mgt 202510" u="1"/>
        <s v="sites/RGSales/Shared Documents/General/1.Open Opportunities/ACTXXX Transforming Revenue Mgt 202510/00. Mgt" u="1"/>
        <s v="sites/RGSales/Shared Documents/General/1.Open Opportunities/ACTXXX Transforming Revenue Mgt 202510/01. RFX" u="1"/>
        <s v="sites/RGSales/Shared Documents/General/1.Open Opportunities/ACTXXX Transforming Revenue Mgt 202510/02. Response" u="1"/>
        <s v="sites/RGSales/Shared Documents/General/1.Open Opportunities/AFPXXX EPI-USE Roadmap" u="1"/>
        <s v="sites/RGSales/Shared Documents/General/1.Open Opportunities/AFPXXX EPI-USE Roadmap/00. Mgt" u="1"/>
        <s v="sites/RGSales/Shared Documents/General/1.Open Opportunities/AFPXXX EPI-USE Roadmap/02. Response" u="1"/>
        <s v="sites/RGSales/Shared Documents/General/1.Open Opportunities/AFPXXX EPI-USE Roadmap/03. Contract" u="1"/>
        <s v="sites/RGSales/Shared Documents/General/1.Open Opportunities/AGDXXX RFI AGS AI for Legal Research 202511" u="1"/>
        <s v="sites/RGSales/Shared Documents/General/1.Open Opportunities/AGDXXX RFI AGS AI for Legal Research 202511/01. RFX" u="1"/>
        <s v="sites/RGSales/Shared Documents/General/1.Open Opportunities/AGDXXX RFI AGS AI for Legal Research 202511/02. Response" u="1"/>
        <s v="sites/RGSales/Shared Documents/General/1.Open Opportunities/ATIXXX RFI Austrade ERP Market Research 202510" u="1"/>
        <s v="sites/RGSales/Shared Documents/General/1.Open Opportunities/ATIXXX RFI Austrade ERP Market Research 202510/00. Mgt" u="1"/>
        <s v="sites/RGSales/Shared Documents/General/1.Open Opportunities/ATIXXX RFI Austrade ERP Market Research 202510/01. RFX" u="1"/>
        <s v="sites/RGSales/Shared Documents/General/1.Open Opportunities/ATIXXX RFI Austrade ERP Market Research 202510/02. Response" u="1"/>
        <s v="sites/RGSales/Shared Documents/General/1.Open Opportunities/ATIXXX RFI Austrade ERP Market Research 202510/99. Archive" u="1"/>
        <s v="sites/RGSales/Shared Documents/General/1.Open Opportunities/ATRXXX RFI ICT Partner for Pega Platform Delivery 202511" u="1"/>
        <s v="sites/RGSales/Shared Documents/General/1.Open Opportunities/ATRXXX RFI ICT Partner for Pega Platform Delivery 202511/01. RFX" u="1"/>
        <s v="sites/RGSales/Shared Documents/General/1.Open Opportunities/ATRXXX RFI ICT Partner for Pega Platform Delivery 202511/02. Response" u="1"/>
        <s v="sites/RGSales/Shared Documents/General/1.Open Opportunities/AUPXXX Servicenow - CSM" u="1"/>
        <s v="sites/RGSales/Shared Documents/General/1.Open Opportunities/AUPXXX Servicenow - CSM/02. Response" u="1"/>
        <s v="sites/RGSales/Shared Documents/General/1.Open Opportunities/CERXXX RFQ Benefit Mapping Framework 202510" u="1"/>
        <s v="sites/RGSales/Shared Documents/General/1.Open Opportunities/CERXXX RFQ Benefit Mapping Framework 202510/01. RFX" u="1"/>
        <s v="sites/RGSales/Shared Documents/General/1.Open Opportunities/CERXXX RFQ Benefit Mapping Framework 202510/02. Response" u="1"/>
        <s v="sites/RGSales/Shared Documents/General/1.Open Opportunities/CERXXX RFQ Benefit Mapping Framework 202510/99. Archive" u="1"/>
        <s v="sites/RGSales/Shared Documents/General/1.Open Opportunities/CSIXXX RFI Guided Self-Service Contract Assembly 202509" u="1"/>
        <s v="sites/RGSales/Shared Documents/General/1.Open Opportunities/CSIXXX RFI Guided Self-Service Contract Assembly 202509/01. RFX" u="1"/>
        <s v="sites/RGSales/Shared Documents/General/1.Open Opportunities/CSIXXX RFI Guided Self-Service Contract Assembly 202509/02. Response" u="1"/>
        <s v="sites/RGSales/Shared Documents/General/1.Open Opportunities/CSIXXX RFI Guided Self-Service Contract Assembly 202509/02. Response/Additional Documents" u="1"/>
        <s v="sites/RGSales/Shared Documents/General/1.Open Opportunities/DAFXXX DAF081 Digital resources for DBD - Extension" u="1"/>
        <s v="sites/RGSales/Shared Documents/General/1.Open Opportunities/DAFXXX DAF081 Digital resources for DBD - Extension/02. Response" u="1"/>
        <s v="sites/RGSales/Shared Documents/General/1.Open Opportunities/DAFXXX DAF081 Digital resources for DBD - Extension/98. Correspondence" u="1"/>
        <s v="sites/RGSales/Shared Documents/General/1.Open Opportunities/DAFXXX RFQ TechnologyOne Specialist Services 202510" u="1"/>
        <s v="sites/RGSales/Shared Documents/General/1.Open Opportunities/DAFXXX RFQ TechnologyOne Specialist Services 202510/01. RFX" u="1"/>
        <s v="sites/RGSales/Shared Documents/General/1.Open Opportunities/DAFXXX RFQ TechnologyOne Specialist Services 202510/02. Response" u="1"/>
        <s v="sites/RGSales/Shared Documents/General/1.Open Opportunities/DAFXXX RFQ TechnologyOne Specialist Services 202510/99. Archive" u="1"/>
        <s v="sites/RGSales/Shared Documents/General/1.Open Opportunities/DAFXXX STEPS Parallel Delivery Containers E2E" u="1"/>
        <s v="sites/RGSales/Shared Documents/General/1.Open Opportunities/DAFXXX STEPS Parallel Delivery Containers E2E/02. Response" u="1"/>
        <s v="sites/RGSales/Shared Documents/General/1.Open Opportunities/DHAXXX RFI FOI and Privacy Case Management" u="1"/>
        <s v="sites/RGSales/Shared Documents/General/1.Open Opportunities/DHAXXX RFI FOI and Privacy Case Management/01. RFX" u="1"/>
        <s v="sites/RGSales/Shared Documents/General/1.Open Opportunities/DHAXXX RFI FOI and Privacy Case Management/02. Response" u="1"/>
        <s v="sites/RGSales/Shared Documents/General/1.Open Opportunities/DHAXXX RFI FOI and Privacy Case Management/02. Response/Attachments" u="1"/>
        <s v="sites/RGSales/Shared Documents/General/1.Open Opportunities/DHAXXX RFI FOI and Privacy Case Management/02. Response/ServiceNow Response" u="1"/>
        <s v="sites/RGSales/Shared Documents/General/1.Open Opportunities/DHAXXX RFI FOI and Privacy Case Management/99. Archive" u="1"/>
        <s v="sites/RGSales/Shared Documents/General/1.Open Opportunities/DHAXXX Two Senior Pega Analyst 202508" u="1"/>
        <s v="sites/RGSales/Shared Documents/General/1.Open Opportunities/DHAXXX Two Senior Pega Analyst 202508/01. RFX" u="1"/>
        <s v="sites/RGSales/Shared Documents/General/1.Open Opportunities/DHAXXX Two Senior Pega Analyst 202508/02. Response" u="1"/>
        <s v="sites/RGSales/Shared Documents/General/1.Open Opportunities/DHAXXX Two Senior Pega Analyst 202508/02. Response/Rumesh Ananda" u="1"/>
        <s v="sites/RGSales/Shared Documents/General/1.Open Opportunities/DHAXXX Two Senior Pega Analyst 202508/02. Response/Venkat M" u="1"/>
        <s v="sites/RGSales/Shared Documents/General/1.Open Opportunities/DOH002-XX Aged care assurance - Extension FY2526" u="1"/>
        <s v="sites/RGSales/Shared Documents/General/1.Open Opportunities/DOH002-XX Aged care assurance - Extension FY2526/01. RFX" u="1"/>
        <s v="sites/RGSales/Shared Documents/General/1.Open Opportunities/DOH002-XX Aged care assurance - Extension FY2526/02. Response" u="1"/>
        <s v="sites/RGSales/Shared Documents/General/1.Open Opportunities/EYAXXX SAU Data Migration" u="1"/>
        <s v="sites/RGSales/Shared Documents/General/1.Open Opportunities/EYAXXX SAU Data Migration/02. Response" u="1"/>
        <s v="sites/RGSales/Shared Documents/General/1.Open Opportunities/EYAXXX SAU Data Migration/02. Response/Profiles - EY Format" u="1"/>
        <s v="sites/RGSales/Shared Documents/General/1.Open Opportunities/EYAXXX SAU Data Migration/02. Response/Profiles - EY Format/Do not touch" u="1"/>
        <s v="sites/RGSales/Shared Documents/General/1.Open Opportunities/EYAXXX SAU Data Migration/03. Contract" u="1"/>
        <s v="sites/RGSales/Shared Documents/General/1.Open Opportunities/EYAXXX SAU Data Migration/99. Archive" u="1"/>
        <s v="sites/RGSales/Shared Documents/General/1.Open Opportunities/GRDXXX RFQ Cyber Security Incident Response Plan (CSIRP) 202510" u="1"/>
        <s v="sites/RGSales/Shared Documents/General/1.Open Opportunities/GRDXXX RFQ Cyber Security Incident Response Plan (CSIRP) 202510/00. Mgt" u="1"/>
        <s v="sites/RGSales/Shared Documents/General/1.Open Opportunities/GRDXXX RFQ Cyber Security Incident Response Plan (CSIRP) 202510/01. RFX" u="1"/>
        <s v="sites/RGSales/Shared Documents/General/1.Open Opportunities/GRDXXX RFQ Cyber Security Incident Response Plan (CSIRP) 202510/02. Response" u="1"/>
        <s v="sites/RGSales/Shared Documents/General/1.Open Opportunities/GRDXXX RFQ Cyber Security Incident Response Plan (CSIRP) 202510/02. Response/profiles" u="1"/>
        <s v="sites/RGSales/Shared Documents/General/1.Open Opportunities/INDXXX AIP Smartforms Transition - Build" u="1"/>
        <s v="sites/RGSales/Shared Documents/General/1.Open Opportunities/INDXXX AIP Smartforms Transition - Build/01. RFX" u="1"/>
        <s v="sites/RGSales/Shared Documents/General/1.Open Opportunities/INDXXX AIP Smartforms Transition - Build/02. Response" u="1"/>
        <s v="sites/RGSales/Shared Documents/General/1.Open Opportunities/INDXXX RFQ ServiceNow Implementation 202511" u="1"/>
        <s v="sites/RGSales/Shared Documents/General/1.Open Opportunities/INDXXX RFQ ServiceNow Implementation 202511/01. RFX" u="1"/>
        <s v="sites/RGSales/Shared Documents/General/1.Open Opportunities/INDXXX RFQ ServiceNow Implementation 202511/02. Response" u="1"/>
        <s v="sites/RGSales/Shared Documents/General/1.Open Opportunities/INDXXX RFQ ServiceNow Implementation 202511/02. Response/Archive" u="1"/>
        <s v="sites/RGSales/Shared Documents/General/1.Open Opportunities/INDXXX RFQ ServiceNow Implementation 202511/99. Archive" u="1"/>
        <s v="sites/RGSales/Shared Documents/General/1.Open Opportunities/INDXXX RFQ ServiceNow Implementation 202511/INDXXX HRSD AI Pilot implementation (Pre-employment and onboarding)" u="1"/>
        <s v="sites/RGSales/Shared Documents/General/1.Open Opportunities/INDXXX RFQ ServiceNow Implementation 202511/INDXXX HRSD AI Pilot implementation (Pre-employment and onboarding)/02. Response" u="1"/>
        <s v="sites/RGSales/Shared Documents/General/1.Open Opportunities/INDXXX RFQ ServiceNow Implementation 202511/INDXXX HRSD AI Pilot implementation (Workforce management" u="1"/>
        <s v="sites/RGSales/Shared Documents/General/1.Open Opportunities/INDXXX RFQ ServiceNow Implementation 202511/INDXXX HRSD AI Pilot implementation (Workforce management/02. Response" u="1"/>
        <s v="sites/RGSales/Shared Documents/General/1.Open Opportunities/INFXXX RFI Cloud-based Case Management System 202511" u="1"/>
        <s v="sites/RGSales/Shared Documents/General/1.Open Opportunities/INFXXX RFI Cloud-based Case Management System 202511/01. RFX" u="1"/>
        <s v="sites/RGSales/Shared Documents/General/1.Open Opportunities/INFXXX RFI Cloud-based Case Management System 202511/02. Response" u="1"/>
        <s v="sites/RGSales/Shared Documents/General/1.Open Opportunities/INFXXX RFI Cloud-based Case Management System 202511/02. Response/ServiceNow Partner pack" u="1"/>
        <s v="sites/RGSales/Shared Documents/General/1.Open Opportunities/NAAXXX RFQ Digital Experience Implementation Partner 202509" u="1"/>
        <s v="sites/RGSales/Shared Documents/General/1.Open Opportunities/NAAXXX RFQ Digital Experience Implementation Partner 202509/01. RFX" u="1"/>
        <s v="sites/RGSales/Shared Documents/General/1.Open Opportunities/NAAXXX RFQ Digital Experience Implementation Partner 202509/02. Response" u="1"/>
        <s v="sites/RGSales/Shared Documents/General/1.Open Opportunities/NAAXXX RFQ Digital Experience Implementation Partner 202509/99. Archive" u="1"/>
        <s v="sites/RGSales/Shared Documents/General/1.Open Opportunities/NAAXXX RFQ Digital Experience Implementation Partner 202509/NAAXXX LAB3 Digital Platform Procurement" u="1"/>
        <s v="sites/RGSales/Shared Documents/General/1.Open Opportunities/NAAXXX RFQ Digital Experience Implementation Partner 202509/NAAXXX LAB3 Digital Platform Procurement/02. Response" u="1"/>
        <s v="sites/RGSales/Shared Documents/General/1.Open Opportunities/NAFXXX RFQ Information Management Uplift in M365 202511" u="1"/>
        <s v="sites/RGSales/Shared Documents/General/1.Open Opportunities/NAFXXX RFQ Information Management Uplift in M365 202511/01. RFX" u="1"/>
        <s v="sites/RGSales/Shared Documents/General/1.Open Opportunities/NAFXXX RFQ Information Management Uplift in M365 202511/02. Response" u="1"/>
        <s v="sites/RGSales/Shared Documents/General/1.Open Opportunities/NGAXXX RFQ Digital Onboarding Offboarding Integration 202510" u="1"/>
        <s v="sites/RGSales/Shared Documents/General/1.Open Opportunities/NGAXXX RFQ Digital Onboarding Offboarding Integration 202510/01. RFX" u="1"/>
        <s v="sites/RGSales/Shared Documents/General/1.Open Opportunities/NGAXXX RFQ Digital Onboarding Offboarding Integration 202510/02. Response" u="1"/>
        <s v="sites/RGSales/Shared Documents/General/1.Open Opportunities/NGAXXX RFQ Digital Onboarding Offboarding Integration 202510/99. Archive" u="1"/>
        <s v="sites/RGSales/Shared Documents/General/1.Open Opportunities/PANEL QLD Cross River Rail Delivery Authority ICT Services 202509" u="1"/>
        <s v="sites/RGSales/Shared Documents/General/1.Open Opportunities/PANEL QLD Cross River Rail Delivery Authority ICT Services 202509/00. Mgt" u="1"/>
        <s v="sites/RGSales/Shared Documents/General/1.Open Opportunities/PANEL QLD Cross River Rail Delivery Authority ICT Services 202509/01. RFX" u="1"/>
        <s v="sites/RGSales/Shared Documents/General/1.Open Opportunities/PANEL QLD Cross River Rail Delivery Authority ICT Services 202509/02. Response" u="1"/>
        <s v="sites/RGSales/Shared Documents/General/1.Open Opportunities/PANEL RBA RFT Enterprise SI and MSP Panel 202510" u="1"/>
        <s v="sites/RGSales/Shared Documents/General/1.Open Opportunities/PANEL RBA RFT Enterprise SI and MSP Panel 202510/01. RFX" u="1"/>
        <s v="sites/RGSales/Shared Documents/General/1.Open Opportunities/PANEL RBA RFT Enterprise SI and MSP Panel 202510/02. Response" u="1"/>
        <s v="sites/RGSales/Shared Documents/General/1.Open Opportunities/PANEL RBA RFT Enterprise SI and MSP Panel 202510/RBAXXX EOI Enterprise SI and MSP Panel" u="1"/>
        <s v="sites/RGSales/Shared Documents/General/1.Open Opportunities/PANEL RBA RFT Enterprise SI and MSP Panel 202510/RBAXXX EOI Enterprise SI and MSP Panel/01. RFX" u="1"/>
        <s v="sites/RGSales/Shared Documents/General/1.Open Opportunities/PANEL RBA RFT Enterprise SI and MSP Panel 202510/RBAXXX EOI Enterprise SI and MSP Panel/02. Response" u="1"/>
        <s v="sites/RGSales/Shared Documents/General/1.Open Opportunities/PANEL RBA RFT Enterprise SI and MSP Panel 202510/RBAXXX EOI Enterprise SI and MSP Panel/99. Archive" u="1"/>
        <s v="sites/RGSales/Shared Documents/General/1.Open Opportunities/QLDXXX EOI Core Applications &amp; Implementation Services 202509" u="1"/>
        <s v="sites/RGSales/Shared Documents/General/1.Open Opportunities/QLDXXX EOI Core Applications &amp; Implementation Services 202509/00. Mgt" u="1"/>
        <s v="sites/RGSales/Shared Documents/General/1.Open Opportunities/QLDXXX EOI Core Applications &amp; Implementation Services 202509/01. RFX" u="1"/>
        <s v="sites/RGSales/Shared Documents/General/1.Open Opportunities/QLDXXX EOI Core Applications &amp; Implementation Services 202509/02. Response" u="1"/>
        <s v="sites/RGSales/Shared Documents/General/1.Open Opportunities/RBAXXX EOI Procurement &amp; Contract Management Solution 202511" u="1"/>
        <s v="sites/RGSales/Shared Documents/General/1.Open Opportunities/RBAXXX EOI Procurement &amp; Contract Management Solution 202511/01. RFX" u="1"/>
        <s v="sites/RGSales/Shared Documents/General/1.Open Opportunities/RBAXXX EOI Procurement &amp; Contract Management Solution 202511/02. Response" u="1"/>
        <s v="sites/RGSales/Shared Documents/General/1.Open Opportunities/SAGXXX RFI AI Tools for Government 202509" u="1"/>
        <s v="sites/RGSales/Shared Documents/General/1.Open Opportunities/SAGXXX RFI AI Tools for Government 202509/01. RFX" u="1"/>
        <s v="sites/RGSales/Shared Documents/General/1.Open Opportunities/SAGXXX RFI AI Tools for Government 202509/02. Response" u="1"/>
        <s v="sites/RGSales/Shared Documents/General/1.Open Opportunities/SAGXXX RFI AI Tools for Government 202509/02. Response/Attachments" u="1"/>
        <s v="sites/RGSales/Shared Documents/General/1.Open Opportunities/SAGXXX RFI AI Tools for Government 202509/02. Response/Submission" u="1"/>
        <s v="sites/RGSales/Shared Documents/General/1.Open Opportunities/SAGXXX RFI AI Tools for Government 202509/98. Correspondence" u="1"/>
        <s v="sites/RGSales/Shared Documents/General/1.Open Opportunities/SAUXXX - Shortlisted Cyber Roles" u="1"/>
        <s v="sites/RGSales/Shared Documents/General/1.Open Opportunities/SAUXXX - Shortlisted Cyber Roles/02. Response" u="1"/>
        <s v="sites/RGSales/Shared Documents/General/1.Open Opportunities/SAUXXX - Shortlisted Cyber Roles/02. Response/[Nvisia] Ashleigh Langdon" u="1"/>
        <s v="sites/RGSales/Shared Documents/General/1.Open Opportunities/SAUXXX - Shortlisted Cyber Roles/02. Response/Naveen Roy" u="1"/>
        <s v="sites/RGSales/Shared Documents/General/1.Open Opportunities/SAUXXX - Shortlisted Cyber Roles/02. Response/Tej Singh" u="1"/>
        <s v="sites/RGSales/Shared Documents/General/1.Open Opportunities/SAUXXX - Shortlisted Cyber Roles/SAUXXX Cyber -LH-03543 - Manager Cyber Uplift Project Manager" u="1"/>
        <s v="sites/RGSales/Shared Documents/General/1.Open Opportunities/SAUXXX - Shortlisted Cyber Roles/SAUXXX Cyber -LH-03543 - Manager Cyber Uplift Project Manager/01. RFX" u="1"/>
        <s v="sites/RGSales/Shared Documents/General/1.Open Opportunities/SAUXXX - Shortlisted Cyber Roles/SAUXXX Cyber -LH-03543 - Manager Cyber Uplift Project Manager/02. Response" u="1"/>
        <s v="sites/RGSales/Shared Documents/General/1.Open Opportunities/SAUXXX - Shortlisted Cyber Roles/SAUXXX Cyber -LH-03543 - Manager Cyber Uplift Project Manager/02. Response/[Nvisia] Ashleigh Langdon" u="1"/>
        <s v="sites/RGSales/Shared Documents/General/1.Open Opportunities/SAUXXX - Shortlisted Cyber Roles/SAUXXX Cyber -LH-03543 - Manager Cyber Uplift Project Manager/02. Response/LOST" u="1"/>
        <s v="sites/RGSales/Shared Documents/General/1.Open Opportunities/SAUXXX - Shortlisted Cyber Roles/SAUXXX Cyber -LH-03543 - Manager Cyber Uplift Project Manager/02. Response/LOST/[Solvyr] Bianca Puglisi" u="1"/>
        <s v="sites/RGSales/Shared Documents/General/1.Open Opportunities/SAUXXX - Shortlisted Cyber Roles/SAUXXX Cyber -LH-03543 - Manager Cyber Uplift Project Manager/02. Response/LOST/[Solvyr] Dan Baxter" u="1"/>
        <s v="sites/RGSales/Shared Documents/General/1.Open Opportunities/SAUXXX - Shortlisted Cyber Roles/SAUXXX Cyber -LH-03543 - Manager Cyber Uplift Project Manager/02. Response/LOST/[Vektoro] Dan Horrigan" u="1"/>
        <s v="sites/RGSales/Shared Documents/General/1.Open Opportunities/SAUXXX - Shortlisted Cyber Roles/SAUXXX Cyber -LH-03543 - Manager Cyber Uplift Project Manager/02. Response/LOST/Adeel Chaudhry" u="1"/>
        <s v="sites/RGSales/Shared Documents/General/1.Open Opportunities/SAUXXX - Shortlisted Cyber Roles/SAUXXX Cyber -LH-03543 - Manager Cyber Uplift Project Manager/02. Response/LOST/Arnab Mondal" u="1"/>
        <s v="sites/RGSales/Shared Documents/General/1.Open Opportunities/SAUXXX - Shortlisted Cyber Roles/SAUXXX Cyber -LH-03543 - Manager Cyber Uplift Project Manager/02. Response/LOST/Ben Corbett" u="1"/>
        <s v="sites/RGSales/Shared Documents/General/1.Open Opportunities/SAUXXX - Shortlisted Cyber Roles/SAUXXX Cyber -LH-03543 - Manager Cyber Uplift Project Manager/02. Response/LOST/Brodie McCann" u="1"/>
        <s v="sites/RGSales/Shared Documents/General/1.Open Opportunities/SAUXXX - Shortlisted Cyber Roles/SAUXXX Cyber -LH-03543 - Manager Cyber Uplift Project Manager/02. Response/LOST/Junaid Ahmed" u="1"/>
        <s v="sites/RGSales/Shared Documents/General/1.Open Opportunities/SAUXXX - Shortlisted Cyber Roles/SAUXXX Cyber -LH-03543 - Manager Cyber Uplift Project Manager/02. Response/LOST/Junaid Ahmed/Junaid Ahmed" u="1"/>
        <s v="sites/RGSales/Shared Documents/General/1.Open Opportunities/SAUXXX - Shortlisted Cyber Roles/SAUXXX Cyber -LH-03543 - Manager Cyber Uplift Project Manager/02. Response/LOST/Richard Atherton" u="1"/>
        <s v="sites/RGSales/Shared Documents/General/1.Open Opportunities/SAUXXX - Shortlisted Cyber Roles/SAUXXX Cyber -LH-03543 - Manager Cyber Uplift Project Manager/02. Response/LOST/Simon Bossell" u="1"/>
        <s v="sites/RGSales/Shared Documents/General/1.Open Opportunities/SAUXXX - Shortlisted Cyber Roles/SAUXXX Cyber -LH-03543 - Manager Cyber Uplift Project Manager/02. Response/LOST/Usman Khan" u="1"/>
        <s v="sites/RGSales/Shared Documents/General/1.Open Opportunities/SAUXXX - Shortlisted Cyber Roles/SAUXXX Cyber -LH-03543 - Manager Cyber Uplift Project Manager/02. Response/ZZZ.Archive" u="1"/>
        <s v="sites/RGSales/Shared Documents/General/1.Open Opportunities/SAUXXX - Shortlisted Cyber Roles/SAUXXX Cyber -LH-03556 - Cyber Uplift Scrum Master" u="1"/>
        <s v="sites/RGSales/Shared Documents/General/1.Open Opportunities/SAUXXX - Shortlisted Cyber Roles/SAUXXX Cyber -LH-03556 - Cyber Uplift Scrum Master/01. RFX" u="1"/>
        <s v="sites/RGSales/Shared Documents/General/1.Open Opportunities/SAUXXX - Shortlisted Cyber Roles/SAUXXX Cyber -LH-03556 - Cyber Uplift Scrum Master/02. Response" u="1"/>
        <s v="sites/RGSales/Shared Documents/General/1.Open Opportunities/SAUXXX - Shortlisted Cyber Roles/SAUXXX Cyber -LH-03556 - Cyber Uplift Scrum Master/02. Response/LOST" u="1"/>
        <s v="sites/RGSales/Shared Documents/General/1.Open Opportunities/SAUXXX - Shortlisted Cyber Roles/SAUXXX Cyber -LH-03556 - Cyber Uplift Scrum Master/02. Response/LOST/[Nvisia] David Evans" u="1"/>
        <s v="sites/RGSales/Shared Documents/General/1.Open Opportunities/SAUXXX - Shortlisted Cyber Roles/SAUXXX Cyber -LH-03556 - Cyber Uplift Scrum Master/02. Response/LOST/[Vektoro] Matt Barney" u="1"/>
        <s v="sites/RGSales/Shared Documents/General/1.Open Opportunities/SAUXXX - Shortlisted Cyber Roles/SAUXXX Cyber -LH-03556 - Cyber Uplift Scrum Master/02. Response/Naveen Roy" u="1"/>
        <s v="sites/RGSales/Shared Documents/General/1.Open Opportunities/SAUXXX - Shortlisted Cyber Roles/SAUXXX Cyber -LH-03562 - Senior Business Analyst" u="1"/>
        <s v="sites/RGSales/Shared Documents/General/1.Open Opportunities/SAUXXX - Shortlisted Cyber Roles/SAUXXX Cyber -LH-03562 - Senior Business Analyst/01. RFX" u="1"/>
        <s v="sites/RGSales/Shared Documents/General/1.Open Opportunities/SAUXXX - Shortlisted Cyber Roles/SAUXXX Cyber -LH-03562 - Senior Business Analyst/02. Response" u="1"/>
        <s v="sites/RGSales/Shared Documents/General/1.Open Opportunities/SAUXXX - Shortlisted Cyber Roles/SAUXXX Cyber -LH-03562 - Senior Business Analyst/02. Response/LOST" u="1"/>
        <s v="sites/RGSales/Shared Documents/General/1.Open Opportunities/SAUXXX - Shortlisted Cyber Roles/SAUXXX Cyber -LH-03562 - Senior Business Analyst/02. Response/LOST/(Solvyr) Poppy Chapman" u="1"/>
        <s v="sites/RGSales/Shared Documents/General/1.Open Opportunities/SAUXXX - Shortlisted Cyber Roles/SAUXXX Cyber -LH-03562 - Senior Business Analyst/02. Response/LOST/[Nvisia] Paddy V" u="1"/>
        <s v="sites/RGSales/Shared Documents/General/1.Open Opportunities/SAUXXX - Shortlisted Cyber Roles/SAUXXX Cyber -LH-03562 - Senior Business Analyst/02. Response/LOST/Afsheen Jahan" u="1"/>
        <s v="sites/RGSales/Shared Documents/General/1.Open Opportunities/SAUXXX - Shortlisted Cyber Roles/SAUXXX Cyber -LH-03562 - Senior Business Analyst/02. Response/LOST/Aiodan Beatman" u="1"/>
        <s v="sites/RGSales/Shared Documents/General/1.Open Opportunities/SAUXXX - Shortlisted Cyber Roles/SAUXXX Cyber -LH-03562 - Senior Business Analyst/02. Response/LOST/Amrit Singh" u="1"/>
        <s v="sites/RGSales/Shared Documents/General/1.Open Opportunities/SAUXXX - Shortlisted Cyber Roles/SAUXXX Cyber -LH-03562 - Senior Business Analyst/02. Response/LOST/Siddharth Chinnappan" u="1"/>
        <s v="sites/RGSales/Shared Documents/General/1.Open Opportunities/SAUXXX - Shortlisted Cyber Roles/SAUXXX Cyber -LH-03562 - Senior Business Analyst/02. Response/LOST/Vivi Sumarno" u="1"/>
        <s v="sites/RGSales/Shared Documents/General/1.Open Opportunities/SAUXXX - Shortlisted Cyber Roles/SAUXXX Cyber -LH-03562 - Senior Business Analyst/02. Response/LOST/Wilfred Leung" u="1"/>
        <s v="sites/RGSales/Shared Documents/General/1.Open Opportunities/SAUXXX - Shortlisted Cyber Roles/SAUXXX Cyber -LH-03562 - Senior Business Analyst/02. Response/Tej Singh" u="1"/>
        <s v="sites/RGSales/Shared Documents/General/1.Open Opportunities/SAUXXX - Shortlisted Cyber Roles/SAUXXX Cyber -LH-03562 - Senior Business Analyst/02. Response/ZZZ.Archive" u="1"/>
        <s v="sites/RGSales/Shared Documents/General/1.Open Opportunities/SAUXXX - Shortlisted Cyber Roles/SAUXXX Cyber -LH-03562 - Senior Business Analyst/02. Response/ZZZ.Archive/Avy Ana" u="1"/>
        <s v="sites/RGSales/Shared Documents/General/1.Open Opportunities/SAUXXX - Shortlisted Cyber Roles/SAUXXX Cyber -LH-03562 - Senior Business Analyst/02. Response/ZZZ.Archive/Kumar Ujjineni" u="1"/>
        <s v="sites/RGSales/Shared Documents/General/1.Open Opportunities/TECXXX ASC RFQ TechOne ERP Solution, Implementation and Sustainment Services" u="1"/>
        <s v="sites/RGSales/Shared Documents/General/1.Open Opportunities/TECXXX ASC RFQ TechOne ERP Solution, Implementation and Sustainment Services/00. Mgt" u="1"/>
        <s v="sites/RGSales/Shared Documents/General/1.Open Opportunities/TECXXX ASC RFQ TechOne ERP Solution, Implementation and Sustainment Services/01. RFX" u="1"/>
        <s v="sites/RGSales/Shared Documents/General/1.Open Opportunities/TECXXX ASC RFQ TechOne ERP Solution, Implementation and Sustainment Services/02. Response" u="1"/>
        <s v="sites/RGSales/Shared Documents/General/1.Open Opportunities/TECXXX ASC RFQ TechOne ERP Solution, Implementation and Sustainment Services/02. Response/Reference Docs" u="1"/>
        <s v="sites/RGSales/Shared Documents/General/1.Open Opportunities/TECXXX ASC RFQ TechOne ERP Solution, Implementation and Sustainment Services/99. Archive" u="1"/>
        <s v="sites/RGSales/Shared Documents/General/1.Open Opportunities/TECXXX DOF AEC EOI ERP Uplift Support Project 202509" u="1"/>
        <s v="sites/RGSales/Shared Documents/General/1.Open Opportunities/TECXXX DOF AEC EOI ERP Uplift Support Project 202509/01. RFX" u="1"/>
        <s v="sites/RGSales/Shared Documents/General/1.Open Opportunities/TECXXX DOF AEC EOI ERP Uplift Support Project 202509/02. Response" u="1"/>
        <s v="sites/RGSales/Shared Documents/General/1.Open Opportunities/TECXXX DOF AEC EOI ERP Uplift Support Project 202509/99. Archive" u="1"/>
        <s v="sites/RGSales/Shared Documents/General/1.Open Opportunities/TECXXX RFI WA Govt Decisively implementation 202511" u="1"/>
        <s v="sites/RGSales/Shared Documents/General/1.Open Opportunities/TECXXX RFI WA Govt Decisively implementation 202511/02. Response" u="1"/>
        <s v="sites/RGSales/Shared Documents/General/1.Open Opportunities/VAT 4 Growth - RFI, FYI, Ideas/DHAXXX Data Integration" u="1"/>
        <s v="sites/RGSales/Shared Documents/General/1.Open Opportunities/VAT 4 Growth - RFI, FYI, Ideas/DHAXXX Data Integration/01. RFX" u="1"/>
        <s v="sites/RGSales/Shared Documents/General/1.Open Opportunities/VAT 4 Growth - RFI, FYI, Ideas/DHAXXX Data Integration/02. Response" u="1"/>
        <s v="sites/RGSales/Shared Documents/General/1.Open Opportunities/VAT 4 Growth - RFI, FYI, Ideas/DHAXXX Pega Capability Statement 202405" u="1"/>
        <s v="sites/RGSales/Shared Documents/General/1.Open Opportunities/VAT 4 Growth - RFI, FYI, Ideas/DHAXXX RFI SIAM Strategy 202309" u="1"/>
        <s v="sites/RGSales/Shared Documents/General/1.Open Opportunities/VAT 4 Growth - RFI, FYI, Ideas/DHAXXX RFI SIAM Strategy 202309/02. Response" u="1"/>
        <s v="sites/RGSales/Shared Documents/General/1.Open Opportunities/VAT 4 Growth - RFI, FYI, Ideas/DHAXXX RFI SIAM Strategy 202309/99. Archive" u="1"/>
        <s v="sites/RGSales/Shared Documents/General/1.Open Opportunities/VAT 4 Growth - RFI, FYI, Ideas/DHAXXX Secure Vault migration 202409" u="1"/>
        <s v="sites/RGSales/Shared Documents/General/1.Open Opportunities/VAT 4 Growth - RFI, FYI, Ideas/DHAXXX Secure Vault migration 202409/02. Response" u="1"/>
        <s v="sites/RGSales/Shared Documents/General/1.Open Opportunities/VAT 4 Growth - RFI, FYI, Ideas/DOHXXX - ERP" u="1"/>
        <s v="sites/RGSales/Shared Documents/General/1.Open Opportunities/VAT 4 Growth - RFI, FYI, Ideas/DOHXXX - ERP/02. Response" u="1"/>
        <s v="sites/RGSales/Shared Documents/General/1.Open Opportunities/VAT 4 Growth - RFI, FYI, Ideas/DOHXXX Brian Large Salesforce capability 202404" u="1"/>
        <s v="sites/RGSales/Shared Documents/General/1.Open Opportunities/VAT 4 Growth - RFI, FYI, Ideas/DOHXXX Change Management Partnership" u="1"/>
        <s v="sites/RGSales/Shared Documents/General/1.Open Opportunities/VAT 4 Growth - RFI, FYI, Ideas/DOHXXX Change Management Partnership/02. Response" u="1"/>
        <s v="sites/RGSales/Shared Documents/General/1.Open Opportunities/VAT 4 Growth - RFI, FYI, Ideas/DOHXXX HEADS UP ICT infrastructure and support services" u="1"/>
        <s v="sites/RGSales/Shared Documents/General/1.Open Opportunities/VAT 4 Growth - RFI, FYI, Ideas/DOHXXX HEADS UP ICT infrastructure and support services/01. RFX" u="1"/>
        <s v="sites/RGSales/Shared Documents/General/1.Open Opportunities/VAT 4 Growth - RFI, FYI, Ideas/DOHXXX HEADS UP ICT infrastructure and support services/DOHXXX Aged Care Future ICT Sourcing IB 202402" u="1"/>
        <s v="sites/RGSales/Shared Documents/General/1.Open Opportunities/VAT 4 Growth - RFI, FYI, Ideas/DOHXXX HEADS UP ICT infrastructure and support services/DOHXXX Aged Care Future ICT Sourcing IB 202402/00. Mgt" u="1"/>
        <s v="sites/RGSales/Shared Documents/General/1.Open Opportunities/VAT 4 Growth - RFI, FYI, Ideas/DOHXXX HEADS UP ICT infrastructure and support services/DOHXXX Aged Care Future ICT Sourcing IB 202402/01. RFX" u="1"/>
        <s v="sites/RGSales/Shared Documents/General/1.Open Opportunities/VAT 4 Growth - RFI, FYI, Ideas/DOHXXX NQSC-DOHAC integrations 202404" u="1"/>
        <s v="sites/RGSales/Shared Documents/General/1.Open Opportunities/VAT 4 Growth - RFI, FYI, Ideas/DOHXXX Reforms &amp; Info Sharing systems (MYEFO measure)" u="1"/>
        <s v="sites/RGSales/Shared Documents/General/1.Open Opportunities/VAT 4 Growth - RFI, FYI, Ideas/DOHXXX RFI National One Stop Shop Health Research 202409" u="1"/>
        <s v="sites/RGSales/Shared Documents/General/1.Open Opportunities/VAT 4 Growth - RFI, FYI, Ideas/DOHXXX RFI National One Stop Shop Health Research 202409/01. RFX" u="1"/>
        <s v="sites/RGSales/Shared Documents/General/1.Open Opportunities/VAT 4 Growth - RFI, FYI, Ideas/DOHXXX RFI National One Stop Shop Health Research 202409/02. Response" u="1"/>
        <s v="sites/RGSales/Shared Documents/General/1.Open Opportunities/VAT 4 Growth - RFI, FYI, Ideas/DOHXXX RFI National One Stop Shop Health Research 202409/99. Archive" u="1"/>
        <s v="sites/RGSales/Shared Documents/General/1.Open Opportunities/VAT 4 Growth - RFI, FYI, Ideas/GLAMs KAM Account Plan 2024-25" u="1"/>
        <s v="sites/RGSales/Shared Documents/General/1.Open Opportunities/VAT 4 Growth - RFI, FYI, Ideas/GLAMs KAM Account Plan 2024-25/02. Response" u="1"/>
        <s v="sites/RGSales/Shared Documents/General/1.Open Opportunities/VAT 4 Growth - RFI, FYI, Ideas/INDXXX Assistance with Microsoft issue 202410" u="1"/>
        <s v="sites/RGSales/Shared Documents/General/1.Open Opportunities/VAT 4 Growth - RFI, FYI, Ideas/INDXXX Assistance with Microsoft issue 202410/01. RFX" u="1"/>
        <s v="sites/RGSales/Shared Documents/General/1.Open Opportunities/VAT 4 Growth - RFI, FYI, Ideas/INDXXX Assistance with Microsoft issue 202410/02. Response" u="1"/>
        <s v="sites/RGSales/Shared Documents/General/1.Open Opportunities/VAT 4 Growth - RFI, FYI, Ideas/KAM DHA DFAT Account Plan 2024-25" u="1"/>
        <s v="sites/RGSales/Shared Documents/General/1.Open Opportunities/VAT 4 Growth - RFI, FYI, Ideas/KAM DHA DFAT Account Plan 2024-25/00. Mgt" u="1"/>
        <s v="sites/RGSales/Shared Documents/General/1.Open Opportunities/VAT 4 Growth - RFI, FYI, Ideas/KAM DHA DFAT Account Plan 2024-25/00. Mgt/Home Affairs_ A mounting litany of problems that could mean the end of the super-department experiment_files" u="1"/>
        <s v="sites/RGSales/Shared Documents/General/1.Open Opportunities/VAT 4 Growth - RFI, FYI, Ideas/KAM DHA DFAT Account Plan 2024-25/01. RFX" u="1"/>
        <s v="sites/RGSales/Shared Documents/General/1.Open Opportunities/VAT 4 Growth - RFI, FYI, Ideas/KAM DHA DFAT Account Plan 2024-25/01. RFX/STSXXX Simplified Trade System Priorities (MYEFO measure)" u="1"/>
        <s v="sites/RGSales/Shared Documents/General/1.Open Opportunities/VAT 4 Growth - RFI, FYI, Ideas/KAM DHA DFAT Account Plan 2024-25/02. Response" u="1"/>
        <s v="sites/RGSales/Shared Documents/General/1.Open Opportunities/VAT 4 Growth - RFI, FYI, Ideas/NDIXXX Dardo support ongoing 202310" u="1"/>
        <s v="sites/RGSales/Shared Documents/General/1.Open Opportunities/VAT 4 Growth - RFI, FYI, Ideas/NDIXXX Dardo support ongoing 202310/00. Mgt" u="1"/>
        <s v="sites/RGSales/Shared Documents/General/1.Open Opportunities/VAT 4 Growth - RFI, FYI, Ideas/NDIXXX ERP Trial" u="1"/>
        <s v="sites/RGSales/Shared Documents/General/1.Open Opportunities/VAT 4 Growth - RFI, FYI, Ideas/NDIXXX RFI Implement SIEM solution 202305" u="1"/>
        <s v="sites/RGSales/Shared Documents/General/1.Open Opportunities/VAT 4 Growth - RFI, FYI, Ideas/NDIXXX RFI Implement SIEM solution 202305/01. RFX" u="1"/>
        <s v="sites/RGSales/Shared Documents/General/1.Open Opportunities/VAT 4 Growth - RFI, FYI, Ideas/NDIXXX RFI Implement SIEM solution 202305/02. Response" u="1"/>
        <s v="sites/RGSales/Shared Documents/General/1.Open Opportunities/VAT 4 Growth - RFI, FYI, Ideas/NDIXXX RFI Implement SIEM solution 202305/99. Archive" u="1"/>
        <s v="sites/RGSales/Shared Documents/General/1.Open Opportunities/VAT 4 Growth - RFI, FYI, Ideas/NDIXXX Rules Engine - ID007 Decisively 202405" u="1"/>
        <s v="sites/RGSales/Shared Documents/General/1.Open Opportunities/VAT 4 Growth - RFI, FYI, Ideas/NGAXXX ITSM and Service catalogue 202405" u="1"/>
        <s v="sites/RGSales/Shared Documents/General/1.Open Opportunities/VAT 4 Growth - RFI, FYI, Ideas/NGAXXX ITSM and Service catalogue 202405/01. RFX" u="1"/>
        <s v="sites/RGSales/Shared Documents/General/1.Open Opportunities/VAT 4 Growth - RFI, FYI, Ideas/NGAXXX RFI Managed Cyber Security Services" u="1"/>
        <s v="sites/RGSales/Shared Documents/General/1.Open Opportunities/VAT 4 Growth - RFI, FYI, Ideas/NGAXXX RFI Managed Cyber Security Services/01. RFX" u="1"/>
        <s v="sites/RGSales/Shared Documents/General/1.Open Opportunities/VAT 4 Growth - RFI, FYI, Ideas/NGAXXX RFI Managed Cyber Security Services/01. RFX/Reference Material" u="1"/>
        <s v="sites/RGSales/Shared Documents/General/1.Open Opportunities/VAT 4 Growth - RFI, FYI, Ideas/NGAXXX RFI Managed Cyber Security Services/02. Response" u="1"/>
        <s v="sites/RGSales/Shared Documents/General/1.Open Opportunities/VAT 4 Growth - RFI, FYI, Ideas/NLA Strategy Session" u="1"/>
        <s v="sites/RGSales/Shared Documents/General/1.Open Opportunities/VAT 4 Growth - RFI, FYI, Ideas/NLA Strategy Session/01. RFX" u="1"/>
        <s v="sites/RGSales/Shared Documents/General/1.Open Opportunities/VAT 4 Growth - RFI, FYI, Ideas/NLA Strategy Session/02. Response" u="1"/>
        <s v="sites/RGSales/Shared Documents/General/1.Open Opportunities/VAT 4 Growth - RFI, FYI, Ideas/NLAXXX AI POC 202405" u="1"/>
        <s v="sites/RGSales/Shared Documents/General/1.Open Opportunities/VAT 4 Growth - RFI, FYI, Ideas/NLAXXX RFI Enterprise CRM Solution 202406" u="1"/>
        <s v="sites/RGSales/Shared Documents/General/1.Open Opportunities/VAT 4 Growth - RFI, FYI, Ideas/NLAXXX RFI Enterprise CRM Solution 202406/01. RFX" u="1"/>
        <s v="sites/RGSales/Shared Documents/General/1.Open Opportunities/VAT 4 Growth - RFI, FYI, Ideas/NLAXXX RFI Enterprise CRM Solution 202406/02. Response" u="1"/>
        <s v="sites/RGSales/Shared Documents/General/1.Open Opportunities/VAT 4 Growth - RFI, FYI, Ideas/NLAXXX RFI Enterprise CRM Solution 202406/99. Archive" u="1"/>
        <s v="sites/RGSales/Shared Documents/General/1.Open Opportunities/VAT 4 Growth - RFI, FYI, Ideas/NLAXXX RFI IT Asset Management 202405" u="1"/>
        <s v="sites/RGSales/Shared Documents/General/1.Open Opportunities/VAT 4 Growth - RFI, FYI, Ideas/NLAXXX RFI IT Asset Management 202405/01. RFX" u="1"/>
        <s v="sites/RGSales/Shared Documents/General/1.Open Opportunities/VAT 4 Growth - RFI, FYI, Ideas/NLAXXX RFI IT Asset Management 202405/02. Response" u="1"/>
        <s v="sites/RGSales/Shared Documents/General/1.Open Opportunities/VAT 4 Growth - RFI, FYI, Ideas/NLAXXX RFI IT Asset Management 202405/99. Archive" u="1"/>
        <s v="sites/RGSales/Shared Documents/General/1.Open Opportunities/VAT 4 Growth - RFI, FYI, Ideas/NLAXXX Scan and categorise 80 000 docs (Babel)" u="1"/>
        <s v="sites/RGSales/Shared Documents/General/1.Open Opportunities/VAT 4 Growth - RFI, FYI, Ideas/NQSXXX - ERP" u="1"/>
        <s v="sites/RGSales/Shared Documents/General/1.Open Opportunities/VAT 4 Growth - RFI, FYI, Ideas/NQSXXX - ERP/02. Response" u="1"/>
        <s v="sites/RGSales/Shared Documents/General/1.Open Opportunities/VAT 4 Growth - RFI, FYI, Ideas/NQSXXX DOF GovERP reuse 202404" u="1"/>
        <s v="sites/RGSales/Shared Documents/General/1.Open Opportunities/VAT 4 Growth - RFI, FYI, Ideas/NQSXXX ERP Solution" u="1"/>
        <s v="sites/RGSales/Shared Documents/General/1.Open Opportunities/VAT 4 Growth - RFI, FYI, Ideas/NQSXXX ITSM and SIAM 202411" u="1"/>
        <s v="sites/RGSales/Shared Documents/General/1.Open Opportunities/VAT 4 Growth - RFI, FYI, Ideas/NQSXXX ITSM and SIAM 202411/02. Response" u="1"/>
        <s v="sites/RGSales/Shared Documents/General/1.Open Opportunities/VAT 4 Growth - RFI, FYI, Ideas/NQSXXX NQSC Data Quality and Cleansing 202405" u="1"/>
        <s v="sites/RGSales/Shared Documents/General/1.Open Opportunities/VAT 4 Growth - RFI, FYI, Ideas/NQSXXX Rules Engine - ID008 Decisively 202406" u="1"/>
        <s v="sites/RGSales/Shared Documents/General/1.Open Opportunities/VAT 4 Growth - RFI, FYI, Ideas/NQSXXX SIEM and SOC 202411" u="1"/>
        <s v="sites/RGSales/Shared Documents/General/1.Open Opportunities/VAT 4 Growth - RFI, FYI, Ideas/NQSXXX SIEM and SOC 202411/02. Response" u="1"/>
        <s v="sites/RGSales/Shared Documents/General/1.Open Opportunities/VAT 4 Growth - RFI, FYI, Ideas/NQSXXX Worker Digital Identity Demo to MK" u="1"/>
        <s v="sites/RGSales/Shared Documents/General/1.Open Opportunities/VAT 4 Growth - RFI, FYI, Ideas/VICXXX EOI DOT Digital Planning Assistant 202502" u="1"/>
        <s v="sites/RGSales/Shared Documents/General/1.Open Opportunities/VAT 4 Growth - RFI, FYI, Ideas/VICXXX EOI DOT Digital Planning Assistant 202502/01. RFX" u="1"/>
        <s v="sites/RGSales/Shared Documents/General/1.Open Opportunities/VAT 4 Growth - RFI, FYI, Ideas/VICXXX EOI DOT Digital Planning Assistant 202502/02. Response" u="1"/>
        <s v="sites/RGSales/Shared Documents/General/1.Open Opportunities/VAT 4 Growth - RFI, FYI, Ideas/VICXXX EOI TAC Next Gen Claims Mgt Solution 202402" u="1"/>
        <s v="sites/RGSales/Shared Documents/General/1.Open Opportunities/VAT 4 Growth - RFI, FYI, Ideas/VICXXX EOI TAC Next Gen Claims Mgt Solution 202402/01. RFX" u="1"/>
        <s v="sites/RGSales/Shared Documents/General/1.Open Opportunities/VAT 4 Growth - RFI, FYI, Ideas/VICXXX EOI TAC Next Gen Claims Mgt Solution 202402/02. Response" u="1"/>
        <s v="sites/RGSales/Shared Documents/General/1.Open Opportunities/VAT 4 Growth - RFI, FYI, Ideas/VICXXX RFT FRV SAP SuccessFactors HR Transformation Partner 202412" u="1"/>
        <s v="sites/RGSales/Shared Documents/General/1.Open Opportunities/VAT 4 Growth - RFI, FYI, Ideas/VICXXX RFT FRV SAP SuccessFactors HR Transformation Partner 202412/01. RFX" u="1"/>
        <s v="sites/RGSales/Shared Documents/General/1.Open Opportunities/VAT 4 Growth - RFI, FYI, Ideas/VICXXX RFT FRV SAP SuccessFactors HR Transformation Partner 202412/02. Response" u="1"/>
        <s v="sites/RGSales/Shared Documents/General/1.Open Opportunities/VAT 4 Growth - RFI, FYI, Ideas/VICXXX TAC Architecture Review" u="1"/>
        <s v="sites/RGSales/Shared Documents/General/1.Open Opportunities/VAT 4 Growth - RFI, FYI, Ideas/VICXXX TAC Architecture Review/00. Mgt" u="1"/>
        <s v="sites/RGSales/Shared Documents/General/1.Open Opportunities/VAT 4 Growth - RFI, FYI, Ideas/VICXXX TAC Architecture Review/02. Response" u="1"/>
        <s v="sites/RGSales/Shared Documents/General/1.Open Opportunities/VAT 4 Growth - RFI, FYI, Ideas/VICXXX TAC Architecture Review/99. Archive" u="1"/>
        <s v="sites/RGSales/Shared Documents/General/1.Open Opportunities/VICXXX RFI TAC Digital Toolkit 202509" u="1"/>
        <s v="sites/RGSales/Shared Documents/General/1.Open Opportunities/VICXXX RFI TAC Digital Toolkit 202509/01. RFX" u="1"/>
        <s v="sites/RGSales/Shared Documents/General/1.Open Opportunities/VICXXX RFI TAC Digital Toolkit 202509/02. Response" u="1"/>
        <s v="sites/RGSales/Shared Documents/General/1.Open Opportunities/VICXXX RFI TAC Digital Toolkit 202509/99. Archive" u="1"/>
        <s v="sites/RGSales/Shared Documents/General/1.Open Opportunities/AECXXX LH-05022 Procurement and Contract Specialist 202511" u="1"/>
        <s v="sites/RGSales/Shared Documents/General/1.Open Opportunities/AECXXX LH-05022 Procurement and Contract Specialist 202511/01. RFX" u="1"/>
        <s v="sites/RGSales/Shared Documents/General/1.Open Opportunities/AECXXX LH-05022 Procurement and Contract Specialist 202511/02. Response" u="1"/>
        <s v="sites/RGSales/Shared Documents/General/1.Open Opportunities/AECXXX RFQ Supply Chain Management COTS and Associated Services 202511" u="1"/>
        <s v="sites/RGSales/Shared Documents/General/1.Open Opportunities/AECXXX RFQ Supply Chain Management COTS and Associated Services 202511/00. Mgt" u="1"/>
        <s v="sites/RGSales/Shared Documents/General/1.Open Opportunities/AECXXX RFQ Supply Chain Management COTS and Associated Services 202511/01. RFX" u="1"/>
        <s v="sites/RGSales/Shared Documents/General/1.Open Opportunities/AECXXX RFQ Supply Chain Management COTS and Associated Services 202511/02. Response" u="1"/>
        <s v="sites/RGSales/Shared Documents/General/1.Open Opportunities/AECXXX RFQ Supply Chain Management COTS and Associated Services 202511/AECXXX RFI Supply Chain Management COTS and Associated Services" u="1"/>
        <s v="sites/RGSales/Shared Documents/General/1.Open Opportunities/AECXXX RFQ Supply Chain Management COTS and Associated Services 202511/AECXXX RFI Supply Chain Management COTS and Associated Services/02. Response" u="1"/>
        <s v="sites/RGSales/Shared Documents/General/1.Open Opportunities/DAFXXX RFQ Cyber Security Professional Services 202511" u="1"/>
        <s v="sites/RGSales/Shared Documents/General/1.Open Opportunities/DAFXXX RFQ Cyber Security Professional Services 202511/01. RFX" u="1"/>
        <s v="sites/RGSales/Shared Documents/General/1.Open Opportunities/DAFXXX RFQ Cyber Security Professional Services 202511/02. Response" u="1"/>
        <s v="sites/RGSales/Shared Documents/General/1.Open Opportunities/INDXXX RFQ ServiceNow Implementation 202511/02. Response/CVs" u="1"/>
        <s v="sites/RGSales/Shared Documents/General/1.Open Opportunities/INFXXX RFI Cloud-based Case Management System 202511/02. Response/ServiceNow response" u="1"/>
        <s v="sites/RGSales/Shared Documents/General/1.Open Opportunities/NLAXXX RFX Onsite and Digital Satisfaction Survey 202510" u="1"/>
        <s v="sites/RGSales/Shared Documents/General/1.Open Opportunities/NLAXXX RFX Onsite and Digital Satisfaction Survey 202510/01. RFX" u="1"/>
        <s v="sites/RGSales/Shared Documents/General/1.Open Opportunities/NLAXXX RFX Onsite and Digital Satisfaction Survey 202510/02. Response" u="1"/>
        <s v="sites/RGSales/Shared Documents/General/1.Open Opportunities/PANEL ASIC RFQ Dynamics 365 Consultancy Panel 202511" u="1"/>
        <s v="sites/RGSales/Shared Documents/General/1.Open Opportunities/PANEL ASIC RFQ Dynamics 365 Consultancy Panel 202511/01. RFX" u="1"/>
        <s v="sites/RGSales/Shared Documents/General/1.Open Opportunities/PANEL ASIC RFQ Dynamics 365 Consultancy Panel 202511/02. Response" u="1"/>
        <s v="sites/RGSales/Shared Documents/General/1.Open Opportunities/PANEL DISR Strategic Advisory Services 202508" u="1"/>
        <s v="sites/RGSales/Shared Documents/General/1.Open Opportunities/PANEL DISR Strategic Advisory Services 202508/01. RFX" u="1"/>
        <s v="sites/RGSales/Shared Documents/General/1.Open Opportunities/PANEL DISR Strategic Advisory Services 202508/02. Response" u="1"/>
        <s v="sites/RGSales/Shared Documents/General/1.Open Opportunities/PANEL DISR Strategic Advisory Services 202508/99. Archive" u="1"/>
        <s v="sites/RGSales/Shared Documents/General/1.Open Opportunities/VICXXX RFQ TAC Microsoft Program ES-04653 202408" u="1"/>
        <s v="sites/RGSales/Shared Documents/General/1.Open Opportunities/VICXXX RFQ TAC Microsoft Program ES-04653 202408/00. Mgt" u="1"/>
        <s v="sites/RGSales/Shared Documents/General/1.Open Opportunities/VICXXX RFQ TAC Microsoft Program ES-04653 202408/01. RFX" u="1"/>
        <s v="sites/RGSales/Shared Documents/General/1.Open Opportunities/VICXXX RFQ TAC Microsoft Program ES-04653 202408/02. Response" u="1"/>
        <s v="sites/RGSales/Shared Documents/General/1.Open Opportunities/VICXXX RFQ TAC Microsoft Program ES-04653 202408/02. Response/Profiles" u="1"/>
        <s v="sites/RGSales/Shared Documents/General/1.Open Opportunities/VICXXX RFQ TAC Microsoft Program ES-04653 202408/02. Response/Profiles/Old" u="1"/>
        <s v="sites/RGSales/Shared Documents/General/1.Open Opportunities/VICXXX RFQ TAC Microsoft Program ES-04653 202408/02. Response/WIP" u="1"/>
        <s v="sites/RGSales/Shared Documents/General/1.Open Opportunities/VICXXX RFQ TAC Microsoft Program ES-04653 202408/03. Contract" u="1"/>
        <s v="sites/RGSales/Shared Documents/General/1.Open Opportunities/VICXXX RFQ TAC Microsoft Program ES-04653 202408/99. Archive" u="1"/>
      </sharedItems>
    </cacheField>
    <cacheField name="Partner" numFmtId="49">
      <sharedItems containsBlank="1" count="33">
        <s v="SNoW"/>
        <s v="Oracle;#SAP"/>
        <m/>
        <s v="Pega"/>
        <s v="SAP"/>
        <s v="Tech1;#Decis"/>
        <s v="Lab3"/>
        <s v="Confluent"/>
        <s v="Decis"/>
        <s v="RapidCircle"/>
        <s v="Tech1" u="1"/>
        <s v="Oracle;#Infosys;#SAP" u="1"/>
        <s v="Tech1;#SAP;#Workday" u="1"/>
        <s v="TechM" u="1"/>
        <s v="Infosys;#SNoW" u="1"/>
        <s v="SForce" u="1"/>
        <s v="Oracle" u="1"/>
        <s v="Workday" u="1"/>
        <s v="SAP;#Workday;#Tech1" u="1"/>
        <s v="AWS" u="1"/>
        <s v="SAP;#Infosys" u="1"/>
        <s v="Tech1;#Workday" u="1"/>
        <s v="Workday;#SAP" u="1"/>
        <s v="SAP;#Tech1" u="1"/>
        <s v="Infosys" u="1"/>
        <s v="Infosys;#Oracle" u="1"/>
        <s v="SNoW;#Decis" u="1"/>
        <s v="TechM;#SForce" u="1"/>
        <s v="eServe;#SForce" u="1"/>
        <s v="Oracle;#TechM" u="1"/>
        <s v="Epi-Use" u="1"/>
        <s v="EYA" u="1"/>
        <s v="eServe" u="1"/>
      </sharedItems>
    </cacheField>
    <cacheField name="Gross Profit" numFmtId="164">
      <sharedItems containsSemiMixedTypes="0" containsString="0" containsNumber="1" minValue="0" maxValue="3460008.96"/>
    </cacheField>
    <cacheField name="Days Opened" numFmtId="0">
      <sharedItems containsSemiMixedTypes="0" containsString="0" containsNumber="1" containsInteger="1" minValue="0" maxValue="701"/>
    </cacheField>
    <cacheField name="Days submitted" numFmtId="0">
      <sharedItems containsDate="1" containsMixedTypes="1" minDate="1899-12-31T00:09:04" maxDate="2026-02-24T00:00:00"/>
    </cacheField>
    <cacheField name="Days modified" numFmtId="0">
      <sharedItems containsSemiMixedTypes="0" containsDate="1" containsString="0" containsMixedTypes="1" minDate="1899-12-31T00:00:00" maxDate="1900-06-19T00:00:00"/>
    </cacheField>
    <cacheField name="Monthly Gross Margin Contribution" numFmtId="164">
      <sharedItems containsMixedTypes="1" containsNumber="1" minValue="0" maxValue="1260000"/>
    </cacheField>
    <cacheField name="Monthly Revenue Spread" numFmtId="0">
      <sharedItems containsMixedTypes="1" containsNumber="1" minValue="0" maxValue="3000000"/>
    </cacheField>
    <cacheField name="Months (Expiry Date)" numFmtId="0" databaseField="0">
      <fieldGroup base="14">
        <rangePr groupBy="months" startDate="2026-02-28T00:00:00" endDate="2031-06-02T00:00:00"/>
        <groupItems count="14">
          <s v="&lt;28/02/2026"/>
          <s v="Jan"/>
          <s v="Feb"/>
          <s v="Mar"/>
          <s v="Apr"/>
          <s v="May"/>
          <s v="Jun"/>
          <s v="Jul"/>
          <s v="Aug"/>
          <s v="Sep"/>
          <s v="Oct"/>
          <s v="Nov"/>
          <s v="Dec"/>
          <s v="&gt;2/06/2031"/>
        </groupItems>
      </fieldGroup>
    </cacheField>
    <cacheField name="Quarters (Expiry Date)" numFmtId="0" databaseField="0">
      <fieldGroup base="14">
        <rangePr groupBy="quarters" startDate="2026-02-28T00:00:00" endDate="2031-06-02T00:00:00"/>
        <groupItems count="6">
          <s v="&lt;28/02/2026"/>
          <s v="Qtr1"/>
          <s v="Qtr2"/>
          <s v="Qtr3"/>
          <s v="Qtr4"/>
          <s v="&gt;2/06/2031"/>
        </groupItems>
      </fieldGroup>
    </cacheField>
    <cacheField name="Years (Expiry Date)" numFmtId="0" databaseField="0">
      <fieldGroup base="14">
        <rangePr groupBy="years" startDate="2026-02-28T00:00:00" endDate="2031-06-02T00:00:00"/>
        <groupItems count="8">
          <s v="&lt;28/02/2026"/>
          <s v="2026"/>
          <s v="2027"/>
          <s v="2028"/>
          <s v="2029"/>
          <s v="2030"/>
          <s v="2031"/>
          <s v="&gt;2/06/2031"/>
        </groupItems>
      </fieldGroup>
    </cacheField>
    <cacheField name="GrossMargin" numFmtId="0" formula="'Gross Profit'/'Value $ ex GST'" databaseField="0"/>
    <cacheField name="Months (Start Date)" numFmtId="0" databaseField="0">
      <fieldGroup base="13">
        <rangePr groupBy="months" startDate="2026-01-26T00:00:00" endDate="2026-12-02T00:00:00"/>
        <groupItems count="14">
          <s v="&lt;26/01/2026"/>
          <s v="Jan"/>
          <s v="Feb"/>
          <s v="Mar"/>
          <s v="Apr"/>
          <s v="May"/>
          <s v="Jun"/>
          <s v="Jul"/>
          <s v="Aug"/>
          <s v="Sep"/>
          <s v="Oct"/>
          <s v="Nov"/>
          <s v="Dec"/>
          <s v="&gt;2/12/2026"/>
        </groupItems>
      </fieldGroup>
    </cacheField>
    <cacheField name="Quarters (Start Date)" numFmtId="0" databaseField="0">
      <fieldGroup base="13">
        <rangePr groupBy="quarters" startDate="2026-01-26T00:00:00" endDate="2026-12-02T00:00:00"/>
        <groupItems count="6">
          <s v="&lt;26/01/2026"/>
          <s v="Qtr1"/>
          <s v="Qtr2"/>
          <s v="Qtr3"/>
          <s v="Qtr4"/>
          <s v="&gt;2/12/2026"/>
        </groupItems>
      </fieldGroup>
    </cacheField>
    <cacheField name="Years (Start Date)" numFmtId="0" databaseField="0">
      <fieldGroup base="13">
        <rangePr groupBy="years" startDate="2026-01-26T00:00:00" endDate="2026-12-02T00:00:00"/>
        <groupItems count="3">
          <s v="&lt;26/01/2026"/>
          <s v="2026"/>
          <s v="&gt;2/12/2026"/>
        </groupItems>
      </fieldGroup>
    </cacheField>
  </cacheFields>
  <extLst>
    <ext xmlns:x14="http://schemas.microsoft.com/office/spreadsheetml/2009/9/main" uri="{725AE2AE-9491-48be-B2B4-4EB974FC3084}">
      <x14:pivotCacheDefinition pivotCacheId="20777555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vin Ho" refreshedDate="45894.67057800926" createdVersion="8" refreshedVersion="8" minRefreshableVersion="3" recordCount="1404" xr:uid="{A9B30233-72E8-4894-8C25-A5D9EAA3884F}">
  <cacheSource type="worksheet">
    <worksheetSource name="TotalGMContribution"/>
  </cacheSource>
  <cacheFields count="10">
    <cacheField name="Project" numFmtId="0">
      <sharedItems containsBlank="1"/>
    </cacheField>
    <cacheField name="Status" numFmtId="0">
      <sharedItems containsBlank="1" count="5">
        <s v="DVF"/>
        <s v="DF"/>
        <m/>
        <s v="C"/>
        <s v="Q"/>
      </sharedItems>
    </cacheField>
    <cacheField name="VAT" numFmtId="0">
      <sharedItems count="6">
        <s v="Growth"/>
        <s v="DAFF"/>
        <s v="Other"/>
        <s v="SAU"/>
        <s v=""/>
        <s v="VIC"/>
      </sharedItems>
    </cacheField>
    <cacheField name="Month" numFmtId="0">
      <sharedItems/>
    </cacheField>
    <cacheField name="Value" numFmtId="0">
      <sharedItems containsSemiMixedTypes="0" containsString="0" containsNumber="1" minValue="-27716" maxValue="296914.00000000006"/>
    </cacheField>
    <cacheField name="Cumulative" numFmtId="0">
      <sharedItems containsSemiMixedTypes="0" containsString="0" containsNumber="1" minValue="-22658.720000000005" maxValue="1689377.0000000002"/>
    </cacheField>
    <cacheField name="FYMonthNum" numFmtId="0">
      <sharedItems containsSemiMixedTypes="0" containsString="0" containsNumber="1" containsInteger="1" minValue="1" maxValue="12"/>
    </cacheField>
    <cacheField name="FYMonthLabel" numFmtId="0">
      <sharedItems/>
    </cacheField>
    <cacheField name="FYQuarterLabel" numFmtId="0">
      <sharedItems/>
    </cacheField>
    <cacheField name="FYQuarterNum" numFmtId="0">
      <sharedItems containsSemiMixedTypes="0" containsString="0" containsNumber="1" containsInteger="1" minValue="1" maxValue="4" count="4">
        <n v="4"/>
        <n v="1"/>
        <n v="2"/>
        <n v="3"/>
      </sharedItems>
    </cacheField>
  </cacheFields>
  <extLst>
    <ext xmlns:x14="http://schemas.microsoft.com/office/spreadsheetml/2009/9/main" uri="{725AE2AE-9491-48be-B2B4-4EB974FC3084}">
      <x14:pivotCacheDefinition pivotCacheId="13772791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4">
  <r>
    <s v="AFPXXX EPI-USE Roadmap"/>
    <x v="0"/>
    <x v="0"/>
    <s v="April"/>
    <n v="0"/>
    <n v="-19955.520000000004"/>
    <n v="10"/>
    <s v="April"/>
    <s v="Q4"/>
    <x v="0"/>
  </r>
  <r>
    <s v="BCG003-01 NDIA Transformation Business Case - T&amp;M"/>
    <x v="0"/>
    <x v="0"/>
    <s v="April"/>
    <n v="0"/>
    <n v="-19955.520000000004"/>
    <n v="10"/>
    <s v="April"/>
    <s v="Q4"/>
    <x v="0"/>
  </r>
  <r>
    <s v="DAF079-XX STEPS 1 Solution Designers"/>
    <x v="1"/>
    <x v="1"/>
    <s v="April"/>
    <n v="0"/>
    <n v="23347.680000000008"/>
    <n v="10"/>
    <s v="April"/>
    <s v="Q4"/>
    <x v="0"/>
  </r>
  <r>
    <s v="DAFXXX Export Service User Request - POV - Servicenow"/>
    <x v="0"/>
    <x v="1"/>
    <s v="April"/>
    <n v="0"/>
    <n v="3024"/>
    <n v="10"/>
    <s v="April"/>
    <s v="Q4"/>
    <x v="0"/>
  </r>
  <r>
    <s v="DAFXXX LH-04076 Senior Technical Analyst"/>
    <x v="0"/>
    <x v="1"/>
    <s v="April"/>
    <n v="3024"/>
    <n v="3024"/>
    <n v="10"/>
    <s v="April"/>
    <s v="Q4"/>
    <x v="0"/>
  </r>
  <r>
    <s v="DAFXXX LH-04140 Delivery Manager"/>
    <x v="1"/>
    <x v="1"/>
    <s v="April"/>
    <n v="4776.4799999999977"/>
    <n v="23347.680000000008"/>
    <n v="10"/>
    <s v="April"/>
    <s v="Q4"/>
    <x v="0"/>
  </r>
  <r>
    <s v="DAFXXX multiple Senior Software Developer 202508"/>
    <x v="1"/>
    <x v="1"/>
    <s v="April"/>
    <n v="9707.200000000008"/>
    <n v="23347.680000000008"/>
    <n v="10"/>
    <s v="April"/>
    <s v="Q4"/>
    <x v="0"/>
  </r>
  <r>
    <s v="DAFXXX Senior Multiple roles BA 202508"/>
    <x v="1"/>
    <x v="1"/>
    <s v="April"/>
    <n v="8864"/>
    <n v="23347.680000000008"/>
    <n v="10"/>
    <s v="April"/>
    <s v="Q4"/>
    <x v="0"/>
  </r>
  <r>
    <s v="DAFXXX ServiceNow Integrated Workspace for Export (TFTM) Services"/>
    <x v="0"/>
    <x v="1"/>
    <s v="April"/>
    <n v="0"/>
    <n v="3024"/>
    <n v="10"/>
    <s v="April"/>
    <s v="Q4"/>
    <x v="0"/>
  </r>
  <r>
    <s v="DFAXXX RFQ Super Salary Calculation Enhancement 202504"/>
    <x v="1"/>
    <x v="0"/>
    <s v="April"/>
    <n v="0"/>
    <n v="101757.6"/>
    <n v="10"/>
    <s v="April"/>
    <s v="Q4"/>
    <x v="0"/>
  </r>
  <r>
    <s v="DOFXXX Applications Services"/>
    <x v="1"/>
    <x v="0"/>
    <s v="April"/>
    <n v="53085.600000000006"/>
    <n v="101757.6"/>
    <n v="10"/>
    <s v="April"/>
    <s v="Q4"/>
    <x v="0"/>
  </r>
  <r>
    <s v="DTAXXX LH-03909 - Change Manager"/>
    <x v="1"/>
    <x v="0"/>
    <s v="April"/>
    <n v="0"/>
    <n v="101757.6"/>
    <n v="10"/>
    <s v="April"/>
    <s v="Q4"/>
    <x v="0"/>
  </r>
  <r>
    <s v="FWO001 Digital Transformation CPBC - PoC"/>
    <x v="0"/>
    <x v="2"/>
    <s v="April"/>
    <n v="0"/>
    <n v="0"/>
    <n v="10"/>
    <s v="April"/>
    <s v="Q4"/>
    <x v="0"/>
  </r>
  <r>
    <s v="FWO001 Digital Transformation CPBC - PoC Design"/>
    <x v="0"/>
    <x v="2"/>
    <s v="April"/>
    <n v="0"/>
    <n v="0"/>
    <n v="10"/>
    <s v="April"/>
    <s v="Q4"/>
    <x v="0"/>
  </r>
  <r>
    <s v="INDXXX RFQ Portfolio Management 202508"/>
    <x v="1"/>
    <x v="2"/>
    <s v="April"/>
    <n v="0"/>
    <n v="0"/>
    <n v="10"/>
    <s v="April"/>
    <s v="Q4"/>
    <x v="0"/>
  </r>
  <r>
    <s v="INDXXX RFQ Venture Capital Smartforms Transition to ServiceNow"/>
    <x v="0"/>
    <x v="2"/>
    <s v="April"/>
    <n v="0"/>
    <n v="0"/>
    <n v="10"/>
    <s v="April"/>
    <s v="Q4"/>
    <x v="0"/>
  </r>
  <r>
    <s v="INDXXX RFQ Work, Health and Safety 202507"/>
    <x v="1"/>
    <x v="2"/>
    <s v="April"/>
    <n v="0"/>
    <n v="0"/>
    <n v="10"/>
    <s v="April"/>
    <s v="Q4"/>
    <x v="0"/>
  </r>
  <r>
    <s v="LABXXX- RFQ PCS-02120 - Data Scientist Services"/>
    <x v="1"/>
    <x v="0"/>
    <s v="April"/>
    <n v="39456"/>
    <n v="101757.6"/>
    <n v="10"/>
    <s v="April"/>
    <s v="Q4"/>
    <x v="0"/>
  </r>
  <r>
    <s v="PARXXX RFT RevenueSA Application Portfolio Review 202506"/>
    <x v="0"/>
    <x v="0"/>
    <s v="April"/>
    <n v="0"/>
    <n v="-19955.520000000004"/>
    <n v="10"/>
    <s v="April"/>
    <s v="Q4"/>
    <x v="0"/>
  </r>
  <r>
    <s v="PMCXXX - RFQ LH-03834 Change Managers"/>
    <x v="0"/>
    <x v="0"/>
    <s v="April"/>
    <n v="-19955.520000000004"/>
    <n v="-19955.520000000004"/>
    <n v="10"/>
    <s v="April"/>
    <s v="Q4"/>
    <x v="0"/>
  </r>
  <r>
    <s v="QLDXXX Queensland Shared Services SAP Finance to S4 Hana Public Cloud"/>
    <x v="1"/>
    <x v="0"/>
    <s v="April"/>
    <n v="9216"/>
    <n v="101757.6"/>
    <n v="10"/>
    <s v="April"/>
    <s v="Q4"/>
    <x v="0"/>
  </r>
  <r>
    <s v="SAUXXX Cyber -LH-03498 - Senior Cyber Uplift Project Manager"/>
    <x v="0"/>
    <x v="3"/>
    <s v="April"/>
    <n v="7736.8"/>
    <n v="24690.879999999997"/>
    <n v="10"/>
    <s v="April"/>
    <s v="Q4"/>
    <x v="0"/>
  </r>
  <r>
    <s v="SAUXXX Cyber -LH-03543 - Manager Cyber Uplift Project Manager"/>
    <x v="0"/>
    <x v="3"/>
    <s v="April"/>
    <n v="5212.0799999999981"/>
    <n v="24690.879999999997"/>
    <n v="10"/>
    <s v="April"/>
    <s v="Q4"/>
    <x v="0"/>
  </r>
  <r>
    <s v="SAUXXX Cyber -LH-03556 - Cyber Uplift Scrum Master"/>
    <x v="0"/>
    <x v="3"/>
    <s v="April"/>
    <n v="9387.5199999999986"/>
    <n v="24690.879999999997"/>
    <n v="10"/>
    <s v="April"/>
    <s v="Q4"/>
    <x v="0"/>
  </r>
  <r>
    <s v="SAUXXX Cyber -LH-03562 - Senior Business Analyst"/>
    <x v="0"/>
    <x v="3"/>
    <s v="April"/>
    <n v="2354.4800000000014"/>
    <n v="24690.879999999997"/>
    <n v="10"/>
    <s v="April"/>
    <s v="Q4"/>
    <x v="0"/>
  </r>
  <r>
    <s v="SAUXXX RFQ Identity Mgt System Integration 202506"/>
    <x v="1"/>
    <x v="3"/>
    <s v="April"/>
    <n v="73717.51999999999"/>
    <n v="93405.199999999983"/>
    <n v="10"/>
    <s v="April"/>
    <s v="Q4"/>
    <x v="0"/>
  </r>
  <r>
    <s v="SAUXXX RFQ Support end-to-end Investment Proposal and BC"/>
    <x v="1"/>
    <x v="3"/>
    <s v="April"/>
    <n v="0"/>
    <n v="93405.199999999983"/>
    <n v="10"/>
    <s v="April"/>
    <s v="Q4"/>
    <x v="0"/>
  </r>
  <r>
    <s v="SAUXXX RFQLH-02645 IT Infrastructure Engineer"/>
    <x v="1"/>
    <x v="3"/>
    <s v="April"/>
    <n v="12168"/>
    <n v="93405.199999999983"/>
    <n v="10"/>
    <s v="April"/>
    <s v="Q4"/>
    <x v="0"/>
  </r>
  <r>
    <s v="SAUXXX RFQLH-02946 1 Senior Software Engineer"/>
    <x v="1"/>
    <x v="3"/>
    <s v="April"/>
    <n v="7519.68"/>
    <n v="93405.199999999983"/>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m/>
    <x v="2"/>
    <x v="4"/>
    <s v="April"/>
    <n v="0"/>
    <n v="0"/>
    <n v="10"/>
    <s v="April"/>
    <s v="Q4"/>
    <x v="0"/>
  </r>
  <r>
    <s v="BCG003 NDIA Transformation Business Case"/>
    <x v="3"/>
    <x v="0"/>
    <s v="April"/>
    <n v="0"/>
    <n v="1748"/>
    <n v="10"/>
    <s v="April"/>
    <s v="Q4"/>
    <x v="0"/>
  </r>
  <r>
    <s v="COS001-01 DOH IWOW Target Architecture"/>
    <x v="3"/>
    <x v="0"/>
    <s v="April"/>
    <n v="0"/>
    <n v="1748"/>
    <n v="10"/>
    <s v="April"/>
    <s v="Q4"/>
    <x v="0"/>
  </r>
  <r>
    <s v="DAF079-01 Digital and Agile STEPS Program"/>
    <x v="3"/>
    <x v="1"/>
    <s v="April"/>
    <n v="0"/>
    <n v="0"/>
    <n v="10"/>
    <s v="April"/>
    <s v="Q4"/>
    <x v="0"/>
  </r>
  <r>
    <s v="DAF080-03 STEPS - Strategic Support"/>
    <x v="3"/>
    <x v="1"/>
    <s v="April"/>
    <n v="0"/>
    <n v="0"/>
    <n v="10"/>
    <s v="April"/>
    <s v="Q4"/>
    <x v="0"/>
  </r>
  <r>
    <s v="DAF080-04 Industry API Accelerator"/>
    <x v="3"/>
    <x v="1"/>
    <s v="April"/>
    <n v="0"/>
    <n v="0"/>
    <n v="10"/>
    <s v="April"/>
    <s v="Q4"/>
    <x v="0"/>
  </r>
  <r>
    <s v="DAF080-XX STEPS - Head Contract"/>
    <x v="3"/>
    <x v="1"/>
    <s v="April"/>
    <n v="0"/>
    <n v="0"/>
    <n v="10"/>
    <s v="April"/>
    <s v="Q4"/>
    <x v="0"/>
  </r>
  <r>
    <s v="DAF081 Digital resources for DBD - Head Contract"/>
    <x v="3"/>
    <x v="1"/>
    <s v="April"/>
    <n v="0"/>
    <n v="0"/>
    <n v="10"/>
    <s v="April"/>
    <s v="Q4"/>
    <x v="0"/>
  </r>
  <r>
    <s v="DAF081-05 DBD Business Analyst (Kev)"/>
    <x v="3"/>
    <x v="1"/>
    <s v="April"/>
    <n v="0"/>
    <n v="0"/>
    <n v="10"/>
    <s v="April"/>
    <s v="Q4"/>
    <x v="0"/>
  </r>
  <r>
    <s v="DAF081-06 DBD Test Analyst (Vinnie)"/>
    <x v="3"/>
    <x v="1"/>
    <s v="April"/>
    <n v="0"/>
    <n v="0"/>
    <n v="10"/>
    <s v="April"/>
    <s v="Q4"/>
    <x v="0"/>
  </r>
  <r>
    <s v="DAF081-07 DBD System Analyst (Amit)"/>
    <x v="3"/>
    <x v="1"/>
    <s v="April"/>
    <n v="0"/>
    <n v="0"/>
    <n v="10"/>
    <s v="April"/>
    <s v="Q4"/>
    <x v="0"/>
  </r>
  <r>
    <s v="DAF081-08 DBD Business Analyst (Raheem)"/>
    <x v="3"/>
    <x v="1"/>
    <s v="April"/>
    <n v="0"/>
    <n v="0"/>
    <n v="10"/>
    <s v="April"/>
    <s v="Q4"/>
    <x v="0"/>
  </r>
  <r>
    <s v="DAF081-09 Technical Lead (Phani)"/>
    <x v="3"/>
    <x v="1"/>
    <s v="April"/>
    <n v="0"/>
    <n v="0"/>
    <n v="10"/>
    <s v="April"/>
    <s v="Q4"/>
    <x v="0"/>
  </r>
  <r>
    <s v="DCC001-05 SAP Tech Specialist (Husain)"/>
    <x v="3"/>
    <x v="0"/>
    <s v="April"/>
    <n v="0"/>
    <n v="1748"/>
    <n v="10"/>
    <s v="April"/>
    <s v="Q4"/>
    <x v="0"/>
  </r>
  <r>
    <s v="DHA002-01 Senior Pega System Developer (Giribabu)"/>
    <x v="3"/>
    <x v="0"/>
    <s v="April"/>
    <n v="1748"/>
    <n v="1748"/>
    <n v="10"/>
    <s v="April"/>
    <s v="Q4"/>
    <x v="0"/>
  </r>
  <r>
    <s v="FWO001 Digital Transformation CPBC"/>
    <x v="3"/>
    <x v="0"/>
    <s v="April"/>
    <n v="0"/>
    <n v="1748"/>
    <n v="10"/>
    <s v="April"/>
    <s v="Q4"/>
    <x v="0"/>
  </r>
  <r>
    <s v="IND002 AI Integration in ServiceNow"/>
    <x v="3"/>
    <x v="0"/>
    <s v="April"/>
    <n v="0"/>
    <n v="1748"/>
    <n v="10"/>
    <s v="April"/>
    <s v="Q4"/>
    <x v="0"/>
  </r>
  <r>
    <s v="ISY009-01 Vic SRO T3 (Pre-project)"/>
    <x v="3"/>
    <x v="5"/>
    <s v="April"/>
    <n v="0"/>
    <n v="0"/>
    <n v="10"/>
    <s v="April"/>
    <s v="Q4"/>
    <x v="0"/>
  </r>
  <r>
    <s v="ISY010 Vic SRO T3"/>
    <x v="3"/>
    <x v="5"/>
    <s v="April"/>
    <n v="0"/>
    <n v="0"/>
    <n v="10"/>
    <s v="April"/>
    <s v="Q4"/>
    <x v="0"/>
  </r>
  <r>
    <s v="NQS005-02 DART Recalibration"/>
    <x v="3"/>
    <x v="0"/>
    <s v="April"/>
    <n v="0"/>
    <n v="1748"/>
    <n v="10"/>
    <s v="April"/>
    <s v="Q4"/>
    <x v="0"/>
  </r>
  <r>
    <s v="NQS005-03 DART Benefits Review and Preparation"/>
    <x v="3"/>
    <x v="0"/>
    <s v="April"/>
    <n v="0"/>
    <n v="1748"/>
    <n v="10"/>
    <s v="April"/>
    <s v="Q4"/>
    <x v="0"/>
  </r>
  <r>
    <s v="SAU043-03 Cyber Security (Ben)"/>
    <x v="3"/>
    <x v="3"/>
    <s v="April"/>
    <n v="3496"/>
    <n v="28594.239999999991"/>
    <n v="10"/>
    <s v="April"/>
    <s v="Q4"/>
    <x v="0"/>
  </r>
  <r>
    <s v="SAU044-03 Senior Development Expert (Nadh)"/>
    <x v="3"/>
    <x v="3"/>
    <s v="April"/>
    <n v="0"/>
    <n v="28594.239999999991"/>
    <n v="10"/>
    <s v="April"/>
    <s v="Q4"/>
    <x v="0"/>
  </r>
  <r>
    <s v="SAU045-02 Senior Technology Architect (Sidd)"/>
    <x v="3"/>
    <x v="3"/>
    <s v="April"/>
    <n v="0"/>
    <n v="28594.239999999991"/>
    <n v="10"/>
    <s v="April"/>
    <s v="Q4"/>
    <x v="0"/>
  </r>
  <r>
    <s v="SAU046-02 Delivery Manager (Alex)"/>
    <x v="3"/>
    <x v="3"/>
    <s v="April"/>
    <n v="0"/>
    <n v="28594.239999999991"/>
    <n v="10"/>
    <s v="April"/>
    <s v="Q4"/>
    <x v="0"/>
  </r>
  <r>
    <s v="SAU048-01 System Analyst (Meenal)"/>
    <x v="3"/>
    <x v="3"/>
    <s v="April"/>
    <n v="0"/>
    <n v="28594.239999999991"/>
    <n v="10"/>
    <s v="April"/>
    <s v="Q4"/>
    <x v="0"/>
  </r>
  <r>
    <s v="SAU048-02 System Analyst (Meenal)"/>
    <x v="3"/>
    <x v="3"/>
    <s v="April"/>
    <n v="1082.239999999998"/>
    <n v="28594.239999999991"/>
    <n v="10"/>
    <s v="April"/>
    <s v="Q4"/>
    <x v="0"/>
  </r>
  <r>
    <s v="SAU049-01 Functional Development Expert (Shefali)"/>
    <x v="3"/>
    <x v="3"/>
    <s v="April"/>
    <n v="0"/>
    <n v="28594.239999999991"/>
    <n v="10"/>
    <s v="April"/>
    <s v="Q4"/>
    <x v="0"/>
  </r>
  <r>
    <s v="SAU050-01 Senior Development Lead (Abdul)"/>
    <x v="3"/>
    <x v="3"/>
    <s v="April"/>
    <n v="0"/>
    <n v="28594.239999999991"/>
    <n v="10"/>
    <s v="April"/>
    <s v="Q4"/>
    <x v="0"/>
  </r>
  <r>
    <s v="SAU052 Senior Solution Architect (Aniket)"/>
    <x v="3"/>
    <x v="3"/>
    <s v="April"/>
    <n v="0"/>
    <n v="28594.239999999991"/>
    <n v="10"/>
    <s v="April"/>
    <s v="Q4"/>
    <x v="0"/>
  </r>
  <r>
    <s v="SAU053 Principal Software Engineer (Sheelesh)"/>
    <x v="3"/>
    <x v="3"/>
    <s v="April"/>
    <n v="4940.0000000000073"/>
    <n v="28594.239999999991"/>
    <n v="10"/>
    <s v="April"/>
    <s v="Q4"/>
    <x v="0"/>
  </r>
  <r>
    <s v="SAU054 Principal Software Engineer (Tejas)"/>
    <x v="3"/>
    <x v="3"/>
    <s v="April"/>
    <n v="4845.7599999999948"/>
    <n v="28594.239999999991"/>
    <n v="10"/>
    <s v="April"/>
    <s v="Q4"/>
    <x v="0"/>
  </r>
  <r>
    <s v="SAU055 Principal Software Engineer (Karan)"/>
    <x v="3"/>
    <x v="3"/>
    <s v="April"/>
    <n v="4859.4399999999951"/>
    <n v="28594.239999999991"/>
    <n v="10"/>
    <s v="April"/>
    <s v="Q4"/>
    <x v="0"/>
  </r>
  <r>
    <s v="SAU056 Principal Software Engineer (Ankit)"/>
    <x v="3"/>
    <x v="3"/>
    <s v="April"/>
    <n v="4523.5199999999968"/>
    <n v="28594.239999999991"/>
    <n v="10"/>
    <s v="April"/>
    <s v="Q4"/>
    <x v="0"/>
  </r>
  <r>
    <s v="SAU057 Principal Software Engineer (Asit)"/>
    <x v="3"/>
    <x v="3"/>
    <s v="April"/>
    <n v="4847.2799999999988"/>
    <n v="28594.239999999991"/>
    <n v="10"/>
    <s v="April"/>
    <s v="Q4"/>
    <x v="0"/>
  </r>
  <r>
    <s v="TAL001-02 Senior Enterprise Architect (Akshay)"/>
    <x v="3"/>
    <x v="3"/>
    <s v="April"/>
    <n v="0"/>
    <n v="28594.239999999991"/>
    <n v="10"/>
    <s v="April"/>
    <s v="Q4"/>
    <x v="0"/>
  </r>
  <r>
    <s v="SAU049-XX Functional Development Expert (Shefali)"/>
    <x v="4"/>
    <x v="3"/>
    <s v="April"/>
    <n v="1166.6666666666667"/>
    <n v="8375"/>
    <n v="10"/>
    <s v="April"/>
    <s v="Q4"/>
    <x v="0"/>
  </r>
  <r>
    <s v="SAU050-XX Senior Development Lead (Abdul)"/>
    <x v="4"/>
    <x v="3"/>
    <s v="April"/>
    <n v="2333.3333333333335"/>
    <n v="8375"/>
    <n v="10"/>
    <s v="April"/>
    <s v="Q4"/>
    <x v="0"/>
  </r>
  <r>
    <s v="SAU046-XX Delivery Manager (Alex)"/>
    <x v="4"/>
    <x v="3"/>
    <s v="April"/>
    <n v="4875"/>
    <n v="8375"/>
    <n v="10"/>
    <s v="April"/>
    <s v="Q4"/>
    <x v="0"/>
  </r>
  <r>
    <s v="VICXXX SRO BRE Licensing, Implementation and MSE - ID003 Decisively 202405"/>
    <x v="4"/>
    <x v="5"/>
    <s v="April"/>
    <n v="16000"/>
    <n v="123142.85714285714"/>
    <n v="10"/>
    <s v="April"/>
    <s v="Q4"/>
    <x v="0"/>
  </r>
  <r>
    <s v="DAFXXX DAF081 Digital resources for DBD - Extension"/>
    <x v="4"/>
    <x v="1"/>
    <s v="April"/>
    <n v="35363.636333333336"/>
    <n v="35363.636333333336"/>
    <n v="10"/>
    <s v="April"/>
    <s v="Q4"/>
    <x v="0"/>
  </r>
  <r>
    <s v="ISYXXX Vic SRO (FEB26-JUN26)"/>
    <x v="4"/>
    <x v="5"/>
    <s v="April"/>
    <n v="107142.85714285714"/>
    <n v="123142.85714285714"/>
    <n v="10"/>
    <s v="April"/>
    <s v="Q4"/>
    <x v="0"/>
  </r>
  <r>
    <s v="INFXXX RFQ TechOne - ERP Products, Implementation, Operational"/>
    <x v="4"/>
    <x v="0"/>
    <s v="April"/>
    <n v="146213.64705882352"/>
    <n v="146213.64705882352"/>
    <n v="10"/>
    <s v="April"/>
    <s v="Q4"/>
    <x v="0"/>
  </r>
  <r>
    <s v="DAFXXX STEPS Parallel Delivery Accelerator"/>
    <x v="4"/>
    <x v="1"/>
    <s v="April"/>
    <n v="0"/>
    <n v="35363.636333333336"/>
    <n v="10"/>
    <s v="April"/>
    <s v="Q4"/>
    <x v="0"/>
  </r>
  <r>
    <s v="AFPXXX EPI-USE Roadmap"/>
    <x v="0"/>
    <x v="0"/>
    <s v="August"/>
    <n v="2840"/>
    <n v="-22658.720000000005"/>
    <n v="2"/>
    <s v="August"/>
    <s v="Q1"/>
    <x v="1"/>
  </r>
  <r>
    <s v="BCG003-01 NDIA Transformation Business Case - T&amp;M"/>
    <x v="0"/>
    <x v="0"/>
    <s v="August"/>
    <n v="0"/>
    <n v="-22658.720000000005"/>
    <n v="2"/>
    <s v="August"/>
    <s v="Q1"/>
    <x v="1"/>
  </r>
  <r>
    <s v="DAF079-XX STEPS 1 Solution Designers"/>
    <x v="1"/>
    <x v="1"/>
    <s v="August"/>
    <n v="3779.2000000000007"/>
    <n v="28453.680000000008"/>
    <n v="2"/>
    <s v="August"/>
    <s v="Q1"/>
    <x v="1"/>
  </r>
  <r>
    <s v="DAFXXX Export Service User Request - POV - Servicenow"/>
    <x v="0"/>
    <x v="1"/>
    <s v="August"/>
    <n v="1330.6"/>
    <n v="4354.6000000000004"/>
    <n v="2"/>
    <s v="August"/>
    <s v="Q1"/>
    <x v="1"/>
  </r>
  <r>
    <s v="DAFXXX LH-04076 Senior Technical Analyst"/>
    <x v="0"/>
    <x v="1"/>
    <s v="August"/>
    <n v="0"/>
    <n v="4354.6000000000004"/>
    <n v="2"/>
    <s v="August"/>
    <s v="Q1"/>
    <x v="1"/>
  </r>
  <r>
    <s v="DAFXXX LH-04140 Delivery Manager"/>
    <x v="1"/>
    <x v="1"/>
    <s v="August"/>
    <n v="1326.7999999999995"/>
    <n v="28453.680000000008"/>
    <n v="2"/>
    <s v="August"/>
    <s v="Q1"/>
    <x v="1"/>
  </r>
  <r>
    <s v="DAFXXX multiple Senior Software Developer 202508"/>
    <x v="1"/>
    <x v="1"/>
    <s v="August"/>
    <n v="0"/>
    <n v="28453.680000000008"/>
    <n v="2"/>
    <s v="August"/>
    <s v="Q1"/>
    <x v="1"/>
  </r>
  <r>
    <s v="DAFXXX Senior Multiple roles BA 202508"/>
    <x v="1"/>
    <x v="1"/>
    <s v="August"/>
    <n v="0"/>
    <n v="28453.680000000008"/>
    <n v="2"/>
    <s v="August"/>
    <s v="Q1"/>
    <x v="1"/>
  </r>
  <r>
    <s v="DAFXXX ServiceNow Integrated Workspace for Export (TFTM) Services"/>
    <x v="0"/>
    <x v="1"/>
    <s v="August"/>
    <n v="0"/>
    <n v="4354.6000000000004"/>
    <n v="2"/>
    <s v="August"/>
    <s v="Q1"/>
    <x v="1"/>
  </r>
  <r>
    <s v="DFAXXX RFQ Super Salary Calculation Enhancement 202504"/>
    <x v="1"/>
    <x v="0"/>
    <s v="August"/>
    <n v="0"/>
    <n v="117332.40000000001"/>
    <n v="2"/>
    <s v="August"/>
    <s v="Q1"/>
    <x v="1"/>
  </r>
  <r>
    <s v="DOFXXX Applications Services"/>
    <x v="1"/>
    <x v="0"/>
    <s v="August"/>
    <n v="0"/>
    <n v="117332.40000000001"/>
    <n v="2"/>
    <s v="August"/>
    <s v="Q1"/>
    <x v="1"/>
  </r>
  <r>
    <s v="DTAXXX LH-03909 - Change Manager"/>
    <x v="1"/>
    <x v="0"/>
    <s v="August"/>
    <n v="2054.8000000000002"/>
    <n v="117332.40000000001"/>
    <n v="2"/>
    <s v="August"/>
    <s v="Q1"/>
    <x v="1"/>
  </r>
  <r>
    <s v="FWO001 Digital Transformation CPBC - PoC"/>
    <x v="0"/>
    <x v="2"/>
    <s v="August"/>
    <n v="0"/>
    <n v="0"/>
    <n v="2"/>
    <s v="August"/>
    <s v="Q1"/>
    <x v="1"/>
  </r>
  <r>
    <s v="FWO001 Digital Transformation CPBC - PoC Design"/>
    <x v="0"/>
    <x v="2"/>
    <s v="August"/>
    <n v="0"/>
    <n v="0"/>
    <n v="2"/>
    <s v="August"/>
    <s v="Q1"/>
    <x v="1"/>
  </r>
  <r>
    <s v="INDXXX RFQ Portfolio Management 202508"/>
    <x v="1"/>
    <x v="2"/>
    <s v="August"/>
    <n v="0"/>
    <n v="0"/>
    <n v="2"/>
    <s v="August"/>
    <s v="Q1"/>
    <x v="1"/>
  </r>
  <r>
    <s v="INDXXX RFQ Venture Capital Smartforms Transition to ServiceNow"/>
    <x v="0"/>
    <x v="2"/>
    <s v="August"/>
    <n v="0"/>
    <n v="0"/>
    <n v="2"/>
    <s v="August"/>
    <s v="Q1"/>
    <x v="1"/>
  </r>
  <r>
    <s v="INDXXX RFQ Work, Health and Safety 202507"/>
    <x v="1"/>
    <x v="2"/>
    <s v="August"/>
    <n v="0"/>
    <n v="0"/>
    <n v="2"/>
    <s v="August"/>
    <s v="Q1"/>
    <x v="1"/>
  </r>
  <r>
    <s v="LABXXX- RFQ PCS-02120 - Data Scientist Services"/>
    <x v="1"/>
    <x v="0"/>
    <s v="August"/>
    <n v="10960"/>
    <n v="117332.40000000001"/>
    <n v="2"/>
    <s v="August"/>
    <s v="Q1"/>
    <x v="1"/>
  </r>
  <r>
    <s v="PARXXX RFT RevenueSA Application Portfolio Review 202506"/>
    <x v="0"/>
    <x v="0"/>
    <s v="August"/>
    <n v="0"/>
    <n v="-22658.720000000005"/>
    <n v="2"/>
    <s v="August"/>
    <s v="Q1"/>
    <x v="1"/>
  </r>
  <r>
    <s v="PMCXXX - RFQ LH-03834 Change Managers"/>
    <x v="0"/>
    <x v="0"/>
    <s v="August"/>
    <n v="-5543.2000000000007"/>
    <n v="-22658.720000000005"/>
    <n v="2"/>
    <s v="August"/>
    <s v="Q1"/>
    <x v="1"/>
  </r>
  <r>
    <s v="QLDXXX Queensland Shared Services SAP Finance to S4 Hana Public Cloud"/>
    <x v="1"/>
    <x v="0"/>
    <s v="August"/>
    <n v="2560"/>
    <n v="117332.40000000001"/>
    <n v="2"/>
    <s v="August"/>
    <s v="Q1"/>
    <x v="1"/>
  </r>
  <r>
    <s v="SAUXXX Cyber -LH-03498 - Senior Cyber Uplift Project Manager"/>
    <x v="0"/>
    <x v="3"/>
    <s v="August"/>
    <n v="0"/>
    <n v="24690.879999999997"/>
    <n v="2"/>
    <s v="August"/>
    <s v="Q1"/>
    <x v="1"/>
  </r>
  <r>
    <s v="SAUXXX Cyber -LH-03543 - Manager Cyber Uplift Project Manager"/>
    <x v="0"/>
    <x v="3"/>
    <s v="August"/>
    <n v="0"/>
    <n v="24690.879999999997"/>
    <n v="2"/>
    <s v="August"/>
    <s v="Q1"/>
    <x v="1"/>
  </r>
  <r>
    <s v="SAUXXX Cyber -LH-03556 - Cyber Uplift Scrum Master"/>
    <x v="0"/>
    <x v="3"/>
    <s v="August"/>
    <n v="0"/>
    <n v="24690.879999999997"/>
    <n v="2"/>
    <s v="August"/>
    <s v="Q1"/>
    <x v="1"/>
  </r>
  <r>
    <s v="SAUXXX Cyber -LH-03562 - Senior Business Analyst"/>
    <x v="0"/>
    <x v="3"/>
    <s v="August"/>
    <n v="0"/>
    <n v="24690.879999999997"/>
    <n v="2"/>
    <s v="August"/>
    <s v="Q1"/>
    <x v="1"/>
  </r>
  <r>
    <s v="SAUXXX RFQ Identity Mgt System Integration 202506"/>
    <x v="1"/>
    <x v="3"/>
    <s v="August"/>
    <n v="49586.400000000001"/>
    <n v="153929.19999999998"/>
    <n v="2"/>
    <s v="August"/>
    <s v="Q1"/>
    <x v="1"/>
  </r>
  <r>
    <s v="SAUXXX RFQ Support end-to-end Investment Proposal and BC"/>
    <x v="1"/>
    <x v="3"/>
    <s v="August"/>
    <n v="0"/>
    <n v="153929.19999999998"/>
    <n v="2"/>
    <s v="August"/>
    <s v="Q1"/>
    <x v="1"/>
  </r>
  <r>
    <s v="SAUXXX RFQLH-02645 IT Infrastructure Engineer"/>
    <x v="1"/>
    <x v="3"/>
    <s v="August"/>
    <n v="6760"/>
    <n v="153929.19999999998"/>
    <n v="2"/>
    <s v="August"/>
    <s v="Q1"/>
    <x v="1"/>
  </r>
  <r>
    <s v="SAUXXX RFQLH-02946 1 Senior Software Engineer"/>
    <x v="1"/>
    <x v="3"/>
    <s v="August"/>
    <n v="4177.6000000000004"/>
    <n v="153929.19999999998"/>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m/>
    <x v="2"/>
    <x v="4"/>
    <s v="August"/>
    <n v="0"/>
    <n v="0"/>
    <n v="2"/>
    <s v="August"/>
    <s v="Q1"/>
    <x v="1"/>
  </r>
  <r>
    <s v="BCG003 NDIA Transformation Business Case"/>
    <x v="3"/>
    <x v="0"/>
    <s v="August"/>
    <n v="93347.200000000012"/>
    <n v="181417.05000000002"/>
    <n v="2"/>
    <s v="August"/>
    <s v="Q1"/>
    <x v="1"/>
  </r>
  <r>
    <s v="COS001-01 DOH IWOW Target Architecture"/>
    <x v="3"/>
    <x v="0"/>
    <s v="August"/>
    <n v="10223.030000000001"/>
    <n v="181417.05000000002"/>
    <n v="2"/>
    <s v="August"/>
    <s v="Q1"/>
    <x v="1"/>
  </r>
  <r>
    <s v="DAF079-01 Digital and Agile STEPS Program"/>
    <x v="3"/>
    <x v="1"/>
    <s v="August"/>
    <n v="54980.395000000033"/>
    <n v="148855.90500000006"/>
    <n v="2"/>
    <s v="August"/>
    <s v="Q1"/>
    <x v="1"/>
  </r>
  <r>
    <s v="DAF080-03 STEPS - Strategic Support"/>
    <x v="3"/>
    <x v="1"/>
    <s v="August"/>
    <n v="26096.5"/>
    <n v="148855.90500000006"/>
    <n v="2"/>
    <s v="August"/>
    <s v="Q1"/>
    <x v="1"/>
  </r>
  <r>
    <s v="DAF080-04 Industry API Accelerator"/>
    <x v="3"/>
    <x v="1"/>
    <s v="August"/>
    <n v="41909.180000000022"/>
    <n v="148855.90500000006"/>
    <n v="2"/>
    <s v="August"/>
    <s v="Q1"/>
    <x v="1"/>
  </r>
  <r>
    <s v="DAF080-XX STEPS - Head Contract"/>
    <x v="3"/>
    <x v="1"/>
    <s v="August"/>
    <n v="0"/>
    <n v="148855.90500000006"/>
    <n v="2"/>
    <s v="August"/>
    <s v="Q1"/>
    <x v="1"/>
  </r>
  <r>
    <s v="DAF081 Digital resources for DBD - Head Contract"/>
    <x v="3"/>
    <x v="1"/>
    <s v="August"/>
    <n v="0"/>
    <n v="148855.90500000006"/>
    <n v="2"/>
    <s v="August"/>
    <s v="Q1"/>
    <x v="1"/>
  </r>
  <r>
    <s v="DAF081-05 DBD Business Analyst (Kev)"/>
    <x v="3"/>
    <x v="1"/>
    <s v="August"/>
    <n v="6501.5499999999993"/>
    <n v="148855.90500000006"/>
    <n v="2"/>
    <s v="August"/>
    <s v="Q1"/>
    <x v="1"/>
  </r>
  <r>
    <s v="DAF081-06 DBD Test Analyst (Vinnie)"/>
    <x v="3"/>
    <x v="1"/>
    <s v="August"/>
    <n v="2220.5200000000004"/>
    <n v="148855.90500000006"/>
    <n v="2"/>
    <s v="August"/>
    <s v="Q1"/>
    <x v="1"/>
  </r>
  <r>
    <s v="DAF081-07 DBD System Analyst (Amit)"/>
    <x v="3"/>
    <x v="1"/>
    <s v="August"/>
    <n v="7418.880000000001"/>
    <n v="148855.90500000006"/>
    <n v="2"/>
    <s v="August"/>
    <s v="Q1"/>
    <x v="1"/>
  </r>
  <r>
    <s v="DAF081-08 DBD Business Analyst (Raheem)"/>
    <x v="3"/>
    <x v="1"/>
    <s v="August"/>
    <n v="6032.8799999999974"/>
    <n v="148855.90500000006"/>
    <n v="2"/>
    <s v="August"/>
    <s v="Q1"/>
    <x v="1"/>
  </r>
  <r>
    <s v="DAF081-09 Technical Lead (Phani)"/>
    <x v="3"/>
    <x v="1"/>
    <s v="August"/>
    <n v="3696"/>
    <n v="148855.90500000006"/>
    <n v="2"/>
    <s v="August"/>
    <s v="Q1"/>
    <x v="1"/>
  </r>
  <r>
    <s v="DCC001-05 SAP Tech Specialist (Husain)"/>
    <x v="3"/>
    <x v="0"/>
    <s v="August"/>
    <n v="4640"/>
    <n v="181417.05000000002"/>
    <n v="2"/>
    <s v="August"/>
    <s v="Q1"/>
    <x v="1"/>
  </r>
  <r>
    <s v="DHA002-01 Senior Pega System Developer (Giribabu)"/>
    <x v="3"/>
    <x v="0"/>
    <s v="August"/>
    <n v="1932"/>
    <n v="181417.05000000002"/>
    <n v="2"/>
    <s v="August"/>
    <s v="Q1"/>
    <x v="1"/>
  </r>
  <r>
    <s v="FWO001 Digital Transformation CPBC"/>
    <x v="3"/>
    <x v="0"/>
    <s v="August"/>
    <n v="46342.8"/>
    <n v="181417.05000000002"/>
    <n v="2"/>
    <s v="August"/>
    <s v="Q1"/>
    <x v="1"/>
  </r>
  <r>
    <s v="IND002 AI Integration in ServiceNow"/>
    <x v="3"/>
    <x v="0"/>
    <s v="August"/>
    <n v="5700"/>
    <n v="181417.05000000002"/>
    <n v="2"/>
    <s v="August"/>
    <s v="Q1"/>
    <x v="1"/>
  </r>
  <r>
    <s v="ISY009-01 Vic SRO T3 (Pre-project)"/>
    <x v="3"/>
    <x v="5"/>
    <s v="August"/>
    <n v="0"/>
    <n v="96106.676500000103"/>
    <n v="2"/>
    <s v="August"/>
    <s v="Q1"/>
    <x v="1"/>
  </r>
  <r>
    <s v="ISY010 Vic SRO T3"/>
    <x v="3"/>
    <x v="5"/>
    <s v="August"/>
    <n v="96106.676500000103"/>
    <n v="96106.676500000103"/>
    <n v="2"/>
    <s v="August"/>
    <s v="Q1"/>
    <x v="1"/>
  </r>
  <r>
    <s v="NQS005-02 DART Recalibration"/>
    <x v="3"/>
    <x v="0"/>
    <s v="August"/>
    <n v="0"/>
    <n v="181417.05000000002"/>
    <n v="2"/>
    <s v="August"/>
    <s v="Q1"/>
    <x v="1"/>
  </r>
  <r>
    <s v="NQS005-03 DART Benefits Review and Preparation"/>
    <x v="3"/>
    <x v="0"/>
    <s v="August"/>
    <n v="17484.019999999997"/>
    <n v="181417.05000000002"/>
    <n v="2"/>
    <s v="August"/>
    <s v="Q1"/>
    <x v="1"/>
  </r>
  <r>
    <s v="SAU043-03 Cyber Security (Ben)"/>
    <x v="3"/>
    <x v="3"/>
    <s v="August"/>
    <n v="1840"/>
    <n v="70484.479999999981"/>
    <n v="2"/>
    <s v="August"/>
    <s v="Q1"/>
    <x v="1"/>
  </r>
  <r>
    <s v="SAU044-03 Senior Development Expert (Nadh)"/>
    <x v="3"/>
    <x v="3"/>
    <s v="August"/>
    <n v="6384"/>
    <n v="70484.479999999981"/>
    <n v="2"/>
    <s v="August"/>
    <s v="Q1"/>
    <x v="1"/>
  </r>
  <r>
    <s v="SAU045-02 Senior Technology Architect (Sidd)"/>
    <x v="3"/>
    <x v="3"/>
    <s v="August"/>
    <n v="6240"/>
    <n v="70484.479999999981"/>
    <n v="2"/>
    <s v="August"/>
    <s v="Q1"/>
    <x v="1"/>
  </r>
  <r>
    <s v="SAU046-02 Delivery Manager (Alex)"/>
    <x v="3"/>
    <x v="3"/>
    <s v="August"/>
    <n v="3064"/>
    <n v="70484.479999999981"/>
    <n v="2"/>
    <s v="August"/>
    <s v="Q1"/>
    <x v="1"/>
  </r>
  <r>
    <s v="SAU048-01 System Analyst (Meenal)"/>
    <x v="3"/>
    <x v="3"/>
    <s v="August"/>
    <n v="1197.8400000000038"/>
    <n v="70484.479999999981"/>
    <n v="2"/>
    <s v="August"/>
    <s v="Q1"/>
    <x v="1"/>
  </r>
  <r>
    <s v="SAU048-02 System Analyst (Meenal)"/>
    <x v="3"/>
    <x v="3"/>
    <s v="August"/>
    <n v="0"/>
    <n v="70484.479999999981"/>
    <n v="2"/>
    <s v="August"/>
    <s v="Q1"/>
    <x v="1"/>
  </r>
  <r>
    <s v="SAU049-01 Functional Development Expert (Shefali)"/>
    <x v="3"/>
    <x v="3"/>
    <s v="August"/>
    <n v="1218"/>
    <n v="70484.479999999981"/>
    <n v="2"/>
    <s v="August"/>
    <s v="Q1"/>
    <x v="1"/>
  </r>
  <r>
    <s v="SAU050-01 Senior Development Lead (Abdul)"/>
    <x v="3"/>
    <x v="3"/>
    <s v="August"/>
    <n v="1040"/>
    <n v="70484.479999999981"/>
    <n v="2"/>
    <s v="August"/>
    <s v="Q1"/>
    <x v="1"/>
  </r>
  <r>
    <s v="SAU052 Senior Solution Architect (Aniket)"/>
    <x v="3"/>
    <x v="3"/>
    <s v="August"/>
    <n v="2030.3999999999976"/>
    <n v="70484.479999999981"/>
    <n v="2"/>
    <s v="August"/>
    <s v="Q1"/>
    <x v="1"/>
  </r>
  <r>
    <s v="SAU053 Principal Software Engineer (Sheelesh)"/>
    <x v="3"/>
    <x v="3"/>
    <s v="August"/>
    <n v="2600"/>
    <n v="70484.479999999981"/>
    <n v="2"/>
    <s v="August"/>
    <s v="Q1"/>
    <x v="1"/>
  </r>
  <r>
    <s v="SAU054 Principal Software Engineer (Tejas)"/>
    <x v="3"/>
    <x v="3"/>
    <s v="August"/>
    <n v="4590.7199999999939"/>
    <n v="70484.479999999981"/>
    <n v="2"/>
    <s v="August"/>
    <s v="Q1"/>
    <x v="1"/>
  </r>
  <r>
    <s v="SAU055 Principal Software Engineer (Karan)"/>
    <x v="3"/>
    <x v="3"/>
    <s v="August"/>
    <n v="2813.3599999999969"/>
    <n v="70484.479999999981"/>
    <n v="2"/>
    <s v="August"/>
    <s v="Q1"/>
    <x v="1"/>
  </r>
  <r>
    <s v="SAU056 Principal Software Engineer (Ankit)"/>
    <x v="3"/>
    <x v="3"/>
    <s v="August"/>
    <n v="2380.7999999999993"/>
    <n v="70484.479999999981"/>
    <n v="2"/>
    <s v="August"/>
    <s v="Q1"/>
    <x v="1"/>
  </r>
  <r>
    <s v="SAU057 Principal Software Engineer (Asit)"/>
    <x v="3"/>
    <x v="3"/>
    <s v="August"/>
    <n v="5357.5200000000077"/>
    <n v="70484.479999999981"/>
    <n v="2"/>
    <s v="August"/>
    <s v="Q1"/>
    <x v="1"/>
  </r>
  <r>
    <s v="TAL001-02 Senior Enterprise Architect (Akshay)"/>
    <x v="3"/>
    <x v="3"/>
    <s v="August"/>
    <n v="1133.5999999999983"/>
    <n v="70484.479999999981"/>
    <n v="2"/>
    <s v="August"/>
    <s v="Q1"/>
    <x v="1"/>
  </r>
  <r>
    <s v="SAU049-XX Functional Development Expert (Shefali)"/>
    <x v="4"/>
    <x v="3"/>
    <s v="August"/>
    <n v="0"/>
    <n v="8375"/>
    <n v="2"/>
    <s v="August"/>
    <s v="Q1"/>
    <x v="1"/>
  </r>
  <r>
    <s v="SAU050-XX Senior Development Lead (Abdul)"/>
    <x v="4"/>
    <x v="3"/>
    <s v="August"/>
    <n v="0"/>
    <n v="8375"/>
    <n v="2"/>
    <s v="August"/>
    <s v="Q1"/>
    <x v="1"/>
  </r>
  <r>
    <s v="SAU046-XX Delivery Manager (Alex)"/>
    <x v="4"/>
    <x v="3"/>
    <s v="August"/>
    <n v="0"/>
    <n v="8375"/>
    <n v="2"/>
    <s v="August"/>
    <s v="Q1"/>
    <x v="1"/>
  </r>
  <r>
    <s v="VICXXX SRO BRE Licensing, Implementation and MSE - ID003 Decisively 202405"/>
    <x v="4"/>
    <x v="5"/>
    <s v="August"/>
    <n v="0"/>
    <n v="123142.85714285714"/>
    <n v="2"/>
    <s v="August"/>
    <s v="Q1"/>
    <x v="1"/>
  </r>
  <r>
    <s v="DAFXXX DAF081 Digital resources for DBD - Extension"/>
    <x v="4"/>
    <x v="1"/>
    <s v="August"/>
    <n v="0"/>
    <n v="35363.636333333336"/>
    <n v="2"/>
    <s v="August"/>
    <s v="Q1"/>
    <x v="1"/>
  </r>
  <r>
    <s v="ISYXXX Vic SRO (FEB26-JUN26)"/>
    <x v="4"/>
    <x v="5"/>
    <s v="August"/>
    <n v="0"/>
    <n v="123142.85714285714"/>
    <n v="2"/>
    <s v="August"/>
    <s v="Q1"/>
    <x v="1"/>
  </r>
  <r>
    <s v="INFXXX RFQ TechOne - ERP Products, Implementation, Operational"/>
    <x v="4"/>
    <x v="0"/>
    <s v="August"/>
    <n v="0"/>
    <n v="146213.64705882352"/>
    <n v="2"/>
    <s v="August"/>
    <s v="Q1"/>
    <x v="1"/>
  </r>
  <r>
    <s v="DAFXXX STEPS Parallel Delivery Accelerator"/>
    <x v="4"/>
    <x v="1"/>
    <s v="August"/>
    <n v="0"/>
    <n v="35363.636333333336"/>
    <n v="2"/>
    <s v="August"/>
    <s v="Q1"/>
    <x v="1"/>
  </r>
  <r>
    <s v="AFPXXX EPI-USE Roadmap"/>
    <x v="0"/>
    <x v="0"/>
    <s v="December"/>
    <n v="0"/>
    <n v="102632.48000000001"/>
    <n v="6"/>
    <s v="December"/>
    <s v="Q2"/>
    <x v="2"/>
  </r>
  <r>
    <s v="BCG003-01 NDIA Transformation Business Case - T&amp;M"/>
    <x v="0"/>
    <x v="0"/>
    <s v="December"/>
    <n v="48282"/>
    <n v="102632.48000000001"/>
    <n v="6"/>
    <s v="December"/>
    <s v="Q2"/>
    <x v="2"/>
  </r>
  <r>
    <s v="DAF079-XX STEPS 1 Solution Designers"/>
    <x v="1"/>
    <x v="1"/>
    <s v="December"/>
    <n v="0"/>
    <n v="55648.080000000016"/>
    <n v="6"/>
    <s v="December"/>
    <s v="Q2"/>
    <x v="2"/>
  </r>
  <r>
    <s v="DAFXXX Export Service User Request - POV - Servicenow"/>
    <x v="0"/>
    <x v="1"/>
    <s v="December"/>
    <n v="0"/>
    <n v="6874.6"/>
    <n v="6"/>
    <s v="December"/>
    <s v="Q2"/>
    <x v="2"/>
  </r>
  <r>
    <s v="DAFXXX LH-04076 Senior Technical Analyst"/>
    <x v="0"/>
    <x v="1"/>
    <s v="December"/>
    <n v="2520"/>
    <n v="6874.6"/>
    <n v="6"/>
    <s v="December"/>
    <s v="Q2"/>
    <x v="2"/>
  </r>
  <r>
    <s v="DAFXXX LH-04140 Delivery Manager"/>
    <x v="1"/>
    <x v="1"/>
    <s v="December"/>
    <n v="3980.3999999999983"/>
    <n v="55648.080000000016"/>
    <n v="6"/>
    <s v="December"/>
    <s v="Q2"/>
    <x v="2"/>
  </r>
  <r>
    <s v="DAFXXX multiple Senior Software Developer 202508"/>
    <x v="1"/>
    <x v="1"/>
    <s v="December"/>
    <n v="12134.000000000007"/>
    <n v="55648.080000000016"/>
    <n v="6"/>
    <s v="December"/>
    <s v="Q2"/>
    <x v="2"/>
  </r>
  <r>
    <s v="DAFXXX Senior Multiple roles BA 202508"/>
    <x v="1"/>
    <x v="1"/>
    <s v="December"/>
    <n v="11080.000000000004"/>
    <n v="55648.080000000016"/>
    <n v="6"/>
    <s v="December"/>
    <s v="Q2"/>
    <x v="2"/>
  </r>
  <r>
    <s v="DAFXXX ServiceNow Integrated Workspace for Export (TFTM) Services"/>
    <x v="0"/>
    <x v="1"/>
    <s v="December"/>
    <n v="0"/>
    <n v="6874.6"/>
    <n v="6"/>
    <s v="December"/>
    <s v="Q2"/>
    <x v="2"/>
  </r>
  <r>
    <s v="DFAXXX RFQ Super Salary Calculation Enhancement 202504"/>
    <x v="1"/>
    <x v="0"/>
    <s v="December"/>
    <n v="0"/>
    <n v="283896"/>
    <n v="6"/>
    <s v="December"/>
    <s v="Q2"/>
    <x v="2"/>
  </r>
  <r>
    <s v="DOFXXX Applications Services"/>
    <x v="1"/>
    <x v="0"/>
    <s v="December"/>
    <n v="119839.19999999998"/>
    <n v="283896"/>
    <n v="6"/>
    <s v="December"/>
    <s v="Q2"/>
    <x v="2"/>
  </r>
  <r>
    <s v="DTAXXX LH-03909 - Change Manager"/>
    <x v="1"/>
    <x v="0"/>
    <s v="December"/>
    <n v="6164.4000000000005"/>
    <n v="283896"/>
    <n v="6"/>
    <s v="December"/>
    <s v="Q2"/>
    <x v="2"/>
  </r>
  <r>
    <s v="FWO001 Digital Transformation CPBC - PoC"/>
    <x v="0"/>
    <x v="2"/>
    <s v="December"/>
    <n v="0"/>
    <n v="18953"/>
    <n v="6"/>
    <s v="December"/>
    <s v="Q2"/>
    <x v="2"/>
  </r>
  <r>
    <s v="FWO001 Digital Transformation CPBC - PoC Design"/>
    <x v="0"/>
    <x v="2"/>
    <s v="December"/>
    <n v="0"/>
    <n v="18953"/>
    <n v="6"/>
    <s v="December"/>
    <s v="Q2"/>
    <x v="2"/>
  </r>
  <r>
    <s v="INDXXX RFQ Portfolio Management 202508"/>
    <x v="1"/>
    <x v="2"/>
    <s v="December"/>
    <n v="32109.000000000004"/>
    <n v="101213.856"/>
    <n v="6"/>
    <s v="December"/>
    <s v="Q2"/>
    <x v="2"/>
  </r>
  <r>
    <s v="INDXXX RFQ Venture Capital Smartforms Transition to ServiceNow"/>
    <x v="0"/>
    <x v="2"/>
    <s v="December"/>
    <n v="18953"/>
    <n v="18953"/>
    <n v="6"/>
    <s v="December"/>
    <s v="Q2"/>
    <x v="2"/>
  </r>
  <r>
    <s v="INDXXX RFQ Work, Health and Safety 202507"/>
    <x v="1"/>
    <x v="2"/>
    <s v="December"/>
    <n v="69104.856"/>
    <n v="101213.856"/>
    <n v="6"/>
    <s v="December"/>
    <s v="Q2"/>
    <x v="2"/>
  </r>
  <r>
    <s v="LABXXX- RFQ PCS-02120 - Data Scientist Services"/>
    <x v="1"/>
    <x v="0"/>
    <s v="December"/>
    <n v="32880"/>
    <n v="283896"/>
    <n v="6"/>
    <s v="December"/>
    <s v="Q2"/>
    <x v="2"/>
  </r>
  <r>
    <s v="PARXXX RFT RevenueSA Application Portfolio Review 202506"/>
    <x v="0"/>
    <x v="0"/>
    <s v="December"/>
    <n v="93638.800000000017"/>
    <n v="102632.48000000001"/>
    <n v="6"/>
    <s v="December"/>
    <s v="Q2"/>
    <x v="2"/>
  </r>
  <r>
    <s v="PMCXXX - RFQ LH-03834 Change Managers"/>
    <x v="0"/>
    <x v="0"/>
    <s v="December"/>
    <n v="-16629.599999999999"/>
    <n v="102632.48000000001"/>
    <n v="6"/>
    <s v="December"/>
    <s v="Q2"/>
    <x v="2"/>
  </r>
  <r>
    <s v="QLDXXX Queensland Shared Services SAP Finance to S4 Hana Public Cloud"/>
    <x v="1"/>
    <x v="0"/>
    <s v="December"/>
    <n v="7680"/>
    <n v="283896"/>
    <n v="6"/>
    <s v="December"/>
    <s v="Q2"/>
    <x v="2"/>
  </r>
  <r>
    <s v="SAUXXX Cyber -LH-03498 - Senior Cyber Uplift Project Manager"/>
    <x v="0"/>
    <x v="3"/>
    <s v="December"/>
    <n v="6108.0000000000009"/>
    <n v="30798.879999999997"/>
    <n v="6"/>
    <s v="December"/>
    <s v="Q2"/>
    <x v="2"/>
  </r>
  <r>
    <s v="SAUXXX Cyber -LH-03543 - Manager Cyber Uplift Project Manager"/>
    <x v="0"/>
    <x v="3"/>
    <s v="December"/>
    <n v="0"/>
    <n v="30798.879999999997"/>
    <n v="6"/>
    <s v="December"/>
    <s v="Q2"/>
    <x v="2"/>
  </r>
  <r>
    <s v="SAUXXX Cyber -LH-03556 - Cyber Uplift Scrum Master"/>
    <x v="0"/>
    <x v="3"/>
    <s v="December"/>
    <n v="0"/>
    <n v="30798.879999999997"/>
    <n v="6"/>
    <s v="December"/>
    <s v="Q2"/>
    <x v="2"/>
  </r>
  <r>
    <s v="SAUXXX Cyber -LH-03562 - Senior Business Analyst"/>
    <x v="0"/>
    <x v="3"/>
    <s v="December"/>
    <n v="0"/>
    <n v="30798.879999999997"/>
    <n v="6"/>
    <s v="December"/>
    <s v="Q2"/>
    <x v="2"/>
  </r>
  <r>
    <s v="SAUXXX RFQ Identity Mgt System Integration 202506"/>
    <x v="1"/>
    <x v="3"/>
    <s v="December"/>
    <n v="141485.99999999997"/>
    <n v="331971.59999999998"/>
    <n v="6"/>
    <s v="December"/>
    <s v="Q2"/>
    <x v="2"/>
  </r>
  <r>
    <s v="SAUXXX RFQ Support end-to-end Investment Proposal and BC"/>
    <x v="1"/>
    <x v="3"/>
    <s v="December"/>
    <n v="20150"/>
    <n v="331971.59999999998"/>
    <n v="6"/>
    <s v="December"/>
    <s v="Q2"/>
    <x v="2"/>
  </r>
  <r>
    <s v="SAUXXX RFQLH-02645 IT Infrastructure Engineer"/>
    <x v="1"/>
    <x v="3"/>
    <s v="December"/>
    <n v="10140"/>
    <n v="331971.59999999998"/>
    <n v="6"/>
    <s v="December"/>
    <s v="Q2"/>
    <x v="2"/>
  </r>
  <r>
    <s v="SAUXXX RFQLH-02946 1 Senior Software Engineer"/>
    <x v="1"/>
    <x v="3"/>
    <s v="December"/>
    <n v="6266.4000000000005"/>
    <n v="331971.59999999998"/>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m/>
    <x v="2"/>
    <x v="4"/>
    <s v="December"/>
    <n v="0"/>
    <n v="0"/>
    <n v="6"/>
    <s v="December"/>
    <s v="Q2"/>
    <x v="2"/>
  </r>
  <r>
    <s v="BCG003 NDIA Transformation Business Case"/>
    <x v="3"/>
    <x v="0"/>
    <s v="December"/>
    <n v="0"/>
    <n v="350551.61"/>
    <n v="6"/>
    <s v="December"/>
    <s v="Q2"/>
    <x v="2"/>
  </r>
  <r>
    <s v="COS001-01 DOH IWOW Target Architecture"/>
    <x v="3"/>
    <x v="0"/>
    <s v="December"/>
    <n v="0"/>
    <n v="350551.61"/>
    <n v="6"/>
    <s v="December"/>
    <s v="Q2"/>
    <x v="2"/>
  </r>
  <r>
    <s v="DAF079-01 Digital and Agile STEPS Program"/>
    <x v="3"/>
    <x v="1"/>
    <s v="December"/>
    <n v="0"/>
    <n v="164670.70500000007"/>
    <n v="6"/>
    <s v="December"/>
    <s v="Q2"/>
    <x v="2"/>
  </r>
  <r>
    <s v="DAF080-03 STEPS - Strategic Support"/>
    <x v="3"/>
    <x v="1"/>
    <s v="December"/>
    <n v="0"/>
    <n v="164670.70500000007"/>
    <n v="6"/>
    <s v="December"/>
    <s v="Q2"/>
    <x v="2"/>
  </r>
  <r>
    <s v="DAF080-04 Industry API Accelerator"/>
    <x v="3"/>
    <x v="1"/>
    <s v="December"/>
    <n v="0"/>
    <n v="164670.70500000007"/>
    <n v="6"/>
    <s v="December"/>
    <s v="Q2"/>
    <x v="2"/>
  </r>
  <r>
    <s v="DAF080-XX STEPS - Head Contract"/>
    <x v="3"/>
    <x v="1"/>
    <s v="December"/>
    <n v="0"/>
    <n v="164670.70500000007"/>
    <n v="6"/>
    <s v="December"/>
    <s v="Q2"/>
    <x v="2"/>
  </r>
  <r>
    <s v="DAF081 Digital resources for DBD - Head Contract"/>
    <x v="3"/>
    <x v="1"/>
    <s v="December"/>
    <n v="0"/>
    <n v="164670.70500000007"/>
    <n v="6"/>
    <s v="December"/>
    <s v="Q2"/>
    <x v="2"/>
  </r>
  <r>
    <s v="DAF081-05 DBD Business Analyst (Kev)"/>
    <x v="3"/>
    <x v="1"/>
    <s v="December"/>
    <n v="4657.1999999999971"/>
    <n v="164670.70500000007"/>
    <n v="6"/>
    <s v="December"/>
    <s v="Q2"/>
    <x v="2"/>
  </r>
  <r>
    <s v="DAF081-06 DBD Test Analyst (Vinnie)"/>
    <x v="3"/>
    <x v="1"/>
    <s v="December"/>
    <n v="1549.1999999999971"/>
    <n v="164670.70500000007"/>
    <n v="6"/>
    <s v="December"/>
    <s v="Q2"/>
    <x v="2"/>
  </r>
  <r>
    <s v="DAF081-07 DBD System Analyst (Amit)"/>
    <x v="3"/>
    <x v="1"/>
    <s v="December"/>
    <n v="5299.1999999999971"/>
    <n v="164670.70500000007"/>
    <n v="6"/>
    <s v="December"/>
    <s v="Q2"/>
    <x v="2"/>
  </r>
  <r>
    <s v="DAF081-08 DBD Business Analyst (Raheem)"/>
    <x v="3"/>
    <x v="1"/>
    <s v="December"/>
    <n v="4309.1999999999989"/>
    <n v="164670.70500000007"/>
    <n v="6"/>
    <s v="December"/>
    <s v="Q2"/>
    <x v="2"/>
  </r>
  <r>
    <s v="DAF081-09 Technical Lead (Phani)"/>
    <x v="3"/>
    <x v="1"/>
    <s v="December"/>
    <n v="0"/>
    <n v="164670.70500000007"/>
    <n v="6"/>
    <s v="December"/>
    <s v="Q2"/>
    <x v="2"/>
  </r>
  <r>
    <s v="DCC001-05 SAP Tech Specialist (Husain)"/>
    <x v="3"/>
    <x v="0"/>
    <s v="December"/>
    <n v="6960"/>
    <n v="350551.61"/>
    <n v="6"/>
    <s v="December"/>
    <s v="Q2"/>
    <x v="2"/>
  </r>
  <r>
    <s v="DHA002-01 Senior Pega System Developer (Giribabu)"/>
    <x v="3"/>
    <x v="0"/>
    <s v="December"/>
    <n v="920"/>
    <n v="350551.61"/>
    <n v="6"/>
    <s v="December"/>
    <s v="Q2"/>
    <x v="2"/>
  </r>
  <r>
    <s v="FWO001 Digital Transformation CPBC"/>
    <x v="3"/>
    <x v="0"/>
    <s v="December"/>
    <n v="161254.56"/>
    <n v="350551.61"/>
    <n v="6"/>
    <s v="December"/>
    <s v="Q2"/>
    <x v="2"/>
  </r>
  <r>
    <s v="IND002 AI Integration in ServiceNow"/>
    <x v="3"/>
    <x v="0"/>
    <s v="December"/>
    <n v="0"/>
    <n v="350551.61"/>
    <n v="6"/>
    <s v="December"/>
    <s v="Q2"/>
    <x v="2"/>
  </r>
  <r>
    <s v="ISY009-01 Vic SRO T3 (Pre-project)"/>
    <x v="3"/>
    <x v="5"/>
    <s v="December"/>
    <n v="0"/>
    <n v="238181.50600000017"/>
    <n v="6"/>
    <s v="December"/>
    <s v="Q2"/>
    <x v="2"/>
  </r>
  <r>
    <s v="ISY010 Vic SRO T3"/>
    <x v="3"/>
    <x v="5"/>
    <s v="December"/>
    <n v="142074.82950000005"/>
    <n v="238181.50600000017"/>
    <n v="6"/>
    <s v="December"/>
    <s v="Q2"/>
    <x v="2"/>
  </r>
  <r>
    <s v="NQS005-02 DART Recalibration"/>
    <x v="3"/>
    <x v="0"/>
    <s v="December"/>
    <n v="0"/>
    <n v="350551.61"/>
    <n v="6"/>
    <s v="December"/>
    <s v="Q2"/>
    <x v="2"/>
  </r>
  <r>
    <s v="NQS005-03 DART Benefits Review and Preparation"/>
    <x v="3"/>
    <x v="0"/>
    <s v="December"/>
    <n v="0"/>
    <n v="350551.61"/>
    <n v="6"/>
    <s v="December"/>
    <s v="Q2"/>
    <x v="2"/>
  </r>
  <r>
    <s v="SAU043-03 Cyber Security (Ben)"/>
    <x v="3"/>
    <x v="3"/>
    <s v="December"/>
    <n v="2760"/>
    <n v="106894.87999999996"/>
    <n v="6"/>
    <s v="December"/>
    <s v="Q2"/>
    <x v="2"/>
  </r>
  <r>
    <s v="SAU044-03 Senior Development Expert (Nadh)"/>
    <x v="3"/>
    <x v="3"/>
    <s v="December"/>
    <n v="4560"/>
    <n v="106894.87999999996"/>
    <n v="6"/>
    <s v="December"/>
    <s v="Q2"/>
    <x v="2"/>
  </r>
  <r>
    <s v="SAU045-02 Senior Technology Architect (Sidd)"/>
    <x v="3"/>
    <x v="3"/>
    <s v="December"/>
    <n v="4680"/>
    <n v="106894.87999999996"/>
    <n v="6"/>
    <s v="December"/>
    <s v="Q2"/>
    <x v="2"/>
  </r>
  <r>
    <s v="SAU046-02 Delivery Manager (Alex)"/>
    <x v="3"/>
    <x v="3"/>
    <s v="December"/>
    <n v="4596"/>
    <n v="106894.87999999996"/>
    <n v="6"/>
    <s v="December"/>
    <s v="Q2"/>
    <x v="2"/>
  </r>
  <r>
    <s v="SAU048-01 System Analyst (Meenal)"/>
    <x v="3"/>
    <x v="3"/>
    <s v="December"/>
    <n v="0"/>
    <n v="106894.87999999996"/>
    <n v="6"/>
    <s v="December"/>
    <s v="Q2"/>
    <x v="2"/>
  </r>
  <r>
    <s v="SAU048-02 System Analyst (Meenal)"/>
    <x v="3"/>
    <x v="3"/>
    <s v="December"/>
    <n v="854.40000000000146"/>
    <n v="106894.87999999996"/>
    <n v="6"/>
    <s v="December"/>
    <s v="Q2"/>
    <x v="2"/>
  </r>
  <r>
    <s v="SAU049-01 Functional Development Expert (Shefali)"/>
    <x v="3"/>
    <x v="3"/>
    <s v="December"/>
    <n v="0"/>
    <n v="106894.87999999996"/>
    <n v="6"/>
    <s v="December"/>
    <s v="Q2"/>
    <x v="2"/>
  </r>
  <r>
    <s v="SAU050-01 Senior Development Lead (Abdul)"/>
    <x v="3"/>
    <x v="3"/>
    <s v="December"/>
    <n v="0"/>
    <n v="106894.87999999996"/>
    <n v="6"/>
    <s v="December"/>
    <s v="Q2"/>
    <x v="2"/>
  </r>
  <r>
    <s v="SAU052 Senior Solution Architect (Aniket)"/>
    <x v="3"/>
    <x v="3"/>
    <s v="December"/>
    <n v="0"/>
    <n v="106894.87999999996"/>
    <n v="6"/>
    <s v="December"/>
    <s v="Q2"/>
    <x v="2"/>
  </r>
  <r>
    <s v="SAU053 Principal Software Engineer (Sheelesh)"/>
    <x v="3"/>
    <x v="3"/>
    <s v="December"/>
    <n v="3900"/>
    <n v="106894.87999999996"/>
    <n v="6"/>
    <s v="December"/>
    <s v="Q2"/>
    <x v="2"/>
  </r>
  <r>
    <s v="SAU054 Principal Software Engineer (Tejas)"/>
    <x v="3"/>
    <x v="3"/>
    <s v="December"/>
    <n v="3825.5999999999954"/>
    <n v="106894.87999999996"/>
    <n v="6"/>
    <s v="December"/>
    <s v="Q2"/>
    <x v="2"/>
  </r>
  <r>
    <s v="SAU055 Principal Software Engineer (Karan)"/>
    <x v="3"/>
    <x v="3"/>
    <s v="December"/>
    <n v="3836.3999999999942"/>
    <n v="106894.87999999996"/>
    <n v="6"/>
    <s v="December"/>
    <s v="Q2"/>
    <x v="2"/>
  </r>
  <r>
    <s v="SAU056 Principal Software Engineer (Ankit)"/>
    <x v="3"/>
    <x v="3"/>
    <s v="December"/>
    <n v="3571.1999999999971"/>
    <n v="106894.87999999996"/>
    <n v="6"/>
    <s v="December"/>
    <s v="Q2"/>
    <x v="2"/>
  </r>
  <r>
    <s v="SAU057 Principal Software Engineer (Asit)"/>
    <x v="3"/>
    <x v="3"/>
    <s v="December"/>
    <n v="3826.7999999999993"/>
    <n v="106894.87999999996"/>
    <n v="6"/>
    <s v="December"/>
    <s v="Q2"/>
    <x v="2"/>
  </r>
  <r>
    <s v="TAL001-02 Senior Enterprise Architect (Akshay)"/>
    <x v="3"/>
    <x v="3"/>
    <s v="December"/>
    <n v="0"/>
    <n v="106894.87999999996"/>
    <n v="6"/>
    <s v="December"/>
    <s v="Q2"/>
    <x v="2"/>
  </r>
  <r>
    <s v="SAU049-XX Functional Development Expert (Shefali)"/>
    <x v="4"/>
    <x v="3"/>
    <s v="December"/>
    <n v="1166.6666666666667"/>
    <n v="11875"/>
    <n v="6"/>
    <s v="December"/>
    <s v="Q2"/>
    <x v="2"/>
  </r>
  <r>
    <s v="SAU050-XX Senior Development Lead (Abdul)"/>
    <x v="4"/>
    <x v="3"/>
    <s v="December"/>
    <n v="2333.3333333333335"/>
    <n v="11875"/>
    <n v="6"/>
    <s v="December"/>
    <s v="Q2"/>
    <x v="2"/>
  </r>
  <r>
    <s v="SAU046-XX Delivery Manager (Alex)"/>
    <x v="4"/>
    <x v="3"/>
    <s v="December"/>
    <n v="0"/>
    <n v="11875"/>
    <n v="6"/>
    <s v="December"/>
    <s v="Q2"/>
    <x v="2"/>
  </r>
  <r>
    <s v="VICXXX SRO BRE Licensing, Implementation and MSE - ID003 Decisively 202405"/>
    <x v="4"/>
    <x v="5"/>
    <s v="December"/>
    <n v="16000"/>
    <n v="246285.71428571432"/>
    <n v="6"/>
    <s v="December"/>
    <s v="Q2"/>
    <x v="2"/>
  </r>
  <r>
    <s v="DAFXXX DAF081 Digital resources for DBD - Extension"/>
    <x v="4"/>
    <x v="1"/>
    <s v="December"/>
    <n v="0"/>
    <n v="35363.636333333336"/>
    <n v="6"/>
    <s v="December"/>
    <s v="Q2"/>
    <x v="2"/>
  </r>
  <r>
    <s v="ISYXXX Vic SRO (FEB26-JUN26)"/>
    <x v="4"/>
    <x v="5"/>
    <s v="December"/>
    <n v="107142.85714285714"/>
    <n v="246285.71428571432"/>
    <n v="6"/>
    <s v="December"/>
    <s v="Q2"/>
    <x v="2"/>
  </r>
  <r>
    <s v="INFXXX RFQ TechOne - ERP Products, Implementation, Operational"/>
    <x v="4"/>
    <x v="0"/>
    <s v="December"/>
    <n v="0"/>
    <n v="146213.64705882352"/>
    <n v="6"/>
    <s v="December"/>
    <s v="Q2"/>
    <x v="2"/>
  </r>
  <r>
    <s v="DAFXXX STEPS Parallel Delivery Accelerator"/>
    <x v="4"/>
    <x v="1"/>
    <s v="December"/>
    <n v="0"/>
    <n v="35363.636333333336"/>
    <n v="6"/>
    <s v="December"/>
    <s v="Q2"/>
    <x v="2"/>
  </r>
  <r>
    <s v="AFPXXX EPI-USE Roadmap"/>
    <x v="0"/>
    <x v="0"/>
    <s v="February"/>
    <n v="0"/>
    <n v="172507.68"/>
    <n v="8"/>
    <s v="February"/>
    <s v="Q3"/>
    <x v="3"/>
  </r>
  <r>
    <s v="BCG003-01 NDIA Transformation Business Case - T&amp;M"/>
    <x v="0"/>
    <x v="0"/>
    <s v="February"/>
    <n v="64376"/>
    <n v="172507.68"/>
    <n v="8"/>
    <s v="February"/>
    <s v="Q3"/>
    <x v="3"/>
  </r>
  <r>
    <s v="DAF079-XX STEPS 1 Solution Designers"/>
    <x v="1"/>
    <x v="1"/>
    <s v="February"/>
    <n v="0"/>
    <n v="79526.480000000025"/>
    <n v="8"/>
    <s v="February"/>
    <s v="Q3"/>
    <x v="3"/>
  </r>
  <r>
    <s v="DAFXXX Export Service User Request - POV - Servicenow"/>
    <x v="0"/>
    <x v="1"/>
    <s v="February"/>
    <n v="0"/>
    <n v="10234.6"/>
    <n v="8"/>
    <s v="February"/>
    <s v="Q3"/>
    <x v="3"/>
  </r>
  <r>
    <s v="DAFXXX LH-04076 Senior Technical Analyst"/>
    <x v="0"/>
    <x v="1"/>
    <s v="February"/>
    <n v="3360"/>
    <n v="10234.6"/>
    <n v="8"/>
    <s v="February"/>
    <s v="Q3"/>
    <x v="3"/>
  </r>
  <r>
    <s v="DAFXXX LH-04140 Delivery Manager"/>
    <x v="1"/>
    <x v="1"/>
    <s v="February"/>
    <n v="5307.199999999998"/>
    <n v="79526.480000000025"/>
    <n v="8"/>
    <s v="February"/>
    <s v="Q3"/>
    <x v="3"/>
  </r>
  <r>
    <s v="DAFXXX multiple Senior Software Developer 202508"/>
    <x v="1"/>
    <x v="1"/>
    <s v="February"/>
    <n v="9707.200000000008"/>
    <n v="79526.480000000025"/>
    <n v="8"/>
    <s v="February"/>
    <s v="Q3"/>
    <x v="3"/>
  </r>
  <r>
    <s v="DAFXXX Senior Multiple roles BA 202508"/>
    <x v="1"/>
    <x v="1"/>
    <s v="February"/>
    <n v="8864"/>
    <n v="79526.480000000025"/>
    <n v="8"/>
    <s v="February"/>
    <s v="Q3"/>
    <x v="3"/>
  </r>
  <r>
    <s v="DAFXXX ServiceNow Integrated Workspace for Export (TFTM) Services"/>
    <x v="0"/>
    <x v="1"/>
    <s v="February"/>
    <n v="0"/>
    <n v="10234.6"/>
    <n v="8"/>
    <s v="February"/>
    <s v="Q3"/>
    <x v="3"/>
  </r>
  <r>
    <s v="DFAXXX RFQ Super Salary Calculation Enhancement 202504"/>
    <x v="1"/>
    <x v="0"/>
    <s v="February"/>
    <n v="0"/>
    <n v="513500.8"/>
    <n v="8"/>
    <s v="February"/>
    <s v="Q3"/>
    <x v="3"/>
  </r>
  <r>
    <s v="DOFXXX Applications Services"/>
    <x v="1"/>
    <x v="0"/>
    <s v="February"/>
    <n v="167305.59999999998"/>
    <n v="513500.8"/>
    <n v="8"/>
    <s v="February"/>
    <s v="Q3"/>
    <x v="3"/>
  </r>
  <r>
    <s v="DTAXXX LH-03909 - Change Manager"/>
    <x v="1"/>
    <x v="0"/>
    <s v="February"/>
    <n v="8219.2000000000007"/>
    <n v="513500.8"/>
    <n v="8"/>
    <s v="February"/>
    <s v="Q3"/>
    <x v="3"/>
  </r>
  <r>
    <s v="FWO001 Digital Transformation CPBC - PoC"/>
    <x v="0"/>
    <x v="2"/>
    <s v="February"/>
    <n v="0"/>
    <n v="33236"/>
    <n v="8"/>
    <s v="February"/>
    <s v="Q3"/>
    <x v="3"/>
  </r>
  <r>
    <s v="FWO001 Digital Transformation CPBC - PoC Design"/>
    <x v="0"/>
    <x v="2"/>
    <s v="February"/>
    <n v="0"/>
    <n v="33236"/>
    <n v="8"/>
    <s v="February"/>
    <s v="Q3"/>
    <x v="3"/>
  </r>
  <r>
    <s v="INDXXX RFQ Portfolio Management 202508"/>
    <x v="1"/>
    <x v="2"/>
    <s v="February"/>
    <n v="45999.83"/>
    <n v="180263.94199999998"/>
    <n v="8"/>
    <s v="February"/>
    <s v="Q3"/>
    <x v="3"/>
  </r>
  <r>
    <s v="INDXXX RFQ Venture Capital Smartforms Transition to ServiceNow"/>
    <x v="0"/>
    <x v="2"/>
    <s v="February"/>
    <n v="14283"/>
    <n v="33236"/>
    <n v="8"/>
    <s v="February"/>
    <s v="Q3"/>
    <x v="3"/>
  </r>
  <r>
    <s v="INDXXX RFQ Work, Health and Safety 202507"/>
    <x v="1"/>
    <x v="2"/>
    <s v="February"/>
    <n v="33050.256000000001"/>
    <n v="180263.94199999998"/>
    <n v="8"/>
    <s v="February"/>
    <s v="Q3"/>
    <x v="3"/>
  </r>
  <r>
    <s v="LABXXX- RFQ PCS-02120 - Data Scientist Services"/>
    <x v="1"/>
    <x v="0"/>
    <s v="February"/>
    <n v="43840"/>
    <n v="513500.8"/>
    <n v="8"/>
    <s v="February"/>
    <s v="Q3"/>
    <x v="3"/>
  </r>
  <r>
    <s v="PARXXX RFT RevenueSA Application Portfolio Review 202506"/>
    <x v="0"/>
    <x v="0"/>
    <s v="February"/>
    <n v="27671.999999999996"/>
    <n v="172507.68"/>
    <n v="8"/>
    <s v="February"/>
    <s v="Q3"/>
    <x v="3"/>
  </r>
  <r>
    <s v="PMCXXX - RFQ LH-03834 Change Managers"/>
    <x v="0"/>
    <x v="0"/>
    <s v="February"/>
    <n v="-22172.800000000003"/>
    <n v="172507.68"/>
    <n v="8"/>
    <s v="February"/>
    <s v="Q3"/>
    <x v="3"/>
  </r>
  <r>
    <s v="QLDXXX Queensland Shared Services SAP Finance to S4 Hana Public Cloud"/>
    <x v="1"/>
    <x v="0"/>
    <s v="February"/>
    <n v="10240"/>
    <n v="513500.8"/>
    <n v="8"/>
    <s v="February"/>
    <s v="Q3"/>
    <x v="3"/>
  </r>
  <r>
    <s v="SAUXXX Cyber -LH-03498 - Senior Cyber Uplift Project Manager"/>
    <x v="0"/>
    <x v="3"/>
    <s v="February"/>
    <n v="8144.0000000000018"/>
    <n v="56789.279999999999"/>
    <n v="8"/>
    <s v="February"/>
    <s v="Q3"/>
    <x v="3"/>
  </r>
  <r>
    <s v="SAUXXX Cyber -LH-03543 - Manager Cyber Uplift Project Manager"/>
    <x v="0"/>
    <x v="3"/>
    <s v="February"/>
    <n v="5486.3999999999987"/>
    <n v="56789.279999999999"/>
    <n v="8"/>
    <s v="February"/>
    <s v="Q3"/>
    <x v="3"/>
  </r>
  <r>
    <s v="SAUXXX Cyber -LH-03556 - Cyber Uplift Scrum Master"/>
    <x v="0"/>
    <x v="3"/>
    <s v="February"/>
    <n v="9881.5999999999985"/>
    <n v="56789.279999999999"/>
    <n v="8"/>
    <s v="February"/>
    <s v="Q3"/>
    <x v="3"/>
  </r>
  <r>
    <s v="SAUXXX Cyber -LH-03562 - Senior Business Analyst"/>
    <x v="0"/>
    <x v="3"/>
    <s v="February"/>
    <n v="2478.4000000000015"/>
    <n v="56789.279999999999"/>
    <n v="8"/>
    <s v="February"/>
    <s v="Q3"/>
    <x v="3"/>
  </r>
  <r>
    <s v="SAUXXX RFQ Identity Mgt System Integration 202506"/>
    <x v="1"/>
    <x v="3"/>
    <s v="February"/>
    <n v="96132.799999999988"/>
    <n v="449979.6"/>
    <n v="8"/>
    <s v="February"/>
    <s v="Q3"/>
    <x v="3"/>
  </r>
  <r>
    <s v="SAUXXX RFQ Support end-to-end Investment Proposal and BC"/>
    <x v="1"/>
    <x v="3"/>
    <s v="February"/>
    <n v="0"/>
    <n v="449979.6"/>
    <n v="8"/>
    <s v="February"/>
    <s v="Q3"/>
    <x v="3"/>
  </r>
  <r>
    <s v="SAUXXX RFQLH-02645 IT Infrastructure Engineer"/>
    <x v="1"/>
    <x v="3"/>
    <s v="February"/>
    <n v="13520"/>
    <n v="449979.6"/>
    <n v="8"/>
    <s v="February"/>
    <s v="Q3"/>
    <x v="3"/>
  </r>
  <r>
    <s v="SAUXXX RFQLH-02946 1 Senior Software Engineer"/>
    <x v="1"/>
    <x v="3"/>
    <s v="February"/>
    <n v="8355.2000000000007"/>
    <n v="449979.6"/>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m/>
    <x v="2"/>
    <x v="4"/>
    <s v="February"/>
    <n v="0"/>
    <n v="0"/>
    <n v="8"/>
    <s v="February"/>
    <s v="Q3"/>
    <x v="3"/>
  </r>
  <r>
    <s v="BCG003 NDIA Transformation Business Case"/>
    <x v="3"/>
    <x v="0"/>
    <s v="February"/>
    <n v="0"/>
    <n v="361671.61"/>
    <n v="8"/>
    <s v="February"/>
    <s v="Q3"/>
    <x v="3"/>
  </r>
  <r>
    <s v="COS001-01 DOH IWOW Target Architecture"/>
    <x v="3"/>
    <x v="0"/>
    <s v="February"/>
    <n v="0"/>
    <n v="361671.61"/>
    <n v="8"/>
    <s v="February"/>
    <s v="Q3"/>
    <x v="3"/>
  </r>
  <r>
    <s v="DAF079-01 Digital and Agile STEPS Program"/>
    <x v="3"/>
    <x v="1"/>
    <s v="February"/>
    <n v="0"/>
    <n v="164670.70500000007"/>
    <n v="8"/>
    <s v="February"/>
    <s v="Q3"/>
    <x v="3"/>
  </r>
  <r>
    <s v="DAF080-03 STEPS - Strategic Support"/>
    <x v="3"/>
    <x v="1"/>
    <s v="February"/>
    <n v="0"/>
    <n v="164670.70500000007"/>
    <n v="8"/>
    <s v="February"/>
    <s v="Q3"/>
    <x v="3"/>
  </r>
  <r>
    <s v="DAF080-04 Industry API Accelerator"/>
    <x v="3"/>
    <x v="1"/>
    <s v="February"/>
    <n v="0"/>
    <n v="164670.70500000007"/>
    <n v="8"/>
    <s v="February"/>
    <s v="Q3"/>
    <x v="3"/>
  </r>
  <r>
    <s v="DAF080-XX STEPS - Head Contract"/>
    <x v="3"/>
    <x v="1"/>
    <s v="February"/>
    <n v="0"/>
    <n v="164670.70500000007"/>
    <n v="8"/>
    <s v="February"/>
    <s v="Q3"/>
    <x v="3"/>
  </r>
  <r>
    <s v="DAF081 Digital resources for DBD - Head Contract"/>
    <x v="3"/>
    <x v="1"/>
    <s v="February"/>
    <n v="0"/>
    <n v="164670.70500000007"/>
    <n v="8"/>
    <s v="February"/>
    <s v="Q3"/>
    <x v="3"/>
  </r>
  <r>
    <s v="DAF081-05 DBD Business Analyst (Kev)"/>
    <x v="3"/>
    <x v="1"/>
    <s v="February"/>
    <n v="0"/>
    <n v="164670.70500000007"/>
    <n v="8"/>
    <s v="February"/>
    <s v="Q3"/>
    <x v="3"/>
  </r>
  <r>
    <s v="DAF081-06 DBD Test Analyst (Vinnie)"/>
    <x v="3"/>
    <x v="1"/>
    <s v="February"/>
    <n v="0"/>
    <n v="164670.70500000007"/>
    <n v="8"/>
    <s v="February"/>
    <s v="Q3"/>
    <x v="3"/>
  </r>
  <r>
    <s v="DAF081-07 DBD System Analyst (Amit)"/>
    <x v="3"/>
    <x v="1"/>
    <s v="February"/>
    <n v="0"/>
    <n v="164670.70500000007"/>
    <n v="8"/>
    <s v="February"/>
    <s v="Q3"/>
    <x v="3"/>
  </r>
  <r>
    <s v="DAF081-08 DBD Business Analyst (Raheem)"/>
    <x v="3"/>
    <x v="1"/>
    <s v="February"/>
    <n v="0"/>
    <n v="164670.70500000007"/>
    <n v="8"/>
    <s v="February"/>
    <s v="Q3"/>
    <x v="3"/>
  </r>
  <r>
    <s v="DAF081-09 Technical Lead (Phani)"/>
    <x v="3"/>
    <x v="1"/>
    <s v="February"/>
    <n v="0"/>
    <n v="164670.70500000007"/>
    <n v="8"/>
    <s v="February"/>
    <s v="Q3"/>
    <x v="3"/>
  </r>
  <r>
    <s v="DCC001-05 SAP Tech Specialist (Husain)"/>
    <x v="3"/>
    <x v="0"/>
    <s v="February"/>
    <n v="9280"/>
    <n v="361671.61"/>
    <n v="8"/>
    <s v="February"/>
    <s v="Q3"/>
    <x v="3"/>
  </r>
  <r>
    <s v="DHA002-01 Senior Pega System Developer (Giribabu)"/>
    <x v="3"/>
    <x v="0"/>
    <s v="February"/>
    <n v="1840"/>
    <n v="361671.61"/>
    <n v="8"/>
    <s v="February"/>
    <s v="Q3"/>
    <x v="3"/>
  </r>
  <r>
    <s v="FWO001 Digital Transformation CPBC"/>
    <x v="3"/>
    <x v="0"/>
    <s v="February"/>
    <n v="0"/>
    <n v="361671.61"/>
    <n v="8"/>
    <s v="February"/>
    <s v="Q3"/>
    <x v="3"/>
  </r>
  <r>
    <s v="IND002 AI Integration in ServiceNow"/>
    <x v="3"/>
    <x v="0"/>
    <s v="February"/>
    <n v="0"/>
    <n v="361671.61"/>
    <n v="8"/>
    <s v="February"/>
    <s v="Q3"/>
    <x v="3"/>
  </r>
  <r>
    <s v="ISY009-01 Vic SRO T3 (Pre-project)"/>
    <x v="3"/>
    <x v="5"/>
    <s v="February"/>
    <n v="0"/>
    <n v="442476.85900000029"/>
    <n v="8"/>
    <s v="February"/>
    <s v="Q3"/>
    <x v="3"/>
  </r>
  <r>
    <s v="ISY010 Vic SRO T3"/>
    <x v="3"/>
    <x v="5"/>
    <s v="February"/>
    <n v="204295.35300000009"/>
    <n v="442476.85900000029"/>
    <n v="8"/>
    <s v="February"/>
    <s v="Q3"/>
    <x v="3"/>
  </r>
  <r>
    <s v="NQS005-02 DART Recalibration"/>
    <x v="3"/>
    <x v="0"/>
    <s v="February"/>
    <n v="0"/>
    <n v="361671.61"/>
    <n v="8"/>
    <s v="February"/>
    <s v="Q3"/>
    <x v="3"/>
  </r>
  <r>
    <s v="NQS005-03 DART Benefits Review and Preparation"/>
    <x v="3"/>
    <x v="0"/>
    <s v="February"/>
    <n v="0"/>
    <n v="361671.61"/>
    <n v="8"/>
    <s v="February"/>
    <s v="Q3"/>
    <x v="3"/>
  </r>
  <r>
    <s v="SAU043-03 Cyber Security (Ben)"/>
    <x v="3"/>
    <x v="3"/>
    <s v="February"/>
    <n v="3680"/>
    <n v="143122.07999999996"/>
    <n v="8"/>
    <s v="February"/>
    <s v="Q3"/>
    <x v="3"/>
  </r>
  <r>
    <s v="SAU044-03 Senior Development Expert (Nadh)"/>
    <x v="3"/>
    <x v="3"/>
    <s v="February"/>
    <n v="0"/>
    <n v="143122.07999999996"/>
    <n v="8"/>
    <s v="February"/>
    <s v="Q3"/>
    <x v="3"/>
  </r>
  <r>
    <s v="SAU045-02 Senior Technology Architect (Sidd)"/>
    <x v="3"/>
    <x v="3"/>
    <s v="February"/>
    <n v="0"/>
    <n v="143122.07999999996"/>
    <n v="8"/>
    <s v="February"/>
    <s v="Q3"/>
    <x v="3"/>
  </r>
  <r>
    <s v="SAU046-02 Delivery Manager (Alex)"/>
    <x v="3"/>
    <x v="3"/>
    <s v="February"/>
    <n v="6128"/>
    <n v="143122.07999999996"/>
    <n v="8"/>
    <s v="February"/>
    <s v="Q3"/>
    <x v="3"/>
  </r>
  <r>
    <s v="SAU048-01 System Analyst (Meenal)"/>
    <x v="3"/>
    <x v="3"/>
    <s v="February"/>
    <n v="0"/>
    <n v="143122.07999999996"/>
    <n v="8"/>
    <s v="February"/>
    <s v="Q3"/>
    <x v="3"/>
  </r>
  <r>
    <s v="SAU048-02 System Analyst (Meenal)"/>
    <x v="3"/>
    <x v="3"/>
    <s v="February"/>
    <n v="1139.2000000000007"/>
    <n v="143122.07999999996"/>
    <n v="8"/>
    <s v="February"/>
    <s v="Q3"/>
    <x v="3"/>
  </r>
  <r>
    <s v="SAU049-01 Functional Development Expert (Shefali)"/>
    <x v="3"/>
    <x v="3"/>
    <s v="February"/>
    <n v="0"/>
    <n v="143122.07999999996"/>
    <n v="8"/>
    <s v="February"/>
    <s v="Q3"/>
    <x v="3"/>
  </r>
  <r>
    <s v="SAU050-01 Senior Development Lead (Abdul)"/>
    <x v="3"/>
    <x v="3"/>
    <s v="February"/>
    <n v="0"/>
    <n v="143122.07999999996"/>
    <n v="8"/>
    <s v="February"/>
    <s v="Q3"/>
    <x v="3"/>
  </r>
  <r>
    <s v="SAU052 Senior Solution Architect (Aniket)"/>
    <x v="3"/>
    <x v="3"/>
    <s v="February"/>
    <n v="0"/>
    <n v="143122.07999999996"/>
    <n v="8"/>
    <s v="February"/>
    <s v="Q3"/>
    <x v="3"/>
  </r>
  <r>
    <s v="SAU053 Principal Software Engineer (Sheelesh)"/>
    <x v="3"/>
    <x v="3"/>
    <s v="February"/>
    <n v="5200"/>
    <n v="143122.07999999996"/>
    <n v="8"/>
    <s v="February"/>
    <s v="Q3"/>
    <x v="3"/>
  </r>
  <r>
    <s v="SAU054 Principal Software Engineer (Tejas)"/>
    <x v="3"/>
    <x v="3"/>
    <s v="February"/>
    <n v="5100.7999999999956"/>
    <n v="143122.07999999996"/>
    <n v="8"/>
    <s v="February"/>
    <s v="Q3"/>
    <x v="3"/>
  </r>
  <r>
    <s v="SAU055 Principal Software Engineer (Karan)"/>
    <x v="3"/>
    <x v="3"/>
    <s v="February"/>
    <n v="5115.1999999999971"/>
    <n v="143122.07999999996"/>
    <n v="8"/>
    <s v="February"/>
    <s v="Q3"/>
    <x v="3"/>
  </r>
  <r>
    <s v="SAU056 Principal Software Engineer (Ankit)"/>
    <x v="3"/>
    <x v="3"/>
    <s v="February"/>
    <n v="4761.5999999999985"/>
    <n v="143122.07999999996"/>
    <n v="8"/>
    <s v="February"/>
    <s v="Q3"/>
    <x v="3"/>
  </r>
  <r>
    <s v="SAU057 Principal Software Engineer (Asit)"/>
    <x v="3"/>
    <x v="3"/>
    <s v="February"/>
    <n v="5102.4000000000015"/>
    <n v="143122.07999999996"/>
    <n v="8"/>
    <s v="February"/>
    <s v="Q3"/>
    <x v="3"/>
  </r>
  <r>
    <s v="TAL001-02 Senior Enterprise Architect (Akshay)"/>
    <x v="3"/>
    <x v="3"/>
    <s v="February"/>
    <n v="0"/>
    <n v="143122.07999999996"/>
    <n v="8"/>
    <s v="February"/>
    <s v="Q3"/>
    <x v="3"/>
  </r>
  <r>
    <s v="SAU049-XX Functional Development Expert (Shefali)"/>
    <x v="4"/>
    <x v="3"/>
    <s v="February"/>
    <n v="1166.6666666666667"/>
    <n v="15375"/>
    <n v="8"/>
    <s v="February"/>
    <s v="Q3"/>
    <x v="3"/>
  </r>
  <r>
    <s v="SAU050-XX Senior Development Lead (Abdul)"/>
    <x v="4"/>
    <x v="3"/>
    <s v="February"/>
    <n v="2333.3333333333335"/>
    <n v="15375"/>
    <n v="8"/>
    <s v="February"/>
    <s v="Q3"/>
    <x v="3"/>
  </r>
  <r>
    <s v="SAU046-XX Delivery Manager (Alex)"/>
    <x v="4"/>
    <x v="3"/>
    <s v="February"/>
    <n v="0"/>
    <n v="15375"/>
    <n v="8"/>
    <s v="February"/>
    <s v="Q3"/>
    <x v="3"/>
  </r>
  <r>
    <s v="VICXXX SRO BRE Licensing, Implementation and MSE - ID003 Decisively 202405"/>
    <x v="4"/>
    <x v="5"/>
    <s v="February"/>
    <n v="16000"/>
    <n v="369428.57142857148"/>
    <n v="8"/>
    <s v="February"/>
    <s v="Q3"/>
    <x v="3"/>
  </r>
  <r>
    <s v="DAFXXX DAF081 Digital resources for DBD - Extension"/>
    <x v="4"/>
    <x v="1"/>
    <s v="February"/>
    <n v="35363.636333333336"/>
    <n v="70727.272666666671"/>
    <n v="8"/>
    <s v="February"/>
    <s v="Q3"/>
    <x v="3"/>
  </r>
  <r>
    <s v="ISYXXX Vic SRO (FEB26-JUN26)"/>
    <x v="4"/>
    <x v="5"/>
    <s v="February"/>
    <n v="107142.85714285714"/>
    <n v="369428.57142857148"/>
    <n v="8"/>
    <s v="February"/>
    <s v="Q3"/>
    <x v="3"/>
  </r>
  <r>
    <s v="INFXXX RFQ TechOne - ERP Products, Implementation, Operational"/>
    <x v="4"/>
    <x v="0"/>
    <s v="February"/>
    <n v="146213.64705882352"/>
    <n v="292427.29411764705"/>
    <n v="8"/>
    <s v="February"/>
    <s v="Q3"/>
    <x v="3"/>
  </r>
  <r>
    <s v="DAFXXX STEPS Parallel Delivery Accelerator"/>
    <x v="4"/>
    <x v="1"/>
    <s v="February"/>
    <n v="0"/>
    <n v="70727.272666666671"/>
    <n v="8"/>
    <s v="February"/>
    <s v="Q3"/>
    <x v="3"/>
  </r>
  <r>
    <s v="AFPXXX EPI-USE Roadmap"/>
    <x v="0"/>
    <x v="0"/>
    <s v="January"/>
    <n v="0"/>
    <n v="259786.72"/>
    <n v="7"/>
    <s v="January"/>
    <s v="Q3"/>
    <x v="3"/>
  </r>
  <r>
    <s v="BCG003-01 NDIA Transformation Business Case - T&amp;M"/>
    <x v="0"/>
    <x v="0"/>
    <s v="January"/>
    <n v="61157.2"/>
    <n v="259786.72"/>
    <n v="7"/>
    <s v="January"/>
    <s v="Q3"/>
    <x v="3"/>
  </r>
  <r>
    <s v="DAF079-XX STEPS 1 Solution Designers"/>
    <x v="1"/>
    <x v="1"/>
    <s v="January"/>
    <n v="0"/>
    <n v="103139.52000000003"/>
    <n v="7"/>
    <s v="January"/>
    <s v="Q3"/>
    <x v="3"/>
  </r>
  <r>
    <s v="DAFXXX Export Service User Request - POV - Servicenow"/>
    <x v="0"/>
    <x v="1"/>
    <s v="January"/>
    <n v="0"/>
    <n v="13426.6"/>
    <n v="7"/>
    <s v="January"/>
    <s v="Q3"/>
    <x v="3"/>
  </r>
  <r>
    <s v="DAFXXX LH-04076 Senior Technical Analyst"/>
    <x v="0"/>
    <x v="1"/>
    <s v="January"/>
    <n v="3192"/>
    <n v="13426.6"/>
    <n v="7"/>
    <s v="January"/>
    <s v="Q3"/>
    <x v="3"/>
  </r>
  <r>
    <s v="DAFXXX LH-04140 Delivery Manager"/>
    <x v="1"/>
    <x v="1"/>
    <s v="January"/>
    <n v="5041.8399999999983"/>
    <n v="103139.52000000003"/>
    <n v="7"/>
    <s v="January"/>
    <s v="Q3"/>
    <x v="3"/>
  </r>
  <r>
    <s v="DAFXXX multiple Senior Software Developer 202508"/>
    <x v="1"/>
    <x v="1"/>
    <s v="January"/>
    <n v="9707.200000000008"/>
    <n v="103139.52000000003"/>
    <n v="7"/>
    <s v="January"/>
    <s v="Q3"/>
    <x v="3"/>
  </r>
  <r>
    <s v="DAFXXX Senior Multiple roles BA 202508"/>
    <x v="1"/>
    <x v="1"/>
    <s v="January"/>
    <n v="8864"/>
    <n v="103139.52000000003"/>
    <n v="7"/>
    <s v="January"/>
    <s v="Q3"/>
    <x v="3"/>
  </r>
  <r>
    <s v="DAFXXX ServiceNow Integrated Workspace for Export (TFTM) Services"/>
    <x v="0"/>
    <x v="1"/>
    <s v="January"/>
    <n v="0"/>
    <n v="13426.6"/>
    <n v="7"/>
    <s v="January"/>
    <s v="Q3"/>
    <x v="3"/>
  </r>
  <r>
    <s v="DFAXXX RFQ Super Salary Calculation Enhancement 202504"/>
    <x v="1"/>
    <x v="0"/>
    <s v="January"/>
    <n v="0"/>
    <n v="737993.36"/>
    <n v="7"/>
    <s v="January"/>
    <s v="Q3"/>
    <x v="3"/>
  </r>
  <r>
    <s v="DOFXXX Applications Services"/>
    <x v="1"/>
    <x v="0"/>
    <s v="January"/>
    <n v="176268.31999999998"/>
    <n v="737993.36"/>
    <n v="7"/>
    <s v="January"/>
    <s v="Q3"/>
    <x v="3"/>
  </r>
  <r>
    <s v="DTAXXX LH-03909 - Change Manager"/>
    <x v="1"/>
    <x v="0"/>
    <s v="January"/>
    <n v="7808.24"/>
    <n v="737993.36"/>
    <n v="7"/>
    <s v="January"/>
    <s v="Q3"/>
    <x v="3"/>
  </r>
  <r>
    <s v="FWO001 Digital Transformation CPBC - PoC"/>
    <x v="0"/>
    <x v="2"/>
    <s v="January"/>
    <n v="0"/>
    <n v="59100"/>
    <n v="7"/>
    <s v="January"/>
    <s v="Q3"/>
    <x v="3"/>
  </r>
  <r>
    <s v="FWO001 Digital Transformation CPBC - PoC Design"/>
    <x v="0"/>
    <x v="2"/>
    <s v="January"/>
    <n v="0"/>
    <n v="59100"/>
    <n v="7"/>
    <s v="January"/>
    <s v="Q3"/>
    <x v="3"/>
  </r>
  <r>
    <s v="INDXXX RFQ Portfolio Management 202508"/>
    <x v="1"/>
    <x v="2"/>
    <s v="January"/>
    <n v="18507.200000000004"/>
    <n v="200923.342"/>
    <n v="7"/>
    <s v="January"/>
    <s v="Q3"/>
    <x v="3"/>
  </r>
  <r>
    <s v="INDXXX RFQ Venture Capital Smartforms Transition to ServiceNow"/>
    <x v="0"/>
    <x v="2"/>
    <s v="January"/>
    <n v="25864"/>
    <n v="59100"/>
    <n v="7"/>
    <s v="January"/>
    <s v="Q3"/>
    <x v="3"/>
  </r>
  <r>
    <s v="INDXXX RFQ Work, Health and Safety 202507"/>
    <x v="1"/>
    <x v="2"/>
    <s v="January"/>
    <n v="2152.1999999999998"/>
    <n v="200923.342"/>
    <n v="7"/>
    <s v="January"/>
    <s v="Q3"/>
    <x v="3"/>
  </r>
  <r>
    <s v="LABXXX- RFQ PCS-02120 - Data Scientist Services"/>
    <x v="1"/>
    <x v="0"/>
    <s v="January"/>
    <n v="30688"/>
    <n v="737993.36"/>
    <n v="7"/>
    <s v="January"/>
    <s v="Q3"/>
    <x v="3"/>
  </r>
  <r>
    <s v="PARXXX RFT RevenueSA Application Portfolio Review 202506"/>
    <x v="0"/>
    <x v="0"/>
    <s v="January"/>
    <n v="47186.000000000015"/>
    <n v="259786.72"/>
    <n v="7"/>
    <s v="January"/>
    <s v="Q3"/>
    <x v="3"/>
  </r>
  <r>
    <s v="PMCXXX - RFQ LH-03834 Change Managers"/>
    <x v="0"/>
    <x v="0"/>
    <s v="January"/>
    <n v="-21064.16"/>
    <n v="259786.72"/>
    <n v="7"/>
    <s v="January"/>
    <s v="Q3"/>
    <x v="3"/>
  </r>
  <r>
    <s v="QLDXXX Queensland Shared Services SAP Finance to S4 Hana Public Cloud"/>
    <x v="1"/>
    <x v="0"/>
    <s v="January"/>
    <n v="9728"/>
    <n v="737993.36"/>
    <n v="7"/>
    <s v="January"/>
    <s v="Q3"/>
    <x v="3"/>
  </r>
  <r>
    <s v="SAUXXX Cyber -LH-03498 - Senior Cyber Uplift Project Manager"/>
    <x v="0"/>
    <x v="3"/>
    <s v="January"/>
    <n v="7736.800000000002"/>
    <n v="81480.160000000003"/>
    <n v="7"/>
    <s v="January"/>
    <s v="Q3"/>
    <x v="3"/>
  </r>
  <r>
    <s v="SAUXXX Cyber -LH-03543 - Manager Cyber Uplift Project Manager"/>
    <x v="0"/>
    <x v="3"/>
    <s v="January"/>
    <n v="5212.079999999999"/>
    <n v="81480.160000000003"/>
    <n v="7"/>
    <s v="January"/>
    <s v="Q3"/>
    <x v="3"/>
  </r>
  <r>
    <s v="SAUXXX Cyber -LH-03556 - Cyber Uplift Scrum Master"/>
    <x v="0"/>
    <x v="3"/>
    <s v="January"/>
    <n v="9387.5199999999986"/>
    <n v="81480.160000000003"/>
    <n v="7"/>
    <s v="January"/>
    <s v="Q3"/>
    <x v="3"/>
  </r>
  <r>
    <s v="SAUXXX Cyber -LH-03562 - Senior Business Analyst"/>
    <x v="0"/>
    <x v="3"/>
    <s v="January"/>
    <n v="2354.4800000000014"/>
    <n v="81480.160000000003"/>
    <n v="7"/>
    <s v="January"/>
    <s v="Q3"/>
    <x v="3"/>
  </r>
  <r>
    <s v="SAUXXX RFQ Identity Mgt System Integration 202506"/>
    <x v="1"/>
    <x v="3"/>
    <s v="January"/>
    <n v="55480"/>
    <n v="524152.24"/>
    <n v="7"/>
    <s v="January"/>
    <s v="Q3"/>
    <x v="3"/>
  </r>
  <r>
    <s v="SAUXXX RFQ Support end-to-end Investment Proposal and BC"/>
    <x v="1"/>
    <x v="3"/>
    <s v="January"/>
    <n v="0"/>
    <n v="524152.24"/>
    <n v="7"/>
    <s v="January"/>
    <s v="Q3"/>
    <x v="3"/>
  </r>
  <r>
    <s v="SAUXXX RFQLH-02645 IT Infrastructure Engineer"/>
    <x v="1"/>
    <x v="3"/>
    <s v="January"/>
    <n v="12844"/>
    <n v="524152.24"/>
    <n v="7"/>
    <s v="January"/>
    <s v="Q3"/>
    <x v="3"/>
  </r>
  <r>
    <s v="SAUXXX RFQLH-02946 1 Senior Software Engineer"/>
    <x v="1"/>
    <x v="3"/>
    <s v="January"/>
    <n v="5848.64"/>
    <n v="524152.24"/>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m/>
    <x v="2"/>
    <x v="4"/>
    <s v="January"/>
    <n v="0"/>
    <n v="0"/>
    <n v="7"/>
    <s v="January"/>
    <s v="Q3"/>
    <x v="3"/>
  </r>
  <r>
    <s v="BCG003 NDIA Transformation Business Case"/>
    <x v="3"/>
    <x v="0"/>
    <s v="January"/>
    <n v="0"/>
    <n v="541479.61"/>
    <n v="7"/>
    <s v="January"/>
    <s v="Q3"/>
    <x v="3"/>
  </r>
  <r>
    <s v="COS001-01 DOH IWOW Target Architecture"/>
    <x v="3"/>
    <x v="0"/>
    <s v="January"/>
    <n v="0"/>
    <n v="541479.61"/>
    <n v="7"/>
    <s v="January"/>
    <s v="Q3"/>
    <x v="3"/>
  </r>
  <r>
    <s v="DAF079-01 Digital and Agile STEPS Program"/>
    <x v="3"/>
    <x v="1"/>
    <s v="January"/>
    <n v="0"/>
    <n v="166779.34500000006"/>
    <n v="7"/>
    <s v="January"/>
    <s v="Q3"/>
    <x v="3"/>
  </r>
  <r>
    <s v="DAF080-03 STEPS - Strategic Support"/>
    <x v="3"/>
    <x v="1"/>
    <s v="January"/>
    <n v="0"/>
    <n v="166779.34500000006"/>
    <n v="7"/>
    <s v="January"/>
    <s v="Q3"/>
    <x v="3"/>
  </r>
  <r>
    <s v="DAF080-04 Industry API Accelerator"/>
    <x v="3"/>
    <x v="1"/>
    <s v="January"/>
    <n v="0"/>
    <n v="166779.34500000006"/>
    <n v="7"/>
    <s v="January"/>
    <s v="Q3"/>
    <x v="3"/>
  </r>
  <r>
    <s v="DAF080-XX STEPS - Head Contract"/>
    <x v="3"/>
    <x v="1"/>
    <s v="January"/>
    <n v="0"/>
    <n v="166779.34500000006"/>
    <n v="7"/>
    <s v="January"/>
    <s v="Q3"/>
    <x v="3"/>
  </r>
  <r>
    <s v="DAF081 Digital resources for DBD - Head Contract"/>
    <x v="3"/>
    <x v="1"/>
    <s v="January"/>
    <n v="0"/>
    <n v="166779.34500000006"/>
    <n v="7"/>
    <s v="January"/>
    <s v="Q3"/>
    <x v="3"/>
  </r>
  <r>
    <s v="DAF081-05 DBD Business Analyst (Kev)"/>
    <x v="3"/>
    <x v="1"/>
    <s v="January"/>
    <n v="620.95999999999958"/>
    <n v="166779.34500000006"/>
    <n v="7"/>
    <s v="January"/>
    <s v="Q3"/>
    <x v="3"/>
  </r>
  <r>
    <s v="DAF081-06 DBD Test Analyst (Vinnie)"/>
    <x v="3"/>
    <x v="1"/>
    <s v="January"/>
    <n v="206.55999999999997"/>
    <n v="166779.34500000006"/>
    <n v="7"/>
    <s v="January"/>
    <s v="Q3"/>
    <x v="3"/>
  </r>
  <r>
    <s v="DAF081-07 DBD System Analyst (Amit)"/>
    <x v="3"/>
    <x v="1"/>
    <s v="January"/>
    <n v="706.56"/>
    <n v="166779.34500000006"/>
    <n v="7"/>
    <s v="January"/>
    <s v="Q3"/>
    <x v="3"/>
  </r>
  <r>
    <s v="DAF081-08 DBD Business Analyst (Raheem)"/>
    <x v="3"/>
    <x v="1"/>
    <s v="January"/>
    <n v="574.55999999999972"/>
    <n v="166779.34500000006"/>
    <n v="7"/>
    <s v="January"/>
    <s v="Q3"/>
    <x v="3"/>
  </r>
  <r>
    <s v="DAF081-09 Technical Lead (Phani)"/>
    <x v="3"/>
    <x v="1"/>
    <s v="January"/>
    <n v="0"/>
    <n v="166779.34500000006"/>
    <n v="7"/>
    <s v="January"/>
    <s v="Q3"/>
    <x v="3"/>
  </r>
  <r>
    <s v="DCC001-05 SAP Tech Specialist (Husain)"/>
    <x v="3"/>
    <x v="0"/>
    <s v="January"/>
    <n v="9280"/>
    <n v="541479.61"/>
    <n v="7"/>
    <s v="January"/>
    <s v="Q3"/>
    <x v="3"/>
  </r>
  <r>
    <s v="DHA002-01 Senior Pega System Developer (Giribabu)"/>
    <x v="3"/>
    <x v="0"/>
    <s v="January"/>
    <n v="1288"/>
    <n v="541479.61"/>
    <n v="7"/>
    <s v="January"/>
    <s v="Q3"/>
    <x v="3"/>
  </r>
  <r>
    <s v="FWO001 Digital Transformation CPBC"/>
    <x v="3"/>
    <x v="0"/>
    <s v="January"/>
    <n v="169240"/>
    <n v="541479.61"/>
    <n v="7"/>
    <s v="January"/>
    <s v="Q3"/>
    <x v="3"/>
  </r>
  <r>
    <s v="IND002 AI Integration in ServiceNow"/>
    <x v="3"/>
    <x v="0"/>
    <s v="January"/>
    <n v="0"/>
    <n v="541479.61"/>
    <n v="7"/>
    <s v="January"/>
    <s v="Q3"/>
    <x v="3"/>
  </r>
  <r>
    <s v="ISY009-01 Vic SRO T3 (Pre-project)"/>
    <x v="3"/>
    <x v="5"/>
    <s v="January"/>
    <n v="0"/>
    <n v="599006.57440000027"/>
    <n v="7"/>
    <s v="January"/>
    <s v="Q3"/>
    <x v="3"/>
  </r>
  <r>
    <s v="ISY010 Vic SRO T3"/>
    <x v="3"/>
    <x v="5"/>
    <s v="January"/>
    <n v="156529.71539999999"/>
    <n v="599006.57440000027"/>
    <n v="7"/>
    <s v="January"/>
    <s v="Q3"/>
    <x v="3"/>
  </r>
  <r>
    <s v="NQS005-02 DART Recalibration"/>
    <x v="3"/>
    <x v="0"/>
    <s v="January"/>
    <n v="0"/>
    <n v="541479.61"/>
    <n v="7"/>
    <s v="January"/>
    <s v="Q3"/>
    <x v="3"/>
  </r>
  <r>
    <s v="NQS005-03 DART Benefits Review and Preparation"/>
    <x v="3"/>
    <x v="0"/>
    <s v="January"/>
    <n v="0"/>
    <n v="541479.61"/>
    <n v="7"/>
    <s v="January"/>
    <s v="Q3"/>
    <x v="3"/>
  </r>
  <r>
    <s v="SAU043-03 Cyber Security (Ben)"/>
    <x v="3"/>
    <x v="3"/>
    <s v="January"/>
    <n v="3496"/>
    <n v="177078.31999999995"/>
    <n v="7"/>
    <s v="January"/>
    <s v="Q3"/>
    <x v="3"/>
  </r>
  <r>
    <s v="SAU044-03 Senior Development Expert (Nadh)"/>
    <x v="3"/>
    <x v="3"/>
    <s v="January"/>
    <n v="0"/>
    <n v="177078.31999999995"/>
    <n v="7"/>
    <s v="January"/>
    <s v="Q3"/>
    <x v="3"/>
  </r>
  <r>
    <s v="SAU045-02 Senior Technology Architect (Sidd)"/>
    <x v="3"/>
    <x v="3"/>
    <s v="January"/>
    <n v="0"/>
    <n v="177078.31999999995"/>
    <n v="7"/>
    <s v="January"/>
    <s v="Q3"/>
    <x v="3"/>
  </r>
  <r>
    <s v="SAU046-02 Delivery Manager (Alex)"/>
    <x v="3"/>
    <x v="3"/>
    <s v="January"/>
    <n v="5362"/>
    <n v="177078.31999999995"/>
    <n v="7"/>
    <s v="January"/>
    <s v="Q3"/>
    <x v="3"/>
  </r>
  <r>
    <s v="SAU048-01 System Analyst (Meenal)"/>
    <x v="3"/>
    <x v="3"/>
    <s v="January"/>
    <n v="0"/>
    <n v="177078.31999999995"/>
    <n v="7"/>
    <s v="January"/>
    <s v="Q3"/>
    <x v="3"/>
  </r>
  <r>
    <s v="SAU048-02 System Analyst (Meenal)"/>
    <x v="3"/>
    <x v="3"/>
    <s v="January"/>
    <n v="1082.2400000000016"/>
    <n v="177078.31999999995"/>
    <n v="7"/>
    <s v="January"/>
    <s v="Q3"/>
    <x v="3"/>
  </r>
  <r>
    <s v="SAU049-01 Functional Development Expert (Shefali)"/>
    <x v="3"/>
    <x v="3"/>
    <s v="January"/>
    <n v="0"/>
    <n v="177078.31999999995"/>
    <n v="7"/>
    <s v="January"/>
    <s v="Q3"/>
    <x v="3"/>
  </r>
  <r>
    <s v="SAU050-01 Senior Development Lead (Abdul)"/>
    <x v="3"/>
    <x v="3"/>
    <s v="January"/>
    <n v="0"/>
    <n v="177078.31999999995"/>
    <n v="7"/>
    <s v="January"/>
    <s v="Q3"/>
    <x v="3"/>
  </r>
  <r>
    <s v="SAU052 Senior Solution Architect (Aniket)"/>
    <x v="3"/>
    <x v="3"/>
    <s v="January"/>
    <n v="0"/>
    <n v="177078.31999999995"/>
    <n v="7"/>
    <s v="January"/>
    <s v="Q3"/>
    <x v="3"/>
  </r>
  <r>
    <s v="SAU053 Principal Software Engineer (Sheelesh)"/>
    <x v="3"/>
    <x v="3"/>
    <s v="January"/>
    <n v="4940"/>
    <n v="177078.31999999995"/>
    <n v="7"/>
    <s v="January"/>
    <s v="Q3"/>
    <x v="3"/>
  </r>
  <r>
    <s v="SAU054 Principal Software Engineer (Tejas)"/>
    <x v="3"/>
    <x v="3"/>
    <s v="January"/>
    <n v="4845.7599999999948"/>
    <n v="177078.31999999995"/>
    <n v="7"/>
    <s v="January"/>
    <s v="Q3"/>
    <x v="3"/>
  </r>
  <r>
    <s v="SAU055 Principal Software Engineer (Karan)"/>
    <x v="3"/>
    <x v="3"/>
    <s v="January"/>
    <n v="4859.4399999999951"/>
    <n v="177078.31999999995"/>
    <n v="7"/>
    <s v="January"/>
    <s v="Q3"/>
    <x v="3"/>
  </r>
  <r>
    <s v="SAU056 Principal Software Engineer (Ankit)"/>
    <x v="3"/>
    <x v="3"/>
    <s v="January"/>
    <n v="4523.5199999999968"/>
    <n v="177078.31999999995"/>
    <n v="7"/>
    <s v="January"/>
    <s v="Q3"/>
    <x v="3"/>
  </r>
  <r>
    <s v="SAU057 Principal Software Engineer (Asit)"/>
    <x v="3"/>
    <x v="3"/>
    <s v="January"/>
    <n v="4847.2799999999988"/>
    <n v="177078.31999999995"/>
    <n v="7"/>
    <s v="January"/>
    <s v="Q3"/>
    <x v="3"/>
  </r>
  <r>
    <s v="TAL001-02 Senior Enterprise Architect (Akshay)"/>
    <x v="3"/>
    <x v="3"/>
    <s v="January"/>
    <n v="0"/>
    <n v="177078.31999999995"/>
    <n v="7"/>
    <s v="January"/>
    <s v="Q3"/>
    <x v="3"/>
  </r>
  <r>
    <s v="SAU049-XX Functional Development Expert (Shefali)"/>
    <x v="4"/>
    <x v="3"/>
    <s v="January"/>
    <n v="1166.6666666666667"/>
    <n v="18875"/>
    <n v="7"/>
    <s v="January"/>
    <s v="Q3"/>
    <x v="3"/>
  </r>
  <r>
    <s v="SAU050-XX Senior Development Lead (Abdul)"/>
    <x v="4"/>
    <x v="3"/>
    <s v="January"/>
    <n v="2333.3333333333335"/>
    <n v="18875"/>
    <n v="7"/>
    <s v="January"/>
    <s v="Q3"/>
    <x v="3"/>
  </r>
  <r>
    <s v="SAU046-XX Delivery Manager (Alex)"/>
    <x v="4"/>
    <x v="3"/>
    <s v="January"/>
    <n v="0"/>
    <n v="18875"/>
    <n v="7"/>
    <s v="January"/>
    <s v="Q3"/>
    <x v="3"/>
  </r>
  <r>
    <s v="VICXXX SRO BRE Licensing, Implementation and MSE - ID003 Decisively 202405"/>
    <x v="4"/>
    <x v="5"/>
    <s v="January"/>
    <n v="16000"/>
    <n v="492571.42857142864"/>
    <n v="7"/>
    <s v="January"/>
    <s v="Q3"/>
    <x v="3"/>
  </r>
  <r>
    <s v="DAFXXX DAF081 Digital resources for DBD - Extension"/>
    <x v="4"/>
    <x v="1"/>
    <s v="January"/>
    <n v="35363.636333333336"/>
    <n v="106090.90900000001"/>
    <n v="7"/>
    <s v="January"/>
    <s v="Q3"/>
    <x v="3"/>
  </r>
  <r>
    <s v="ISYXXX Vic SRO (FEB26-JUN26)"/>
    <x v="4"/>
    <x v="5"/>
    <s v="January"/>
    <n v="107142.85714285714"/>
    <n v="492571.42857142864"/>
    <n v="7"/>
    <s v="January"/>
    <s v="Q3"/>
    <x v="3"/>
  </r>
  <r>
    <s v="INFXXX RFQ TechOne - ERP Products, Implementation, Operational"/>
    <x v="4"/>
    <x v="0"/>
    <s v="January"/>
    <n v="0"/>
    <n v="292427.29411764705"/>
    <n v="7"/>
    <s v="January"/>
    <s v="Q3"/>
    <x v="3"/>
  </r>
  <r>
    <s v="DAFXXX STEPS Parallel Delivery Accelerator"/>
    <x v="4"/>
    <x v="1"/>
    <s v="January"/>
    <n v="0"/>
    <n v="106090.90900000001"/>
    <n v="7"/>
    <s v="January"/>
    <s v="Q3"/>
    <x v="3"/>
  </r>
  <r>
    <s v="AFPXXX EPI-USE Roadmap"/>
    <x v="0"/>
    <x v="0"/>
    <s v="July"/>
    <n v="0"/>
    <n v="259786.72"/>
    <n v="1"/>
    <s v="July"/>
    <s v="Q1"/>
    <x v="1"/>
  </r>
  <r>
    <s v="BCG003-01 NDIA Transformation Business Case - T&amp;M"/>
    <x v="0"/>
    <x v="0"/>
    <s v="July"/>
    <n v="0"/>
    <n v="259786.72"/>
    <n v="1"/>
    <s v="July"/>
    <s v="Q1"/>
    <x v="1"/>
  </r>
  <r>
    <s v="DAF079-XX STEPS 1 Solution Designers"/>
    <x v="1"/>
    <x v="1"/>
    <s v="July"/>
    <n v="0"/>
    <n v="103139.52000000003"/>
    <n v="1"/>
    <s v="July"/>
    <s v="Q1"/>
    <x v="1"/>
  </r>
  <r>
    <s v="DAFXXX Export Service User Request - POV - Servicenow"/>
    <x v="0"/>
    <x v="1"/>
    <s v="July"/>
    <n v="0"/>
    <n v="13426.6"/>
    <n v="1"/>
    <s v="July"/>
    <s v="Q1"/>
    <x v="1"/>
  </r>
  <r>
    <s v="DAFXXX LH-04076 Senior Technical Analyst"/>
    <x v="0"/>
    <x v="1"/>
    <s v="July"/>
    <n v="0"/>
    <n v="13426.6"/>
    <n v="1"/>
    <s v="July"/>
    <s v="Q1"/>
    <x v="1"/>
  </r>
  <r>
    <s v="DAFXXX LH-04140 Delivery Manager"/>
    <x v="1"/>
    <x v="1"/>
    <s v="July"/>
    <n v="0"/>
    <n v="103139.52000000003"/>
    <n v="1"/>
    <s v="July"/>
    <s v="Q1"/>
    <x v="1"/>
  </r>
  <r>
    <s v="DAFXXX multiple Senior Software Developer 202508"/>
    <x v="1"/>
    <x v="1"/>
    <s v="July"/>
    <n v="0"/>
    <n v="103139.52000000003"/>
    <n v="1"/>
    <s v="July"/>
    <s v="Q1"/>
    <x v="1"/>
  </r>
  <r>
    <s v="DAFXXX Senior Multiple roles BA 202508"/>
    <x v="1"/>
    <x v="1"/>
    <s v="July"/>
    <n v="0"/>
    <n v="103139.52000000003"/>
    <n v="1"/>
    <s v="July"/>
    <s v="Q1"/>
    <x v="1"/>
  </r>
  <r>
    <s v="DAFXXX ServiceNow Integrated Workspace for Export (TFTM) Services"/>
    <x v="0"/>
    <x v="1"/>
    <s v="July"/>
    <n v="0"/>
    <n v="13426.6"/>
    <n v="1"/>
    <s v="July"/>
    <s v="Q1"/>
    <x v="1"/>
  </r>
  <r>
    <s v="DFAXXX RFQ Super Salary Calculation Enhancement 202504"/>
    <x v="1"/>
    <x v="0"/>
    <s v="July"/>
    <n v="0"/>
    <n v="737993.36"/>
    <n v="1"/>
    <s v="July"/>
    <s v="Q1"/>
    <x v="1"/>
  </r>
  <r>
    <s v="DOFXXX Applications Services"/>
    <x v="1"/>
    <x v="0"/>
    <s v="July"/>
    <n v="0"/>
    <n v="737993.36"/>
    <n v="1"/>
    <s v="July"/>
    <s v="Q1"/>
    <x v="1"/>
  </r>
  <r>
    <s v="DTAXXX LH-03909 - Change Manager"/>
    <x v="1"/>
    <x v="0"/>
    <s v="July"/>
    <n v="0"/>
    <n v="737993.36"/>
    <n v="1"/>
    <s v="July"/>
    <s v="Q1"/>
    <x v="1"/>
  </r>
  <r>
    <s v="FWO001 Digital Transformation CPBC - PoC"/>
    <x v="0"/>
    <x v="2"/>
    <s v="July"/>
    <n v="0"/>
    <n v="59100"/>
    <n v="1"/>
    <s v="July"/>
    <s v="Q1"/>
    <x v="1"/>
  </r>
  <r>
    <s v="FWO001 Digital Transformation CPBC - PoC Design"/>
    <x v="0"/>
    <x v="2"/>
    <s v="July"/>
    <n v="0"/>
    <n v="59100"/>
    <n v="1"/>
    <s v="July"/>
    <s v="Q1"/>
    <x v="1"/>
  </r>
  <r>
    <s v="INDXXX RFQ Portfolio Management 202508"/>
    <x v="1"/>
    <x v="2"/>
    <s v="July"/>
    <n v="0"/>
    <n v="200923.342"/>
    <n v="1"/>
    <s v="July"/>
    <s v="Q1"/>
    <x v="1"/>
  </r>
  <r>
    <s v="INDXXX RFQ Venture Capital Smartforms Transition to ServiceNow"/>
    <x v="0"/>
    <x v="2"/>
    <s v="July"/>
    <n v="0"/>
    <n v="59100"/>
    <n v="1"/>
    <s v="July"/>
    <s v="Q1"/>
    <x v="1"/>
  </r>
  <r>
    <s v="INDXXX RFQ Work, Health and Safety 202507"/>
    <x v="1"/>
    <x v="2"/>
    <s v="July"/>
    <n v="0"/>
    <n v="200923.342"/>
    <n v="1"/>
    <s v="July"/>
    <s v="Q1"/>
    <x v="1"/>
  </r>
  <r>
    <s v="LABXXX- RFQ PCS-02120 - Data Scientist Services"/>
    <x v="1"/>
    <x v="0"/>
    <s v="July"/>
    <n v="0"/>
    <n v="737993.36"/>
    <n v="1"/>
    <s v="July"/>
    <s v="Q1"/>
    <x v="1"/>
  </r>
  <r>
    <s v="PARXXX RFT RevenueSA Application Portfolio Review 202506"/>
    <x v="0"/>
    <x v="0"/>
    <s v="July"/>
    <n v="0"/>
    <n v="259786.72"/>
    <n v="1"/>
    <s v="July"/>
    <s v="Q1"/>
    <x v="1"/>
  </r>
  <r>
    <s v="PMCXXX - RFQ LH-03834 Change Managers"/>
    <x v="0"/>
    <x v="0"/>
    <s v="July"/>
    <n v="0"/>
    <n v="259786.72"/>
    <n v="1"/>
    <s v="July"/>
    <s v="Q1"/>
    <x v="1"/>
  </r>
  <r>
    <s v="QLDXXX Queensland Shared Services SAP Finance to S4 Hana Public Cloud"/>
    <x v="1"/>
    <x v="0"/>
    <s v="July"/>
    <n v="0"/>
    <n v="737993.36"/>
    <n v="1"/>
    <s v="July"/>
    <s v="Q1"/>
    <x v="1"/>
  </r>
  <r>
    <s v="SAUXXX Cyber -LH-03498 - Senior Cyber Uplift Project Manager"/>
    <x v="0"/>
    <x v="3"/>
    <s v="July"/>
    <n v="0"/>
    <n v="81480.160000000003"/>
    <n v="1"/>
    <s v="July"/>
    <s v="Q1"/>
    <x v="1"/>
  </r>
  <r>
    <s v="SAUXXX Cyber -LH-03543 - Manager Cyber Uplift Project Manager"/>
    <x v="0"/>
    <x v="3"/>
    <s v="July"/>
    <n v="0"/>
    <n v="81480.160000000003"/>
    <n v="1"/>
    <s v="July"/>
    <s v="Q1"/>
    <x v="1"/>
  </r>
  <r>
    <s v="SAUXXX Cyber -LH-03556 - Cyber Uplift Scrum Master"/>
    <x v="0"/>
    <x v="3"/>
    <s v="July"/>
    <n v="0"/>
    <n v="81480.160000000003"/>
    <n v="1"/>
    <s v="July"/>
    <s v="Q1"/>
    <x v="1"/>
  </r>
  <r>
    <s v="SAUXXX Cyber -LH-03562 - Senior Business Analyst"/>
    <x v="0"/>
    <x v="3"/>
    <s v="July"/>
    <n v="0"/>
    <n v="81480.160000000003"/>
    <n v="1"/>
    <s v="July"/>
    <s v="Q1"/>
    <x v="1"/>
  </r>
  <r>
    <s v="SAUXXX RFQ Identity Mgt System Integration 202506"/>
    <x v="1"/>
    <x v="3"/>
    <s v="July"/>
    <n v="0"/>
    <n v="524152.24"/>
    <n v="1"/>
    <s v="July"/>
    <s v="Q1"/>
    <x v="1"/>
  </r>
  <r>
    <s v="SAUXXX RFQ Support end-to-end Investment Proposal and BC"/>
    <x v="1"/>
    <x v="3"/>
    <s v="July"/>
    <n v="0"/>
    <n v="524152.24"/>
    <n v="1"/>
    <s v="July"/>
    <s v="Q1"/>
    <x v="1"/>
  </r>
  <r>
    <s v="SAUXXX RFQLH-02645 IT Infrastructure Engineer"/>
    <x v="1"/>
    <x v="3"/>
    <s v="July"/>
    <n v="0"/>
    <n v="524152.24"/>
    <n v="1"/>
    <s v="July"/>
    <s v="Q1"/>
    <x v="1"/>
  </r>
  <r>
    <s v="SAUXXX RFQLH-02946 1 Senior Software Engineer"/>
    <x v="1"/>
    <x v="3"/>
    <s v="July"/>
    <n v="0"/>
    <n v="524152.24"/>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m/>
    <x v="2"/>
    <x v="4"/>
    <s v="July"/>
    <n v="0"/>
    <n v="0"/>
    <n v="1"/>
    <s v="July"/>
    <s v="Q1"/>
    <x v="1"/>
  </r>
  <r>
    <s v="BCG003 NDIA Transformation Business Case"/>
    <x v="3"/>
    <x v="0"/>
    <s v="July"/>
    <n v="0"/>
    <n v="636245.88000000012"/>
    <n v="1"/>
    <s v="July"/>
    <s v="Q1"/>
    <x v="1"/>
  </r>
  <r>
    <s v="COS001-01 DOH IWOW Target Architecture"/>
    <x v="3"/>
    <x v="0"/>
    <s v="July"/>
    <n v="70308.160000000149"/>
    <n v="636245.88000000012"/>
    <n v="1"/>
    <s v="July"/>
    <s v="Q1"/>
    <x v="1"/>
  </r>
  <r>
    <s v="DAF079-01 Digital and Agile STEPS Program"/>
    <x v="3"/>
    <x v="1"/>
    <s v="July"/>
    <n v="63380.070000000123"/>
    <n v="367746.86500000017"/>
    <n v="1"/>
    <s v="July"/>
    <s v="Q1"/>
    <x v="1"/>
  </r>
  <r>
    <s v="DAF080-03 STEPS - Strategic Support"/>
    <x v="3"/>
    <x v="1"/>
    <s v="July"/>
    <n v="70593.5"/>
    <n v="367746.86500000017"/>
    <n v="1"/>
    <s v="July"/>
    <s v="Q1"/>
    <x v="1"/>
  </r>
  <r>
    <s v="DAF080-04 Industry API Accelerator"/>
    <x v="3"/>
    <x v="1"/>
    <s v="July"/>
    <n v="42984.340000000026"/>
    <n v="367746.86500000017"/>
    <n v="1"/>
    <s v="July"/>
    <s v="Q1"/>
    <x v="1"/>
  </r>
  <r>
    <s v="DAF080-XX STEPS - Head Contract"/>
    <x v="3"/>
    <x v="1"/>
    <s v="July"/>
    <n v="0"/>
    <n v="367746.86500000017"/>
    <n v="1"/>
    <s v="July"/>
    <s v="Q1"/>
    <x v="1"/>
  </r>
  <r>
    <s v="DAF081 Digital resources for DBD - Head Contract"/>
    <x v="3"/>
    <x v="1"/>
    <s v="July"/>
    <n v="0"/>
    <n v="367746.86500000017"/>
    <n v="1"/>
    <s v="July"/>
    <s v="Q1"/>
    <x v="1"/>
  </r>
  <r>
    <s v="DAF081-05 DBD Business Analyst (Kev)"/>
    <x v="3"/>
    <x v="1"/>
    <s v="July"/>
    <n v="7162.2900000000081"/>
    <n v="367746.86500000017"/>
    <n v="1"/>
    <s v="July"/>
    <s v="Q1"/>
    <x v="1"/>
  </r>
  <r>
    <s v="DAF081-06 DBD Test Analyst (Vinnie)"/>
    <x v="3"/>
    <x v="1"/>
    <s v="July"/>
    <n v="2272.1599999999926"/>
    <n v="367746.86500000017"/>
    <n v="1"/>
    <s v="July"/>
    <s v="Q1"/>
    <x v="1"/>
  </r>
  <r>
    <s v="DAF081-07 DBD System Analyst (Amit)"/>
    <x v="3"/>
    <x v="1"/>
    <s v="July"/>
    <n v="4062.720000000003"/>
    <n v="367746.86500000017"/>
    <n v="1"/>
    <s v="July"/>
    <s v="Q1"/>
    <x v="1"/>
  </r>
  <r>
    <s v="DAF081-08 DBD Business Analyst (Raheem)"/>
    <x v="3"/>
    <x v="1"/>
    <s v="July"/>
    <n v="6607.4399999999951"/>
    <n v="367746.86500000017"/>
    <n v="1"/>
    <s v="July"/>
    <s v="Q1"/>
    <x v="1"/>
  </r>
  <r>
    <s v="DAF081-09 Technical Lead (Phani)"/>
    <x v="3"/>
    <x v="1"/>
    <s v="July"/>
    <n v="3905"/>
    <n v="367746.86500000017"/>
    <n v="1"/>
    <s v="July"/>
    <s v="Q1"/>
    <x v="1"/>
  </r>
  <r>
    <s v="DCC001-05 SAP Tech Specialist (Husain)"/>
    <x v="3"/>
    <x v="0"/>
    <s v="July"/>
    <n v="10208"/>
    <n v="636245.88000000012"/>
    <n v="1"/>
    <s v="July"/>
    <s v="Q1"/>
    <x v="1"/>
  </r>
  <r>
    <s v="DHA002-01 Senior Pega System Developer (Giribabu)"/>
    <x v="3"/>
    <x v="0"/>
    <s v="July"/>
    <n v="2024"/>
    <n v="636245.88000000012"/>
    <n v="1"/>
    <s v="July"/>
    <s v="Q1"/>
    <x v="1"/>
  </r>
  <r>
    <s v="FWO001 Digital Transformation CPBC"/>
    <x v="3"/>
    <x v="0"/>
    <s v="July"/>
    <n v="0"/>
    <n v="636245.88000000012"/>
    <n v="1"/>
    <s v="July"/>
    <s v="Q1"/>
    <x v="1"/>
  </r>
  <r>
    <s v="IND002 AI Integration in ServiceNow"/>
    <x v="3"/>
    <x v="0"/>
    <s v="July"/>
    <n v="7094.5"/>
    <n v="636245.88000000012"/>
    <n v="1"/>
    <s v="July"/>
    <s v="Q1"/>
    <x v="1"/>
  </r>
  <r>
    <s v="ISY009-01 Vic SRO T3 (Pre-project)"/>
    <x v="3"/>
    <x v="5"/>
    <s v="July"/>
    <n v="0"/>
    <n v="599006.57440000027"/>
    <n v="1"/>
    <s v="July"/>
    <s v="Q1"/>
    <x v="1"/>
  </r>
  <r>
    <s v="ISY010 Vic SRO T3"/>
    <x v="3"/>
    <x v="5"/>
    <s v="July"/>
    <n v="0"/>
    <n v="599006.57440000027"/>
    <n v="1"/>
    <s v="July"/>
    <s v="Q1"/>
    <x v="1"/>
  </r>
  <r>
    <s v="NQS005-02 DART Recalibration"/>
    <x v="3"/>
    <x v="0"/>
    <s v="July"/>
    <n v="0"/>
    <n v="636245.88000000012"/>
    <n v="1"/>
    <s v="July"/>
    <s v="Q1"/>
    <x v="1"/>
  </r>
  <r>
    <s v="NQS005-03 DART Benefits Review and Preparation"/>
    <x v="3"/>
    <x v="0"/>
    <s v="July"/>
    <n v="5131.6100000000006"/>
    <n v="636245.88000000012"/>
    <n v="1"/>
    <s v="July"/>
    <s v="Q1"/>
    <x v="1"/>
  </r>
  <r>
    <s v="SAU043-03 Cyber Security (Ben)"/>
    <x v="3"/>
    <x v="3"/>
    <s v="July"/>
    <n v="3036"/>
    <n v="254540.19000000003"/>
    <n v="1"/>
    <s v="July"/>
    <s v="Q1"/>
    <x v="1"/>
  </r>
  <r>
    <s v="SAU044-03 Senior Development Expert (Nadh)"/>
    <x v="3"/>
    <x v="3"/>
    <s v="July"/>
    <n v="6536"/>
    <n v="254540.19000000003"/>
    <n v="1"/>
    <s v="July"/>
    <s v="Q1"/>
    <x v="1"/>
  </r>
  <r>
    <s v="SAU045-02 Senior Technology Architect (Sidd)"/>
    <x v="3"/>
    <x v="3"/>
    <s v="July"/>
    <n v="6552"/>
    <n v="254540.19000000003"/>
    <n v="1"/>
    <s v="July"/>
    <s v="Q1"/>
    <x v="1"/>
  </r>
  <r>
    <s v="SAU046-02 Delivery Manager (Alex)"/>
    <x v="3"/>
    <x v="3"/>
    <s v="July"/>
    <n v="15320"/>
    <n v="254540.19000000003"/>
    <n v="1"/>
    <s v="July"/>
    <s v="Q1"/>
    <x v="1"/>
  </r>
  <r>
    <s v="SAU048-01 System Analyst (Meenal)"/>
    <x v="3"/>
    <x v="3"/>
    <s v="July"/>
    <n v="1283.4000000000124"/>
    <n v="254540.19000000003"/>
    <n v="1"/>
    <s v="July"/>
    <s v="Q1"/>
    <x v="1"/>
  </r>
  <r>
    <s v="SAU048-02 System Analyst (Meenal)"/>
    <x v="3"/>
    <x v="3"/>
    <s v="July"/>
    <n v="0"/>
    <n v="254540.19000000003"/>
    <n v="1"/>
    <s v="July"/>
    <s v="Q1"/>
    <x v="1"/>
  </r>
  <r>
    <s v="SAU049-01 Functional Development Expert (Shefali)"/>
    <x v="3"/>
    <x v="3"/>
    <s v="July"/>
    <n v="1334"/>
    <n v="254540.19000000003"/>
    <n v="1"/>
    <s v="July"/>
    <s v="Q1"/>
    <x v="1"/>
  </r>
  <r>
    <s v="SAU050-01 Senior Development Lead (Abdul)"/>
    <x v="3"/>
    <x v="3"/>
    <s v="July"/>
    <n v="2496"/>
    <n v="254540.19000000003"/>
    <n v="1"/>
    <s v="July"/>
    <s v="Q1"/>
    <x v="1"/>
  </r>
  <r>
    <s v="SAU052 Senior Solution Architect (Aniket)"/>
    <x v="3"/>
    <x v="3"/>
    <s v="July"/>
    <n v="4669.9199999999837"/>
    <n v="254540.19000000003"/>
    <n v="1"/>
    <s v="July"/>
    <s v="Q1"/>
    <x v="1"/>
  </r>
  <r>
    <s v="SAU053 Principal Software Engineer (Sheelesh)"/>
    <x v="3"/>
    <x v="3"/>
    <s v="July"/>
    <n v="5980.0000000000073"/>
    <n v="254540.19000000003"/>
    <n v="1"/>
    <s v="July"/>
    <s v="Q1"/>
    <x v="1"/>
  </r>
  <r>
    <s v="SAU054 Principal Software Engineer (Tejas)"/>
    <x v="3"/>
    <x v="3"/>
    <s v="July"/>
    <n v="5929.68"/>
    <n v="254540.19000000003"/>
    <n v="1"/>
    <s v="July"/>
    <s v="Q1"/>
    <x v="1"/>
  </r>
  <r>
    <s v="SAU055 Principal Software Engineer (Karan)"/>
    <x v="3"/>
    <x v="3"/>
    <s v="July"/>
    <n v="5978.3900000000212"/>
    <n v="254540.19000000003"/>
    <n v="1"/>
    <s v="July"/>
    <s v="Q1"/>
    <x v="1"/>
  </r>
  <r>
    <s v="SAU056 Principal Software Engineer (Ankit)"/>
    <x v="3"/>
    <x v="3"/>
    <s v="July"/>
    <n v="5118.7200000000157"/>
    <n v="254540.19000000003"/>
    <n v="1"/>
    <s v="July"/>
    <s v="Q1"/>
    <x v="1"/>
  </r>
  <r>
    <s v="SAU057 Principal Software Engineer (Asit)"/>
    <x v="3"/>
    <x v="3"/>
    <s v="July"/>
    <n v="5867.7600000000311"/>
    <n v="254540.19000000003"/>
    <n v="1"/>
    <s v="July"/>
    <s v="Q1"/>
    <x v="1"/>
  </r>
  <r>
    <s v="TAL001-02 Senior Enterprise Architect (Akshay)"/>
    <x v="3"/>
    <x v="3"/>
    <s v="July"/>
    <n v="7360"/>
    <n v="254540.19000000003"/>
    <n v="1"/>
    <s v="July"/>
    <s v="Q1"/>
    <x v="1"/>
  </r>
  <r>
    <s v="SAU049-XX Functional Development Expert (Shefali)"/>
    <x v="4"/>
    <x v="3"/>
    <s v="July"/>
    <n v="0"/>
    <n v="18875"/>
    <n v="1"/>
    <s v="July"/>
    <s v="Q1"/>
    <x v="1"/>
  </r>
  <r>
    <s v="SAU050-XX Senior Development Lead (Abdul)"/>
    <x v="4"/>
    <x v="3"/>
    <s v="July"/>
    <n v="0"/>
    <n v="18875"/>
    <n v="1"/>
    <s v="July"/>
    <s v="Q1"/>
    <x v="1"/>
  </r>
  <r>
    <s v="SAU046-XX Delivery Manager (Alex)"/>
    <x v="4"/>
    <x v="3"/>
    <s v="July"/>
    <n v="0"/>
    <n v="18875"/>
    <n v="1"/>
    <s v="July"/>
    <s v="Q1"/>
    <x v="1"/>
  </r>
  <r>
    <s v="VICXXX SRO BRE Licensing, Implementation and MSE - ID003 Decisively 202405"/>
    <x v="4"/>
    <x v="5"/>
    <s v="July"/>
    <n v="0"/>
    <n v="492571.42857142864"/>
    <n v="1"/>
    <s v="July"/>
    <s v="Q1"/>
    <x v="1"/>
  </r>
  <r>
    <s v="DAFXXX DAF081 Digital resources for DBD - Extension"/>
    <x v="4"/>
    <x v="1"/>
    <s v="July"/>
    <n v="0"/>
    <n v="106090.90900000001"/>
    <n v="1"/>
    <s v="July"/>
    <s v="Q1"/>
    <x v="1"/>
  </r>
  <r>
    <s v="ISYXXX Vic SRO (FEB26-JUN26)"/>
    <x v="4"/>
    <x v="5"/>
    <s v="July"/>
    <n v="0"/>
    <n v="492571.42857142864"/>
    <n v="1"/>
    <s v="July"/>
    <s v="Q1"/>
    <x v="1"/>
  </r>
  <r>
    <s v="INFXXX RFQ TechOne - ERP Products, Implementation, Operational"/>
    <x v="4"/>
    <x v="0"/>
    <s v="July"/>
    <n v="0"/>
    <n v="292427.29411764705"/>
    <n v="1"/>
    <s v="July"/>
    <s v="Q1"/>
    <x v="1"/>
  </r>
  <r>
    <s v="DAFXXX STEPS Parallel Delivery Accelerator"/>
    <x v="4"/>
    <x v="1"/>
    <s v="July"/>
    <n v="0"/>
    <n v="106090.90900000001"/>
    <n v="1"/>
    <s v="July"/>
    <s v="Q1"/>
    <x v="1"/>
  </r>
  <r>
    <s v="AFPXXX EPI-USE Roadmap"/>
    <x v="0"/>
    <x v="0"/>
    <s v="June"/>
    <n v="0"/>
    <n v="234288"/>
    <n v="12"/>
    <s v="June"/>
    <s v="Q4"/>
    <x v="0"/>
  </r>
  <r>
    <s v="BCG003-01 NDIA Transformation Business Case - T&amp;M"/>
    <x v="0"/>
    <x v="0"/>
    <s v="June"/>
    <n v="0"/>
    <n v="234288"/>
    <n v="12"/>
    <s v="June"/>
    <s v="Q4"/>
    <x v="0"/>
  </r>
  <r>
    <s v="DAF079-XX STEPS 1 Solution Designers"/>
    <x v="1"/>
    <x v="1"/>
    <s v="June"/>
    <n v="0"/>
    <n v="132456.80000000005"/>
    <n v="12"/>
    <s v="June"/>
    <s v="Q4"/>
    <x v="0"/>
  </r>
  <r>
    <s v="DAFXXX Export Service User Request - POV - Servicenow"/>
    <x v="0"/>
    <x v="1"/>
    <s v="June"/>
    <n v="0"/>
    <n v="17290.599999999999"/>
    <n v="12"/>
    <s v="June"/>
    <s v="Q4"/>
    <x v="0"/>
  </r>
  <r>
    <s v="DAFXXX LH-04076 Senior Technical Analyst"/>
    <x v="0"/>
    <x v="1"/>
    <s v="June"/>
    <n v="3864"/>
    <n v="17290.599999999999"/>
    <n v="12"/>
    <s v="June"/>
    <s v="Q4"/>
    <x v="0"/>
  </r>
  <r>
    <s v="DAFXXX LH-04140 Delivery Manager"/>
    <x v="1"/>
    <x v="1"/>
    <s v="June"/>
    <n v="6103.279999999997"/>
    <n v="132456.80000000005"/>
    <n v="12"/>
    <s v="June"/>
    <s v="Q4"/>
    <x v="0"/>
  </r>
  <r>
    <s v="DAFXXX multiple Senior Software Developer 202508"/>
    <x v="1"/>
    <x v="1"/>
    <s v="June"/>
    <n v="12134.000000000007"/>
    <n v="132456.80000000005"/>
    <n v="12"/>
    <s v="June"/>
    <s v="Q4"/>
    <x v="0"/>
  </r>
  <r>
    <s v="DAFXXX Senior Multiple roles BA 202508"/>
    <x v="1"/>
    <x v="1"/>
    <s v="June"/>
    <n v="11080.000000000004"/>
    <n v="132456.80000000005"/>
    <n v="12"/>
    <s v="June"/>
    <s v="Q4"/>
    <x v="0"/>
  </r>
  <r>
    <s v="DAFXXX ServiceNow Integrated Workspace for Export (TFTM) Services"/>
    <x v="0"/>
    <x v="1"/>
    <s v="June"/>
    <n v="0"/>
    <n v="17290.599999999999"/>
    <n v="12"/>
    <s v="June"/>
    <s v="Q4"/>
    <x v="0"/>
  </r>
  <r>
    <s v="DFAXXX RFQ Super Salary Calculation Enhancement 202504"/>
    <x v="1"/>
    <x v="0"/>
    <s v="June"/>
    <n v="0"/>
    <n v="789225.36"/>
    <n v="12"/>
    <s v="June"/>
    <s v="Q4"/>
    <x v="0"/>
  </r>
  <r>
    <s v="DOFXXX Applications Services"/>
    <x v="1"/>
    <x v="0"/>
    <s v="June"/>
    <n v="0"/>
    <n v="789225.36"/>
    <n v="12"/>
    <s v="June"/>
    <s v="Q4"/>
    <x v="0"/>
  </r>
  <r>
    <s v="DTAXXX LH-03909 - Change Manager"/>
    <x v="1"/>
    <x v="0"/>
    <s v="June"/>
    <n v="0"/>
    <n v="789225.36"/>
    <n v="12"/>
    <s v="June"/>
    <s v="Q4"/>
    <x v="0"/>
  </r>
  <r>
    <s v="FWO001 Digital Transformation CPBC - PoC"/>
    <x v="0"/>
    <x v="2"/>
    <s v="June"/>
    <n v="0"/>
    <n v="59100"/>
    <n v="12"/>
    <s v="June"/>
    <s v="Q4"/>
    <x v="0"/>
  </r>
  <r>
    <s v="FWO001 Digital Transformation CPBC - PoC Design"/>
    <x v="0"/>
    <x v="2"/>
    <s v="June"/>
    <n v="0"/>
    <n v="59100"/>
    <n v="12"/>
    <s v="June"/>
    <s v="Q4"/>
    <x v="0"/>
  </r>
  <r>
    <s v="INDXXX RFQ Portfolio Management 202508"/>
    <x v="1"/>
    <x v="2"/>
    <s v="June"/>
    <n v="0"/>
    <n v="200923.342"/>
    <n v="12"/>
    <s v="June"/>
    <s v="Q4"/>
    <x v="0"/>
  </r>
  <r>
    <s v="INDXXX RFQ Venture Capital Smartforms Transition to ServiceNow"/>
    <x v="0"/>
    <x v="2"/>
    <s v="June"/>
    <n v="0"/>
    <n v="59100"/>
    <n v="12"/>
    <s v="June"/>
    <s v="Q4"/>
    <x v="0"/>
  </r>
  <r>
    <s v="INDXXX RFQ Work, Health and Safety 202507"/>
    <x v="1"/>
    <x v="2"/>
    <s v="June"/>
    <n v="0"/>
    <n v="200923.342"/>
    <n v="12"/>
    <s v="June"/>
    <s v="Q4"/>
    <x v="0"/>
  </r>
  <r>
    <s v="LABXXX- RFQ PCS-02120 - Data Scientist Services"/>
    <x v="1"/>
    <x v="0"/>
    <s v="June"/>
    <n v="39456"/>
    <n v="789225.36"/>
    <n v="12"/>
    <s v="June"/>
    <s v="Q4"/>
    <x v="0"/>
  </r>
  <r>
    <s v="PARXXX RFT RevenueSA Application Portfolio Review 202506"/>
    <x v="0"/>
    <x v="0"/>
    <s v="June"/>
    <n v="0"/>
    <n v="234288"/>
    <n v="12"/>
    <s v="June"/>
    <s v="Q4"/>
    <x v="0"/>
  </r>
  <r>
    <s v="PMCXXX - RFQ LH-03834 Change Managers"/>
    <x v="0"/>
    <x v="0"/>
    <s v="June"/>
    <n v="-25498.720000000001"/>
    <n v="234288"/>
    <n v="12"/>
    <s v="June"/>
    <s v="Q4"/>
    <x v="0"/>
  </r>
  <r>
    <s v="QLDXXX Queensland Shared Services SAP Finance to S4 Hana Public Cloud"/>
    <x v="1"/>
    <x v="0"/>
    <s v="June"/>
    <n v="11776"/>
    <n v="789225.36"/>
    <n v="12"/>
    <s v="June"/>
    <s v="Q4"/>
    <x v="0"/>
  </r>
  <r>
    <s v="SAUXXX Cyber -LH-03498 - Senior Cyber Uplift Project Manager"/>
    <x v="0"/>
    <x v="3"/>
    <s v="June"/>
    <n v="9365.6"/>
    <n v="108692.16"/>
    <n v="12"/>
    <s v="June"/>
    <s v="Q4"/>
    <x v="0"/>
  </r>
  <r>
    <s v="SAUXXX Cyber -LH-03543 - Manager Cyber Uplift Project Manager"/>
    <x v="0"/>
    <x v="3"/>
    <s v="June"/>
    <n v="5486.3999999999978"/>
    <n v="108692.16"/>
    <n v="12"/>
    <s v="June"/>
    <s v="Q4"/>
    <x v="0"/>
  </r>
  <r>
    <s v="SAUXXX Cyber -LH-03556 - Cyber Uplift Scrum Master"/>
    <x v="0"/>
    <x v="3"/>
    <s v="June"/>
    <n v="9881.5999999999985"/>
    <n v="108692.16"/>
    <n v="12"/>
    <s v="June"/>
    <s v="Q4"/>
    <x v="0"/>
  </r>
  <r>
    <s v="SAUXXX Cyber -LH-03562 - Senior Business Analyst"/>
    <x v="0"/>
    <x v="3"/>
    <s v="June"/>
    <n v="2478.4000000000015"/>
    <n v="108692.16"/>
    <n v="12"/>
    <s v="June"/>
    <s v="Q4"/>
    <x v="0"/>
  </r>
  <r>
    <s v="SAUXXX RFQ Identity Mgt System Integration 202506"/>
    <x v="1"/>
    <x v="3"/>
    <s v="June"/>
    <n v="77792.639999999985"/>
    <n v="625073.36"/>
    <n v="12"/>
    <s v="June"/>
    <s v="Q4"/>
    <x v="0"/>
  </r>
  <r>
    <s v="SAUXXX RFQ Support end-to-end Investment Proposal and BC"/>
    <x v="1"/>
    <x v="3"/>
    <s v="June"/>
    <n v="0"/>
    <n v="625073.36"/>
    <n v="12"/>
    <s v="June"/>
    <s v="Q4"/>
    <x v="0"/>
  </r>
  <r>
    <s v="SAUXXX RFQLH-02645 IT Infrastructure Engineer"/>
    <x v="1"/>
    <x v="3"/>
    <s v="June"/>
    <n v="13520"/>
    <n v="625073.36"/>
    <n v="12"/>
    <s v="June"/>
    <s v="Q4"/>
    <x v="0"/>
  </r>
  <r>
    <s v="SAUXXX RFQLH-02946 1 Senior Software Engineer"/>
    <x v="1"/>
    <x v="3"/>
    <s v="June"/>
    <n v="9608.4800000000014"/>
    <n v="625073.36"/>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m/>
    <x v="2"/>
    <x v="4"/>
    <s v="June"/>
    <n v="0"/>
    <n v="0"/>
    <n v="12"/>
    <s v="June"/>
    <s v="Q4"/>
    <x v="0"/>
  </r>
  <r>
    <s v="BCG003 NDIA Transformation Business Case"/>
    <x v="3"/>
    <x v="0"/>
    <s v="June"/>
    <n v="0"/>
    <n v="638085.88000000012"/>
    <n v="12"/>
    <s v="June"/>
    <s v="Q4"/>
    <x v="0"/>
  </r>
  <r>
    <s v="COS001-01 DOH IWOW Target Architecture"/>
    <x v="3"/>
    <x v="0"/>
    <s v="June"/>
    <n v="0"/>
    <n v="638085.88000000012"/>
    <n v="12"/>
    <s v="June"/>
    <s v="Q4"/>
    <x v="0"/>
  </r>
  <r>
    <s v="DAF079-01 Digital and Agile STEPS Program"/>
    <x v="3"/>
    <x v="1"/>
    <s v="June"/>
    <n v="0"/>
    <n v="367746.86500000017"/>
    <n v="12"/>
    <s v="June"/>
    <s v="Q4"/>
    <x v="0"/>
  </r>
  <r>
    <s v="DAF080-03 STEPS - Strategic Support"/>
    <x v="3"/>
    <x v="1"/>
    <s v="June"/>
    <n v="0"/>
    <n v="367746.86500000017"/>
    <n v="12"/>
    <s v="June"/>
    <s v="Q4"/>
    <x v="0"/>
  </r>
  <r>
    <s v="DAF080-04 Industry API Accelerator"/>
    <x v="3"/>
    <x v="1"/>
    <s v="June"/>
    <n v="0"/>
    <n v="367746.86500000017"/>
    <n v="12"/>
    <s v="June"/>
    <s v="Q4"/>
    <x v="0"/>
  </r>
  <r>
    <s v="DAF080-XX STEPS - Head Contract"/>
    <x v="3"/>
    <x v="1"/>
    <s v="June"/>
    <n v="0"/>
    <n v="367746.86500000017"/>
    <n v="12"/>
    <s v="June"/>
    <s v="Q4"/>
    <x v="0"/>
  </r>
  <r>
    <s v="DAF081 Digital resources for DBD - Head Contract"/>
    <x v="3"/>
    <x v="1"/>
    <s v="June"/>
    <n v="0"/>
    <n v="367746.86500000017"/>
    <n v="12"/>
    <s v="June"/>
    <s v="Q4"/>
    <x v="0"/>
  </r>
  <r>
    <s v="DAF081-05 DBD Business Analyst (Kev)"/>
    <x v="3"/>
    <x v="1"/>
    <s v="June"/>
    <n v="0"/>
    <n v="367746.86500000017"/>
    <n v="12"/>
    <s v="June"/>
    <s v="Q4"/>
    <x v="0"/>
  </r>
  <r>
    <s v="DAF081-06 DBD Test Analyst (Vinnie)"/>
    <x v="3"/>
    <x v="1"/>
    <s v="June"/>
    <n v="0"/>
    <n v="367746.86500000017"/>
    <n v="12"/>
    <s v="June"/>
    <s v="Q4"/>
    <x v="0"/>
  </r>
  <r>
    <s v="DAF081-07 DBD System Analyst (Amit)"/>
    <x v="3"/>
    <x v="1"/>
    <s v="June"/>
    <n v="0"/>
    <n v="367746.86500000017"/>
    <n v="12"/>
    <s v="June"/>
    <s v="Q4"/>
    <x v="0"/>
  </r>
  <r>
    <s v="DAF081-08 DBD Business Analyst (Raheem)"/>
    <x v="3"/>
    <x v="1"/>
    <s v="June"/>
    <n v="0"/>
    <n v="367746.86500000017"/>
    <n v="12"/>
    <s v="June"/>
    <s v="Q4"/>
    <x v="0"/>
  </r>
  <r>
    <s v="DAF081-09 Technical Lead (Phani)"/>
    <x v="3"/>
    <x v="1"/>
    <s v="June"/>
    <n v="0"/>
    <n v="367746.86500000017"/>
    <n v="12"/>
    <s v="June"/>
    <s v="Q4"/>
    <x v="0"/>
  </r>
  <r>
    <s v="DCC001-05 SAP Tech Specialist (Husain)"/>
    <x v="3"/>
    <x v="0"/>
    <s v="June"/>
    <n v="0"/>
    <n v="638085.88000000012"/>
    <n v="12"/>
    <s v="June"/>
    <s v="Q4"/>
    <x v="0"/>
  </r>
  <r>
    <s v="DHA002-01 Senior Pega System Developer (Giribabu)"/>
    <x v="3"/>
    <x v="0"/>
    <s v="June"/>
    <n v="1840"/>
    <n v="638085.88000000012"/>
    <n v="12"/>
    <s v="June"/>
    <s v="Q4"/>
    <x v="0"/>
  </r>
  <r>
    <s v="FWO001 Digital Transformation CPBC"/>
    <x v="3"/>
    <x v="0"/>
    <s v="June"/>
    <n v="0"/>
    <n v="638085.88000000012"/>
    <n v="12"/>
    <s v="June"/>
    <s v="Q4"/>
    <x v="0"/>
  </r>
  <r>
    <s v="IND002 AI Integration in ServiceNow"/>
    <x v="3"/>
    <x v="0"/>
    <s v="June"/>
    <n v="0"/>
    <n v="638085.88000000012"/>
    <n v="12"/>
    <s v="June"/>
    <s v="Q4"/>
    <x v="0"/>
  </r>
  <r>
    <s v="ISY009-01 Vic SRO T3 (Pre-project)"/>
    <x v="3"/>
    <x v="5"/>
    <s v="June"/>
    <n v="0"/>
    <n v="599006.57440000027"/>
    <n v="12"/>
    <s v="June"/>
    <s v="Q4"/>
    <x v="0"/>
  </r>
  <r>
    <s v="ISY010 Vic SRO T3"/>
    <x v="3"/>
    <x v="5"/>
    <s v="June"/>
    <n v="0"/>
    <n v="599006.57440000027"/>
    <n v="12"/>
    <s v="June"/>
    <s v="Q4"/>
    <x v="0"/>
  </r>
  <r>
    <s v="NQS005-02 DART Recalibration"/>
    <x v="3"/>
    <x v="0"/>
    <s v="June"/>
    <n v="0"/>
    <n v="638085.88000000012"/>
    <n v="12"/>
    <s v="June"/>
    <s v="Q4"/>
    <x v="0"/>
  </r>
  <r>
    <s v="NQS005-03 DART Benefits Review and Preparation"/>
    <x v="3"/>
    <x v="0"/>
    <s v="June"/>
    <n v="0"/>
    <n v="638085.88000000012"/>
    <n v="12"/>
    <s v="June"/>
    <s v="Q4"/>
    <x v="0"/>
  </r>
  <r>
    <s v="SAU043-03 Cyber Security (Ben)"/>
    <x v="3"/>
    <x v="3"/>
    <s v="June"/>
    <n v="4232"/>
    <n v="285191.39"/>
    <n v="12"/>
    <s v="June"/>
    <s v="Q4"/>
    <x v="0"/>
  </r>
  <r>
    <s v="SAU044-03 Senior Development Expert (Nadh)"/>
    <x v="3"/>
    <x v="3"/>
    <s v="June"/>
    <n v="0"/>
    <n v="285191.39"/>
    <n v="12"/>
    <s v="June"/>
    <s v="Q4"/>
    <x v="0"/>
  </r>
  <r>
    <s v="SAU045-02 Senior Technology Architect (Sidd)"/>
    <x v="3"/>
    <x v="3"/>
    <s v="June"/>
    <n v="0"/>
    <n v="285191.39"/>
    <n v="12"/>
    <s v="June"/>
    <s v="Q4"/>
    <x v="0"/>
  </r>
  <r>
    <s v="SAU046-02 Delivery Manager (Alex)"/>
    <x v="3"/>
    <x v="3"/>
    <s v="June"/>
    <n v="0"/>
    <n v="285191.39"/>
    <n v="12"/>
    <s v="June"/>
    <s v="Q4"/>
    <x v="0"/>
  </r>
  <r>
    <s v="SAU048-01 System Analyst (Meenal)"/>
    <x v="3"/>
    <x v="3"/>
    <s v="June"/>
    <n v="0"/>
    <n v="285191.39"/>
    <n v="12"/>
    <s v="June"/>
    <s v="Q4"/>
    <x v="0"/>
  </r>
  <r>
    <s v="SAU048-02 System Analyst (Meenal)"/>
    <x v="3"/>
    <x v="3"/>
    <s v="June"/>
    <n v="1139.1999999999971"/>
    <n v="285191.39"/>
    <n v="12"/>
    <s v="June"/>
    <s v="Q4"/>
    <x v="0"/>
  </r>
  <r>
    <s v="SAU049-01 Functional Development Expert (Shefali)"/>
    <x v="3"/>
    <x v="3"/>
    <s v="June"/>
    <n v="0"/>
    <n v="285191.39"/>
    <n v="12"/>
    <s v="June"/>
    <s v="Q4"/>
    <x v="0"/>
  </r>
  <r>
    <s v="SAU050-01 Senior Development Lead (Abdul)"/>
    <x v="3"/>
    <x v="3"/>
    <s v="June"/>
    <n v="0"/>
    <n v="285191.39"/>
    <n v="12"/>
    <s v="June"/>
    <s v="Q4"/>
    <x v="0"/>
  </r>
  <r>
    <s v="SAU052 Senior Solution Architect (Aniket)"/>
    <x v="3"/>
    <x v="3"/>
    <s v="June"/>
    <n v="0"/>
    <n v="285191.39"/>
    <n v="12"/>
    <s v="June"/>
    <s v="Q4"/>
    <x v="0"/>
  </r>
  <r>
    <s v="SAU053 Principal Software Engineer (Sheelesh)"/>
    <x v="3"/>
    <x v="3"/>
    <s v="June"/>
    <n v="5200.0000000000036"/>
    <n v="285191.39"/>
    <n v="12"/>
    <s v="June"/>
    <s v="Q4"/>
    <x v="0"/>
  </r>
  <r>
    <s v="SAU054 Principal Software Engineer (Tejas)"/>
    <x v="3"/>
    <x v="3"/>
    <s v="June"/>
    <n v="5100.7999999999993"/>
    <n v="285191.39"/>
    <n v="12"/>
    <s v="June"/>
    <s v="Q4"/>
    <x v="0"/>
  </r>
  <r>
    <s v="SAU055 Principal Software Engineer (Karan)"/>
    <x v="3"/>
    <x v="3"/>
    <s v="June"/>
    <n v="5115.2000000000007"/>
    <n v="285191.39"/>
    <n v="12"/>
    <s v="June"/>
    <s v="Q4"/>
    <x v="0"/>
  </r>
  <r>
    <s v="SAU056 Principal Software Engineer (Ankit)"/>
    <x v="3"/>
    <x v="3"/>
    <s v="June"/>
    <n v="4761.6000000000022"/>
    <n v="285191.39"/>
    <n v="12"/>
    <s v="June"/>
    <s v="Q4"/>
    <x v="0"/>
  </r>
  <r>
    <s v="SAU057 Principal Software Engineer (Asit)"/>
    <x v="3"/>
    <x v="3"/>
    <s v="June"/>
    <n v="5102.4000000000051"/>
    <n v="285191.39"/>
    <n v="12"/>
    <s v="June"/>
    <s v="Q4"/>
    <x v="0"/>
  </r>
  <r>
    <s v="TAL001-02 Senior Enterprise Architect (Akshay)"/>
    <x v="3"/>
    <x v="3"/>
    <s v="June"/>
    <n v="0"/>
    <n v="285191.39"/>
    <n v="12"/>
    <s v="June"/>
    <s v="Q4"/>
    <x v="0"/>
  </r>
  <r>
    <s v="SAU049-XX Functional Development Expert (Shefali)"/>
    <x v="4"/>
    <x v="3"/>
    <s v="June"/>
    <n v="1166.6666666666667"/>
    <n v="27250"/>
    <n v="12"/>
    <s v="June"/>
    <s v="Q4"/>
    <x v="0"/>
  </r>
  <r>
    <s v="SAU050-XX Senior Development Lead (Abdul)"/>
    <x v="4"/>
    <x v="3"/>
    <s v="June"/>
    <n v="2333.3333333333335"/>
    <n v="27250"/>
    <n v="12"/>
    <s v="June"/>
    <s v="Q4"/>
    <x v="0"/>
  </r>
  <r>
    <s v="SAU046-XX Delivery Manager (Alex)"/>
    <x v="4"/>
    <x v="3"/>
    <s v="June"/>
    <n v="4875"/>
    <n v="27250"/>
    <n v="12"/>
    <s v="June"/>
    <s v="Q4"/>
    <x v="0"/>
  </r>
  <r>
    <s v="VICXXX SRO BRE Licensing, Implementation and MSE - ID003 Decisively 202405"/>
    <x v="4"/>
    <x v="5"/>
    <s v="June"/>
    <n v="16000"/>
    <n v="615714.2857142858"/>
    <n v="12"/>
    <s v="June"/>
    <s v="Q4"/>
    <x v="0"/>
  </r>
  <r>
    <s v="DAFXXX DAF081 Digital resources for DBD - Extension"/>
    <x v="4"/>
    <x v="1"/>
    <s v="June"/>
    <n v="35363.636333333336"/>
    <n v="141454.54533333334"/>
    <n v="12"/>
    <s v="June"/>
    <s v="Q4"/>
    <x v="0"/>
  </r>
  <r>
    <s v="ISYXXX Vic SRO (FEB26-JUN26)"/>
    <x v="4"/>
    <x v="5"/>
    <s v="June"/>
    <n v="107142.85714285714"/>
    <n v="615714.2857142858"/>
    <n v="12"/>
    <s v="June"/>
    <s v="Q4"/>
    <x v="0"/>
  </r>
  <r>
    <s v="INFXXX RFQ TechOne - ERP Products, Implementation, Operational"/>
    <x v="4"/>
    <x v="0"/>
    <s v="June"/>
    <n v="146213.64705882352"/>
    <n v="438640.9411764706"/>
    <n v="12"/>
    <s v="June"/>
    <s v="Q4"/>
    <x v="0"/>
  </r>
  <r>
    <s v="DAFXXX STEPS Parallel Delivery Accelerator"/>
    <x v="4"/>
    <x v="1"/>
    <s v="June"/>
    <n v="0"/>
    <n v="141454.54533333334"/>
    <n v="12"/>
    <s v="June"/>
    <s v="Q4"/>
    <x v="0"/>
  </r>
  <r>
    <s v="AFPXXX EPI-USE Roadmap"/>
    <x v="0"/>
    <x v="0"/>
    <s v="March"/>
    <n v="0"/>
    <n v="208789.28"/>
    <n v="9"/>
    <s v="March"/>
    <s v="Q3"/>
    <x v="3"/>
  </r>
  <r>
    <s v="BCG003-01 NDIA Transformation Business Case - T&amp;M"/>
    <x v="0"/>
    <x v="0"/>
    <s v="March"/>
    <n v="0"/>
    <n v="208789.28"/>
    <n v="9"/>
    <s v="March"/>
    <s v="Q3"/>
    <x v="3"/>
  </r>
  <r>
    <s v="DAF079-XX STEPS 1 Solution Designers"/>
    <x v="1"/>
    <x v="1"/>
    <s v="March"/>
    <n v="0"/>
    <n v="161774.08000000005"/>
    <n v="9"/>
    <s v="March"/>
    <s v="Q3"/>
    <x v="3"/>
  </r>
  <r>
    <s v="DAFXXX Export Service User Request - POV - Servicenow"/>
    <x v="0"/>
    <x v="1"/>
    <s v="March"/>
    <n v="0"/>
    <n v="21154.6"/>
    <n v="9"/>
    <s v="March"/>
    <s v="Q3"/>
    <x v="3"/>
  </r>
  <r>
    <s v="DAFXXX LH-04076 Senior Technical Analyst"/>
    <x v="0"/>
    <x v="1"/>
    <s v="March"/>
    <n v="3864"/>
    <n v="21154.6"/>
    <n v="9"/>
    <s v="March"/>
    <s v="Q3"/>
    <x v="3"/>
  </r>
  <r>
    <s v="DAFXXX LH-04140 Delivery Manager"/>
    <x v="1"/>
    <x v="1"/>
    <s v="March"/>
    <n v="6103.279999999997"/>
    <n v="161774.08000000005"/>
    <n v="9"/>
    <s v="March"/>
    <s v="Q3"/>
    <x v="3"/>
  </r>
  <r>
    <s v="DAFXXX multiple Senior Software Developer 202508"/>
    <x v="1"/>
    <x v="1"/>
    <s v="March"/>
    <n v="12134.000000000007"/>
    <n v="161774.08000000005"/>
    <n v="9"/>
    <s v="March"/>
    <s v="Q3"/>
    <x v="3"/>
  </r>
  <r>
    <s v="DAFXXX Senior Multiple roles BA 202508"/>
    <x v="1"/>
    <x v="1"/>
    <s v="March"/>
    <n v="11080.000000000004"/>
    <n v="161774.08000000005"/>
    <n v="9"/>
    <s v="March"/>
    <s v="Q3"/>
    <x v="3"/>
  </r>
  <r>
    <s v="DAFXXX ServiceNow Integrated Workspace for Export (TFTM) Services"/>
    <x v="0"/>
    <x v="1"/>
    <s v="March"/>
    <n v="0"/>
    <n v="21154.6"/>
    <n v="9"/>
    <s v="March"/>
    <s v="Q3"/>
    <x v="3"/>
  </r>
  <r>
    <s v="DFAXXX RFQ Super Salary Calculation Enhancement 202504"/>
    <x v="1"/>
    <x v="0"/>
    <s v="March"/>
    <n v="0"/>
    <n v="1000506.8"/>
    <n v="9"/>
    <s v="March"/>
    <s v="Q3"/>
    <x v="3"/>
  </r>
  <r>
    <s v="DOFXXX Applications Services"/>
    <x v="1"/>
    <x v="0"/>
    <s v="March"/>
    <n v="149089.44"/>
    <n v="1000506.8"/>
    <n v="9"/>
    <s v="March"/>
    <s v="Q3"/>
    <x v="3"/>
  </r>
  <r>
    <s v="DTAXXX LH-03909 - Change Manager"/>
    <x v="1"/>
    <x v="0"/>
    <s v="March"/>
    <n v="0"/>
    <n v="1000506.8"/>
    <n v="9"/>
    <s v="March"/>
    <s v="Q3"/>
    <x v="3"/>
  </r>
  <r>
    <s v="FWO001 Digital Transformation CPBC - PoC"/>
    <x v="0"/>
    <x v="2"/>
    <s v="March"/>
    <n v="0"/>
    <n v="61101"/>
    <n v="9"/>
    <s v="March"/>
    <s v="Q3"/>
    <x v="3"/>
  </r>
  <r>
    <s v="FWO001 Digital Transformation CPBC - PoC Design"/>
    <x v="0"/>
    <x v="2"/>
    <s v="March"/>
    <n v="0"/>
    <n v="61101"/>
    <n v="9"/>
    <s v="March"/>
    <s v="Q3"/>
    <x v="3"/>
  </r>
  <r>
    <s v="INDXXX RFQ Portfolio Management 202508"/>
    <x v="1"/>
    <x v="2"/>
    <s v="March"/>
    <n v="0"/>
    <n v="200923.342"/>
    <n v="9"/>
    <s v="March"/>
    <s v="Q3"/>
    <x v="3"/>
  </r>
  <r>
    <s v="INDXXX RFQ Venture Capital Smartforms Transition to ServiceNow"/>
    <x v="0"/>
    <x v="2"/>
    <s v="March"/>
    <n v="2001"/>
    <n v="61101"/>
    <n v="9"/>
    <s v="March"/>
    <s v="Q3"/>
    <x v="3"/>
  </r>
  <r>
    <s v="INDXXX RFQ Work, Health and Safety 202507"/>
    <x v="1"/>
    <x v="2"/>
    <s v="March"/>
    <n v="0"/>
    <n v="200923.342"/>
    <n v="9"/>
    <s v="March"/>
    <s v="Q3"/>
    <x v="3"/>
  </r>
  <r>
    <s v="LABXXX- RFQ PCS-02120 - Data Scientist Services"/>
    <x v="1"/>
    <x v="0"/>
    <s v="March"/>
    <n v="50416"/>
    <n v="1000506.8"/>
    <n v="9"/>
    <s v="March"/>
    <s v="Q3"/>
    <x v="3"/>
  </r>
  <r>
    <s v="PARXXX RFT RevenueSA Application Portfolio Review 202506"/>
    <x v="0"/>
    <x v="0"/>
    <s v="March"/>
    <n v="0"/>
    <n v="208789.28"/>
    <n v="9"/>
    <s v="March"/>
    <s v="Q3"/>
    <x v="3"/>
  </r>
  <r>
    <s v="PMCXXX - RFQ LH-03834 Change Managers"/>
    <x v="0"/>
    <x v="0"/>
    <s v="March"/>
    <n v="-25498.720000000001"/>
    <n v="208789.28"/>
    <n v="9"/>
    <s v="March"/>
    <s v="Q3"/>
    <x v="3"/>
  </r>
  <r>
    <s v="QLDXXX Queensland Shared Services SAP Finance to S4 Hana Public Cloud"/>
    <x v="1"/>
    <x v="0"/>
    <s v="March"/>
    <n v="11776"/>
    <n v="1000506.8"/>
    <n v="9"/>
    <s v="March"/>
    <s v="Q3"/>
    <x v="3"/>
  </r>
  <r>
    <s v="SAUXXX Cyber -LH-03498 - Senior Cyber Uplift Project Manager"/>
    <x v="0"/>
    <x v="3"/>
    <s v="March"/>
    <n v="9772.8000000000011"/>
    <n v="139880.64000000001"/>
    <n v="9"/>
    <s v="March"/>
    <s v="Q3"/>
    <x v="3"/>
  </r>
  <r>
    <s v="SAUXXX Cyber -LH-03543 - Manager Cyber Uplift Project Manager"/>
    <x v="0"/>
    <x v="3"/>
    <s v="March"/>
    <n v="6583.6799999999976"/>
    <n v="139880.64000000001"/>
    <n v="9"/>
    <s v="March"/>
    <s v="Q3"/>
    <x v="3"/>
  </r>
  <r>
    <s v="SAUXXX Cyber -LH-03556 - Cyber Uplift Scrum Master"/>
    <x v="0"/>
    <x v="3"/>
    <s v="March"/>
    <n v="11857.919999999998"/>
    <n v="139880.64000000001"/>
    <n v="9"/>
    <s v="March"/>
    <s v="Q3"/>
    <x v="3"/>
  </r>
  <r>
    <s v="SAUXXX Cyber -LH-03562 - Senior Business Analyst"/>
    <x v="0"/>
    <x v="3"/>
    <s v="March"/>
    <n v="2974.0800000000017"/>
    <n v="139880.64000000001"/>
    <n v="9"/>
    <s v="March"/>
    <s v="Q3"/>
    <x v="3"/>
  </r>
  <r>
    <s v="SAUXXX RFQ Identity Mgt System Integration 202506"/>
    <x v="1"/>
    <x v="3"/>
    <s v="March"/>
    <n v="109513.91999999998"/>
    <n v="759743.76"/>
    <n v="9"/>
    <s v="March"/>
    <s v="Q3"/>
    <x v="3"/>
  </r>
  <r>
    <s v="SAUXXX RFQ Support end-to-end Investment Proposal and BC"/>
    <x v="1"/>
    <x v="3"/>
    <s v="March"/>
    <n v="0"/>
    <n v="759743.76"/>
    <n v="9"/>
    <s v="March"/>
    <s v="Q3"/>
    <x v="3"/>
  </r>
  <r>
    <s v="SAUXXX RFQLH-02645 IT Infrastructure Engineer"/>
    <x v="1"/>
    <x v="3"/>
    <s v="March"/>
    <n v="15548"/>
    <n v="759743.76"/>
    <n v="9"/>
    <s v="March"/>
    <s v="Q3"/>
    <x v="3"/>
  </r>
  <r>
    <s v="SAUXXX RFQLH-02946 1 Senior Software Engineer"/>
    <x v="1"/>
    <x v="3"/>
    <s v="March"/>
    <n v="9608.4800000000014"/>
    <n v="759743.76"/>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m/>
    <x v="2"/>
    <x v="4"/>
    <s v="March"/>
    <n v="0"/>
    <n v="0"/>
    <n v="9"/>
    <s v="March"/>
    <s v="Q3"/>
    <x v="3"/>
  </r>
  <r>
    <s v="BCG003 NDIA Transformation Business Case"/>
    <x v="3"/>
    <x v="0"/>
    <s v="March"/>
    <n v="0"/>
    <n v="642149.88000000012"/>
    <n v="9"/>
    <s v="March"/>
    <s v="Q3"/>
    <x v="3"/>
  </r>
  <r>
    <s v="COS001-01 DOH IWOW Target Architecture"/>
    <x v="3"/>
    <x v="0"/>
    <s v="March"/>
    <n v="0"/>
    <n v="642149.88000000012"/>
    <n v="9"/>
    <s v="March"/>
    <s v="Q3"/>
    <x v="3"/>
  </r>
  <r>
    <s v="DAF079-01 Digital and Agile STEPS Program"/>
    <x v="3"/>
    <x v="1"/>
    <s v="March"/>
    <n v="0"/>
    <n v="367746.86500000017"/>
    <n v="9"/>
    <s v="March"/>
    <s v="Q3"/>
    <x v="3"/>
  </r>
  <r>
    <s v="DAF080-03 STEPS - Strategic Support"/>
    <x v="3"/>
    <x v="1"/>
    <s v="March"/>
    <n v="0"/>
    <n v="367746.86500000017"/>
    <n v="9"/>
    <s v="March"/>
    <s v="Q3"/>
    <x v="3"/>
  </r>
  <r>
    <s v="DAF080-04 Industry API Accelerator"/>
    <x v="3"/>
    <x v="1"/>
    <s v="March"/>
    <n v="0"/>
    <n v="367746.86500000017"/>
    <n v="9"/>
    <s v="March"/>
    <s v="Q3"/>
    <x v="3"/>
  </r>
  <r>
    <s v="DAF080-XX STEPS - Head Contract"/>
    <x v="3"/>
    <x v="1"/>
    <s v="March"/>
    <n v="0"/>
    <n v="367746.86500000017"/>
    <n v="9"/>
    <s v="March"/>
    <s v="Q3"/>
    <x v="3"/>
  </r>
  <r>
    <s v="DAF081 Digital resources for DBD - Head Contract"/>
    <x v="3"/>
    <x v="1"/>
    <s v="March"/>
    <n v="0"/>
    <n v="367746.86500000017"/>
    <n v="9"/>
    <s v="March"/>
    <s v="Q3"/>
    <x v="3"/>
  </r>
  <r>
    <s v="DAF081-05 DBD Business Analyst (Kev)"/>
    <x v="3"/>
    <x v="1"/>
    <s v="March"/>
    <n v="0"/>
    <n v="367746.86500000017"/>
    <n v="9"/>
    <s v="March"/>
    <s v="Q3"/>
    <x v="3"/>
  </r>
  <r>
    <s v="DAF081-06 DBD Test Analyst (Vinnie)"/>
    <x v="3"/>
    <x v="1"/>
    <s v="March"/>
    <n v="0"/>
    <n v="367746.86500000017"/>
    <n v="9"/>
    <s v="March"/>
    <s v="Q3"/>
    <x v="3"/>
  </r>
  <r>
    <s v="DAF081-07 DBD System Analyst (Amit)"/>
    <x v="3"/>
    <x v="1"/>
    <s v="March"/>
    <n v="0"/>
    <n v="367746.86500000017"/>
    <n v="9"/>
    <s v="March"/>
    <s v="Q3"/>
    <x v="3"/>
  </r>
  <r>
    <s v="DAF081-08 DBD Business Analyst (Raheem)"/>
    <x v="3"/>
    <x v="1"/>
    <s v="March"/>
    <n v="0"/>
    <n v="367746.86500000017"/>
    <n v="9"/>
    <s v="March"/>
    <s v="Q3"/>
    <x v="3"/>
  </r>
  <r>
    <s v="DAF081-09 Technical Lead (Phani)"/>
    <x v="3"/>
    <x v="1"/>
    <s v="March"/>
    <n v="0"/>
    <n v="367746.86500000017"/>
    <n v="9"/>
    <s v="March"/>
    <s v="Q3"/>
    <x v="3"/>
  </r>
  <r>
    <s v="DCC001-05 SAP Tech Specialist (Husain)"/>
    <x v="3"/>
    <x v="0"/>
    <s v="March"/>
    <n v="1856"/>
    <n v="642149.88000000012"/>
    <n v="9"/>
    <s v="March"/>
    <s v="Q3"/>
    <x v="3"/>
  </r>
  <r>
    <s v="DHA002-01 Senior Pega System Developer (Giribabu)"/>
    <x v="3"/>
    <x v="0"/>
    <s v="March"/>
    <n v="2208"/>
    <n v="642149.88000000012"/>
    <n v="9"/>
    <s v="March"/>
    <s v="Q3"/>
    <x v="3"/>
  </r>
  <r>
    <s v="FWO001 Digital Transformation CPBC"/>
    <x v="3"/>
    <x v="0"/>
    <s v="March"/>
    <n v="0"/>
    <n v="642149.88000000012"/>
    <n v="9"/>
    <s v="March"/>
    <s v="Q3"/>
    <x v="3"/>
  </r>
  <r>
    <s v="IND002 AI Integration in ServiceNow"/>
    <x v="3"/>
    <x v="0"/>
    <s v="March"/>
    <n v="0"/>
    <n v="642149.88000000012"/>
    <n v="9"/>
    <s v="March"/>
    <s v="Q3"/>
    <x v="3"/>
  </r>
  <r>
    <s v="ISY009-01 Vic SRO T3 (Pre-project)"/>
    <x v="3"/>
    <x v="5"/>
    <s v="March"/>
    <n v="0"/>
    <n v="599006.57440000027"/>
    <n v="9"/>
    <s v="March"/>
    <s v="Q3"/>
    <x v="3"/>
  </r>
  <r>
    <s v="ISY010 Vic SRO T3"/>
    <x v="3"/>
    <x v="5"/>
    <s v="March"/>
    <n v="0"/>
    <n v="599006.57440000027"/>
    <n v="9"/>
    <s v="March"/>
    <s v="Q3"/>
    <x v="3"/>
  </r>
  <r>
    <s v="NQS005-02 DART Recalibration"/>
    <x v="3"/>
    <x v="0"/>
    <s v="March"/>
    <n v="0"/>
    <n v="642149.88000000012"/>
    <n v="9"/>
    <s v="March"/>
    <s v="Q3"/>
    <x v="3"/>
  </r>
  <r>
    <s v="NQS005-03 DART Benefits Review and Preparation"/>
    <x v="3"/>
    <x v="0"/>
    <s v="March"/>
    <n v="0"/>
    <n v="642149.88000000012"/>
    <n v="9"/>
    <s v="March"/>
    <s v="Q3"/>
    <x v="3"/>
  </r>
  <r>
    <s v="SAU043-03 Cyber Security (Ben)"/>
    <x v="3"/>
    <x v="3"/>
    <s v="March"/>
    <n v="4416"/>
    <n v="328204.43"/>
    <n v="9"/>
    <s v="March"/>
    <s v="Q3"/>
    <x v="3"/>
  </r>
  <r>
    <s v="SAU044-03 Senior Development Expert (Nadh)"/>
    <x v="3"/>
    <x v="3"/>
    <s v="March"/>
    <n v="0"/>
    <n v="328204.43"/>
    <n v="9"/>
    <s v="March"/>
    <s v="Q3"/>
    <x v="3"/>
  </r>
  <r>
    <s v="SAU045-02 Senior Technology Architect (Sidd)"/>
    <x v="3"/>
    <x v="3"/>
    <s v="March"/>
    <n v="0"/>
    <n v="328204.43"/>
    <n v="9"/>
    <s v="March"/>
    <s v="Q3"/>
    <x v="3"/>
  </r>
  <r>
    <s v="SAU046-02 Delivery Manager (Alex)"/>
    <x v="3"/>
    <x v="3"/>
    <s v="March"/>
    <n v="6894"/>
    <n v="328204.43"/>
    <n v="9"/>
    <s v="March"/>
    <s v="Q3"/>
    <x v="3"/>
  </r>
  <r>
    <s v="SAU048-01 System Analyst (Meenal)"/>
    <x v="3"/>
    <x v="3"/>
    <s v="March"/>
    <n v="0"/>
    <n v="328204.43"/>
    <n v="9"/>
    <s v="March"/>
    <s v="Q3"/>
    <x v="3"/>
  </r>
  <r>
    <s v="SAU048-02 System Analyst (Meenal)"/>
    <x v="3"/>
    <x v="3"/>
    <s v="March"/>
    <n v="1367.0400000000009"/>
    <n v="328204.43"/>
    <n v="9"/>
    <s v="March"/>
    <s v="Q3"/>
    <x v="3"/>
  </r>
  <r>
    <s v="SAU049-01 Functional Development Expert (Shefali)"/>
    <x v="3"/>
    <x v="3"/>
    <s v="March"/>
    <n v="0"/>
    <n v="328204.43"/>
    <n v="9"/>
    <s v="March"/>
    <s v="Q3"/>
    <x v="3"/>
  </r>
  <r>
    <s v="SAU050-01 Senior Development Lead (Abdul)"/>
    <x v="3"/>
    <x v="3"/>
    <s v="March"/>
    <n v="0"/>
    <n v="328204.43"/>
    <n v="9"/>
    <s v="March"/>
    <s v="Q3"/>
    <x v="3"/>
  </r>
  <r>
    <s v="SAU052 Senior Solution Architect (Aniket)"/>
    <x v="3"/>
    <x v="3"/>
    <s v="March"/>
    <n v="0"/>
    <n v="328204.43"/>
    <n v="9"/>
    <s v="March"/>
    <s v="Q3"/>
    <x v="3"/>
  </r>
  <r>
    <s v="SAU053 Principal Software Engineer (Sheelesh)"/>
    <x v="3"/>
    <x v="3"/>
    <s v="March"/>
    <n v="6240.0000000000073"/>
    <n v="328204.43"/>
    <n v="9"/>
    <s v="March"/>
    <s v="Q3"/>
    <x v="3"/>
  </r>
  <r>
    <s v="SAU054 Principal Software Engineer (Tejas)"/>
    <x v="3"/>
    <x v="3"/>
    <s v="March"/>
    <n v="6120.9599999999919"/>
    <n v="328204.43"/>
    <n v="9"/>
    <s v="March"/>
    <s v="Q3"/>
    <x v="3"/>
  </r>
  <r>
    <s v="SAU055 Principal Software Engineer (Karan)"/>
    <x v="3"/>
    <x v="3"/>
    <s v="March"/>
    <n v="6138.239999999998"/>
    <n v="328204.43"/>
    <n v="9"/>
    <s v="March"/>
    <s v="Q3"/>
    <x v="3"/>
  </r>
  <r>
    <s v="SAU056 Principal Software Engineer (Ankit)"/>
    <x v="3"/>
    <x v="3"/>
    <s v="March"/>
    <n v="5713.9199999999983"/>
    <n v="328204.43"/>
    <n v="9"/>
    <s v="March"/>
    <s v="Q3"/>
    <x v="3"/>
  </r>
  <r>
    <s v="SAU057 Principal Software Engineer (Asit)"/>
    <x v="3"/>
    <x v="3"/>
    <s v="March"/>
    <n v="6122.8800000000047"/>
    <n v="328204.43"/>
    <n v="9"/>
    <s v="March"/>
    <s v="Q3"/>
    <x v="3"/>
  </r>
  <r>
    <s v="TAL001-02 Senior Enterprise Architect (Akshay)"/>
    <x v="3"/>
    <x v="3"/>
    <s v="March"/>
    <n v="0"/>
    <n v="328204.43"/>
    <n v="9"/>
    <s v="March"/>
    <s v="Q3"/>
    <x v="3"/>
  </r>
  <r>
    <s v="SAU049-XX Functional Development Expert (Shefali)"/>
    <x v="4"/>
    <x v="3"/>
    <s v="March"/>
    <n v="1166.6666666666667"/>
    <n v="35625"/>
    <n v="9"/>
    <s v="March"/>
    <s v="Q3"/>
    <x v="3"/>
  </r>
  <r>
    <s v="SAU050-XX Senior Development Lead (Abdul)"/>
    <x v="4"/>
    <x v="3"/>
    <s v="March"/>
    <n v="2333.3333333333335"/>
    <n v="35625"/>
    <n v="9"/>
    <s v="March"/>
    <s v="Q3"/>
    <x v="3"/>
  </r>
  <r>
    <s v="SAU046-XX Delivery Manager (Alex)"/>
    <x v="4"/>
    <x v="3"/>
    <s v="March"/>
    <n v="4875"/>
    <n v="35625"/>
    <n v="9"/>
    <s v="March"/>
    <s v="Q3"/>
    <x v="3"/>
  </r>
  <r>
    <s v="VICXXX SRO BRE Licensing, Implementation and MSE - ID003 Decisively 202405"/>
    <x v="4"/>
    <x v="5"/>
    <s v="March"/>
    <n v="16000"/>
    <n v="738857.14285714296"/>
    <n v="9"/>
    <s v="March"/>
    <s v="Q3"/>
    <x v="3"/>
  </r>
  <r>
    <s v="DAFXXX DAF081 Digital resources for DBD - Extension"/>
    <x v="4"/>
    <x v="1"/>
    <s v="March"/>
    <n v="35363.636333333336"/>
    <n v="176818.18166666667"/>
    <n v="9"/>
    <s v="March"/>
    <s v="Q3"/>
    <x v="3"/>
  </r>
  <r>
    <s v="ISYXXX Vic SRO (FEB26-JUN26)"/>
    <x v="4"/>
    <x v="5"/>
    <s v="March"/>
    <n v="107142.85714285714"/>
    <n v="738857.14285714296"/>
    <n v="9"/>
    <s v="March"/>
    <s v="Q3"/>
    <x v="3"/>
  </r>
  <r>
    <s v="INFXXX RFQ TechOne - ERP Products, Implementation, Operational"/>
    <x v="4"/>
    <x v="0"/>
    <s v="March"/>
    <n v="146213.64705882352"/>
    <n v="584854.5882352941"/>
    <n v="9"/>
    <s v="March"/>
    <s v="Q3"/>
    <x v="3"/>
  </r>
  <r>
    <s v="DAFXXX STEPS Parallel Delivery Accelerator"/>
    <x v="4"/>
    <x v="1"/>
    <s v="March"/>
    <n v="0"/>
    <n v="176818.18166666667"/>
    <n v="9"/>
    <s v="March"/>
    <s v="Q3"/>
    <x v="3"/>
  </r>
  <r>
    <s v="AFPXXX EPI-USE Roadmap"/>
    <x v="0"/>
    <x v="0"/>
    <s v="May"/>
    <n v="0"/>
    <n v="186616.47999999998"/>
    <n v="11"/>
    <s v="May"/>
    <s v="Q4"/>
    <x v="0"/>
  </r>
  <r>
    <s v="BCG003-01 NDIA Transformation Business Case - T&amp;M"/>
    <x v="0"/>
    <x v="0"/>
    <s v="May"/>
    <n v="0"/>
    <n v="186616.47999999998"/>
    <n v="11"/>
    <s v="May"/>
    <s v="Q4"/>
    <x v="0"/>
  </r>
  <r>
    <s v="DAF079-XX STEPS 1 Solution Designers"/>
    <x v="1"/>
    <x v="1"/>
    <s v="May"/>
    <n v="0"/>
    <n v="185652.48000000007"/>
    <n v="11"/>
    <s v="May"/>
    <s v="Q4"/>
    <x v="0"/>
  </r>
  <r>
    <s v="DAFXXX Export Service User Request - POV - Servicenow"/>
    <x v="0"/>
    <x v="1"/>
    <s v="May"/>
    <n v="0"/>
    <n v="24514.6"/>
    <n v="11"/>
    <s v="May"/>
    <s v="Q4"/>
    <x v="0"/>
  </r>
  <r>
    <s v="DAFXXX LH-04076 Senior Technical Analyst"/>
    <x v="0"/>
    <x v="1"/>
    <s v="May"/>
    <n v="3360"/>
    <n v="24514.6"/>
    <n v="11"/>
    <s v="May"/>
    <s v="Q4"/>
    <x v="0"/>
  </r>
  <r>
    <s v="DAFXXX LH-04140 Delivery Manager"/>
    <x v="1"/>
    <x v="1"/>
    <s v="May"/>
    <n v="5307.199999999998"/>
    <n v="185652.48000000007"/>
    <n v="11"/>
    <s v="May"/>
    <s v="Q4"/>
    <x v="0"/>
  </r>
  <r>
    <s v="DAFXXX multiple Senior Software Developer 202508"/>
    <x v="1"/>
    <x v="1"/>
    <s v="May"/>
    <n v="9707.200000000008"/>
    <n v="185652.48000000007"/>
    <n v="11"/>
    <s v="May"/>
    <s v="Q4"/>
    <x v="0"/>
  </r>
  <r>
    <s v="DAFXXX Senior Multiple roles BA 202508"/>
    <x v="1"/>
    <x v="1"/>
    <s v="May"/>
    <n v="8864"/>
    <n v="185652.48000000007"/>
    <n v="11"/>
    <s v="May"/>
    <s v="Q4"/>
    <x v="0"/>
  </r>
  <r>
    <s v="DAFXXX ServiceNow Integrated Workspace for Export (TFTM) Services"/>
    <x v="0"/>
    <x v="1"/>
    <s v="May"/>
    <n v="0"/>
    <n v="24514.6"/>
    <n v="11"/>
    <s v="May"/>
    <s v="Q4"/>
    <x v="0"/>
  </r>
  <r>
    <s v="DFAXXX RFQ Super Salary Calculation Enhancement 202504"/>
    <x v="1"/>
    <x v="0"/>
    <s v="May"/>
    <n v="0"/>
    <n v="1066613.2000000002"/>
    <n v="11"/>
    <s v="May"/>
    <s v="Q4"/>
    <x v="0"/>
  </r>
  <r>
    <s v="DOFXXX Applications Services"/>
    <x v="1"/>
    <x v="0"/>
    <s v="May"/>
    <n v="12026.4"/>
    <n v="1066613.2000000002"/>
    <n v="11"/>
    <s v="May"/>
    <s v="Q4"/>
    <x v="0"/>
  </r>
  <r>
    <s v="DTAXXX LH-03909 - Change Manager"/>
    <x v="1"/>
    <x v="0"/>
    <s v="May"/>
    <n v="0"/>
    <n v="1066613.2000000002"/>
    <n v="11"/>
    <s v="May"/>
    <s v="Q4"/>
    <x v="0"/>
  </r>
  <r>
    <s v="FWO001 Digital Transformation CPBC - PoC"/>
    <x v="0"/>
    <x v="2"/>
    <s v="May"/>
    <n v="0"/>
    <n v="61101"/>
    <n v="11"/>
    <s v="May"/>
    <s v="Q4"/>
    <x v="0"/>
  </r>
  <r>
    <s v="FWO001 Digital Transformation CPBC - PoC Design"/>
    <x v="0"/>
    <x v="2"/>
    <s v="May"/>
    <n v="0"/>
    <n v="61101"/>
    <n v="11"/>
    <s v="May"/>
    <s v="Q4"/>
    <x v="0"/>
  </r>
  <r>
    <s v="INDXXX RFQ Portfolio Management 202508"/>
    <x v="1"/>
    <x v="2"/>
    <s v="May"/>
    <n v="0"/>
    <n v="200923.342"/>
    <n v="11"/>
    <s v="May"/>
    <s v="Q4"/>
    <x v="0"/>
  </r>
  <r>
    <s v="INDXXX RFQ Venture Capital Smartforms Transition to ServiceNow"/>
    <x v="0"/>
    <x v="2"/>
    <s v="May"/>
    <n v="0"/>
    <n v="61101"/>
    <n v="11"/>
    <s v="May"/>
    <s v="Q4"/>
    <x v="0"/>
  </r>
  <r>
    <s v="INDXXX RFQ Work, Health and Safety 202507"/>
    <x v="1"/>
    <x v="2"/>
    <s v="May"/>
    <n v="0"/>
    <n v="200923.342"/>
    <n v="11"/>
    <s v="May"/>
    <s v="Q4"/>
    <x v="0"/>
  </r>
  <r>
    <s v="LABXXX- RFQ PCS-02120 - Data Scientist Services"/>
    <x v="1"/>
    <x v="0"/>
    <s v="May"/>
    <n v="43840"/>
    <n v="1066613.2000000002"/>
    <n v="11"/>
    <s v="May"/>
    <s v="Q4"/>
    <x v="0"/>
  </r>
  <r>
    <s v="PARXXX RFT RevenueSA Application Portfolio Review 202506"/>
    <x v="0"/>
    <x v="0"/>
    <s v="May"/>
    <n v="0"/>
    <n v="186616.47999999998"/>
    <n v="11"/>
    <s v="May"/>
    <s v="Q4"/>
    <x v="0"/>
  </r>
  <r>
    <s v="PMCXXX - RFQ LH-03834 Change Managers"/>
    <x v="0"/>
    <x v="0"/>
    <s v="May"/>
    <n v="-22172.800000000003"/>
    <n v="186616.47999999998"/>
    <n v="11"/>
    <s v="May"/>
    <s v="Q4"/>
    <x v="0"/>
  </r>
  <r>
    <s v="QLDXXX Queensland Shared Services SAP Finance to S4 Hana Public Cloud"/>
    <x v="1"/>
    <x v="0"/>
    <s v="May"/>
    <n v="10240"/>
    <n v="1066613.2000000002"/>
    <n v="11"/>
    <s v="May"/>
    <s v="Q4"/>
    <x v="0"/>
  </r>
  <r>
    <s v="SAUXXX Cyber -LH-03498 - Senior Cyber Uplift Project Manager"/>
    <x v="0"/>
    <x v="3"/>
    <s v="May"/>
    <n v="8144.0000000000018"/>
    <n v="165871.04000000001"/>
    <n v="11"/>
    <s v="May"/>
    <s v="Q4"/>
    <x v="0"/>
  </r>
  <r>
    <s v="SAUXXX Cyber -LH-03543 - Manager Cyber Uplift Project Manager"/>
    <x v="0"/>
    <x v="3"/>
    <s v="May"/>
    <n v="5486.3999999999987"/>
    <n v="165871.04000000001"/>
    <n v="11"/>
    <s v="May"/>
    <s v="Q4"/>
    <x v="0"/>
  </r>
  <r>
    <s v="SAUXXX Cyber -LH-03556 - Cyber Uplift Scrum Master"/>
    <x v="0"/>
    <x v="3"/>
    <s v="May"/>
    <n v="9881.5999999999985"/>
    <n v="165871.04000000001"/>
    <n v="11"/>
    <s v="May"/>
    <s v="Q4"/>
    <x v="0"/>
  </r>
  <r>
    <s v="SAUXXX Cyber -LH-03562 - Senior Business Analyst"/>
    <x v="0"/>
    <x v="3"/>
    <s v="May"/>
    <n v="2478.4000000000015"/>
    <n v="165871.04000000001"/>
    <n v="11"/>
    <s v="May"/>
    <s v="Q4"/>
    <x v="0"/>
  </r>
  <r>
    <s v="SAUXXX RFQ Identity Mgt System Integration 202506"/>
    <x v="1"/>
    <x v="3"/>
    <s v="May"/>
    <n v="74125.51999999999"/>
    <n v="855744.48"/>
    <n v="11"/>
    <s v="May"/>
    <s v="Q4"/>
    <x v="0"/>
  </r>
  <r>
    <s v="SAUXXX RFQ Support end-to-end Investment Proposal and BC"/>
    <x v="1"/>
    <x v="3"/>
    <s v="May"/>
    <n v="0"/>
    <n v="855744.48"/>
    <n v="11"/>
    <s v="May"/>
    <s v="Q4"/>
    <x v="0"/>
  </r>
  <r>
    <s v="SAUXXX RFQLH-02645 IT Infrastructure Engineer"/>
    <x v="1"/>
    <x v="3"/>
    <s v="May"/>
    <n v="13520"/>
    <n v="855744.48"/>
    <n v="11"/>
    <s v="May"/>
    <s v="Q4"/>
    <x v="0"/>
  </r>
  <r>
    <s v="SAUXXX RFQLH-02946 1 Senior Software Engineer"/>
    <x v="1"/>
    <x v="3"/>
    <s v="May"/>
    <n v="8355.2000000000007"/>
    <n v="855744.48"/>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m/>
    <x v="2"/>
    <x v="4"/>
    <s v="May"/>
    <n v="0"/>
    <n v="0"/>
    <n v="11"/>
    <s v="May"/>
    <s v="Q4"/>
    <x v="0"/>
  </r>
  <r>
    <s v="BCG003 NDIA Transformation Business Case"/>
    <x v="3"/>
    <x v="0"/>
    <s v="May"/>
    <n v="0"/>
    <n v="643989.88000000012"/>
    <n v="11"/>
    <s v="May"/>
    <s v="Q4"/>
    <x v="0"/>
  </r>
  <r>
    <s v="COS001-01 DOH IWOW Target Architecture"/>
    <x v="3"/>
    <x v="0"/>
    <s v="May"/>
    <n v="0"/>
    <n v="643989.88000000012"/>
    <n v="11"/>
    <s v="May"/>
    <s v="Q4"/>
    <x v="0"/>
  </r>
  <r>
    <s v="DAF079-01 Digital and Agile STEPS Program"/>
    <x v="3"/>
    <x v="1"/>
    <s v="May"/>
    <n v="0"/>
    <n v="367746.86500000017"/>
    <n v="11"/>
    <s v="May"/>
    <s v="Q4"/>
    <x v="0"/>
  </r>
  <r>
    <s v="DAF080-03 STEPS - Strategic Support"/>
    <x v="3"/>
    <x v="1"/>
    <s v="May"/>
    <n v="0"/>
    <n v="367746.86500000017"/>
    <n v="11"/>
    <s v="May"/>
    <s v="Q4"/>
    <x v="0"/>
  </r>
  <r>
    <s v="DAF080-04 Industry API Accelerator"/>
    <x v="3"/>
    <x v="1"/>
    <s v="May"/>
    <n v="0"/>
    <n v="367746.86500000017"/>
    <n v="11"/>
    <s v="May"/>
    <s v="Q4"/>
    <x v="0"/>
  </r>
  <r>
    <s v="DAF080-XX STEPS - Head Contract"/>
    <x v="3"/>
    <x v="1"/>
    <s v="May"/>
    <n v="0"/>
    <n v="367746.86500000017"/>
    <n v="11"/>
    <s v="May"/>
    <s v="Q4"/>
    <x v="0"/>
  </r>
  <r>
    <s v="DAF081 Digital resources for DBD - Head Contract"/>
    <x v="3"/>
    <x v="1"/>
    <s v="May"/>
    <n v="0"/>
    <n v="367746.86500000017"/>
    <n v="11"/>
    <s v="May"/>
    <s v="Q4"/>
    <x v="0"/>
  </r>
  <r>
    <s v="DAF081-05 DBD Business Analyst (Kev)"/>
    <x v="3"/>
    <x v="1"/>
    <s v="May"/>
    <n v="0"/>
    <n v="367746.86500000017"/>
    <n v="11"/>
    <s v="May"/>
    <s v="Q4"/>
    <x v="0"/>
  </r>
  <r>
    <s v="DAF081-06 DBD Test Analyst (Vinnie)"/>
    <x v="3"/>
    <x v="1"/>
    <s v="May"/>
    <n v="0"/>
    <n v="367746.86500000017"/>
    <n v="11"/>
    <s v="May"/>
    <s v="Q4"/>
    <x v="0"/>
  </r>
  <r>
    <s v="DAF081-07 DBD System Analyst (Amit)"/>
    <x v="3"/>
    <x v="1"/>
    <s v="May"/>
    <n v="0"/>
    <n v="367746.86500000017"/>
    <n v="11"/>
    <s v="May"/>
    <s v="Q4"/>
    <x v="0"/>
  </r>
  <r>
    <s v="DAF081-08 DBD Business Analyst (Raheem)"/>
    <x v="3"/>
    <x v="1"/>
    <s v="May"/>
    <n v="0"/>
    <n v="367746.86500000017"/>
    <n v="11"/>
    <s v="May"/>
    <s v="Q4"/>
    <x v="0"/>
  </r>
  <r>
    <s v="DAF081-09 Technical Lead (Phani)"/>
    <x v="3"/>
    <x v="1"/>
    <s v="May"/>
    <n v="0"/>
    <n v="367746.86500000017"/>
    <n v="11"/>
    <s v="May"/>
    <s v="Q4"/>
    <x v="0"/>
  </r>
  <r>
    <s v="DCC001-05 SAP Tech Specialist (Husain)"/>
    <x v="3"/>
    <x v="0"/>
    <s v="May"/>
    <n v="0"/>
    <n v="643989.88000000012"/>
    <n v="11"/>
    <s v="May"/>
    <s v="Q4"/>
    <x v="0"/>
  </r>
  <r>
    <s v="DHA002-01 Senior Pega System Developer (Giribabu)"/>
    <x v="3"/>
    <x v="0"/>
    <s v="May"/>
    <n v="1840"/>
    <n v="643989.88000000012"/>
    <n v="11"/>
    <s v="May"/>
    <s v="Q4"/>
    <x v="0"/>
  </r>
  <r>
    <s v="FWO001 Digital Transformation CPBC"/>
    <x v="3"/>
    <x v="0"/>
    <s v="May"/>
    <n v="0"/>
    <n v="643989.88000000012"/>
    <n v="11"/>
    <s v="May"/>
    <s v="Q4"/>
    <x v="0"/>
  </r>
  <r>
    <s v="IND002 AI Integration in ServiceNow"/>
    <x v="3"/>
    <x v="0"/>
    <s v="May"/>
    <n v="0"/>
    <n v="643989.88000000012"/>
    <n v="11"/>
    <s v="May"/>
    <s v="Q4"/>
    <x v="0"/>
  </r>
  <r>
    <s v="ISY009-01 Vic SRO T3 (Pre-project)"/>
    <x v="3"/>
    <x v="5"/>
    <s v="May"/>
    <n v="0"/>
    <n v="599006.57440000027"/>
    <n v="11"/>
    <s v="May"/>
    <s v="Q4"/>
    <x v="0"/>
  </r>
  <r>
    <s v="ISY010 Vic SRO T3"/>
    <x v="3"/>
    <x v="5"/>
    <s v="May"/>
    <n v="0"/>
    <n v="599006.57440000027"/>
    <n v="11"/>
    <s v="May"/>
    <s v="Q4"/>
    <x v="0"/>
  </r>
  <r>
    <s v="NQS005-02 DART Recalibration"/>
    <x v="3"/>
    <x v="0"/>
    <s v="May"/>
    <n v="0"/>
    <n v="643989.88000000012"/>
    <n v="11"/>
    <s v="May"/>
    <s v="Q4"/>
    <x v="0"/>
  </r>
  <r>
    <s v="NQS005-03 DART Benefits Review and Preparation"/>
    <x v="3"/>
    <x v="0"/>
    <s v="May"/>
    <n v="0"/>
    <n v="643989.88000000012"/>
    <n v="11"/>
    <s v="May"/>
    <s v="Q4"/>
    <x v="0"/>
  </r>
  <r>
    <s v="SAU043-03 Cyber Security (Ben)"/>
    <x v="3"/>
    <x v="3"/>
    <s v="May"/>
    <n v="3680"/>
    <n v="358303.63"/>
    <n v="11"/>
    <s v="May"/>
    <s v="Q4"/>
    <x v="0"/>
  </r>
  <r>
    <s v="SAU044-03 Senior Development Expert (Nadh)"/>
    <x v="3"/>
    <x v="3"/>
    <s v="May"/>
    <n v="0"/>
    <n v="358303.63"/>
    <n v="11"/>
    <s v="May"/>
    <s v="Q4"/>
    <x v="0"/>
  </r>
  <r>
    <s v="SAU045-02 Senior Technology Architect (Sidd)"/>
    <x v="3"/>
    <x v="3"/>
    <s v="May"/>
    <n v="0"/>
    <n v="358303.63"/>
    <n v="11"/>
    <s v="May"/>
    <s v="Q4"/>
    <x v="0"/>
  </r>
  <r>
    <s v="SAU046-02 Delivery Manager (Alex)"/>
    <x v="3"/>
    <x v="3"/>
    <s v="May"/>
    <n v="0"/>
    <n v="358303.63"/>
    <n v="11"/>
    <s v="May"/>
    <s v="Q4"/>
    <x v="0"/>
  </r>
  <r>
    <s v="SAU048-01 System Analyst (Meenal)"/>
    <x v="3"/>
    <x v="3"/>
    <s v="May"/>
    <n v="0"/>
    <n v="358303.63"/>
    <n v="11"/>
    <s v="May"/>
    <s v="Q4"/>
    <x v="0"/>
  </r>
  <r>
    <s v="SAU048-02 System Analyst (Meenal)"/>
    <x v="3"/>
    <x v="3"/>
    <s v="May"/>
    <n v="1139.2000000000007"/>
    <n v="358303.63"/>
    <n v="11"/>
    <s v="May"/>
    <s v="Q4"/>
    <x v="0"/>
  </r>
  <r>
    <s v="SAU049-01 Functional Development Expert (Shefali)"/>
    <x v="3"/>
    <x v="3"/>
    <s v="May"/>
    <n v="0"/>
    <n v="358303.63"/>
    <n v="11"/>
    <s v="May"/>
    <s v="Q4"/>
    <x v="0"/>
  </r>
  <r>
    <s v="SAU050-01 Senior Development Lead (Abdul)"/>
    <x v="3"/>
    <x v="3"/>
    <s v="May"/>
    <n v="0"/>
    <n v="358303.63"/>
    <n v="11"/>
    <s v="May"/>
    <s v="Q4"/>
    <x v="0"/>
  </r>
  <r>
    <s v="SAU052 Senior Solution Architect (Aniket)"/>
    <x v="3"/>
    <x v="3"/>
    <s v="May"/>
    <n v="0"/>
    <n v="358303.63"/>
    <n v="11"/>
    <s v="May"/>
    <s v="Q4"/>
    <x v="0"/>
  </r>
  <r>
    <s v="SAU053 Principal Software Engineer (Sheelesh)"/>
    <x v="3"/>
    <x v="3"/>
    <s v="May"/>
    <n v="5200"/>
    <n v="358303.63"/>
    <n v="11"/>
    <s v="May"/>
    <s v="Q4"/>
    <x v="0"/>
  </r>
  <r>
    <s v="SAU054 Principal Software Engineer (Tejas)"/>
    <x v="3"/>
    <x v="3"/>
    <s v="May"/>
    <n v="5100.7999999999956"/>
    <n v="358303.63"/>
    <n v="11"/>
    <s v="May"/>
    <s v="Q4"/>
    <x v="0"/>
  </r>
  <r>
    <s v="SAU055 Principal Software Engineer (Karan)"/>
    <x v="3"/>
    <x v="3"/>
    <s v="May"/>
    <n v="5115.1999999999971"/>
    <n v="358303.63"/>
    <n v="11"/>
    <s v="May"/>
    <s v="Q4"/>
    <x v="0"/>
  </r>
  <r>
    <s v="SAU056 Principal Software Engineer (Ankit)"/>
    <x v="3"/>
    <x v="3"/>
    <s v="May"/>
    <n v="4761.5999999999985"/>
    <n v="358303.63"/>
    <n v="11"/>
    <s v="May"/>
    <s v="Q4"/>
    <x v="0"/>
  </r>
  <r>
    <s v="SAU057 Principal Software Engineer (Asit)"/>
    <x v="3"/>
    <x v="3"/>
    <s v="May"/>
    <n v="5102.4000000000015"/>
    <n v="358303.63"/>
    <n v="11"/>
    <s v="May"/>
    <s v="Q4"/>
    <x v="0"/>
  </r>
  <r>
    <s v="TAL001-02 Senior Enterprise Architect (Akshay)"/>
    <x v="3"/>
    <x v="3"/>
    <s v="May"/>
    <n v="0"/>
    <n v="358303.63"/>
    <n v="11"/>
    <s v="May"/>
    <s v="Q4"/>
    <x v="0"/>
  </r>
  <r>
    <s v="SAU049-XX Functional Development Expert (Shefali)"/>
    <x v="4"/>
    <x v="3"/>
    <s v="May"/>
    <n v="1166.6666666666667"/>
    <n v="44000"/>
    <n v="11"/>
    <s v="May"/>
    <s v="Q4"/>
    <x v="0"/>
  </r>
  <r>
    <s v="SAU050-XX Senior Development Lead (Abdul)"/>
    <x v="4"/>
    <x v="3"/>
    <s v="May"/>
    <n v="2333.3333333333335"/>
    <n v="44000"/>
    <n v="11"/>
    <s v="May"/>
    <s v="Q4"/>
    <x v="0"/>
  </r>
  <r>
    <s v="SAU046-XX Delivery Manager (Alex)"/>
    <x v="4"/>
    <x v="3"/>
    <s v="May"/>
    <n v="4875"/>
    <n v="44000"/>
    <n v="11"/>
    <s v="May"/>
    <s v="Q4"/>
    <x v="0"/>
  </r>
  <r>
    <s v="VICXXX SRO BRE Licensing, Implementation and MSE - ID003 Decisively 202405"/>
    <x v="4"/>
    <x v="5"/>
    <s v="May"/>
    <n v="16000"/>
    <n v="862000.00000000012"/>
    <n v="11"/>
    <s v="May"/>
    <s v="Q4"/>
    <x v="0"/>
  </r>
  <r>
    <s v="DAFXXX DAF081 Digital resources for DBD - Extension"/>
    <x v="4"/>
    <x v="1"/>
    <s v="May"/>
    <n v="35363.636333333336"/>
    <n v="212181.818"/>
    <n v="11"/>
    <s v="May"/>
    <s v="Q4"/>
    <x v="0"/>
  </r>
  <r>
    <s v="ISYXXX Vic SRO (FEB26-JUN26)"/>
    <x v="4"/>
    <x v="5"/>
    <s v="May"/>
    <n v="107142.85714285714"/>
    <n v="862000.00000000012"/>
    <n v="11"/>
    <s v="May"/>
    <s v="Q4"/>
    <x v="0"/>
  </r>
  <r>
    <s v="INFXXX RFQ TechOne - ERP Products, Implementation, Operational"/>
    <x v="4"/>
    <x v="0"/>
    <s v="May"/>
    <n v="146213.64705882352"/>
    <n v="731068.23529411759"/>
    <n v="11"/>
    <s v="May"/>
    <s v="Q4"/>
    <x v="0"/>
  </r>
  <r>
    <s v="DAFXXX STEPS Parallel Delivery Accelerator"/>
    <x v="4"/>
    <x v="1"/>
    <s v="May"/>
    <n v="0"/>
    <n v="212181.818"/>
    <n v="11"/>
    <s v="May"/>
    <s v="Q4"/>
    <x v="0"/>
  </r>
  <r>
    <s v="AFPXXX EPI-USE Roadmap"/>
    <x v="0"/>
    <x v="0"/>
    <s v="November"/>
    <n v="0"/>
    <n v="302243.68"/>
    <n v="5"/>
    <s v="November"/>
    <s v="Q2"/>
    <x v="2"/>
  </r>
  <r>
    <s v="BCG003-01 NDIA Transformation Business Case - T&amp;M"/>
    <x v="0"/>
    <x v="0"/>
    <s v="November"/>
    <n v="64376"/>
    <n v="302243.68"/>
    <n v="5"/>
    <s v="November"/>
    <s v="Q2"/>
    <x v="2"/>
  </r>
  <r>
    <s v="DAF079-XX STEPS 1 Solution Designers"/>
    <x v="1"/>
    <x v="1"/>
    <s v="November"/>
    <n v="0"/>
    <n v="209530.88000000009"/>
    <n v="5"/>
    <s v="November"/>
    <s v="Q2"/>
    <x v="2"/>
  </r>
  <r>
    <s v="DAFXXX Export Service User Request - POV - Servicenow"/>
    <x v="0"/>
    <x v="1"/>
    <s v="November"/>
    <n v="0"/>
    <n v="27874.6"/>
    <n v="5"/>
    <s v="November"/>
    <s v="Q2"/>
    <x v="2"/>
  </r>
  <r>
    <s v="DAFXXX LH-04076 Senior Technical Analyst"/>
    <x v="0"/>
    <x v="1"/>
    <s v="November"/>
    <n v="3360"/>
    <n v="27874.6"/>
    <n v="5"/>
    <s v="November"/>
    <s v="Q2"/>
    <x v="2"/>
  </r>
  <r>
    <s v="DAFXXX LH-04140 Delivery Manager"/>
    <x v="1"/>
    <x v="1"/>
    <s v="November"/>
    <n v="5307.199999999998"/>
    <n v="209530.88000000009"/>
    <n v="5"/>
    <s v="November"/>
    <s v="Q2"/>
    <x v="2"/>
  </r>
  <r>
    <s v="DAFXXX multiple Senior Software Developer 202508"/>
    <x v="1"/>
    <x v="1"/>
    <s v="November"/>
    <n v="9707.200000000008"/>
    <n v="209530.88000000009"/>
    <n v="5"/>
    <s v="November"/>
    <s v="Q2"/>
    <x v="2"/>
  </r>
  <r>
    <s v="DAFXXX Senior Multiple roles BA 202508"/>
    <x v="1"/>
    <x v="1"/>
    <s v="November"/>
    <n v="8864"/>
    <n v="209530.88000000009"/>
    <n v="5"/>
    <s v="November"/>
    <s v="Q2"/>
    <x v="2"/>
  </r>
  <r>
    <s v="DAFXXX ServiceNow Integrated Workspace for Export (TFTM) Services"/>
    <x v="0"/>
    <x v="1"/>
    <s v="November"/>
    <n v="0"/>
    <n v="27874.6"/>
    <n v="5"/>
    <s v="November"/>
    <s v="Q2"/>
    <x v="2"/>
  </r>
  <r>
    <s v="DFAXXX RFQ Super Salary Calculation Enhancement 202504"/>
    <x v="1"/>
    <x v="0"/>
    <s v="November"/>
    <n v="0"/>
    <n v="1251018.0000000002"/>
    <n v="5"/>
    <s v="November"/>
    <s v="Q2"/>
    <x v="2"/>
  </r>
  <r>
    <s v="DOFXXX Applications Services"/>
    <x v="1"/>
    <x v="0"/>
    <s v="November"/>
    <n v="122105.59999999998"/>
    <n v="1251018.0000000002"/>
    <n v="5"/>
    <s v="November"/>
    <s v="Q2"/>
    <x v="2"/>
  </r>
  <r>
    <s v="DTAXXX LH-03909 - Change Manager"/>
    <x v="1"/>
    <x v="0"/>
    <s v="November"/>
    <n v="8219.2000000000007"/>
    <n v="1251018.0000000002"/>
    <n v="5"/>
    <s v="November"/>
    <s v="Q2"/>
    <x v="2"/>
  </r>
  <r>
    <s v="FWO001 Digital Transformation CPBC - PoC"/>
    <x v="0"/>
    <x v="2"/>
    <s v="November"/>
    <n v="39253.600000000006"/>
    <n v="139010.20000000001"/>
    <n v="5"/>
    <s v="November"/>
    <s v="Q2"/>
    <x v="2"/>
  </r>
  <r>
    <s v="FWO001 Digital Transformation CPBC - PoC Design"/>
    <x v="0"/>
    <x v="2"/>
    <s v="November"/>
    <n v="13681.6"/>
    <n v="139010.20000000001"/>
    <n v="5"/>
    <s v="November"/>
    <s v="Q2"/>
    <x v="2"/>
  </r>
  <r>
    <s v="INDXXX RFQ Portfolio Management 202508"/>
    <x v="1"/>
    <x v="2"/>
    <s v="November"/>
    <n v="101879.43"/>
    <n v="400814.772"/>
    <n v="5"/>
    <s v="November"/>
    <s v="Q2"/>
    <x v="2"/>
  </r>
  <r>
    <s v="INDXXX RFQ Venture Capital Smartforms Transition to ServiceNow"/>
    <x v="0"/>
    <x v="2"/>
    <s v="November"/>
    <n v="24974"/>
    <n v="139010.20000000001"/>
    <n v="5"/>
    <s v="November"/>
    <s v="Q2"/>
    <x v="2"/>
  </r>
  <r>
    <s v="INDXXX RFQ Work, Health and Safety 202507"/>
    <x v="1"/>
    <x v="2"/>
    <s v="November"/>
    <n v="98012"/>
    <n v="400814.772"/>
    <n v="5"/>
    <s v="November"/>
    <s v="Q2"/>
    <x v="2"/>
  </r>
  <r>
    <s v="LABXXX- RFQ PCS-02120 - Data Scientist Services"/>
    <x v="1"/>
    <x v="0"/>
    <s v="November"/>
    <n v="43840"/>
    <n v="1251018.0000000002"/>
    <n v="5"/>
    <s v="November"/>
    <s v="Q2"/>
    <x v="2"/>
  </r>
  <r>
    <s v="PARXXX RFT RevenueSA Application Portfolio Review 202506"/>
    <x v="0"/>
    <x v="0"/>
    <s v="November"/>
    <n v="73424.000000000015"/>
    <n v="302243.68"/>
    <n v="5"/>
    <s v="November"/>
    <s v="Q2"/>
    <x v="2"/>
  </r>
  <r>
    <s v="PMCXXX - RFQ LH-03834 Change Managers"/>
    <x v="0"/>
    <x v="0"/>
    <s v="November"/>
    <n v="-22172.800000000003"/>
    <n v="302243.68"/>
    <n v="5"/>
    <s v="November"/>
    <s v="Q2"/>
    <x v="2"/>
  </r>
  <r>
    <s v="QLDXXX Queensland Shared Services SAP Finance to S4 Hana Public Cloud"/>
    <x v="1"/>
    <x v="0"/>
    <s v="November"/>
    <n v="10240"/>
    <n v="1251018.0000000002"/>
    <n v="5"/>
    <s v="November"/>
    <s v="Q2"/>
    <x v="2"/>
  </r>
  <r>
    <s v="SAUXXX Cyber -LH-03498 - Senior Cyber Uplift Project Manager"/>
    <x v="0"/>
    <x v="3"/>
    <s v="November"/>
    <n v="8144.0000000000018"/>
    <n v="174015.04"/>
    <n v="5"/>
    <s v="November"/>
    <s v="Q2"/>
    <x v="2"/>
  </r>
  <r>
    <s v="SAUXXX Cyber -LH-03543 - Manager Cyber Uplift Project Manager"/>
    <x v="0"/>
    <x v="3"/>
    <s v="November"/>
    <n v="0"/>
    <n v="174015.04"/>
    <n v="5"/>
    <s v="November"/>
    <s v="Q2"/>
    <x v="2"/>
  </r>
  <r>
    <s v="SAUXXX Cyber -LH-03556 - Cyber Uplift Scrum Master"/>
    <x v="0"/>
    <x v="3"/>
    <s v="November"/>
    <n v="0"/>
    <n v="174015.04"/>
    <n v="5"/>
    <s v="November"/>
    <s v="Q2"/>
    <x v="2"/>
  </r>
  <r>
    <s v="SAUXXX Cyber -LH-03562 - Senior Business Analyst"/>
    <x v="0"/>
    <x v="3"/>
    <s v="November"/>
    <n v="0"/>
    <n v="174015.04"/>
    <n v="5"/>
    <s v="November"/>
    <s v="Q2"/>
    <x v="2"/>
  </r>
  <r>
    <s v="SAUXXX RFQ Identity Mgt System Integration 202506"/>
    <x v="1"/>
    <x v="3"/>
    <s v="November"/>
    <n v="154013.99999999994"/>
    <n v="1071933.68"/>
    <n v="5"/>
    <s v="November"/>
    <s v="Q2"/>
    <x v="2"/>
  </r>
  <r>
    <s v="SAUXXX RFQ Support end-to-end Investment Proposal and BC"/>
    <x v="1"/>
    <x v="3"/>
    <s v="November"/>
    <n v="40300"/>
    <n v="1071933.68"/>
    <n v="5"/>
    <s v="November"/>
    <s v="Q2"/>
    <x v="2"/>
  </r>
  <r>
    <s v="SAUXXX RFQLH-02645 IT Infrastructure Engineer"/>
    <x v="1"/>
    <x v="3"/>
    <s v="November"/>
    <n v="13520"/>
    <n v="1071933.68"/>
    <n v="5"/>
    <s v="November"/>
    <s v="Q2"/>
    <x v="2"/>
  </r>
  <r>
    <s v="SAUXXX RFQLH-02946 1 Senior Software Engineer"/>
    <x v="1"/>
    <x v="3"/>
    <s v="November"/>
    <n v="8355.2000000000007"/>
    <n v="1071933.68"/>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m/>
    <x v="2"/>
    <x v="4"/>
    <s v="November"/>
    <n v="0"/>
    <n v="0"/>
    <n v="5"/>
    <s v="November"/>
    <s v="Q2"/>
    <x v="2"/>
  </r>
  <r>
    <s v="BCG003 NDIA Transformation Business Case"/>
    <x v="3"/>
    <x v="0"/>
    <s v="November"/>
    <n v="0"/>
    <n v="936919.52"/>
    <n v="5"/>
    <s v="November"/>
    <s v="Q2"/>
    <x v="2"/>
  </r>
  <r>
    <s v="COS001-01 DOH IWOW Target Architecture"/>
    <x v="3"/>
    <x v="0"/>
    <s v="November"/>
    <n v="0"/>
    <n v="936919.52"/>
    <n v="5"/>
    <s v="November"/>
    <s v="Q2"/>
    <x v="2"/>
  </r>
  <r>
    <s v="DAF079-01 Digital and Agile STEPS Program"/>
    <x v="3"/>
    <x v="1"/>
    <s v="November"/>
    <n v="0"/>
    <n v="388833.26500000007"/>
    <n v="5"/>
    <s v="November"/>
    <s v="Q2"/>
    <x v="2"/>
  </r>
  <r>
    <s v="DAF080-03 STEPS - Strategic Support"/>
    <x v="3"/>
    <x v="1"/>
    <s v="November"/>
    <n v="0"/>
    <n v="388833.26500000007"/>
    <n v="5"/>
    <s v="November"/>
    <s v="Q2"/>
    <x v="2"/>
  </r>
  <r>
    <s v="DAF080-04 Industry API Accelerator"/>
    <x v="3"/>
    <x v="1"/>
    <s v="November"/>
    <n v="0"/>
    <n v="388833.26500000007"/>
    <n v="5"/>
    <s v="November"/>
    <s v="Q2"/>
    <x v="2"/>
  </r>
  <r>
    <s v="DAF080-XX STEPS - Head Contract"/>
    <x v="3"/>
    <x v="1"/>
    <s v="November"/>
    <n v="0"/>
    <n v="388833.26500000007"/>
    <n v="5"/>
    <s v="November"/>
    <s v="Q2"/>
    <x v="2"/>
  </r>
  <r>
    <s v="DAF081 Digital resources for DBD - Head Contract"/>
    <x v="3"/>
    <x v="1"/>
    <s v="November"/>
    <n v="0"/>
    <n v="388833.26500000007"/>
    <n v="5"/>
    <s v="November"/>
    <s v="Q2"/>
    <x v="2"/>
  </r>
  <r>
    <s v="DAF081-05 DBD Business Analyst (Kev)"/>
    <x v="3"/>
    <x v="1"/>
    <s v="November"/>
    <n v="6209.5999999999985"/>
    <n v="388833.26500000007"/>
    <n v="5"/>
    <s v="November"/>
    <s v="Q2"/>
    <x v="2"/>
  </r>
  <r>
    <s v="DAF081-06 DBD Test Analyst (Vinnie)"/>
    <x v="3"/>
    <x v="1"/>
    <s v="November"/>
    <n v="2065.5999999999985"/>
    <n v="388833.26500000007"/>
    <n v="5"/>
    <s v="November"/>
    <s v="Q2"/>
    <x v="2"/>
  </r>
  <r>
    <s v="DAF081-07 DBD System Analyst (Amit)"/>
    <x v="3"/>
    <x v="1"/>
    <s v="November"/>
    <n v="7065.5999999999985"/>
    <n v="388833.26500000007"/>
    <n v="5"/>
    <s v="November"/>
    <s v="Q2"/>
    <x v="2"/>
  </r>
  <r>
    <s v="DAF081-08 DBD Business Analyst (Raheem)"/>
    <x v="3"/>
    <x v="1"/>
    <s v="November"/>
    <n v="5745.5999999999985"/>
    <n v="388833.26500000007"/>
    <n v="5"/>
    <s v="November"/>
    <s v="Q2"/>
    <x v="2"/>
  </r>
  <r>
    <s v="DAF081-09 Technical Lead (Phani)"/>
    <x v="3"/>
    <x v="1"/>
    <s v="November"/>
    <n v="0"/>
    <n v="388833.26500000007"/>
    <n v="5"/>
    <s v="November"/>
    <s v="Q2"/>
    <x v="2"/>
  </r>
  <r>
    <s v="DCC001-05 SAP Tech Specialist (Husain)"/>
    <x v="3"/>
    <x v="0"/>
    <s v="November"/>
    <n v="9280"/>
    <n v="936919.52"/>
    <n v="5"/>
    <s v="November"/>
    <s v="Q2"/>
    <x v="2"/>
  </r>
  <r>
    <s v="DHA002-01 Senior Pega System Developer (Giribabu)"/>
    <x v="3"/>
    <x v="0"/>
    <s v="November"/>
    <n v="1840"/>
    <n v="936919.52"/>
    <n v="5"/>
    <s v="November"/>
    <s v="Q2"/>
    <x v="2"/>
  </r>
  <r>
    <s v="FWO001 Digital Transformation CPBC"/>
    <x v="3"/>
    <x v="0"/>
    <s v="November"/>
    <n v="281809.63999999996"/>
    <n v="936919.52"/>
    <n v="5"/>
    <s v="November"/>
    <s v="Q2"/>
    <x v="2"/>
  </r>
  <r>
    <s v="IND002 AI Integration in ServiceNow"/>
    <x v="3"/>
    <x v="0"/>
    <s v="November"/>
    <n v="0"/>
    <n v="936919.52"/>
    <n v="5"/>
    <s v="November"/>
    <s v="Q2"/>
    <x v="2"/>
  </r>
  <r>
    <s v="ISY009-01 Vic SRO T3 (Pre-project)"/>
    <x v="3"/>
    <x v="5"/>
    <s v="November"/>
    <n v="0"/>
    <n v="780986.74510000041"/>
    <n v="5"/>
    <s v="November"/>
    <s v="Q2"/>
    <x v="2"/>
  </r>
  <r>
    <s v="ISY010 Vic SRO T3"/>
    <x v="3"/>
    <x v="5"/>
    <s v="November"/>
    <n v="181980.17070000019"/>
    <n v="780986.74510000041"/>
    <n v="5"/>
    <s v="November"/>
    <s v="Q2"/>
    <x v="2"/>
  </r>
  <r>
    <s v="NQS005-02 DART Recalibration"/>
    <x v="3"/>
    <x v="0"/>
    <s v="November"/>
    <n v="0"/>
    <n v="936919.52"/>
    <n v="5"/>
    <s v="November"/>
    <s v="Q2"/>
    <x v="2"/>
  </r>
  <r>
    <s v="NQS005-03 DART Benefits Review and Preparation"/>
    <x v="3"/>
    <x v="0"/>
    <s v="November"/>
    <n v="0"/>
    <n v="936919.52"/>
    <n v="5"/>
    <s v="November"/>
    <s v="Q2"/>
    <x v="2"/>
  </r>
  <r>
    <s v="SAU043-03 Cyber Security (Ben)"/>
    <x v="3"/>
    <x v="3"/>
    <s v="November"/>
    <n v="3680"/>
    <n v="410911.63"/>
    <n v="5"/>
    <s v="November"/>
    <s v="Q2"/>
    <x v="2"/>
  </r>
  <r>
    <s v="SAU044-03 Senior Development Expert (Nadh)"/>
    <x v="3"/>
    <x v="3"/>
    <s v="November"/>
    <n v="6080"/>
    <n v="410911.63"/>
    <n v="5"/>
    <s v="November"/>
    <s v="Q2"/>
    <x v="2"/>
  </r>
  <r>
    <s v="SAU045-02 Senior Technology Architect (Sidd)"/>
    <x v="3"/>
    <x v="3"/>
    <s v="November"/>
    <n v="6240"/>
    <n v="410911.63"/>
    <n v="5"/>
    <s v="November"/>
    <s v="Q2"/>
    <x v="2"/>
  </r>
  <r>
    <s v="SAU046-02 Delivery Manager (Alex)"/>
    <x v="3"/>
    <x v="3"/>
    <s v="November"/>
    <n v="6128"/>
    <n v="410911.63"/>
    <n v="5"/>
    <s v="November"/>
    <s v="Q2"/>
    <x v="2"/>
  </r>
  <r>
    <s v="SAU048-01 System Analyst (Meenal)"/>
    <x v="3"/>
    <x v="3"/>
    <s v="November"/>
    <n v="0"/>
    <n v="410911.63"/>
    <n v="5"/>
    <s v="November"/>
    <s v="Q2"/>
    <x v="2"/>
  </r>
  <r>
    <s v="SAU048-02 System Analyst (Meenal)"/>
    <x v="3"/>
    <x v="3"/>
    <s v="November"/>
    <n v="1139.2000000000007"/>
    <n v="410911.63"/>
    <n v="5"/>
    <s v="November"/>
    <s v="Q2"/>
    <x v="2"/>
  </r>
  <r>
    <s v="SAU049-01 Functional Development Expert (Shefali)"/>
    <x v="3"/>
    <x v="3"/>
    <s v="November"/>
    <n v="0"/>
    <n v="410911.63"/>
    <n v="5"/>
    <s v="November"/>
    <s v="Q2"/>
    <x v="2"/>
  </r>
  <r>
    <s v="SAU050-01 Senior Development Lead (Abdul)"/>
    <x v="3"/>
    <x v="3"/>
    <s v="November"/>
    <n v="0"/>
    <n v="410911.63"/>
    <n v="5"/>
    <s v="November"/>
    <s v="Q2"/>
    <x v="2"/>
  </r>
  <r>
    <s v="SAU052 Senior Solution Architect (Aniket)"/>
    <x v="3"/>
    <x v="3"/>
    <s v="November"/>
    <n v="4060.7999999999952"/>
    <n v="410911.63"/>
    <n v="5"/>
    <s v="November"/>
    <s v="Q2"/>
    <x v="2"/>
  </r>
  <r>
    <s v="SAU053 Principal Software Engineer (Sheelesh)"/>
    <x v="3"/>
    <x v="3"/>
    <s v="November"/>
    <n v="5200"/>
    <n v="410911.63"/>
    <n v="5"/>
    <s v="November"/>
    <s v="Q2"/>
    <x v="2"/>
  </r>
  <r>
    <s v="SAU054 Principal Software Engineer (Tejas)"/>
    <x v="3"/>
    <x v="3"/>
    <s v="November"/>
    <n v="5100.7999999999956"/>
    <n v="410911.63"/>
    <n v="5"/>
    <s v="November"/>
    <s v="Q2"/>
    <x v="2"/>
  </r>
  <r>
    <s v="SAU055 Principal Software Engineer (Karan)"/>
    <x v="3"/>
    <x v="3"/>
    <s v="November"/>
    <n v="5115.1999999999971"/>
    <n v="410911.63"/>
    <n v="5"/>
    <s v="November"/>
    <s v="Q2"/>
    <x v="2"/>
  </r>
  <r>
    <s v="SAU056 Principal Software Engineer (Ankit)"/>
    <x v="3"/>
    <x v="3"/>
    <s v="November"/>
    <n v="4761.5999999999985"/>
    <n v="410911.63"/>
    <n v="5"/>
    <s v="November"/>
    <s v="Q2"/>
    <x v="2"/>
  </r>
  <r>
    <s v="SAU057 Principal Software Engineer (Asit)"/>
    <x v="3"/>
    <x v="3"/>
    <s v="November"/>
    <n v="5102.4000000000015"/>
    <n v="410911.63"/>
    <n v="5"/>
    <s v="November"/>
    <s v="Q2"/>
    <x v="2"/>
  </r>
  <r>
    <s v="TAL001-02 Senior Enterprise Architect (Akshay)"/>
    <x v="3"/>
    <x v="3"/>
    <s v="November"/>
    <n v="0"/>
    <n v="410911.63"/>
    <n v="5"/>
    <s v="November"/>
    <s v="Q2"/>
    <x v="2"/>
  </r>
  <r>
    <s v="SAU049-XX Functional Development Expert (Shefali)"/>
    <x v="4"/>
    <x v="3"/>
    <s v="November"/>
    <n v="1166.6666666666667"/>
    <n v="47500"/>
    <n v="5"/>
    <s v="November"/>
    <s v="Q2"/>
    <x v="2"/>
  </r>
  <r>
    <s v="SAU050-XX Senior Development Lead (Abdul)"/>
    <x v="4"/>
    <x v="3"/>
    <s v="November"/>
    <n v="2333.3333333333335"/>
    <n v="47500"/>
    <n v="5"/>
    <s v="November"/>
    <s v="Q2"/>
    <x v="2"/>
  </r>
  <r>
    <s v="SAU046-XX Delivery Manager (Alex)"/>
    <x v="4"/>
    <x v="3"/>
    <s v="November"/>
    <n v="0"/>
    <n v="47500"/>
    <n v="5"/>
    <s v="November"/>
    <s v="Q2"/>
    <x v="2"/>
  </r>
  <r>
    <s v="VICXXX SRO BRE Licensing, Implementation and MSE - ID003 Decisively 202405"/>
    <x v="4"/>
    <x v="5"/>
    <s v="November"/>
    <n v="16000"/>
    <n v="878000.00000000012"/>
    <n v="5"/>
    <s v="November"/>
    <s v="Q2"/>
    <x v="2"/>
  </r>
  <r>
    <s v="DAFXXX DAF081 Digital resources for DBD - Extension"/>
    <x v="4"/>
    <x v="1"/>
    <s v="November"/>
    <n v="0"/>
    <n v="212181.818"/>
    <n v="5"/>
    <s v="November"/>
    <s v="Q2"/>
    <x v="2"/>
  </r>
  <r>
    <s v="ISYXXX Vic SRO (FEB26-JUN26)"/>
    <x v="4"/>
    <x v="5"/>
    <s v="November"/>
    <n v="0"/>
    <n v="878000.00000000012"/>
    <n v="5"/>
    <s v="November"/>
    <s v="Q2"/>
    <x v="2"/>
  </r>
  <r>
    <s v="INFXXX RFQ TechOne - ERP Products, Implementation, Operational"/>
    <x v="4"/>
    <x v="0"/>
    <s v="November"/>
    <n v="0"/>
    <n v="731068.23529411759"/>
    <n v="5"/>
    <s v="November"/>
    <s v="Q2"/>
    <x v="2"/>
  </r>
  <r>
    <s v="DAFXXX STEPS Parallel Delivery Accelerator"/>
    <x v="4"/>
    <x v="1"/>
    <s v="November"/>
    <n v="0"/>
    <n v="212181.818"/>
    <n v="5"/>
    <s v="November"/>
    <s v="Q2"/>
    <x v="2"/>
  </r>
  <r>
    <s v="AFPXXX EPI-USE Roadmap"/>
    <x v="0"/>
    <x v="0"/>
    <s v="October"/>
    <n v="10792"/>
    <n v="440000.72"/>
    <n v="4"/>
    <s v="October"/>
    <s v="Q2"/>
    <x v="2"/>
  </r>
  <r>
    <s v="BCG003-01 NDIA Transformation Business Case - T&amp;M"/>
    <x v="0"/>
    <x v="0"/>
    <s v="October"/>
    <n v="61157.2"/>
    <n v="440000.72"/>
    <n v="4"/>
    <s v="October"/>
    <s v="Q2"/>
    <x v="2"/>
  </r>
  <r>
    <s v="DAF079-XX STEPS 1 Solution Designers"/>
    <x v="1"/>
    <x v="1"/>
    <s v="October"/>
    <n v="0"/>
    <n v="233143.9200000001"/>
    <n v="4"/>
    <s v="October"/>
    <s v="Q2"/>
    <x v="2"/>
  </r>
  <r>
    <s v="DAFXXX Export Service User Request - POV - Servicenow"/>
    <x v="0"/>
    <x v="1"/>
    <s v="October"/>
    <n v="0"/>
    <n v="31066.6"/>
    <n v="4"/>
    <s v="October"/>
    <s v="Q2"/>
    <x v="2"/>
  </r>
  <r>
    <s v="DAFXXX LH-04076 Senior Technical Analyst"/>
    <x v="0"/>
    <x v="1"/>
    <s v="October"/>
    <n v="3192"/>
    <n v="31066.6"/>
    <n v="4"/>
    <s v="October"/>
    <s v="Q2"/>
    <x v="2"/>
  </r>
  <r>
    <s v="DAFXXX LH-04140 Delivery Manager"/>
    <x v="1"/>
    <x v="1"/>
    <s v="October"/>
    <n v="5041.8399999999974"/>
    <n v="233143.9200000001"/>
    <n v="4"/>
    <s v="October"/>
    <s v="Q2"/>
    <x v="2"/>
  </r>
  <r>
    <s v="DAFXXX multiple Senior Software Developer 202508"/>
    <x v="1"/>
    <x v="1"/>
    <s v="October"/>
    <n v="9707.200000000008"/>
    <n v="233143.9200000001"/>
    <n v="4"/>
    <s v="October"/>
    <s v="Q2"/>
    <x v="2"/>
  </r>
  <r>
    <s v="DAFXXX Senior Multiple roles BA 202508"/>
    <x v="1"/>
    <x v="1"/>
    <s v="October"/>
    <n v="8864"/>
    <n v="233143.9200000001"/>
    <n v="4"/>
    <s v="October"/>
    <s v="Q2"/>
    <x v="2"/>
  </r>
  <r>
    <s v="DAFXXX ServiceNow Integrated Workspace for Export (TFTM) Services"/>
    <x v="0"/>
    <x v="1"/>
    <s v="October"/>
    <n v="0"/>
    <n v="31066.6"/>
    <n v="4"/>
    <s v="October"/>
    <s v="Q2"/>
    <x v="2"/>
  </r>
  <r>
    <s v="DFAXXX RFQ Super Salary Calculation Enhancement 202504"/>
    <x v="1"/>
    <x v="0"/>
    <s v="October"/>
    <n v="17380"/>
    <n v="1416950.7600000002"/>
    <n v="4"/>
    <s v="October"/>
    <s v="Q2"/>
    <x v="2"/>
  </r>
  <r>
    <s v="DOFXXX Applications Services"/>
    <x v="1"/>
    <x v="0"/>
    <s v="October"/>
    <n v="89368.52"/>
    <n v="1416950.7600000002"/>
    <n v="4"/>
    <s v="October"/>
    <s v="Q2"/>
    <x v="2"/>
  </r>
  <r>
    <s v="DTAXXX LH-03909 - Change Manager"/>
    <x v="1"/>
    <x v="0"/>
    <s v="October"/>
    <n v="7808.24"/>
    <n v="1416950.7600000002"/>
    <n v="4"/>
    <s v="October"/>
    <s v="Q2"/>
    <x v="2"/>
  </r>
  <r>
    <s v="FWO001 Digital Transformation CPBC - PoC"/>
    <x v="0"/>
    <x v="2"/>
    <s v="October"/>
    <n v="157014.39999999994"/>
    <n v="376451"/>
    <n v="4"/>
    <s v="October"/>
    <s v="Q2"/>
    <x v="2"/>
  </r>
  <r>
    <s v="FWO001 Digital Transformation CPBC - PoC Design"/>
    <x v="0"/>
    <x v="2"/>
    <s v="October"/>
    <n v="54726.400000000001"/>
    <n v="376451"/>
    <n v="4"/>
    <s v="October"/>
    <s v="Q2"/>
    <x v="2"/>
  </r>
  <r>
    <s v="INDXXX RFQ Portfolio Management 202508"/>
    <x v="1"/>
    <x v="2"/>
    <s v="October"/>
    <n v="60852.4"/>
    <n v="575357.1"/>
    <n v="4"/>
    <s v="October"/>
    <s v="Q2"/>
    <x v="2"/>
  </r>
  <r>
    <s v="INDXXX RFQ Venture Capital Smartforms Transition to ServiceNow"/>
    <x v="0"/>
    <x v="2"/>
    <s v="October"/>
    <n v="25700"/>
    <n v="376451"/>
    <n v="4"/>
    <s v="October"/>
    <s v="Q2"/>
    <x v="2"/>
  </r>
  <r>
    <s v="INDXXX RFQ Work, Health and Safety 202507"/>
    <x v="1"/>
    <x v="2"/>
    <s v="October"/>
    <n v="113689.928"/>
    <n v="575357.1"/>
    <n v="4"/>
    <s v="October"/>
    <s v="Q2"/>
    <x v="2"/>
  </r>
  <r>
    <s v="LABXXX- RFQ PCS-02120 - Data Scientist Services"/>
    <x v="1"/>
    <x v="0"/>
    <s v="October"/>
    <n v="41648"/>
    <n v="1416950.7600000002"/>
    <n v="4"/>
    <s v="October"/>
    <s v="Q2"/>
    <x v="2"/>
  </r>
  <r>
    <s v="PARXXX RFT RevenueSA Application Portfolio Review 202506"/>
    <x v="0"/>
    <x v="0"/>
    <s v="October"/>
    <n v="86872.000000000015"/>
    <n v="440000.72"/>
    <n v="4"/>
    <s v="October"/>
    <s v="Q2"/>
    <x v="2"/>
  </r>
  <r>
    <s v="PMCXXX - RFQ LH-03834 Change Managers"/>
    <x v="0"/>
    <x v="0"/>
    <s v="October"/>
    <n v="-21064.160000000003"/>
    <n v="440000.72"/>
    <n v="4"/>
    <s v="October"/>
    <s v="Q2"/>
    <x v="2"/>
  </r>
  <r>
    <s v="QLDXXX Queensland Shared Services SAP Finance to S4 Hana Public Cloud"/>
    <x v="1"/>
    <x v="0"/>
    <s v="October"/>
    <n v="9728"/>
    <n v="1416950.7600000002"/>
    <n v="4"/>
    <s v="October"/>
    <s v="Q2"/>
    <x v="2"/>
  </r>
  <r>
    <s v="SAUXXX Cyber -LH-03498 - Senior Cyber Uplift Project Manager"/>
    <x v="0"/>
    <x v="3"/>
    <s v="October"/>
    <n v="7736.8"/>
    <n v="181751.84"/>
    <n v="4"/>
    <s v="October"/>
    <s v="Q2"/>
    <x v="2"/>
  </r>
  <r>
    <s v="SAUXXX Cyber -LH-03543 - Manager Cyber Uplift Project Manager"/>
    <x v="0"/>
    <x v="3"/>
    <s v="October"/>
    <n v="0"/>
    <n v="181751.84"/>
    <n v="4"/>
    <s v="October"/>
    <s v="Q2"/>
    <x v="2"/>
  </r>
  <r>
    <s v="SAUXXX Cyber -LH-03556 - Cyber Uplift Scrum Master"/>
    <x v="0"/>
    <x v="3"/>
    <s v="October"/>
    <n v="0"/>
    <n v="181751.84"/>
    <n v="4"/>
    <s v="October"/>
    <s v="Q2"/>
    <x v="2"/>
  </r>
  <r>
    <s v="SAUXXX Cyber -LH-03562 - Senior Business Analyst"/>
    <x v="0"/>
    <x v="3"/>
    <s v="October"/>
    <n v="0"/>
    <n v="181751.84"/>
    <n v="4"/>
    <s v="October"/>
    <s v="Q2"/>
    <x v="2"/>
  </r>
  <r>
    <s v="SAUXXX RFQ Identity Mgt System Integration 202506"/>
    <x v="1"/>
    <x v="3"/>
    <s v="October"/>
    <n v="134767.27999999997"/>
    <n v="1267782.3999999999"/>
    <n v="4"/>
    <s v="October"/>
    <s v="Q2"/>
    <x v="2"/>
  </r>
  <r>
    <s v="SAUXXX RFQ Support end-to-end Investment Proposal and BC"/>
    <x v="1"/>
    <x v="3"/>
    <s v="October"/>
    <n v="40300"/>
    <n v="1267782.3999999999"/>
    <n v="4"/>
    <s v="October"/>
    <s v="Q2"/>
    <x v="2"/>
  </r>
  <r>
    <s v="SAUXXX RFQLH-02645 IT Infrastructure Engineer"/>
    <x v="1"/>
    <x v="3"/>
    <s v="October"/>
    <n v="12844"/>
    <n v="1267782.3999999999"/>
    <n v="4"/>
    <s v="October"/>
    <s v="Q2"/>
    <x v="2"/>
  </r>
  <r>
    <s v="SAUXXX RFQLH-02946 1 Senior Software Engineer"/>
    <x v="1"/>
    <x v="3"/>
    <s v="October"/>
    <n v="7937.44"/>
    <n v="1267782.3999999999"/>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m/>
    <x v="2"/>
    <x v="4"/>
    <s v="October"/>
    <n v="0"/>
    <n v="0"/>
    <n v="4"/>
    <s v="October"/>
    <s v="Q2"/>
    <x v="2"/>
  </r>
  <r>
    <s v="BCG003 NDIA Transformation Business Case"/>
    <x v="3"/>
    <x v="0"/>
    <s v="October"/>
    <n v="0"/>
    <n v="1168734.8800000001"/>
    <n v="4"/>
    <s v="October"/>
    <s v="Q2"/>
    <x v="2"/>
  </r>
  <r>
    <s v="COS001-01 DOH IWOW Target Architecture"/>
    <x v="3"/>
    <x v="0"/>
    <s v="October"/>
    <n v="0"/>
    <n v="1168734.8800000001"/>
    <n v="4"/>
    <s v="October"/>
    <s v="Q2"/>
    <x v="2"/>
  </r>
  <r>
    <s v="DAF079-01 Digital and Agile STEPS Program"/>
    <x v="3"/>
    <x v="1"/>
    <s v="October"/>
    <n v="0"/>
    <n v="408865.34500000009"/>
    <n v="4"/>
    <s v="October"/>
    <s v="Q2"/>
    <x v="2"/>
  </r>
  <r>
    <s v="DAF080-03 STEPS - Strategic Support"/>
    <x v="3"/>
    <x v="1"/>
    <s v="October"/>
    <n v="0"/>
    <n v="408865.34500000009"/>
    <n v="4"/>
    <s v="October"/>
    <s v="Q2"/>
    <x v="2"/>
  </r>
  <r>
    <s v="DAF080-04 Industry API Accelerator"/>
    <x v="3"/>
    <x v="1"/>
    <s v="October"/>
    <n v="0"/>
    <n v="408865.34500000009"/>
    <n v="4"/>
    <s v="October"/>
    <s v="Q2"/>
    <x v="2"/>
  </r>
  <r>
    <s v="DAF080-XX STEPS - Head Contract"/>
    <x v="3"/>
    <x v="1"/>
    <s v="October"/>
    <n v="0"/>
    <n v="408865.34500000009"/>
    <n v="4"/>
    <s v="October"/>
    <s v="Q2"/>
    <x v="2"/>
  </r>
  <r>
    <s v="DAF081 Digital resources for DBD - Head Contract"/>
    <x v="3"/>
    <x v="1"/>
    <s v="October"/>
    <n v="0"/>
    <n v="408865.34500000009"/>
    <n v="4"/>
    <s v="October"/>
    <s v="Q2"/>
    <x v="2"/>
  </r>
  <r>
    <s v="DAF081-05 DBD Business Analyst (Kev)"/>
    <x v="3"/>
    <x v="1"/>
    <s v="October"/>
    <n v="5899.1200000000026"/>
    <n v="408865.34500000009"/>
    <n v="4"/>
    <s v="October"/>
    <s v="Q2"/>
    <x v="2"/>
  </r>
  <r>
    <s v="DAF081-06 DBD Test Analyst (Vinnie)"/>
    <x v="3"/>
    <x v="1"/>
    <s v="October"/>
    <n v="1962.3199999999997"/>
    <n v="408865.34500000009"/>
    <n v="4"/>
    <s v="October"/>
    <s v="Q2"/>
    <x v="2"/>
  </r>
  <r>
    <s v="DAF081-07 DBD System Analyst (Amit)"/>
    <x v="3"/>
    <x v="1"/>
    <s v="October"/>
    <n v="6712.32"/>
    <n v="408865.34500000009"/>
    <n v="4"/>
    <s v="October"/>
    <s v="Q2"/>
    <x v="2"/>
  </r>
  <r>
    <s v="DAF081-08 DBD Business Analyst (Raheem)"/>
    <x v="3"/>
    <x v="1"/>
    <s v="October"/>
    <n v="5458.32"/>
    <n v="408865.34500000009"/>
    <n v="4"/>
    <s v="October"/>
    <s v="Q2"/>
    <x v="2"/>
  </r>
  <r>
    <s v="DAF081-09 Technical Lead (Phani)"/>
    <x v="3"/>
    <x v="1"/>
    <s v="October"/>
    <n v="0"/>
    <n v="408865.34500000009"/>
    <n v="4"/>
    <s v="October"/>
    <s v="Q2"/>
    <x v="2"/>
  </r>
  <r>
    <s v="DCC001-05 SAP Tech Specialist (Husain)"/>
    <x v="3"/>
    <x v="0"/>
    <s v="October"/>
    <n v="9280"/>
    <n v="1168734.8800000001"/>
    <n v="4"/>
    <s v="October"/>
    <s v="Q2"/>
    <x v="2"/>
  </r>
  <r>
    <s v="DHA002-01 Senior Pega System Developer (Giribabu)"/>
    <x v="3"/>
    <x v="0"/>
    <s v="October"/>
    <n v="1748"/>
    <n v="1168734.8800000001"/>
    <n v="4"/>
    <s v="October"/>
    <s v="Q2"/>
    <x v="2"/>
  </r>
  <r>
    <s v="FWO001 Digital Transformation CPBC"/>
    <x v="3"/>
    <x v="0"/>
    <s v="October"/>
    <n v="220787.36000000004"/>
    <n v="1168734.8800000001"/>
    <n v="4"/>
    <s v="October"/>
    <s v="Q2"/>
    <x v="2"/>
  </r>
  <r>
    <s v="IND002 AI Integration in ServiceNow"/>
    <x v="3"/>
    <x v="0"/>
    <s v="October"/>
    <n v="0"/>
    <n v="1168734.8800000001"/>
    <n v="4"/>
    <s v="October"/>
    <s v="Q2"/>
    <x v="2"/>
  </r>
  <r>
    <s v="ISY009-01 Vic SRO T3 (Pre-project)"/>
    <x v="3"/>
    <x v="5"/>
    <s v="October"/>
    <n v="0"/>
    <n v="980957.45110000076"/>
    <n v="4"/>
    <s v="October"/>
    <s v="Q2"/>
    <x v="2"/>
  </r>
  <r>
    <s v="ISY010 Vic SRO T3"/>
    <x v="3"/>
    <x v="5"/>
    <s v="October"/>
    <n v="199970.70600000035"/>
    <n v="980957.45110000076"/>
    <n v="4"/>
    <s v="October"/>
    <s v="Q2"/>
    <x v="2"/>
  </r>
  <r>
    <s v="NQS005-02 DART Recalibration"/>
    <x v="3"/>
    <x v="0"/>
    <s v="October"/>
    <n v="0"/>
    <n v="1168734.8800000001"/>
    <n v="4"/>
    <s v="October"/>
    <s v="Q2"/>
    <x v="2"/>
  </r>
  <r>
    <s v="NQS005-03 DART Benefits Review and Preparation"/>
    <x v="3"/>
    <x v="0"/>
    <s v="October"/>
    <n v="0"/>
    <n v="1168734.8800000001"/>
    <n v="4"/>
    <s v="October"/>
    <s v="Q2"/>
    <x v="2"/>
  </r>
  <r>
    <s v="SAU043-03 Cyber Security (Ben)"/>
    <x v="3"/>
    <x v="3"/>
    <s v="October"/>
    <n v="3496"/>
    <n v="463391.63"/>
    <n v="4"/>
    <s v="October"/>
    <s v="Q2"/>
    <x v="2"/>
  </r>
  <r>
    <s v="SAU044-03 Senior Development Expert (Nadh)"/>
    <x v="3"/>
    <x v="3"/>
    <s v="October"/>
    <n v="5776"/>
    <n v="463391.63"/>
    <n v="4"/>
    <s v="October"/>
    <s v="Q2"/>
    <x v="2"/>
  </r>
  <r>
    <s v="SAU045-02 Senior Technology Architect (Sidd)"/>
    <x v="3"/>
    <x v="3"/>
    <s v="October"/>
    <n v="5928"/>
    <n v="463391.63"/>
    <n v="4"/>
    <s v="October"/>
    <s v="Q2"/>
    <x v="2"/>
  </r>
  <r>
    <s v="SAU046-02 Delivery Manager (Alex)"/>
    <x v="3"/>
    <x v="3"/>
    <s v="October"/>
    <n v="5362"/>
    <n v="463391.63"/>
    <n v="4"/>
    <s v="October"/>
    <s v="Q2"/>
    <x v="2"/>
  </r>
  <r>
    <s v="SAU048-01 System Analyst (Meenal)"/>
    <x v="3"/>
    <x v="3"/>
    <s v="October"/>
    <n v="0"/>
    <n v="463391.63"/>
    <n v="4"/>
    <s v="October"/>
    <s v="Q2"/>
    <x v="2"/>
  </r>
  <r>
    <s v="SAU048-02 System Analyst (Meenal)"/>
    <x v="3"/>
    <x v="3"/>
    <s v="October"/>
    <n v="1082.239999999998"/>
    <n v="463391.63"/>
    <n v="4"/>
    <s v="October"/>
    <s v="Q2"/>
    <x v="2"/>
  </r>
  <r>
    <s v="SAU049-01 Functional Development Expert (Shefali)"/>
    <x v="3"/>
    <x v="3"/>
    <s v="October"/>
    <n v="986"/>
    <n v="463391.63"/>
    <n v="4"/>
    <s v="October"/>
    <s v="Q2"/>
    <x v="2"/>
  </r>
  <r>
    <s v="SAU050-01 Senior Development Lead (Abdul)"/>
    <x v="3"/>
    <x v="3"/>
    <s v="October"/>
    <n v="1976"/>
    <n v="463391.63"/>
    <n v="4"/>
    <s v="October"/>
    <s v="Q2"/>
    <x v="2"/>
  </r>
  <r>
    <s v="SAU052 Senior Solution Architect (Aniket)"/>
    <x v="3"/>
    <x v="3"/>
    <s v="October"/>
    <n v="3857.7599999999911"/>
    <n v="463391.63"/>
    <n v="4"/>
    <s v="October"/>
    <s v="Q2"/>
    <x v="2"/>
  </r>
  <r>
    <s v="SAU053 Principal Software Engineer (Sheelesh)"/>
    <x v="3"/>
    <x v="3"/>
    <s v="October"/>
    <n v="4940.0000000000073"/>
    <n v="463391.63"/>
    <n v="4"/>
    <s v="October"/>
    <s v="Q2"/>
    <x v="2"/>
  </r>
  <r>
    <s v="SAU054 Principal Software Engineer (Tejas)"/>
    <x v="3"/>
    <x v="3"/>
    <s v="October"/>
    <n v="4845.7599999999948"/>
    <n v="463391.63"/>
    <n v="4"/>
    <s v="October"/>
    <s v="Q2"/>
    <x v="2"/>
  </r>
  <r>
    <s v="SAU055 Principal Software Engineer (Karan)"/>
    <x v="3"/>
    <x v="3"/>
    <s v="October"/>
    <n v="4859.4399999999951"/>
    <n v="463391.63"/>
    <n v="4"/>
    <s v="October"/>
    <s v="Q2"/>
    <x v="2"/>
  </r>
  <r>
    <s v="SAU056 Principal Software Engineer (Ankit)"/>
    <x v="3"/>
    <x v="3"/>
    <s v="October"/>
    <n v="4523.5199999999968"/>
    <n v="463391.63"/>
    <n v="4"/>
    <s v="October"/>
    <s v="Q2"/>
    <x v="2"/>
  </r>
  <r>
    <s v="SAU057 Principal Software Engineer (Asit)"/>
    <x v="3"/>
    <x v="3"/>
    <s v="October"/>
    <n v="4847.2799999999988"/>
    <n v="463391.63"/>
    <n v="4"/>
    <s v="October"/>
    <s v="Q2"/>
    <x v="2"/>
  </r>
  <r>
    <s v="TAL001-02 Senior Enterprise Architect (Akshay)"/>
    <x v="3"/>
    <x v="3"/>
    <s v="October"/>
    <n v="0"/>
    <n v="463391.63"/>
    <n v="4"/>
    <s v="October"/>
    <s v="Q2"/>
    <x v="2"/>
  </r>
  <r>
    <s v="SAU049-XX Functional Development Expert (Shefali)"/>
    <x v="4"/>
    <x v="3"/>
    <s v="October"/>
    <n v="0"/>
    <n v="47500"/>
    <n v="4"/>
    <s v="October"/>
    <s v="Q2"/>
    <x v="2"/>
  </r>
  <r>
    <s v="SAU050-XX Senior Development Lead (Abdul)"/>
    <x v="4"/>
    <x v="3"/>
    <s v="October"/>
    <n v="0"/>
    <n v="47500"/>
    <n v="4"/>
    <s v="October"/>
    <s v="Q2"/>
    <x v="2"/>
  </r>
  <r>
    <s v="SAU046-XX Delivery Manager (Alex)"/>
    <x v="4"/>
    <x v="3"/>
    <s v="October"/>
    <n v="0"/>
    <n v="47500"/>
    <n v="4"/>
    <s v="October"/>
    <s v="Q2"/>
    <x v="2"/>
  </r>
  <r>
    <s v="VICXXX SRO BRE Licensing, Implementation and MSE - ID003 Decisively 202405"/>
    <x v="4"/>
    <x v="5"/>
    <s v="October"/>
    <n v="16000"/>
    <n v="894000.00000000012"/>
    <n v="4"/>
    <s v="October"/>
    <s v="Q2"/>
    <x v="2"/>
  </r>
  <r>
    <s v="DAFXXX DAF081 Digital resources for DBD - Extension"/>
    <x v="4"/>
    <x v="1"/>
    <s v="October"/>
    <n v="0"/>
    <n v="212181.818"/>
    <n v="4"/>
    <s v="October"/>
    <s v="Q2"/>
    <x v="2"/>
  </r>
  <r>
    <s v="ISYXXX Vic SRO (FEB26-JUN26)"/>
    <x v="4"/>
    <x v="5"/>
    <s v="October"/>
    <n v="0"/>
    <n v="894000.00000000012"/>
    <n v="4"/>
    <s v="October"/>
    <s v="Q2"/>
    <x v="2"/>
  </r>
  <r>
    <s v="INFXXX RFQ TechOne - ERP Products, Implementation, Operational"/>
    <x v="4"/>
    <x v="0"/>
    <s v="October"/>
    <n v="0"/>
    <n v="731068.23529411759"/>
    <n v="4"/>
    <s v="October"/>
    <s v="Q2"/>
    <x v="2"/>
  </r>
  <r>
    <s v="DAFXXX STEPS Parallel Delivery Accelerator"/>
    <x v="4"/>
    <x v="1"/>
    <s v="October"/>
    <n v="0"/>
    <n v="212181.818"/>
    <n v="4"/>
    <s v="October"/>
    <s v="Q2"/>
    <x v="2"/>
  </r>
  <r>
    <s v="AFPXXX EPI-USE Roadmap"/>
    <x v="0"/>
    <x v="0"/>
    <s v="September"/>
    <n v="14200"/>
    <n v="494586.72"/>
    <n v="3"/>
    <s v="September"/>
    <s v="Q1"/>
    <x v="1"/>
  </r>
  <r>
    <s v="BCG003-01 NDIA Transformation Business Case - T&amp;M"/>
    <x v="0"/>
    <x v="0"/>
    <s v="September"/>
    <n v="0"/>
    <n v="494586.72"/>
    <n v="3"/>
    <s v="September"/>
    <s v="Q1"/>
    <x v="1"/>
  </r>
  <r>
    <s v="DAF079-XX STEPS 1 Solution Designers"/>
    <x v="1"/>
    <x v="1"/>
    <s v="September"/>
    <n v="9448.0000000000018"/>
    <n v="272439.9200000001"/>
    <n v="3"/>
    <s v="September"/>
    <s v="Q1"/>
    <x v="1"/>
  </r>
  <r>
    <s v="DAFXXX Export Service User Request - POV - Servicenow"/>
    <x v="0"/>
    <x v="1"/>
    <s v="September"/>
    <n v="7162"/>
    <n v="122283.6"/>
    <n v="3"/>
    <s v="September"/>
    <s v="Q1"/>
    <x v="1"/>
  </r>
  <r>
    <s v="DAFXXX LH-04076 Senior Technical Analyst"/>
    <x v="0"/>
    <x v="1"/>
    <s v="September"/>
    <n v="4200"/>
    <n v="122283.6"/>
    <n v="3"/>
    <s v="September"/>
    <s v="Q1"/>
    <x v="1"/>
  </r>
  <r>
    <s v="DAFXXX LH-04140 Delivery Manager"/>
    <x v="1"/>
    <x v="1"/>
    <s v="September"/>
    <n v="6633.9999999999973"/>
    <n v="272439.9200000001"/>
    <n v="3"/>
    <s v="September"/>
    <s v="Q1"/>
    <x v="1"/>
  </r>
  <r>
    <s v="DAFXXX multiple Senior Software Developer 202508"/>
    <x v="1"/>
    <x v="1"/>
    <s v="September"/>
    <n v="12134.000000000007"/>
    <n v="272439.9200000001"/>
    <n v="3"/>
    <s v="September"/>
    <s v="Q1"/>
    <x v="1"/>
  </r>
  <r>
    <s v="DAFXXX Senior Multiple roles BA 202508"/>
    <x v="1"/>
    <x v="1"/>
    <s v="September"/>
    <n v="11080.000000000004"/>
    <n v="272439.9200000001"/>
    <n v="3"/>
    <s v="September"/>
    <s v="Q1"/>
    <x v="1"/>
  </r>
  <r>
    <s v="DAFXXX ServiceNow Integrated Workspace for Export (TFTM) Services"/>
    <x v="0"/>
    <x v="1"/>
    <s v="September"/>
    <n v="79855"/>
    <n v="122283.6"/>
    <n v="3"/>
    <s v="September"/>
    <s v="Q1"/>
    <x v="1"/>
  </r>
  <r>
    <s v="DFAXXX RFQ Super Salary Calculation Enhancement 202504"/>
    <x v="1"/>
    <x v="0"/>
    <s v="September"/>
    <n v="37842.639999999999"/>
    <n v="1689377.0000000002"/>
    <n v="3"/>
    <s v="September"/>
    <s v="Q1"/>
    <x v="1"/>
  </r>
  <r>
    <s v="DOFXXX Applications Services"/>
    <x v="1"/>
    <x v="0"/>
    <s v="September"/>
    <n v="156709.6"/>
    <n v="1689377.0000000002"/>
    <n v="3"/>
    <s v="September"/>
    <s v="Q1"/>
    <x v="1"/>
  </r>
  <r>
    <s v="DTAXXX LH-03909 - Change Manager"/>
    <x v="1"/>
    <x v="0"/>
    <s v="September"/>
    <n v="10274"/>
    <n v="1689377.0000000002"/>
    <n v="3"/>
    <s v="September"/>
    <s v="Q1"/>
    <x v="1"/>
  </r>
  <r>
    <s v="FWO001 Digital Transformation CPBC - PoC"/>
    <x v="0"/>
    <x v="2"/>
    <s v="September"/>
    <n v="157014.39999999994"/>
    <n v="611446.79999999993"/>
    <n v="3"/>
    <s v="September"/>
    <s v="Q1"/>
    <x v="1"/>
  </r>
  <r>
    <s v="FWO001 Digital Transformation CPBC - PoC Design"/>
    <x v="0"/>
    <x v="2"/>
    <s v="September"/>
    <n v="54726.400000000001"/>
    <n v="611446.79999999993"/>
    <n v="3"/>
    <s v="September"/>
    <s v="Q1"/>
    <x v="1"/>
  </r>
  <r>
    <s v="INDXXX RFQ Portfolio Management 202508"/>
    <x v="1"/>
    <x v="2"/>
    <s v="September"/>
    <n v="38621.600000000013"/>
    <n v="665707.49999999988"/>
    <n v="3"/>
    <s v="September"/>
    <s v="Q1"/>
    <x v="1"/>
  </r>
  <r>
    <s v="INDXXX RFQ Venture Capital Smartforms Transition to ServiceNow"/>
    <x v="0"/>
    <x v="2"/>
    <s v="September"/>
    <n v="23255"/>
    <n v="611446.79999999993"/>
    <n v="3"/>
    <s v="September"/>
    <s v="Q1"/>
    <x v="1"/>
  </r>
  <r>
    <s v="INDXXX RFQ Work, Health and Safety 202507"/>
    <x v="1"/>
    <x v="2"/>
    <s v="September"/>
    <n v="51728.799999999981"/>
    <n v="665707.49999999988"/>
    <n v="3"/>
    <s v="September"/>
    <s v="Q1"/>
    <x v="1"/>
  </r>
  <r>
    <s v="LABXXX- RFQ PCS-02120 - Data Scientist Services"/>
    <x v="1"/>
    <x v="0"/>
    <s v="September"/>
    <n v="54800"/>
    <n v="1689377.0000000002"/>
    <n v="3"/>
    <s v="September"/>
    <s v="Q1"/>
    <x v="1"/>
  </r>
  <r>
    <s v="PARXXX RFT RevenueSA Application Portfolio Review 202506"/>
    <x v="0"/>
    <x v="0"/>
    <s v="September"/>
    <n v="68102.000000000015"/>
    <n v="494586.72"/>
    <n v="3"/>
    <s v="September"/>
    <s v="Q1"/>
    <x v="1"/>
  </r>
  <r>
    <s v="PMCXXX - RFQ LH-03834 Change Managers"/>
    <x v="0"/>
    <x v="0"/>
    <s v="September"/>
    <n v="-27716"/>
    <n v="494586.72"/>
    <n v="3"/>
    <s v="September"/>
    <s v="Q1"/>
    <x v="1"/>
  </r>
  <r>
    <s v="QLDXXX Queensland Shared Services SAP Finance to S4 Hana Public Cloud"/>
    <x v="1"/>
    <x v="0"/>
    <s v="September"/>
    <n v="12800"/>
    <n v="1689377.0000000002"/>
    <n v="3"/>
    <s v="September"/>
    <s v="Q1"/>
    <x v="1"/>
  </r>
  <r>
    <s v="SAUXXX Cyber -LH-03498 - Senior Cyber Uplift Project Manager"/>
    <x v="0"/>
    <x v="3"/>
    <s v="September"/>
    <n v="8144.0000000000018"/>
    <n v="189895.84"/>
    <n v="3"/>
    <s v="September"/>
    <s v="Q1"/>
    <x v="1"/>
  </r>
  <r>
    <s v="SAUXXX Cyber -LH-03543 - Manager Cyber Uplift Project Manager"/>
    <x v="0"/>
    <x v="3"/>
    <s v="September"/>
    <n v="0"/>
    <n v="189895.84"/>
    <n v="3"/>
    <s v="September"/>
    <s v="Q1"/>
    <x v="1"/>
  </r>
  <r>
    <s v="SAUXXX Cyber -LH-03556 - Cyber Uplift Scrum Master"/>
    <x v="0"/>
    <x v="3"/>
    <s v="September"/>
    <n v="0"/>
    <n v="189895.84"/>
    <n v="3"/>
    <s v="September"/>
    <s v="Q1"/>
    <x v="1"/>
  </r>
  <r>
    <s v="SAUXXX Cyber -LH-03562 - Senior Business Analyst"/>
    <x v="0"/>
    <x v="3"/>
    <s v="September"/>
    <n v="0"/>
    <n v="189895.84"/>
    <n v="3"/>
    <s v="September"/>
    <s v="Q1"/>
    <x v="1"/>
  </r>
  <r>
    <s v="SAUXXX RFQ Identity Mgt System Integration 202506"/>
    <x v="1"/>
    <x v="3"/>
    <s v="September"/>
    <n v="123965.99999999996"/>
    <n v="1469467.4"/>
    <n v="3"/>
    <s v="September"/>
    <s v="Q1"/>
    <x v="1"/>
  </r>
  <r>
    <s v="SAUXXX RFQ Support end-to-end Investment Proposal and BC"/>
    <x v="1"/>
    <x v="3"/>
    <s v="September"/>
    <n v="50375"/>
    <n v="1469467.4"/>
    <n v="3"/>
    <s v="September"/>
    <s v="Q1"/>
    <x v="1"/>
  </r>
  <r>
    <s v="SAUXXX RFQLH-02645 IT Infrastructure Engineer"/>
    <x v="1"/>
    <x v="3"/>
    <s v="September"/>
    <n v="16900"/>
    <n v="1469467.4"/>
    <n v="3"/>
    <s v="September"/>
    <s v="Q1"/>
    <x v="1"/>
  </r>
  <r>
    <s v="SAUXXX RFQLH-02946 1 Senior Software Engineer"/>
    <x v="1"/>
    <x v="3"/>
    <s v="September"/>
    <n v="10444"/>
    <n v="1469467.4"/>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m/>
    <x v="2"/>
    <x v="4"/>
    <s v="September"/>
    <n v="0"/>
    <n v="0"/>
    <n v="3"/>
    <s v="September"/>
    <s v="Q1"/>
    <x v="1"/>
  </r>
  <r>
    <s v="BCG003 NDIA Transformation Business Case"/>
    <x v="3"/>
    <x v="0"/>
    <s v="September"/>
    <n v="296914.00000000006"/>
    <n v="1686632.6800000002"/>
    <n v="3"/>
    <s v="September"/>
    <s v="Q1"/>
    <x v="1"/>
  </r>
  <r>
    <s v="COS001-01 DOH IWOW Target Architecture"/>
    <x v="3"/>
    <x v="0"/>
    <s v="September"/>
    <n v="-544"/>
    <n v="1686632.6800000002"/>
    <n v="3"/>
    <s v="September"/>
    <s v="Q1"/>
    <x v="1"/>
  </r>
  <r>
    <s v="DAF079-01 Digital and Agile STEPS Program"/>
    <x v="3"/>
    <x v="1"/>
    <s v="September"/>
    <n v="65494.880000000005"/>
    <n v="569417.26500000013"/>
    <n v="3"/>
    <s v="September"/>
    <s v="Q1"/>
    <x v="1"/>
  </r>
  <r>
    <s v="DAF080-03 STEPS - Strategic Support"/>
    <x v="3"/>
    <x v="1"/>
    <s v="September"/>
    <n v="48256"/>
    <n v="569417.26500000013"/>
    <n v="3"/>
    <s v="September"/>
    <s v="Q1"/>
    <x v="1"/>
  </r>
  <r>
    <s v="DAF080-04 Industry API Accelerator"/>
    <x v="3"/>
    <x v="1"/>
    <s v="September"/>
    <n v="20296.800000000003"/>
    <n v="569417.26500000013"/>
    <n v="3"/>
    <s v="September"/>
    <s v="Q1"/>
    <x v="1"/>
  </r>
  <r>
    <s v="DAF080-XX STEPS - Head Contract"/>
    <x v="3"/>
    <x v="1"/>
    <s v="September"/>
    <n v="0"/>
    <n v="569417.26500000013"/>
    <n v="3"/>
    <s v="September"/>
    <s v="Q1"/>
    <x v="1"/>
  </r>
  <r>
    <s v="DAF081 Digital resources for DBD - Head Contract"/>
    <x v="3"/>
    <x v="1"/>
    <s v="September"/>
    <n v="0"/>
    <n v="569417.26500000013"/>
    <n v="3"/>
    <s v="September"/>
    <s v="Q1"/>
    <x v="1"/>
  </r>
  <r>
    <s v="DAF081-05 DBD Business Analyst (Kev)"/>
    <x v="3"/>
    <x v="1"/>
    <s v="September"/>
    <n v="4036.239999999998"/>
    <n v="569417.26500000013"/>
    <n v="3"/>
    <s v="September"/>
    <s v="Q1"/>
    <x v="1"/>
  </r>
  <r>
    <s v="DAF081-06 DBD Test Analyst (Vinnie)"/>
    <x v="3"/>
    <x v="1"/>
    <s v="September"/>
    <n v="2582"/>
    <n v="569417.26500000013"/>
    <n v="3"/>
    <s v="September"/>
    <s v="Q1"/>
    <x v="1"/>
  </r>
  <r>
    <s v="DAF081-07 DBD System Analyst (Amit)"/>
    <x v="3"/>
    <x v="1"/>
    <s v="September"/>
    <n v="8832"/>
    <n v="569417.26500000013"/>
    <n v="3"/>
    <s v="September"/>
    <s v="Q1"/>
    <x v="1"/>
  </r>
  <r>
    <s v="DAF081-08 DBD Business Analyst (Raheem)"/>
    <x v="3"/>
    <x v="1"/>
    <s v="September"/>
    <n v="7182"/>
    <n v="569417.26500000013"/>
    <n v="3"/>
    <s v="September"/>
    <s v="Q1"/>
    <x v="1"/>
  </r>
  <r>
    <s v="DAF081-09 Technical Lead (Phani)"/>
    <x v="3"/>
    <x v="1"/>
    <s v="September"/>
    <n v="3872"/>
    <n v="569417.26500000013"/>
    <n v="3"/>
    <s v="September"/>
    <s v="Q1"/>
    <x v="1"/>
  </r>
  <r>
    <s v="DCC001-05 SAP Tech Specialist (Husain)"/>
    <x v="3"/>
    <x v="0"/>
    <s v="September"/>
    <n v="11600"/>
    <n v="1686632.6800000002"/>
    <n v="3"/>
    <s v="September"/>
    <s v="Q1"/>
    <x v="1"/>
  </r>
  <r>
    <s v="DHA002-01 Senior Pega System Developer (Giribabu)"/>
    <x v="3"/>
    <x v="0"/>
    <s v="September"/>
    <n v="2300"/>
    <n v="1686632.6800000002"/>
    <n v="3"/>
    <s v="September"/>
    <s v="Q1"/>
    <x v="1"/>
  </r>
  <r>
    <s v="FWO001 Digital Transformation CPBC"/>
    <x v="3"/>
    <x v="0"/>
    <s v="September"/>
    <n v="207627.80000000008"/>
    <n v="1686632.6800000002"/>
    <n v="3"/>
    <s v="September"/>
    <s v="Q1"/>
    <x v="1"/>
  </r>
  <r>
    <s v="IND002 AI Integration in ServiceNow"/>
    <x v="3"/>
    <x v="0"/>
    <s v="September"/>
    <n v="0"/>
    <n v="1686632.6800000002"/>
    <n v="3"/>
    <s v="September"/>
    <s v="Q1"/>
    <x v="1"/>
  </r>
  <r>
    <s v="ISY009-01 Vic SRO T3 (Pre-project)"/>
    <x v="3"/>
    <x v="5"/>
    <s v="September"/>
    <n v="0"/>
    <n v="1186614.2983000008"/>
    <n v="3"/>
    <s v="September"/>
    <s v="Q1"/>
    <x v="1"/>
  </r>
  <r>
    <s v="ISY010 Vic SRO T3"/>
    <x v="3"/>
    <x v="5"/>
    <s v="September"/>
    <n v="205656.84719999996"/>
    <n v="1186614.2983000008"/>
    <n v="3"/>
    <s v="September"/>
    <s v="Q1"/>
    <x v="1"/>
  </r>
  <r>
    <s v="NQS005-02 DART Recalibration"/>
    <x v="3"/>
    <x v="0"/>
    <s v="September"/>
    <n v="0"/>
    <n v="1686632.6800000002"/>
    <n v="3"/>
    <s v="September"/>
    <s v="Q1"/>
    <x v="1"/>
  </r>
  <r>
    <s v="NQS005-03 DART Benefits Review and Preparation"/>
    <x v="3"/>
    <x v="0"/>
    <s v="September"/>
    <n v="0"/>
    <n v="1686632.6800000002"/>
    <n v="3"/>
    <s v="September"/>
    <s v="Q1"/>
    <x v="1"/>
  </r>
  <r>
    <s v="SAU043-03 Cyber Security (Ben)"/>
    <x v="3"/>
    <x v="3"/>
    <s v="September"/>
    <n v="4600"/>
    <n v="534950.53"/>
    <n v="3"/>
    <s v="September"/>
    <s v="Q1"/>
    <x v="1"/>
  </r>
  <r>
    <s v="SAU044-03 Senior Development Expert (Nadh)"/>
    <x v="3"/>
    <x v="3"/>
    <s v="September"/>
    <n v="7600"/>
    <n v="534950.53"/>
    <n v="3"/>
    <s v="September"/>
    <s v="Q1"/>
    <x v="1"/>
  </r>
  <r>
    <s v="SAU045-02 Senior Technology Architect (Sidd)"/>
    <x v="3"/>
    <x v="3"/>
    <s v="September"/>
    <n v="7800"/>
    <n v="534950.53"/>
    <n v="3"/>
    <s v="September"/>
    <s v="Q1"/>
    <x v="1"/>
  </r>
  <r>
    <s v="SAU046-02 Delivery Manager (Alex)"/>
    <x v="3"/>
    <x v="3"/>
    <s v="September"/>
    <n v="7660"/>
    <n v="534950.53"/>
    <n v="3"/>
    <s v="September"/>
    <s v="Q1"/>
    <x v="1"/>
  </r>
  <r>
    <s v="SAU048-01 System Analyst (Meenal)"/>
    <x v="3"/>
    <x v="3"/>
    <s v="September"/>
    <n v="1212.0999999999983"/>
    <n v="534950.53"/>
    <n v="3"/>
    <s v="September"/>
    <s v="Q1"/>
    <x v="1"/>
  </r>
  <r>
    <s v="SAU048-02 System Analyst (Meenal)"/>
    <x v="3"/>
    <x v="3"/>
    <s v="September"/>
    <n v="170.88000000000011"/>
    <n v="534950.53"/>
    <n v="3"/>
    <s v="September"/>
    <s v="Q1"/>
    <x v="1"/>
  </r>
  <r>
    <s v="SAU049-01 Functional Development Expert (Shefali)"/>
    <x v="3"/>
    <x v="3"/>
    <s v="September"/>
    <n v="1450"/>
    <n v="534950.53"/>
    <n v="3"/>
    <s v="September"/>
    <s v="Q1"/>
    <x v="1"/>
  </r>
  <r>
    <s v="SAU050-01 Senior Development Lead (Abdul)"/>
    <x v="3"/>
    <x v="3"/>
    <s v="September"/>
    <n v="2600"/>
    <n v="534950.53"/>
    <n v="3"/>
    <s v="September"/>
    <s v="Q1"/>
    <x v="1"/>
  </r>
  <r>
    <s v="SAU052 Senior Solution Architect (Aniket)"/>
    <x v="3"/>
    <x v="3"/>
    <s v="September"/>
    <n v="5075.9999999999927"/>
    <n v="534950.53"/>
    <n v="3"/>
    <s v="September"/>
    <s v="Q1"/>
    <x v="1"/>
  </r>
  <r>
    <s v="SAU053 Principal Software Engineer (Sheelesh)"/>
    <x v="3"/>
    <x v="3"/>
    <s v="September"/>
    <n v="6500"/>
    <n v="534950.53"/>
    <n v="3"/>
    <s v="September"/>
    <s v="Q1"/>
    <x v="1"/>
  </r>
  <r>
    <s v="SAU054 Principal Software Engineer (Tejas)"/>
    <x v="3"/>
    <x v="3"/>
    <s v="September"/>
    <n v="6376"/>
    <n v="534950.53"/>
    <n v="3"/>
    <s v="September"/>
    <s v="Q1"/>
    <x v="1"/>
  </r>
  <r>
    <s v="SAU055 Principal Software Engineer (Karan)"/>
    <x v="3"/>
    <x v="3"/>
    <s v="September"/>
    <n v="6394"/>
    <n v="534950.53"/>
    <n v="3"/>
    <s v="September"/>
    <s v="Q1"/>
    <x v="1"/>
  </r>
  <r>
    <s v="SAU056 Principal Software Engineer (Ankit)"/>
    <x v="3"/>
    <x v="3"/>
    <s v="September"/>
    <n v="5952"/>
    <n v="534950.53"/>
    <n v="3"/>
    <s v="September"/>
    <s v="Q1"/>
    <x v="1"/>
  </r>
  <r>
    <s v="SAU057 Principal Software Engineer (Asit)"/>
    <x v="3"/>
    <x v="3"/>
    <s v="September"/>
    <n v="6378"/>
    <n v="534950.53"/>
    <n v="3"/>
    <s v="September"/>
    <s v="Q1"/>
    <x v="1"/>
  </r>
  <r>
    <s v="TAL001-02 Senior Enterprise Architect (Akshay)"/>
    <x v="3"/>
    <x v="3"/>
    <s v="September"/>
    <n v="1789.9199999999985"/>
    <n v="534950.53"/>
    <n v="3"/>
    <s v="September"/>
    <s v="Q1"/>
    <x v="1"/>
  </r>
  <r>
    <s v="SAU049-XX Functional Development Expert (Shefali)"/>
    <x v="4"/>
    <x v="3"/>
    <s v="September"/>
    <n v="0"/>
    <n v="47500"/>
    <n v="3"/>
    <s v="September"/>
    <s v="Q1"/>
    <x v="1"/>
  </r>
  <r>
    <s v="SAU050-XX Senior Development Lead (Abdul)"/>
    <x v="4"/>
    <x v="3"/>
    <s v="September"/>
    <n v="0"/>
    <n v="47500"/>
    <n v="3"/>
    <s v="September"/>
    <s v="Q1"/>
    <x v="1"/>
  </r>
  <r>
    <s v="SAU046-XX Delivery Manager (Alex)"/>
    <x v="4"/>
    <x v="3"/>
    <s v="September"/>
    <n v="0"/>
    <n v="47500"/>
    <n v="3"/>
    <s v="September"/>
    <s v="Q1"/>
    <x v="1"/>
  </r>
  <r>
    <s v="VICXXX SRO BRE Licensing, Implementation and MSE - ID003 Decisively 202405"/>
    <x v="4"/>
    <x v="5"/>
    <s v="September"/>
    <n v="16000"/>
    <n v="910000.00000000012"/>
    <n v="3"/>
    <s v="September"/>
    <s v="Q1"/>
    <x v="1"/>
  </r>
  <r>
    <s v="DAFXXX DAF081 Digital resources for DBD - Extension"/>
    <x v="4"/>
    <x v="1"/>
    <s v="September"/>
    <n v="0"/>
    <n v="212181.818"/>
    <n v="3"/>
    <s v="September"/>
    <s v="Q1"/>
    <x v="1"/>
  </r>
  <r>
    <s v="ISYXXX Vic SRO (FEB26-JUN26)"/>
    <x v="4"/>
    <x v="5"/>
    <s v="September"/>
    <n v="0"/>
    <n v="910000.00000000012"/>
    <n v="3"/>
    <s v="September"/>
    <s v="Q1"/>
    <x v="1"/>
  </r>
  <r>
    <s v="INFXXX RFQ TechOne - ERP Products, Implementation, Operational"/>
    <x v="4"/>
    <x v="0"/>
    <s v="September"/>
    <n v="0"/>
    <n v="731068.23529411759"/>
    <n v="3"/>
    <s v="September"/>
    <s v="Q1"/>
    <x v="1"/>
  </r>
  <r>
    <s v="DAFXXX STEPS Parallel Delivery Accelerator"/>
    <x v="4"/>
    <x v="1"/>
    <s v="September"/>
    <n v="0"/>
    <n v="212181.818"/>
    <n v="3"/>
    <s v="September"/>
    <s v="Q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072445-7411-437B-88DE-3CCDC981A79A}" name="PivotTable1" cacheId="1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Z23:AB46" firstHeaderRow="1" firstDataRow="1" firstDataCol="3" rowPageCount="2" colPageCount="1"/>
  <pivotFields count="36">
    <pivotField axis="axisRow" compact="0" outline="0" showAll="0" defaultSubtotal="0">
      <items count="96">
        <item m="1" x="93"/>
        <item m="1" x="94"/>
        <item m="1" x="95"/>
        <item x="0"/>
        <item x="1"/>
        <item x="2"/>
        <item x="3"/>
        <item x="4"/>
        <item x="7"/>
        <item x="8"/>
        <item x="9"/>
        <item x="10"/>
        <item x="11"/>
        <item x="12"/>
        <item x="15"/>
        <item x="16"/>
        <item x="17"/>
        <item x="18"/>
        <item x="19"/>
        <item x="20"/>
        <item x="24"/>
        <item x="25"/>
        <item x="26"/>
        <item x="27"/>
        <item x="28"/>
        <item x="29"/>
        <item x="30"/>
        <item x="31"/>
        <item x="32"/>
        <item x="33"/>
        <item x="34"/>
        <item x="35"/>
        <item x="36"/>
        <item x="37"/>
        <item x="38"/>
        <item x="41"/>
        <item x="42"/>
        <item x="43"/>
        <item x="44"/>
        <item x="45"/>
        <item x="46"/>
        <item x="47"/>
        <item x="48"/>
        <item x="49"/>
        <item x="50"/>
        <item x="51"/>
        <item x="52"/>
        <item x="53"/>
        <item x="54"/>
        <item x="55"/>
        <item x="56"/>
        <item x="57"/>
        <item x="58"/>
        <item x="59"/>
        <item x="60"/>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5"/>
        <item x="6"/>
        <item x="13"/>
        <item x="14"/>
        <item x="21"/>
        <item x="22"/>
        <item x="23"/>
        <item x="39"/>
        <item x="40"/>
        <item x="61"/>
      </items>
    </pivotField>
    <pivotField axis="axisRow" compact="0" outline="0" showAll="0" sortType="descending" defaultSubtotal="0">
      <items count="14">
        <item h="1" x="5"/>
        <item h="1" m="1" x="10"/>
        <item h="1" m="1" x="8"/>
        <item h="1" m="1" x="7"/>
        <item h="1" m="1" x="12"/>
        <item h="1" x="4"/>
        <item h="1" m="1" x="9"/>
        <item h="1" m="1" x="11"/>
        <item m="1" x="6"/>
        <item h="1" m="1" x="13"/>
        <item x="3"/>
        <item x="1"/>
        <item h="1" x="2"/>
        <item h="1" x="0"/>
      </items>
    </pivotField>
    <pivotField compact="0" outline="0" showAll="0"/>
    <pivotField compact="0" outline="0" showAll="0"/>
    <pivotField compact="0" outline="0" showAll="0"/>
    <pivotField axis="axisRow" compact="0" outline="0" showAll="0" sortType="ascending">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1">
        <item x="4"/>
        <item x="0"/>
        <item m="1" x="9"/>
        <item m="1" x="8"/>
        <item m="1" x="7"/>
        <item x="3"/>
        <item h="1" x="5"/>
        <item x="1"/>
        <item h="1" x="2"/>
        <item x="6"/>
        <item t="default"/>
      </items>
    </pivotField>
    <pivotField compact="0" outline="0" showAll="0">
      <items count="59">
        <item m="1" x="36"/>
        <item m="1" x="27"/>
        <item m="1" x="26"/>
        <item m="1" x="29"/>
        <item m="1" x="33"/>
        <item m="1" x="39"/>
        <item m="1" x="28"/>
        <item m="1" x="55"/>
        <item m="1" x="32"/>
        <item m="1" x="51"/>
        <item m="1" x="57"/>
        <item m="1" x="25"/>
        <item m="1" x="49"/>
        <item m="1" x="46"/>
        <item m="1" x="53"/>
        <item m="1" x="50"/>
        <item m="1" x="41"/>
        <item m="1" x="45"/>
        <item m="1" x="37"/>
        <item m="1" x="31"/>
        <item m="1" x="48"/>
        <item m="1" x="47"/>
        <item m="1" x="38"/>
        <item m="1" x="44"/>
        <item m="1" x="30"/>
        <item m="1" x="56"/>
        <item m="1" x="42"/>
        <item x="9"/>
        <item m="1" x="24"/>
        <item x="21"/>
        <item x="1"/>
        <item m="1" x="40"/>
        <item x="3"/>
        <item x="4"/>
        <item m="1" x="54"/>
        <item m="1" x="43"/>
        <item x="16"/>
        <item x="5"/>
        <item x="6"/>
        <item x="11"/>
        <item x="19"/>
        <item x="18"/>
        <item m="1" x="52"/>
        <item x="8"/>
        <item x="12"/>
        <item x="17"/>
        <item x="23"/>
        <item x="15"/>
        <item x="2"/>
        <item m="1" x="34"/>
        <item x="7"/>
        <item x="13"/>
        <item x="14"/>
        <item m="1" x="35"/>
        <item x="0"/>
        <item x="10"/>
        <item x="20"/>
        <item x="22"/>
        <item t="default"/>
      </items>
    </pivotField>
    <pivotField compact="0" outline="0" showAll="0">
      <items count="68">
        <item m="1" x="39"/>
        <item m="1" x="35"/>
        <item m="1" x="55"/>
        <item m="1" x="48"/>
        <item m="1" x="36"/>
        <item x="6"/>
        <item m="1" x="62"/>
        <item x="13"/>
        <item m="1" x="33"/>
        <item m="1" x="49"/>
        <item m="1" x="37"/>
        <item m="1" x="63"/>
        <item m="1" x="57"/>
        <item m="1" x="38"/>
        <item m="1" x="47"/>
        <item x="4"/>
        <item x="5"/>
        <item m="1" x="65"/>
        <item x="11"/>
        <item m="1" x="50"/>
        <item m="1" x="54"/>
        <item m="1" x="46"/>
        <item x="3"/>
        <item x="9"/>
        <item x="24"/>
        <item x="7"/>
        <item x="29"/>
        <item m="1" x="31"/>
        <item x="14"/>
        <item m="1" x="40"/>
        <item m="1" x="42"/>
        <item x="27"/>
        <item x="10"/>
        <item m="1" x="66"/>
        <item m="1" x="60"/>
        <item x="12"/>
        <item x="22"/>
        <item m="1" x="56"/>
        <item m="1" x="44"/>
        <item x="1"/>
        <item m="1" x="51"/>
        <item m="1" x="45"/>
        <item m="1" x="32"/>
        <item x="21"/>
        <item m="1" x="43"/>
        <item x="30"/>
        <item m="1" x="58"/>
        <item x="2"/>
        <item x="26"/>
        <item x="28"/>
        <item m="1" x="34"/>
        <item x="25"/>
        <item m="1" x="41"/>
        <item x="23"/>
        <item m="1" x="59"/>
        <item m="1" x="61"/>
        <item m="1" x="53"/>
        <item x="20"/>
        <item m="1" x="64"/>
        <item m="1" x="52"/>
        <item x="19"/>
        <item x="17"/>
        <item x="15"/>
        <item x="16"/>
        <item x="18"/>
        <item x="0"/>
        <item x="8"/>
        <item t="default"/>
      </items>
    </pivotField>
    <pivotField compact="0" outline="0" showAll="0"/>
    <pivotField compact="0" numFmtId="22" outline="0" showAll="0"/>
    <pivotField compact="0" outline="0" showAll="0"/>
    <pivotField compact="0" numFmtId="22" outline="0" showAll="0"/>
    <pivotField compact="0" outline="0" showAll="0"/>
    <pivotField compact="0" outline="0" showAll="0"/>
    <pivotField axis="axisPage" compact="0" outline="0" showAll="0">
      <items count="1384">
        <item x="0"/>
        <item m="1" x="1"/>
        <item m="1" x="1076"/>
        <item m="1" x="1077"/>
        <item m="1" x="1078"/>
        <item m="1" x="1079"/>
        <item m="1" x="1080"/>
        <item m="1" x="1081"/>
        <item m="1" x="1082"/>
        <item m="1" x="1083"/>
        <item m="1" x="1084"/>
        <item m="1" x="2"/>
        <item m="1" x="3"/>
        <item m="1" x="4"/>
        <item m="1" x="5"/>
        <item m="1" x="6"/>
        <item m="1" x="1085"/>
        <item m="1" x="1086"/>
        <item m="1" x="1087"/>
        <item m="1" x="1088"/>
        <item m="1" x="1350"/>
        <item m="1" x="1351"/>
        <item m="1" x="1352"/>
        <item m="1" x="1353"/>
        <item m="1" x="1354"/>
        <item m="1" x="1355"/>
        <item m="1" x="1356"/>
        <item m="1" x="1357"/>
        <item m="1" x="1358"/>
        <item m="1" x="1089"/>
        <item m="1" x="1090"/>
        <item m="1" x="1091"/>
        <item m="1" x="1092"/>
        <item m="1" x="7"/>
        <item m="1" x="8"/>
        <item m="1" x="9"/>
        <item m="1" x="10"/>
        <item m="1" x="11"/>
        <item m="1" x="1093"/>
        <item m="1" x="1094"/>
        <item m="1" x="1095"/>
        <item m="1" x="941"/>
        <item m="1" x="942"/>
        <item m="1" x="943"/>
        <item m="1" x="944"/>
        <item m="1" x="945"/>
        <item m="1" x="946"/>
        <item m="1" x="947"/>
        <item m="1" x="948"/>
        <item m="1" x="949"/>
        <item m="1" x="950"/>
        <item m="1" x="951"/>
        <item m="1" x="952"/>
        <item m="1" x="953"/>
        <item m="1" x="954"/>
        <item m="1" x="955"/>
        <item m="1" x="12"/>
        <item m="1" x="13"/>
        <item m="1" x="14"/>
        <item m="1" x="15"/>
        <item m="1" x="16"/>
        <item m="1" x="17"/>
        <item m="1" x="18"/>
        <item m="1" x="19"/>
        <item m="1" x="20"/>
        <item m="1" x="21"/>
        <item m="1" x="22"/>
        <item m="1" x="1096"/>
        <item m="1" x="1097"/>
        <item m="1" x="1098"/>
        <item m="1" x="1099"/>
        <item m="1" x="1100"/>
        <item m="1" x="23"/>
        <item m="1" x="24"/>
        <item m="1" x="956"/>
        <item m="1" x="957"/>
        <item m="1" x="958"/>
        <item m="1" x="25"/>
        <item m="1" x="26"/>
        <item m="1" x="27"/>
        <item m="1" x="28"/>
        <item m="1" x="29"/>
        <item m="1" x="30"/>
        <item m="1" x="31"/>
        <item m="1" x="32"/>
        <item m="1" x="1101"/>
        <item m="1" x="1102"/>
        <item m="1" x="1103"/>
        <item m="1" x="1104"/>
        <item m="1" x="1105"/>
        <item m="1" x="33"/>
        <item m="1" x="34"/>
        <item m="1" x="35"/>
        <item m="1" x="36"/>
        <item m="1" x="1106"/>
        <item m="1" x="1107"/>
        <item m="1" x="1108"/>
        <item m="1" x="1109"/>
        <item m="1" x="1110"/>
        <item m="1" x="1111"/>
        <item m="1" x="1112"/>
        <item m="1" x="1113"/>
        <item m="1" x="959"/>
        <item m="1" x="960"/>
        <item m="1" x="961"/>
        <item m="1" x="1009"/>
        <item m="1" x="1010"/>
        <item m="1" x="37"/>
        <item m="1" x="38"/>
        <item m="1" x="1114"/>
        <item m="1" x="1115"/>
        <item m="1" x="1116"/>
        <item m="1" x="1011"/>
        <item m="1" x="1012"/>
        <item m="1" x="39"/>
        <item m="1" x="40"/>
        <item m="1" x="41"/>
        <item m="1" x="1013"/>
        <item m="1" x="1014"/>
        <item m="1" x="1015"/>
        <item m="1" x="1016"/>
        <item m="1" x="42"/>
        <item m="1" x="43"/>
        <item m="1" x="44"/>
        <item m="1" x="1017"/>
        <item m="1" x="1018"/>
        <item m="1" x="1019"/>
        <item m="1" x="1020"/>
        <item m="1" x="1021"/>
        <item m="1" x="1022"/>
        <item m="1" x="1059"/>
        <item m="1" x="1060"/>
        <item m="1" x="1061"/>
        <item m="1" x="1359"/>
        <item m="1" x="1360"/>
        <item m="1" x="1361"/>
        <item m="1" x="45"/>
        <item m="1" x="46"/>
        <item m="1" x="47"/>
        <item m="1" x="1117"/>
        <item m="1" x="1118"/>
        <item m="1" x="1119"/>
        <item m="1" x="1120"/>
        <item m="1" x="1023"/>
        <item m="1" x="1024"/>
        <item m="1" x="48"/>
        <item m="1" x="49"/>
        <item m="1" x="1121"/>
        <item m="1" x="1122"/>
        <item m="1" x="1025"/>
        <item m="1" x="1026"/>
        <item m="1" x="50"/>
        <item m="1" x="51"/>
        <item m="1" x="52"/>
        <item m="1" x="53"/>
        <item m="1" x="54"/>
        <item m="1" x="55"/>
        <item m="1" x="56"/>
        <item m="1" x="57"/>
        <item m="1" x="58"/>
        <item m="1" x="1027"/>
        <item m="1" x="1028"/>
        <item m="1" x="1029"/>
        <item m="1" x="59"/>
        <item m="1" x="60"/>
        <item m="1" x="61"/>
        <item m="1" x="62"/>
        <item m="1" x="63"/>
        <item m="1" x="64"/>
        <item m="1" x="65"/>
        <item m="1" x="66"/>
        <item m="1" x="67"/>
        <item m="1" x="68"/>
        <item m="1" x="1123"/>
        <item m="1" x="1124"/>
        <item m="1" x="1125"/>
        <item m="1" x="1126"/>
        <item m="1" x="1127"/>
        <item m="1" x="1128"/>
        <item m="1" x="69"/>
        <item m="1" x="70"/>
        <item m="1" x="71"/>
        <item m="1" x="72"/>
        <item m="1" x="73"/>
        <item m="1" x="74"/>
        <item m="1" x="75"/>
        <item m="1" x="1129"/>
        <item m="1" x="1130"/>
        <item m="1" x="1131"/>
        <item m="1" x="1132"/>
        <item m="1" x="1133"/>
        <item m="1" x="1030"/>
        <item m="1" x="1031"/>
        <item m="1" x="76"/>
        <item m="1" x="77"/>
        <item m="1" x="78"/>
        <item m="1" x="79"/>
        <item m="1" x="962"/>
        <item m="1" x="963"/>
        <item m="1" x="964"/>
        <item m="1" x="965"/>
        <item m="1" x="966"/>
        <item m="1" x="967"/>
        <item m="1" x="1062"/>
        <item m="1" x="1063"/>
        <item m="1" x="1064"/>
        <item m="1" x="1134"/>
        <item m="1" x="1135"/>
        <item m="1" x="1136"/>
        <item m="1" x="1032"/>
        <item m="1" x="1033"/>
        <item m="1" x="1034"/>
        <item m="1" x="1035"/>
        <item m="1" x="1036"/>
        <item m="1" x="1037"/>
        <item m="1" x="1038"/>
        <item m="1" x="1039"/>
        <item m="1" x="1040"/>
        <item m="1" x="1041"/>
        <item m="1" x="1042"/>
        <item m="1" x="1043"/>
        <item m="1" x="1044"/>
        <item m="1" x="1045"/>
        <item m="1" x="80"/>
        <item m="1" x="968"/>
        <item m="1" x="969"/>
        <item m="1" x="970"/>
        <item m="1" x="971"/>
        <item m="1" x="81"/>
        <item m="1" x="82"/>
        <item m="1" x="83"/>
        <item m="1" x="84"/>
        <item m="1" x="85"/>
        <item m="1" x="86"/>
        <item m="1" x="87"/>
        <item m="1" x="88"/>
        <item m="1" x="89"/>
        <item m="1" x="90"/>
        <item m="1" x="91"/>
        <item m="1" x="92"/>
        <item m="1" x="93"/>
        <item m="1" x="94"/>
        <item m="1" x="95"/>
        <item m="1" x="972"/>
        <item m="1" x="973"/>
        <item m="1" x="974"/>
        <item m="1" x="96"/>
        <item m="1" x="97"/>
        <item m="1" x="1137"/>
        <item m="1" x="1138"/>
        <item m="1" x="1139"/>
        <item m="1" x="1140"/>
        <item m="1" x="1141"/>
        <item m="1" x="1142"/>
        <item m="1" x="98"/>
        <item m="1" x="99"/>
        <item m="1" x="100"/>
        <item m="1" x="101"/>
        <item m="1" x="102"/>
        <item m="1" x="103"/>
        <item m="1" x="1046"/>
        <item m="1" x="1047"/>
        <item m="1" x="1048"/>
        <item m="1" x="939"/>
        <item m="1" x="940"/>
        <item m="1" x="104"/>
        <item m="1" x="105"/>
        <item m="1" x="1143"/>
        <item m="1" x="1144"/>
        <item m="1" x="1145"/>
        <item m="1" x="1146"/>
        <item m="1" x="1147"/>
        <item m="1" x="106"/>
        <item m="1" x="107"/>
        <item m="1" x="1148"/>
        <item m="1" x="1149"/>
        <item m="1" x="1150"/>
        <item m="1" x="108"/>
        <item m="1" x="109"/>
        <item m="1" x="110"/>
        <item m="1" x="1151"/>
        <item m="1" x="1152"/>
        <item m="1" x="1153"/>
        <item m="1" x="1154"/>
        <item m="1" x="1362"/>
        <item m="1" x="1155"/>
        <item m="1" x="1156"/>
        <item m="1" x="1157"/>
        <item m="1" x="1158"/>
        <item m="1" x="1159"/>
        <item m="1" x="1160"/>
        <item m="1" x="1161"/>
        <item m="1" x="1162"/>
        <item m="1" x="1163"/>
        <item m="1" x="1363"/>
        <item m="1" x="975"/>
        <item m="1" x="976"/>
        <item m="1" x="111"/>
        <item m="1" x="112"/>
        <item m="1" x="113"/>
        <item m="1" x="114"/>
        <item m="1" x="115"/>
        <item m="1" x="116"/>
        <item m="1" x="1164"/>
        <item m="1" x="1165"/>
        <item m="1" x="1166"/>
        <item m="1" x="1167"/>
        <item m="1" x="1168"/>
        <item m="1" x="1169"/>
        <item m="1" x="1170"/>
        <item m="1" x="1171"/>
        <item m="1" x="1172"/>
        <item m="1" x="1049"/>
        <item m="1" x="1050"/>
        <item m="1" x="1051"/>
        <item m="1" x="1052"/>
        <item m="1" x="1173"/>
        <item m="1" x="1174"/>
        <item m="1" x="1175"/>
        <item m="1" x="1176"/>
        <item m="1" x="1053"/>
        <item m="1" x="1054"/>
        <item m="1" x="1364"/>
        <item m="1" x="1365"/>
        <item m="1" x="1366"/>
        <item m="1" x="1055"/>
        <item m="1" x="1056"/>
        <item m="1" x="117"/>
        <item m="1" x="118"/>
        <item m="1" x="119"/>
        <item m="1" x="120"/>
        <item m="1" x="121"/>
        <item m="1" x="122"/>
        <item m="1" x="123"/>
        <item m="1" x="124"/>
        <item m="1" x="1367"/>
        <item m="1" x="1368"/>
        <item m="1" x="1369"/>
        <item m="1" x="1370"/>
        <item m="1" x="1371"/>
        <item m="1" x="1372"/>
        <item m="1" x="1373"/>
        <item m="1" x="125"/>
        <item m="1" x="126"/>
        <item m="1" x="127"/>
        <item m="1" x="128"/>
        <item m="1" x="129"/>
        <item m="1" x="130"/>
        <item m="1" x="131"/>
        <item m="1" x="132"/>
        <item m="1" x="1177"/>
        <item m="1" x="1178"/>
        <item m="1" x="1179"/>
        <item m="1" x="1180"/>
        <item m="1" x="133"/>
        <item m="1" x="134"/>
        <item m="1" x="135"/>
        <item m="1" x="136"/>
        <item m="1" x="137"/>
        <item m="1" x="1181"/>
        <item m="1" x="1182"/>
        <item m="1" x="1183"/>
        <item m="1" x="1184"/>
        <item m="1" x="1185"/>
        <item m="1" x="1186"/>
        <item m="1" x="1187"/>
        <item m="1" x="138"/>
        <item m="1" x="139"/>
        <item m="1" x="140"/>
        <item m="1" x="141"/>
        <item m="1" x="142"/>
        <item m="1" x="143"/>
        <item m="1" x="144"/>
        <item m="1" x="145"/>
        <item m="1" x="146"/>
        <item m="1" x="147"/>
        <item m="1" x="148"/>
        <item m="1" x="149"/>
        <item m="1" x="150"/>
        <item m="1" x="151"/>
        <item m="1" x="152"/>
        <item m="1" x="153"/>
        <item m="1" x="154"/>
        <item m="1" x="155"/>
        <item m="1" x="156"/>
        <item m="1" x="157"/>
        <item m="1" x="1188"/>
        <item m="1" x="1189"/>
        <item m="1" x="1190"/>
        <item m="1" x="1191"/>
        <item m="1" x="158"/>
        <item m="1" x="159"/>
        <item m="1" x="1192"/>
        <item m="1" x="1193"/>
        <item m="1" x="1194"/>
        <item m="1" x="1195"/>
        <item m="1" x="1196"/>
        <item m="1" x="1197"/>
        <item m="1" x="1198"/>
        <item m="1" x="1199"/>
        <item m="1" x="1200"/>
        <item m="1" x="160"/>
        <item m="1" x="161"/>
        <item m="1" x="162"/>
        <item m="1" x="163"/>
        <item m="1" x="164"/>
        <item m="1" x="165"/>
        <item m="1" x="166"/>
        <item m="1" x="1065"/>
        <item m="1" x="1066"/>
        <item m="1" x="1067"/>
        <item m="1" x="1068"/>
        <item m="1" x="1069"/>
        <item m="1" x="107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67"/>
        <item m="1" x="168"/>
        <item m="1" x="169"/>
        <item m="1" x="170"/>
        <item m="1" x="171"/>
        <item m="1" x="172"/>
        <item m="1" x="977"/>
        <item m="1" x="978"/>
        <item m="1" x="979"/>
        <item m="1" x="173"/>
        <item m="1" x="174"/>
        <item m="1" x="175"/>
        <item m="1" x="176"/>
        <item m="1" x="177"/>
        <item m="1" x="178"/>
        <item m="1" x="179"/>
        <item m="1" x="180"/>
        <item m="1" x="181"/>
        <item m="1" x="182"/>
        <item m="1" x="183"/>
        <item m="1" x="184"/>
        <item m="1" x="185"/>
        <item m="1" x="186"/>
        <item m="1" x="187"/>
        <item m="1" x="1247"/>
        <item m="1" x="1248"/>
        <item m="1" x="1249"/>
        <item m="1" x="1250"/>
        <item m="1" x="1251"/>
        <item m="1" x="1252"/>
        <item m="1" x="188"/>
        <item m="1" x="189"/>
        <item m="1" x="190"/>
        <item m="1" x="191"/>
        <item m="1" x="192"/>
        <item m="1" x="193"/>
        <item m="1" x="1253"/>
        <item m="1" x="1254"/>
        <item m="1" x="1255"/>
        <item m="1" x="1256"/>
        <item m="1" x="194"/>
        <item m="1" x="195"/>
        <item m="1" x="196"/>
        <item m="1" x="197"/>
        <item m="1" x="198"/>
        <item m="1" x="199"/>
        <item m="1" x="200"/>
        <item m="1" x="201"/>
        <item m="1" x="202"/>
        <item m="1" x="203"/>
        <item m="1" x="204"/>
        <item m="1" x="205"/>
        <item m="1" x="206"/>
        <item m="1" x="207"/>
        <item m="1" x="208"/>
        <item m="1" x="209"/>
        <item m="1" x="1257"/>
        <item m="1" x="1258"/>
        <item m="1" x="1071"/>
        <item m="1" x="1072"/>
        <item m="1" x="1073"/>
        <item m="1" x="1074"/>
        <item m="1" x="1075"/>
        <item m="1" x="210"/>
        <item m="1" x="211"/>
        <item m="1" x="212"/>
        <item m="1" x="213"/>
        <item m="1" x="214"/>
        <item m="1" x="215"/>
        <item m="1" x="216"/>
        <item m="1" x="217"/>
        <item m="1" x="218"/>
        <item m="1" x="219"/>
        <item m="1" x="220"/>
        <item m="1" x="221"/>
        <item m="1" x="222"/>
        <item m="1" x="223"/>
        <item m="1" x="224"/>
        <item m="1" x="225"/>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980"/>
        <item m="1" x="981"/>
        <item m="1" x="982"/>
        <item m="1" x="983"/>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1259"/>
        <item m="1" x="1260"/>
        <item m="1" x="1261"/>
        <item m="1" x="1262"/>
        <item m="1" x="1263"/>
        <item m="1" x="1264"/>
        <item m="1" x="1265"/>
        <item m="1" x="1266"/>
        <item m="1" x="1267"/>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1268"/>
        <item m="1" x="1269"/>
        <item m="1" x="1270"/>
        <item m="1" x="1271"/>
        <item m="1" x="1272"/>
        <item m="1" x="1273"/>
        <item m="1" x="1274"/>
        <item m="1" x="1275"/>
        <item m="1" x="1276"/>
        <item m="1" x="1277"/>
        <item m="1" x="1278"/>
        <item m="1" x="1279"/>
        <item m="1" x="1280"/>
        <item m="1" x="1281"/>
        <item m="1" x="1282"/>
        <item m="1" x="1283"/>
        <item m="1" x="593"/>
        <item m="1" x="594"/>
        <item m="1" x="595"/>
        <item m="1" x="596"/>
        <item m="1" x="984"/>
        <item m="1" x="985"/>
        <item m="1" x="986"/>
        <item m="1" x="987"/>
        <item m="1" x="988"/>
        <item m="1" x="989"/>
        <item m="1" x="990"/>
        <item m="1" x="991"/>
        <item m="1" x="992"/>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1284"/>
        <item m="1" x="1285"/>
        <item m="1" x="629"/>
        <item m="1" x="630"/>
        <item m="1" x="631"/>
        <item m="1" x="632"/>
        <item m="1" x="1286"/>
        <item m="1" x="1287"/>
        <item m="1" x="1288"/>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1289"/>
        <item m="1" x="1290"/>
        <item m="1" x="1291"/>
        <item m="1" x="1292"/>
        <item m="1" x="1293"/>
        <item m="1" x="1294"/>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717"/>
        <item m="1" x="1322"/>
        <item m="1" x="1323"/>
        <item m="1" x="1324"/>
        <item m="1" x="1325"/>
        <item m="1" x="1326"/>
        <item m="1" x="1327"/>
        <item m="1" x="1328"/>
        <item m="1" x="1329"/>
        <item m="1" x="1330"/>
        <item m="1" x="1331"/>
        <item m="1" x="1332"/>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1333"/>
        <item m="1" x="1334"/>
        <item m="1" x="1335"/>
        <item m="1" x="1336"/>
        <item m="1" x="1337"/>
        <item m="1" x="1338"/>
        <item m="1" x="1339"/>
        <item m="1" x="1340"/>
        <item m="1" x="1341"/>
        <item m="1" x="1342"/>
        <item m="1" x="1343"/>
        <item m="1" x="1344"/>
        <item m="1" x="1345"/>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993"/>
        <item m="1" x="994"/>
        <item m="1" x="995"/>
        <item m="1" x="996"/>
        <item m="1" x="1346"/>
        <item m="1" x="1347"/>
        <item m="1" x="1348"/>
        <item m="1" x="1349"/>
        <item m="1" x="895"/>
        <item m="1" x="896"/>
        <item m="1" x="897"/>
        <item m="1" x="997"/>
        <item m="1" x="998"/>
        <item m="1" x="999"/>
        <item m="1" x="898"/>
        <item m="1" x="899"/>
        <item m="1" x="900"/>
        <item m="1" x="901"/>
        <item m="1" x="902"/>
        <item m="1" x="903"/>
        <item m="1" x="904"/>
        <item m="1" x="905"/>
        <item m="1" x="906"/>
        <item m="1" x="907"/>
        <item m="1" x="1374"/>
        <item m="1" x="1375"/>
        <item m="1" x="1376"/>
        <item m="1" x="1377"/>
        <item m="1" x="1378"/>
        <item m="1" x="1379"/>
        <item m="1" x="1380"/>
        <item m="1" x="1381"/>
        <item m="1" x="1382"/>
        <item m="1" x="908"/>
        <item m="1" x="909"/>
        <item m="1" x="910"/>
        <item m="1" x="1000"/>
        <item m="1" x="1001"/>
        <item m="1" x="1002"/>
        <item m="1" x="1003"/>
        <item m="1" x="1004"/>
        <item m="1" x="1005"/>
        <item m="1" x="1006"/>
        <item m="1" x="1057"/>
        <item m="1" x="1058"/>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1007"/>
        <item m="1" x="1008"/>
        <item t="default"/>
      </items>
    </pivotField>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8">
        <item x="1"/>
        <item x="2"/>
        <item x="3"/>
        <item x="4"/>
        <item x="5"/>
        <item x="6"/>
        <item x="0"/>
        <item x="7"/>
      </items>
    </pivotField>
    <pivotField compact="0" outline="0" dragToRow="0" dragToCol="0" dragToPage="0" showAll="0" defaultSubtotal="0"/>
    <pivotField compact="0" outline="0" showAll="0" defaultSubtotal="0"/>
    <pivotField compact="0" outline="0" showAll="0" defaultSubtotal="0"/>
    <pivotField compact="0" outline="0" showAll="0" defaultSubtotal="0">
      <items count="3">
        <item x="1"/>
        <item x="0"/>
        <item x="2"/>
      </items>
    </pivotField>
  </pivotFields>
  <rowFields count="3">
    <field x="1"/>
    <field x="0"/>
    <field x="5"/>
  </rowFields>
  <rowItems count="23">
    <i>
      <x v="10"/>
      <x v="29"/>
      <x v="2"/>
    </i>
    <i r="1">
      <x v="32"/>
      <x v="2"/>
    </i>
    <i r="1">
      <x v="33"/>
      <x/>
    </i>
    <i r="1">
      <x v="35"/>
      <x v="1"/>
    </i>
    <i r="1">
      <x v="49"/>
      <x v="1"/>
    </i>
    <i r="1">
      <x v="50"/>
      <x v="1"/>
    </i>
    <i r="1">
      <x v="51"/>
      <x v="1"/>
    </i>
    <i r="1">
      <x v="59"/>
      <x v="1"/>
    </i>
    <i r="1">
      <x v="61"/>
      <x v="1"/>
    </i>
    <i r="1">
      <x v="72"/>
      <x v="1"/>
    </i>
    <i>
      <x v="11"/>
      <x v="6"/>
      <x v="2"/>
    </i>
    <i r="1">
      <x v="8"/>
      <x v="2"/>
    </i>
    <i r="1">
      <x v="9"/>
      <x v="2"/>
    </i>
    <i r="1">
      <x v="15"/>
      <x v="1"/>
    </i>
    <i r="1">
      <x v="20"/>
      <x v="2"/>
    </i>
    <i r="1">
      <x v="22"/>
      <x v="2"/>
    </i>
    <i r="1">
      <x v="23"/>
      <x v="2"/>
    </i>
    <i r="1">
      <x v="24"/>
      <x v="2"/>
    </i>
    <i r="1">
      <x v="26"/>
      <x v="2"/>
    </i>
    <i r="1">
      <x v="55"/>
      <x v="2"/>
    </i>
    <i r="1">
      <x v="71"/>
      <x v="1"/>
    </i>
    <i r="1">
      <x v="93"/>
      <x v="1"/>
    </i>
    <i t="grand">
      <x/>
    </i>
  </rowItems>
  <colItems count="1">
    <i/>
  </colItems>
  <pageFields count="2">
    <pageField fld="21" item="0" hier="-1"/>
    <pageField fld="12"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764B04-FF7B-4BA9-BA13-DEBDFA596726}" name="PivotTable1" cacheId="15" applyNumberFormats="0" applyBorderFormats="0" applyFontFormats="0" applyPatternFormats="0" applyAlignmentFormats="0" applyWidthHeightFormats="1" dataCaption="Values" showError="1" updatedVersion="8" minRefreshableVersion="3" showDrill="0" showDataTips="0" itemPrintTitles="1" createdVersion="8" indent="0" compact="0" compactData="0" multipleFieldFilters="0">
  <location ref="A6:J45" firstHeaderRow="1" firstDataRow="2" firstDataCol="6" rowPageCount="2" colPageCount="1"/>
  <pivotFields count="36">
    <pivotField axis="axisRow" compact="0" outline="0" showAll="0" defaultSubtotal="0">
      <items count="96">
        <item x="0"/>
        <item x="1"/>
        <item x="4"/>
        <item x="9"/>
        <item x="10"/>
        <item x="29"/>
        <item x="31"/>
        <item x="35"/>
        <item x="42"/>
        <item x="45"/>
        <item x="47"/>
        <item x="49"/>
        <item x="54"/>
        <item x="56"/>
        <item x="59"/>
        <item x="60"/>
        <item x="62"/>
        <item x="63"/>
        <item x="27"/>
        <item x="58"/>
        <item x="50"/>
        <item x="82"/>
        <item x="83"/>
        <item x="46"/>
        <item x="65"/>
        <item x="66"/>
        <item x="67"/>
        <item x="68"/>
        <item x="69"/>
        <item x="72"/>
        <item x="73"/>
        <item x="74"/>
        <item x="75"/>
        <item x="25"/>
        <item x="24"/>
        <item x="52"/>
        <item x="70"/>
        <item x="79"/>
        <item x="28"/>
        <item x="76"/>
        <item m="1" x="93"/>
        <item m="1" x="94"/>
        <item m="1" x="95"/>
        <item x="2"/>
        <item x="3"/>
        <item x="7"/>
        <item x="26"/>
        <item x="30"/>
        <item x="37"/>
        <item x="38"/>
        <item x="41"/>
        <item x="48"/>
        <item x="71"/>
        <item x="77"/>
        <item x="90"/>
        <item x="91"/>
        <item x="8"/>
        <item x="15"/>
        <item x="33"/>
        <item x="81"/>
        <item x="12"/>
        <item x="17"/>
        <item x="18"/>
        <item x="19"/>
        <item x="20"/>
        <item x="11"/>
        <item x="16"/>
        <item x="34"/>
        <item x="43"/>
        <item x="44"/>
        <item x="53"/>
        <item x="64"/>
        <item x="78"/>
        <item x="80"/>
        <item x="84"/>
        <item x="85"/>
        <item x="87"/>
        <item x="88"/>
        <item x="89"/>
        <item x="32"/>
        <item x="51"/>
        <item x="55"/>
        <item x="57"/>
        <item x="86"/>
        <item x="92"/>
        <item x="36"/>
        <item x="5"/>
        <item x="6"/>
        <item x="13"/>
        <item x="14"/>
        <item x="21"/>
        <item x="22"/>
        <item x="23"/>
        <item x="39"/>
        <item x="40"/>
        <item x="61"/>
      </items>
    </pivotField>
    <pivotField axis="axisRow" compact="0" outline="0" showAll="0" sortType="descending" defaultSubtotal="0">
      <items count="14">
        <item h="1" x="5"/>
        <item h="1" m="1" x="10"/>
        <item h="1" m="1" x="8"/>
        <item h="1" m="1" x="7"/>
        <item h="1" m="1" x="12"/>
        <item h="1" x="4"/>
        <item h="1" m="1" x="9"/>
        <item h="1" m="1" x="11"/>
        <item m="1" x="6"/>
        <item h="1" m="1" x="13"/>
        <item x="3"/>
        <item x="1"/>
        <item x="2"/>
        <item h="1" x="0"/>
      </items>
    </pivotField>
    <pivotField compact="0" outline="0" showAll="0"/>
    <pivotField dataField="1" compact="0" outline="0" showAll="0"/>
    <pivotField axis="axisRow" compact="0" outline="0" showAll="0" defaultSubtotal="0">
      <items count="46">
        <item x="8"/>
        <item x="7"/>
        <item m="1" x="28"/>
        <item m="1" x="40"/>
        <item x="6"/>
        <item x="1"/>
        <item x="17"/>
        <item x="5"/>
        <item x="4"/>
        <item x="11"/>
        <item x="20"/>
        <item x="21"/>
        <item x="0"/>
        <item m="1" x="34"/>
        <item x="9"/>
        <item m="1" x="38"/>
        <item x="14"/>
        <item m="1" x="35"/>
        <item m="1" x="37"/>
        <item x="19"/>
        <item m="1" x="36"/>
        <item m="1" x="39"/>
        <item x="16"/>
        <item m="1" x="45"/>
        <item m="1" x="33"/>
        <item x="24"/>
        <item m="1" x="41"/>
        <item m="1" x="42"/>
        <item m="1" x="43"/>
        <item m="1" x="44"/>
        <item m="1" x="27"/>
        <item x="2"/>
        <item m="1" x="31"/>
        <item x="10"/>
        <item m="1" x="30"/>
        <item x="13"/>
        <item m="1" x="29"/>
        <item m="1" x="32"/>
        <item x="23"/>
        <item x="3"/>
        <item m="1" x="26"/>
        <item x="18"/>
        <item x="12"/>
        <item x="15"/>
        <item m="1" x="25"/>
        <item x="22"/>
      </items>
    </pivotField>
    <pivotField axis="axisCol" compact="0" outline="0" showAll="0">
      <items count="5">
        <item x="3"/>
        <item x="2"/>
        <item x="0"/>
        <item h="1" x="1"/>
        <item t="default"/>
      </items>
    </pivotField>
    <pivotField axis="axisPage" compact="0" outline="0" multipleItemSelectionAllowed="1" showAll="0">
      <items count="16">
        <item n="DAFF" x="3"/>
        <item x="6"/>
        <item x="5"/>
        <item x="0"/>
        <item x="2"/>
        <item x="4"/>
        <item x="1"/>
        <item m="1" x="8"/>
        <item m="1" x="13"/>
        <item m="1" x="14"/>
        <item m="1" x="10"/>
        <item m="1" x="11"/>
        <item m="1" x="9"/>
        <item m="1" x="12"/>
        <item m="1" x="7"/>
        <item t="default"/>
      </items>
    </pivotField>
    <pivotField compact="0" outline="0" showAll="0"/>
    <pivotField compact="0" outline="0" showAll="0"/>
    <pivotField compact="0" outline="0" showAll="0"/>
    <pivotField compact="0" outline="0" showAll="0"/>
    <pivotField compact="0" outline="0" showAll="0"/>
    <pivotField axis="axisRow" compact="0" outline="0" multipleItemSelectionAllowed="1" showAll="0" defaultSubtotal="0">
      <items count="10">
        <item x="5"/>
        <item x="2"/>
        <item x="6"/>
        <item x="1"/>
        <item x="3"/>
        <item x="4"/>
        <item x="0"/>
        <item m="1" x="7"/>
        <item m="1" x="9"/>
        <item m="1" x="8"/>
      </items>
    </pivotField>
    <pivotField axis="axisRow" compact="0" outline="0" showAll="0" defaultSubtotal="0">
      <items count="58">
        <item m="1" x="50"/>
        <item m="1" x="37"/>
        <item m="1" x="31"/>
        <item x="21"/>
        <item x="16"/>
        <item x="19"/>
        <item x="2"/>
        <item x="0"/>
        <item m="1" x="57"/>
        <item m="1" x="25"/>
        <item m="1" x="38"/>
        <item x="1"/>
        <item x="13"/>
        <item x="18"/>
        <item m="1" x="45"/>
        <item m="1" x="24"/>
        <item m="1" x="56"/>
        <item m="1" x="54"/>
        <item x="7"/>
        <item x="5"/>
        <item m="1" x="46"/>
        <item m="1" x="41"/>
        <item m="1" x="51"/>
        <item m="1" x="47"/>
        <item m="1" x="49"/>
        <item m="1" x="44"/>
        <item m="1" x="30"/>
        <item m="1" x="52"/>
        <item m="1" x="53"/>
        <item m="1" x="55"/>
        <item m="1" x="26"/>
        <item m="1" x="27"/>
        <item m="1" x="28"/>
        <item m="1" x="29"/>
        <item m="1" x="32"/>
        <item m="1" x="33"/>
        <item m="1" x="36"/>
        <item m="1" x="39"/>
        <item m="1" x="35"/>
        <item m="1" x="48"/>
        <item m="1" x="43"/>
        <item x="9"/>
        <item x="3"/>
        <item x="12"/>
        <item x="11"/>
        <item m="1" x="42"/>
        <item x="14"/>
        <item x="15"/>
        <item m="1" x="34"/>
        <item x="8"/>
        <item x="6"/>
        <item m="1" x="40"/>
        <item x="23"/>
        <item x="4"/>
        <item x="17"/>
        <item x="10"/>
        <item x="20"/>
        <item x="22"/>
      </items>
    </pivotField>
    <pivotField name="End Date" axis="axisRow" compact="0" outline="0" showAll="0">
      <items count="68">
        <item x="11"/>
        <item x="24"/>
        <item m="1" x="40"/>
        <item m="1" x="56"/>
        <item x="1"/>
        <item m="1" x="32"/>
        <item x="0"/>
        <item x="2"/>
        <item m="1" x="58"/>
        <item x="23"/>
        <item x="22"/>
        <item m="1" x="55"/>
        <item m="1" x="33"/>
        <item m="1" x="36"/>
        <item m="1" x="38"/>
        <item x="13"/>
        <item m="1" x="48"/>
        <item m="1" x="57"/>
        <item x="28"/>
        <item m="1" x="41"/>
        <item x="25"/>
        <item x="12"/>
        <item m="1" x="31"/>
        <item m="1" x="50"/>
        <item m="1" x="64"/>
        <item x="19"/>
        <item x="27"/>
        <item m="1" x="54"/>
        <item m="1" x="66"/>
        <item m="1" x="51"/>
        <item m="1" x="63"/>
        <item m="1" x="59"/>
        <item x="6"/>
        <item m="1" x="60"/>
        <item m="1" x="61"/>
        <item m="1" x="62"/>
        <item m="1" x="65"/>
        <item m="1" x="34"/>
        <item m="1" x="35"/>
        <item m="1" x="39"/>
        <item x="29"/>
        <item m="1" x="45"/>
        <item m="1" x="43"/>
        <item m="1" x="44"/>
        <item m="1" x="37"/>
        <item x="10"/>
        <item m="1" x="46"/>
        <item x="3"/>
        <item x="9"/>
        <item x="14"/>
        <item x="5"/>
        <item x="15"/>
        <item x="16"/>
        <item x="17"/>
        <item x="18"/>
        <item x="26"/>
        <item m="1" x="53"/>
        <item m="1" x="42"/>
        <item x="20"/>
        <item m="1" x="47"/>
        <item m="1" x="52"/>
        <item m="1" x="49"/>
        <item x="7"/>
        <item x="21"/>
        <item x="30"/>
        <item x="4"/>
        <item x="8"/>
        <item t="default"/>
      </items>
    </pivotField>
    <pivotField compact="0" outline="0" showAll="0"/>
    <pivotField compact="0" numFmtId="22" outline="0" showAll="0"/>
    <pivotField compact="0" outline="0" showAll="0"/>
    <pivotField compact="0" numFmtId="22" outline="0" showAll="0"/>
    <pivotField compact="0" outline="0" showAll="0"/>
    <pivotField compact="0" outline="0" showAll="0"/>
    <pivotField axis="axisPage" compact="0" outline="0" showAll="0">
      <items count="1384">
        <item x="0"/>
        <item m="1" x="1"/>
        <item m="1" x="1076"/>
        <item m="1" x="1077"/>
        <item m="1" x="1078"/>
        <item m="1" x="1079"/>
        <item m="1" x="1080"/>
        <item m="1" x="1081"/>
        <item m="1" x="1082"/>
        <item m="1" x="1083"/>
        <item m="1" x="1084"/>
        <item m="1" x="2"/>
        <item m="1" x="3"/>
        <item m="1" x="1085"/>
        <item m="1" x="1086"/>
        <item m="1" x="1087"/>
        <item m="1" x="1088"/>
        <item m="1" x="1350"/>
        <item m="1" x="1351"/>
        <item m="1" x="1352"/>
        <item m="1" x="1353"/>
        <item m="1" x="1354"/>
        <item m="1" x="1355"/>
        <item m="1" x="1356"/>
        <item m="1" x="1357"/>
        <item m="1" x="1358"/>
        <item m="1" x="1089"/>
        <item m="1" x="1090"/>
        <item m="1" x="1091"/>
        <item m="1" x="10"/>
        <item m="1" x="11"/>
        <item m="1" x="1093"/>
        <item m="1" x="1094"/>
        <item m="1" x="1095"/>
        <item m="1" x="941"/>
        <item m="1" x="942"/>
        <item m="1" x="943"/>
        <item m="1" x="944"/>
        <item m="1" x="945"/>
        <item m="1" x="946"/>
        <item m="1" x="947"/>
        <item m="1" x="948"/>
        <item m="1" x="949"/>
        <item m="1" x="952"/>
        <item m="1" x="953"/>
        <item m="1" x="954"/>
        <item m="1" x="955"/>
        <item m="1" x="1096"/>
        <item m="1" x="1097"/>
        <item m="1" x="1098"/>
        <item m="1" x="1099"/>
        <item m="1" x="1100"/>
        <item m="1" x="23"/>
        <item m="1" x="24"/>
        <item m="1" x="25"/>
        <item m="1" x="26"/>
        <item m="1" x="27"/>
        <item m="1" x="28"/>
        <item m="1" x="29"/>
        <item m="1" x="30"/>
        <item m="1" x="31"/>
        <item m="1" x="32"/>
        <item m="1" x="1101"/>
        <item m="1" x="1102"/>
        <item m="1" x="1103"/>
        <item m="1" x="1104"/>
        <item m="1" x="1105"/>
        <item m="1" x="33"/>
        <item m="1" x="35"/>
        <item m="1" x="36"/>
        <item m="1" x="1106"/>
        <item m="1" x="1107"/>
        <item m="1" x="1108"/>
        <item m="1" x="1109"/>
        <item m="1" x="1110"/>
        <item m="1" x="1111"/>
        <item m="1" x="1112"/>
        <item m="1" x="1113"/>
        <item m="1" x="1114"/>
        <item m="1" x="1115"/>
        <item m="1" x="1116"/>
        <item m="1" x="1013"/>
        <item m="1" x="1014"/>
        <item m="1" x="1015"/>
        <item m="1" x="1016"/>
        <item m="1" x="1017"/>
        <item m="1" x="1018"/>
        <item m="1" x="1021"/>
        <item m="1" x="1022"/>
        <item m="1" x="1359"/>
        <item m="1" x="1360"/>
        <item m="1" x="1361"/>
        <item m="1" x="1117"/>
        <item m="1" x="1118"/>
        <item m="1" x="1119"/>
        <item m="1" x="1120"/>
        <item m="1" x="1023"/>
        <item m="1" x="1024"/>
        <item m="1" x="1121"/>
        <item m="1" x="1122"/>
        <item m="1" x="1025"/>
        <item m="1" x="1026"/>
        <item m="1" x="50"/>
        <item m="1" x="51"/>
        <item m="1" x="52"/>
        <item m="1" x="56"/>
        <item m="1" x="58"/>
        <item m="1" x="64"/>
        <item m="1" x="65"/>
        <item m="1" x="66"/>
        <item m="1" x="67"/>
        <item m="1" x="68"/>
        <item m="1" x="1123"/>
        <item m="1" x="1124"/>
        <item m="1" x="1125"/>
        <item m="1" x="1126"/>
        <item m="1" x="1127"/>
        <item m="1" x="1128"/>
        <item m="1" x="69"/>
        <item m="1" x="70"/>
        <item m="1" x="71"/>
        <item m="1" x="74"/>
        <item m="1" x="75"/>
        <item m="1" x="1129"/>
        <item m="1" x="1130"/>
        <item m="1" x="1131"/>
        <item m="1" x="1132"/>
        <item m="1" x="1133"/>
        <item m="1" x="1030"/>
        <item m="1" x="1031"/>
        <item m="1" x="962"/>
        <item m="1" x="963"/>
        <item m="1" x="964"/>
        <item m="1" x="1134"/>
        <item m="1" x="1135"/>
        <item m="1" x="1136"/>
        <item m="1" x="1032"/>
        <item m="1" x="1033"/>
        <item m="1" x="80"/>
        <item m="1" x="96"/>
        <item m="1" x="97"/>
        <item m="1" x="1137"/>
        <item m="1" x="1138"/>
        <item m="1" x="1139"/>
        <item m="1" x="1140"/>
        <item m="1" x="1141"/>
        <item m="1" x="1142"/>
        <item m="1" x="1046"/>
        <item m="1" x="1047"/>
        <item m="1" x="1048"/>
        <item m="1" x="1143"/>
        <item m="1" x="1144"/>
        <item m="1" x="1145"/>
        <item m="1" x="1146"/>
        <item m="1" x="1147"/>
        <item m="1" x="1148"/>
        <item m="1" x="1149"/>
        <item m="1" x="1150"/>
        <item m="1" x="1151"/>
        <item m="1" x="1152"/>
        <item m="1" x="1153"/>
        <item m="1" x="1154"/>
        <item m="1" x="1362"/>
        <item m="1" x="1156"/>
        <item m="1" x="1157"/>
        <item m="1" x="1158"/>
        <item m="1" x="1159"/>
        <item m="1" x="1160"/>
        <item m="1" x="1161"/>
        <item m="1" x="1162"/>
        <item m="1" x="1363"/>
        <item m="1" x="111"/>
        <item m="1" x="112"/>
        <item m="1" x="115"/>
        <item m="1" x="116"/>
        <item m="1" x="1164"/>
        <item m="1" x="1165"/>
        <item m="1" x="1166"/>
        <item m="1" x="1167"/>
        <item m="1" x="1168"/>
        <item m="1" x="1169"/>
        <item m="1" x="1170"/>
        <item m="1" x="1171"/>
        <item m="1" x="1172"/>
        <item m="1" x="1049"/>
        <item m="1" x="1050"/>
        <item m="1" x="1051"/>
        <item m="1" x="1052"/>
        <item m="1" x="1173"/>
        <item m="1" x="1174"/>
        <item m="1" x="1175"/>
        <item m="1" x="1176"/>
        <item m="1" x="1053"/>
        <item m="1" x="1054"/>
        <item m="1" x="1364"/>
        <item m="1" x="1365"/>
        <item m="1" x="1366"/>
        <item m="1" x="1055"/>
        <item m="1" x="1056"/>
        <item m="1" x="121"/>
        <item m="1" x="122"/>
        <item m="1" x="123"/>
        <item m="1" x="124"/>
        <item m="1" x="1367"/>
        <item m="1" x="1368"/>
        <item m="1" x="1369"/>
        <item m="1" x="1370"/>
        <item m="1" x="1371"/>
        <item m="1" x="1372"/>
        <item m="1" x="1373"/>
        <item m="1" x="125"/>
        <item m="1" x="126"/>
        <item m="1" x="127"/>
        <item m="1" x="128"/>
        <item m="1" x="129"/>
        <item m="1" x="130"/>
        <item m="1" x="131"/>
        <item m="1" x="132"/>
        <item m="1" x="1177"/>
        <item m="1" x="1178"/>
        <item m="1" x="1179"/>
        <item m="1" x="1180"/>
        <item m="1" x="1181"/>
        <item m="1" x="1182"/>
        <item m="1" x="1183"/>
        <item m="1" x="1184"/>
        <item m="1" x="1185"/>
        <item m="1" x="1186"/>
        <item m="1" x="1187"/>
        <item m="1" x="138"/>
        <item m="1" x="139"/>
        <item m="1" x="140"/>
        <item m="1" x="141"/>
        <item m="1" x="142"/>
        <item m="1" x="143"/>
        <item m="1" x="145"/>
        <item m="1" x="153"/>
        <item m="1" x="154"/>
        <item m="1" x="155"/>
        <item m="1" x="156"/>
        <item m="1" x="157"/>
        <item m="1" x="1188"/>
        <item m="1" x="1189"/>
        <item m="1" x="1190"/>
        <item m="1" x="1191"/>
        <item m="1" x="1192"/>
        <item m="1" x="1193"/>
        <item m="1" x="1194"/>
        <item m="1" x="1195"/>
        <item m="1" x="1196"/>
        <item m="1" x="1197"/>
        <item m="1" x="1198"/>
        <item m="1" x="1199"/>
        <item m="1" x="1200"/>
        <item m="1" x="160"/>
        <item m="1" x="161"/>
        <item m="1" x="162"/>
        <item m="1" x="163"/>
        <item m="1" x="164"/>
        <item m="1" x="165"/>
        <item m="1" x="166"/>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67"/>
        <item m="1" x="168"/>
        <item m="1" x="169"/>
        <item m="1" x="170"/>
        <item m="1" x="171"/>
        <item m="1" x="172"/>
        <item m="1" x="173"/>
        <item m="1" x="174"/>
        <item m="1" x="175"/>
        <item m="1" x="176"/>
        <item m="1" x="177"/>
        <item m="1" x="178"/>
        <item m="1" x="179"/>
        <item m="1" x="180"/>
        <item m="1" x="181"/>
        <item m="1" x="182"/>
        <item m="1" x="183"/>
        <item m="1" x="186"/>
        <item m="1" x="187"/>
        <item m="1" x="1247"/>
        <item m="1" x="1248"/>
        <item m="1" x="1249"/>
        <item m="1" x="1250"/>
        <item m="1" x="1251"/>
        <item m="1" x="1252"/>
        <item m="1" x="188"/>
        <item m="1" x="189"/>
        <item m="1" x="190"/>
        <item m="1" x="191"/>
        <item m="1" x="192"/>
        <item m="1" x="193"/>
        <item m="1" x="1253"/>
        <item m="1" x="1254"/>
        <item m="1" x="1255"/>
        <item m="1" x="1256"/>
        <item m="1" x="194"/>
        <item m="1" x="195"/>
        <item m="1" x="196"/>
        <item m="1" x="197"/>
        <item m="1" x="198"/>
        <item m="1" x="199"/>
        <item m="1" x="200"/>
        <item m="1" x="201"/>
        <item m="1" x="202"/>
        <item m="1" x="203"/>
        <item m="1" x="204"/>
        <item m="1" x="205"/>
        <item m="1" x="206"/>
        <item m="1" x="207"/>
        <item m="1" x="208"/>
        <item m="1" x="209"/>
        <item m="1" x="1257"/>
        <item m="1" x="1258"/>
        <item m="1" x="1071"/>
        <item m="1" x="1072"/>
        <item m="1" x="1073"/>
        <item m="1" x="1074"/>
        <item m="1" x="1075"/>
        <item m="1" x="217"/>
        <item m="1" x="218"/>
        <item m="1" x="219"/>
        <item m="1" x="220"/>
        <item m="1" x="221"/>
        <item m="1" x="222"/>
        <item m="1" x="223"/>
        <item m="1" x="224"/>
        <item m="1" x="225"/>
        <item m="1" x="226"/>
        <item m="1" x="227"/>
        <item m="1" x="228"/>
        <item m="1" x="229"/>
        <item m="1" x="239"/>
        <item m="1" x="240"/>
        <item m="1" x="241"/>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71"/>
        <item m="1" x="272"/>
        <item m="1" x="273"/>
        <item m="1" x="274"/>
        <item m="1" x="275"/>
        <item m="1" x="27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64"/>
        <item m="1" x="365"/>
        <item m="1" x="366"/>
        <item m="1" x="367"/>
        <item m="1" x="368"/>
        <item m="1" x="403"/>
        <item m="1" x="404"/>
        <item m="1" x="405"/>
        <item m="1" x="406"/>
        <item m="1" x="407"/>
        <item m="1" x="408"/>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51"/>
        <item m="1" x="552"/>
        <item m="1" x="553"/>
        <item m="1" x="554"/>
        <item m="1" x="555"/>
        <item m="1" x="556"/>
        <item m="1" x="557"/>
        <item m="1" x="558"/>
        <item m="1" x="559"/>
        <item m="1" x="560"/>
        <item m="1" x="561"/>
        <item m="1" x="562"/>
        <item m="1" x="563"/>
        <item m="1" x="564"/>
        <item m="1" x="565"/>
        <item m="1" x="566"/>
        <item m="1" x="567"/>
        <item m="1" x="568"/>
        <item m="1" x="569"/>
        <item m="1" x="1259"/>
        <item m="1" x="1260"/>
        <item m="1" x="1261"/>
        <item m="1" x="1262"/>
        <item m="1" x="1263"/>
        <item m="1" x="1264"/>
        <item m="1" x="1265"/>
        <item m="1" x="1266"/>
        <item m="1" x="1267"/>
        <item m="1" x="570"/>
        <item m="1" x="571"/>
        <item m="1" x="572"/>
        <item m="1" x="573"/>
        <item m="1" x="574"/>
        <item m="1" x="575"/>
        <item m="1" x="576"/>
        <item m="1" x="577"/>
        <item m="1" x="578"/>
        <item m="1" x="579"/>
        <item m="1" x="580"/>
        <item m="1" x="581"/>
        <item m="1" x="582"/>
        <item m="1" x="586"/>
        <item m="1" x="587"/>
        <item m="1" x="588"/>
        <item m="1" x="589"/>
        <item m="1" x="590"/>
        <item m="1" x="591"/>
        <item m="1" x="592"/>
        <item m="1" x="1268"/>
        <item m="1" x="1269"/>
        <item m="1" x="1270"/>
        <item m="1" x="1271"/>
        <item m="1" x="1272"/>
        <item m="1" x="1273"/>
        <item m="1" x="1274"/>
        <item m="1" x="1275"/>
        <item m="1" x="1276"/>
        <item m="1" x="1277"/>
        <item m="1" x="1278"/>
        <item m="1" x="1279"/>
        <item m="1" x="1280"/>
        <item m="1" x="1281"/>
        <item m="1" x="1282"/>
        <item m="1" x="1283"/>
        <item m="1" x="593"/>
        <item m="1" x="594"/>
        <item m="1" x="595"/>
        <item m="1" x="596"/>
        <item m="1" x="984"/>
        <item m="1" x="985"/>
        <item m="1" x="986"/>
        <item m="1" x="987"/>
        <item m="1" x="988"/>
        <item m="1" x="989"/>
        <item m="1" x="990"/>
        <item m="1" x="991"/>
        <item m="1" x="992"/>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1284"/>
        <item m="1" x="1285"/>
        <item m="1" x="629"/>
        <item m="1" x="630"/>
        <item m="1" x="631"/>
        <item m="1" x="632"/>
        <item m="1" x="1286"/>
        <item m="1" x="1287"/>
        <item m="1" x="1288"/>
        <item m="1" x="633"/>
        <item m="1" x="634"/>
        <item m="1" x="635"/>
        <item m="1" x="636"/>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1289"/>
        <item m="1" x="1290"/>
        <item m="1" x="1291"/>
        <item m="1" x="1292"/>
        <item m="1" x="1293"/>
        <item m="1" x="1294"/>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717"/>
        <item m="1" x="1322"/>
        <item m="1" x="1323"/>
        <item m="1" x="1324"/>
        <item m="1" x="1325"/>
        <item m="1" x="1326"/>
        <item m="1" x="1327"/>
        <item m="1" x="1328"/>
        <item m="1" x="1329"/>
        <item m="1" x="1330"/>
        <item m="1" x="1331"/>
        <item m="1" x="1332"/>
        <item m="1" x="718"/>
        <item m="1" x="719"/>
        <item m="1" x="724"/>
        <item m="1" x="725"/>
        <item m="1" x="726"/>
        <item m="1" x="727"/>
        <item m="1" x="728"/>
        <item m="1" x="729"/>
        <item m="1" x="730"/>
        <item m="1" x="737"/>
        <item m="1" x="738"/>
        <item m="1" x="739"/>
        <item m="1" x="740"/>
        <item m="1" x="741"/>
        <item m="1" x="748"/>
        <item m="1" x="749"/>
        <item m="1" x="750"/>
        <item m="1" x="1333"/>
        <item m="1" x="1334"/>
        <item m="1" x="1335"/>
        <item m="1" x="1336"/>
        <item m="1" x="1337"/>
        <item m="1" x="1338"/>
        <item m="1" x="1339"/>
        <item m="1" x="1340"/>
        <item m="1" x="1341"/>
        <item m="1" x="1342"/>
        <item m="1" x="1343"/>
        <item m="1" x="1344"/>
        <item m="1" x="1345"/>
        <item m="1" x="753"/>
        <item m="1" x="757"/>
        <item m="1" x="758"/>
        <item m="1" x="759"/>
        <item m="1" x="873"/>
        <item m="1" x="874"/>
        <item m="1" x="875"/>
        <item m="1" x="877"/>
        <item m="1" x="878"/>
        <item m="1" x="879"/>
        <item m="1" x="880"/>
        <item m="1" x="886"/>
        <item m="1" x="887"/>
        <item m="1" x="888"/>
        <item m="1" x="889"/>
        <item m="1" x="890"/>
        <item m="1" x="1346"/>
        <item m="1" x="1347"/>
        <item m="1" x="1348"/>
        <item m="1" x="1349"/>
        <item m="1" x="1374"/>
        <item m="1" x="1375"/>
        <item m="1" x="1376"/>
        <item m="1" x="1377"/>
        <item m="1" x="1378"/>
        <item m="1" x="1379"/>
        <item m="1" x="1380"/>
        <item m="1" x="1381"/>
        <item m="1" x="1382"/>
        <item m="1" x="1002"/>
        <item m="1" x="1003"/>
        <item m="1" x="1004"/>
        <item m="1" x="1005"/>
        <item m="1" x="1006"/>
        <item m="1" x="1057"/>
        <item m="1" x="1058"/>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1007"/>
        <item m="1" x="1008"/>
        <item m="1" x="1092"/>
        <item m="1" x="956"/>
        <item m="1" x="957"/>
        <item m="1" x="958"/>
        <item m="1" x="1155"/>
        <item m="1" x="1163"/>
        <item m="1" x="1067"/>
        <item m="1" x="1068"/>
        <item m="1" x="1069"/>
        <item m="1" x="4"/>
        <item m="1" x="5"/>
        <item m="1" x="6"/>
        <item m="1" x="7"/>
        <item m="1" x="8"/>
        <item m="1" x="9"/>
        <item m="1" x="12"/>
        <item m="1" x="14"/>
        <item m="1" x="15"/>
        <item m="1" x="1011"/>
        <item m="1" x="1012"/>
        <item m="1" x="39"/>
        <item m="1" x="40"/>
        <item m="1" x="41"/>
        <item m="1" x="1019"/>
        <item m="1" x="1020"/>
        <item m="1" x="1059"/>
        <item m="1" x="1060"/>
        <item m="1" x="1061"/>
        <item m="1" x="53"/>
        <item m="1" x="54"/>
        <item m="1" x="55"/>
        <item m="1" x="57"/>
        <item m="1" x="59"/>
        <item m="1" x="60"/>
        <item m="1" x="61"/>
        <item m="1" x="62"/>
        <item m="1" x="63"/>
        <item m="1" x="72"/>
        <item m="1" x="73"/>
        <item m="1" x="76"/>
        <item m="1" x="77"/>
        <item m="1" x="78"/>
        <item m="1" x="965"/>
        <item m="1" x="966"/>
        <item m="1" x="967"/>
        <item m="1" x="1062"/>
        <item m="1" x="1063"/>
        <item m="1" x="1064"/>
        <item m="1" x="968"/>
        <item m="1" x="969"/>
        <item m="1" x="970"/>
        <item m="1" x="971"/>
        <item m="1" x="100"/>
        <item m="1" x="101"/>
        <item m="1" x="102"/>
        <item m="1" x="939"/>
        <item m="1" x="940"/>
        <item m="1" x="104"/>
        <item m="1" x="105"/>
        <item m="1" x="106"/>
        <item m="1" x="107"/>
        <item m="1" x="108"/>
        <item m="1" x="109"/>
        <item m="1" x="110"/>
        <item m="1" x="975"/>
        <item m="1" x="976"/>
        <item m="1" x="113"/>
        <item m="1" x="114"/>
        <item m="1" x="133"/>
        <item m="1" x="135"/>
        <item m="1" x="136"/>
        <item m="1" x="137"/>
        <item m="1" x="1065"/>
        <item m="1" x="1066"/>
        <item m="1" x="1070"/>
        <item m="1" x="210"/>
        <item m="1" x="212"/>
        <item m="1" x="213"/>
        <item m="1" x="234"/>
        <item m="1" x="235"/>
        <item m="1" x="236"/>
        <item m="1" x="980"/>
        <item m="1" x="981"/>
        <item m="1" x="982"/>
        <item m="1" x="983"/>
        <item m="1" x="369"/>
        <item m="1" x="370"/>
        <item m="1" x="371"/>
        <item m="1" x="372"/>
        <item m="1" x="373"/>
        <item m="1" x="374"/>
        <item m="1" x="375"/>
        <item m="1" x="376"/>
        <item m="1" x="377"/>
        <item m="1" x="382"/>
        <item m="1" x="383"/>
        <item m="1" x="384"/>
        <item m="1" x="385"/>
        <item m="1" x="386"/>
        <item m="1" x="387"/>
        <item m="1" x="388"/>
        <item m="1" x="389"/>
        <item m="1" x="390"/>
        <item m="1" x="391"/>
        <item m="1" x="399"/>
        <item m="1" x="400"/>
        <item m="1" x="401"/>
        <item m="1" x="402"/>
        <item m="1" x="409"/>
        <item m="1" x="410"/>
        <item m="1" x="411"/>
        <item m="1" x="412"/>
        <item m="1" x="413"/>
        <item m="1" x="414"/>
        <item m="1" x="439"/>
        <item m="1" x="440"/>
        <item m="1" x="441"/>
        <item m="1" x="442"/>
        <item m="1" x="443"/>
        <item m="1" x="511"/>
        <item m="1" x="512"/>
        <item m="1" x="513"/>
        <item m="1" x="514"/>
        <item m="1" x="515"/>
        <item m="1" x="516"/>
        <item m="1" x="547"/>
        <item m="1" x="548"/>
        <item m="1" x="549"/>
        <item m="1" x="550"/>
        <item m="1" x="637"/>
        <item m="1" x="638"/>
        <item m="1" x="639"/>
        <item m="1" x="640"/>
        <item m="1" x="641"/>
        <item m="1" x="642"/>
        <item m="1" x="643"/>
        <item m="1" x="720"/>
        <item m="1" x="721"/>
        <item m="1" x="722"/>
        <item m="1" x="723"/>
        <item m="1" x="731"/>
        <item m="1" x="732"/>
        <item m="1" x="733"/>
        <item m="1" x="734"/>
        <item m="1" x="735"/>
        <item m="1" x="736"/>
        <item m="1" x="742"/>
        <item m="1" x="743"/>
        <item m="1" x="744"/>
        <item m="1" x="745"/>
        <item m="1" x="746"/>
        <item m="1" x="747"/>
        <item m="1" x="754"/>
        <item m="1" x="755"/>
        <item m="1" x="756"/>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8"/>
        <item m="1" x="789"/>
        <item m="1" x="792"/>
        <item m="1" x="793"/>
        <item m="1" x="794"/>
        <item m="1" x="795"/>
        <item m="1" x="796"/>
        <item m="1" x="797"/>
        <item m="1" x="798"/>
        <item m="1" x="799"/>
        <item m="1" x="800"/>
        <item m="1" x="801"/>
        <item m="1" x="802"/>
        <item m="1" x="803"/>
        <item m="1" x="804"/>
        <item m="1" x="805"/>
        <item m="1" x="809"/>
        <item m="1" x="810"/>
        <item m="1" x="811"/>
        <item m="1" x="812"/>
        <item m="1" x="813"/>
        <item m="1" x="814"/>
        <item m="1" x="815"/>
        <item m="1" x="816"/>
        <item m="1" x="819"/>
        <item m="1" x="820"/>
        <item m="1" x="821"/>
        <item m="1" x="822"/>
        <item m="1" x="823"/>
        <item m="1" x="824"/>
        <item m="1" x="825"/>
        <item m="1" x="826"/>
        <item m="1" x="827"/>
        <item m="1" x="828"/>
        <item m="1" x="831"/>
        <item m="1" x="832"/>
        <item m="1" x="833"/>
        <item m="1" x="834"/>
        <item m="1" x="835"/>
        <item m="1" x="836"/>
        <item m="1" x="837"/>
        <item m="1" x="838"/>
        <item m="1" x="839"/>
        <item m="1" x="842"/>
        <item m="1" x="843"/>
        <item m="1" x="844"/>
        <item m="1" x="845"/>
        <item m="1" x="846"/>
        <item m="1" x="847"/>
        <item m="1" x="848"/>
        <item m="1" x="849"/>
        <item m="1" x="850"/>
        <item m="1" x="851"/>
        <item m="1" x="852"/>
        <item m="1" x="853"/>
        <item m="1" x="856"/>
        <item m="1" x="857"/>
        <item m="1" x="858"/>
        <item m="1" x="859"/>
        <item m="1" x="860"/>
        <item m="1" x="861"/>
        <item m="1" x="862"/>
        <item m="1" x="863"/>
        <item m="1" x="864"/>
        <item m="1" x="865"/>
        <item m="1" x="866"/>
        <item m="1" x="867"/>
        <item m="1" x="868"/>
        <item m="1" x="869"/>
        <item m="1" x="870"/>
        <item m="1" x="876"/>
        <item m="1" x="993"/>
        <item m="1" x="994"/>
        <item m="1" x="995"/>
        <item m="1" x="908"/>
        <item m="1" x="909"/>
        <item m="1" x="910"/>
        <item m="1" x="1000"/>
        <item m="1" x="1001"/>
        <item m="1" x="950"/>
        <item m="1" x="951"/>
        <item m="1" x="16"/>
        <item m="1" x="17"/>
        <item m="1" x="18"/>
        <item m="1" x="19"/>
        <item m="1" x="20"/>
        <item m="1" x="21"/>
        <item m="1" x="959"/>
        <item m="1" x="960"/>
        <item m="1" x="961"/>
        <item m="1" x="42"/>
        <item m="1" x="43"/>
        <item m="1" x="44"/>
        <item m="1" x="1027"/>
        <item m="1" x="1028"/>
        <item m="1" x="1029"/>
        <item m="1" x="79"/>
        <item m="1" x="1034"/>
        <item m="1" x="1035"/>
        <item m="1" x="1036"/>
        <item m="1" x="1037"/>
        <item m="1" x="1038"/>
        <item m="1" x="1039"/>
        <item m="1" x="1040"/>
        <item m="1" x="1041"/>
        <item m="1" x="1042"/>
        <item m="1" x="1043"/>
        <item m="1" x="1044"/>
        <item m="1" x="1045"/>
        <item m="1" x="87"/>
        <item m="1" x="88"/>
        <item m="1" x="89"/>
        <item m="1" x="103"/>
        <item m="1" x="134"/>
        <item m="1" x="144"/>
        <item m="1" x="977"/>
        <item m="1" x="978"/>
        <item m="1" x="979"/>
        <item m="1" x="583"/>
        <item m="1" x="584"/>
        <item m="1" x="585"/>
        <item m="1" x="883"/>
        <item m="1" x="884"/>
        <item m="1" x="885"/>
        <item m="1" x="996"/>
        <item m="1" x="997"/>
        <item m="1" x="998"/>
        <item m="1" x="999"/>
        <item m="1" x="13"/>
        <item m="1" x="1009"/>
        <item m="1" x="1010"/>
        <item m="1" x="37"/>
        <item m="1" x="38"/>
        <item m="1" x="972"/>
        <item m="1" x="973"/>
        <item m="1" x="974"/>
        <item m="1" x="211"/>
        <item m="1" x="215"/>
        <item m="1" x="216"/>
        <item m="1" x="230"/>
        <item m="1" x="231"/>
        <item m="1" x="232"/>
        <item m="1" x="233"/>
        <item m="1" x="237"/>
        <item m="1" x="238"/>
        <item m="1" x="242"/>
        <item m="1" x="243"/>
        <item m="1" x="244"/>
        <item m="1" x="245"/>
        <item m="1" x="246"/>
        <item m="1" x="247"/>
        <item m="1" x="269"/>
        <item m="1" x="270"/>
        <item m="1" x="751"/>
        <item m="1" x="752"/>
        <item m="1" x="786"/>
        <item m="1" x="787"/>
        <item m="1" x="790"/>
        <item m="1" x="791"/>
        <item m="1" x="806"/>
        <item m="1" x="807"/>
        <item m="1" x="808"/>
        <item m="1" x="817"/>
        <item m="1" x="818"/>
        <item m="1" x="829"/>
        <item m="1" x="830"/>
        <item m="1" x="840"/>
        <item m="1" x="841"/>
        <item m="1" x="854"/>
        <item m="1" x="855"/>
        <item m="1" x="22"/>
        <item m="1" x="48"/>
        <item m="1" x="49"/>
        <item m="1" x="34"/>
        <item m="1" x="45"/>
        <item m="1" x="46"/>
        <item m="1" x="47"/>
        <item m="1" x="81"/>
        <item m="1" x="82"/>
        <item m="1" x="83"/>
        <item m="1" x="84"/>
        <item m="1" x="85"/>
        <item m="1" x="86"/>
        <item m="1" x="90"/>
        <item m="1" x="91"/>
        <item m="1" x="92"/>
        <item m="1" x="93"/>
        <item m="1" x="94"/>
        <item m="1" x="95"/>
        <item m="1" x="117"/>
        <item m="1" x="118"/>
        <item m="1" x="119"/>
        <item m="1" x="120"/>
        <item m="1" x="146"/>
        <item m="1" x="147"/>
        <item m="1" x="148"/>
        <item m="1" x="149"/>
        <item m="1" x="150"/>
        <item m="1" x="151"/>
        <item m="1" x="152"/>
        <item m="1" x="158"/>
        <item m="1" x="159"/>
        <item m="1" x="184"/>
        <item m="1" x="185"/>
        <item m="1" x="214"/>
        <item m="1" x="357"/>
        <item m="1" x="358"/>
        <item m="1" x="359"/>
        <item m="1" x="360"/>
        <item m="1" x="361"/>
        <item m="1" x="362"/>
        <item m="1" x="363"/>
        <item m="1" x="378"/>
        <item m="1" x="379"/>
        <item m="1" x="380"/>
        <item m="1" x="381"/>
        <item m="1" x="392"/>
        <item m="1" x="393"/>
        <item m="1" x="394"/>
        <item m="1" x="395"/>
        <item m="1" x="396"/>
        <item m="1" x="397"/>
        <item m="1" x="398"/>
        <item m="1" x="871"/>
        <item m="1" x="872"/>
        <item m="1" x="881"/>
        <item m="1" x="882"/>
        <item m="1" x="891"/>
        <item m="1" x="892"/>
        <item m="1" x="893"/>
        <item m="1" x="894"/>
        <item m="1" x="895"/>
        <item m="1" x="896"/>
        <item m="1" x="897"/>
        <item m="1" x="898"/>
        <item m="1" x="899"/>
        <item m="1" x="900"/>
        <item m="1" x="901"/>
        <item m="1" x="902"/>
        <item m="1" x="903"/>
        <item m="1" x="904"/>
        <item m="1" x="905"/>
        <item m="1" x="906"/>
        <item m="1" x="907"/>
        <item m="1" x="937"/>
        <item m="1" x="938"/>
        <item m="1" x="98"/>
        <item m="1" x="99"/>
        <item t="default"/>
      </items>
    </pivotField>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1"/>
        <item sd="0" x="2"/>
        <item sd="0" x="3"/>
        <item sd="0" x="4"/>
        <item x="0"/>
        <item x="5"/>
        <item t="default"/>
      </items>
    </pivotField>
    <pivotField compact="0" outline="0" showAll="0">
      <items count="9">
        <item sd="0" x="1"/>
        <item sd="0" x="2"/>
        <item sd="0" x="3"/>
        <item x="4"/>
        <item x="5"/>
        <item x="6"/>
        <item x="0"/>
        <item x="7"/>
        <item t="default"/>
      </items>
    </pivotField>
    <pivotField compact="0" outline="0" dragToRow="0" dragToCol="0" dragToPage="0" showAll="0" defaultSubtota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1"/>
        <item sd="0" x="2"/>
        <item sd="0" x="3"/>
        <item sd="0" x="4"/>
        <item x="0"/>
        <item x="5"/>
        <item t="default"/>
      </items>
    </pivotField>
    <pivotField compact="0" outline="0" showAll="0">
      <items count="4">
        <item sd="0" x="1"/>
        <item x="0"/>
        <item x="2"/>
        <item t="default"/>
      </items>
    </pivotField>
  </pivotFields>
  <rowFields count="6">
    <field x="1"/>
    <field x="0"/>
    <field x="12"/>
    <field x="4"/>
    <field x="13"/>
    <field x="14"/>
  </rowFields>
  <rowItems count="38">
    <i>
      <x v="10"/>
      <x v="10"/>
      <x/>
      <x v="12"/>
      <x v="19"/>
      <x v="53"/>
    </i>
    <i r="1">
      <x v="11"/>
      <x/>
      <x v="12"/>
      <x v="4"/>
      <x v="25"/>
    </i>
    <i r="1">
      <x v="13"/>
      <x v="4"/>
      <x v="7"/>
      <x v="13"/>
      <x v="63"/>
    </i>
    <i r="1">
      <x v="25"/>
      <x v="6"/>
      <x v="10"/>
      <x v="13"/>
      <x v="20"/>
    </i>
    <i r="1">
      <x v="27"/>
      <x v="6"/>
      <x v="11"/>
      <x v="13"/>
      <x v="55"/>
    </i>
    <i r="1">
      <x v="37"/>
      <x v="6"/>
      <x v="38"/>
      <x v="42"/>
      <x v="18"/>
    </i>
    <i r="1">
      <x v="48"/>
      <x v="6"/>
      <x v="35"/>
      <x v="43"/>
      <x v="49"/>
    </i>
    <i r="1">
      <x v="50"/>
      <x v="6"/>
      <x v="16"/>
      <x v="42"/>
      <x/>
    </i>
    <i r="1">
      <x v="58"/>
      <x v="6"/>
      <x v="42"/>
      <x v="42"/>
      <x v="15"/>
    </i>
    <i r="1">
      <x v="81"/>
      <x v="4"/>
      <x v="43"/>
      <x v="13"/>
      <x/>
    </i>
    <i r="1">
      <x v="82"/>
      <x v="4"/>
      <x v="22"/>
      <x v="5"/>
      <x/>
    </i>
    <i r="1">
      <x v="85"/>
      <x v="6"/>
      <x v="9"/>
      <x v="44"/>
      <x/>
    </i>
    <i>
      <x v="11"/>
      <x v="16"/>
      <x v="4"/>
      <x v="41"/>
      <x v="13"/>
      <x v="63"/>
    </i>
    <i r="1">
      <x v="18"/>
      <x v="4"/>
      <x v="14"/>
      <x v="11"/>
      <x/>
    </i>
    <i r="1">
      <x v="34"/>
      <x v="6"/>
      <x v="1"/>
      <x v="19"/>
      <x v="48"/>
    </i>
    <i r="1">
      <x v="35"/>
      <x/>
      <x v="12"/>
      <x v="18"/>
      <x v="25"/>
    </i>
    <i r="1">
      <x v="38"/>
      <x v="3"/>
      <x v="33"/>
      <x v="11"/>
      <x v="21"/>
    </i>
    <i r="1">
      <x v="44"/>
      <x v="4"/>
      <x v="31"/>
      <x v="6"/>
      <x v="7"/>
    </i>
    <i r="1">
      <x v="45"/>
      <x v="6"/>
      <x v="39"/>
      <x v="42"/>
      <x v="47"/>
    </i>
    <i r="1">
      <x v="46"/>
      <x v="4"/>
      <x/>
      <x v="41"/>
      <x/>
    </i>
    <i r="1">
      <x v="47"/>
      <x v="6"/>
      <x v="1"/>
      <x v="19"/>
      <x/>
    </i>
    <i r="1">
      <x v="51"/>
      <x/>
      <x v="12"/>
      <x v="47"/>
      <x v="54"/>
    </i>
    <i r="1">
      <x v="52"/>
      <x v="1"/>
      <x v="12"/>
      <x v="7"/>
      <x v="6"/>
    </i>
    <i r="1">
      <x v="56"/>
      <x v="6"/>
      <x v="8"/>
      <x v="53"/>
      <x v="65"/>
    </i>
    <i r="1">
      <x v="66"/>
      <x v="6"/>
      <x v="8"/>
      <x v="19"/>
      <x v="62"/>
    </i>
    <i r="1">
      <x v="72"/>
      <x v="6"/>
      <x v="45"/>
      <x v="57"/>
      <x v="50"/>
    </i>
    <i r="1">
      <x v="93"/>
      <x v="6"/>
      <x v="9"/>
      <x v="53"/>
      <x/>
    </i>
    <i>
      <x v="12"/>
      <x v="20"/>
      <x/>
      <x v="12"/>
      <x v="19"/>
      <x v="58"/>
    </i>
    <i r="1">
      <x v="21"/>
      <x v="3"/>
      <x v="25"/>
      <x v="42"/>
      <x/>
    </i>
    <i r="1">
      <x v="22"/>
      <x v="6"/>
      <x v="1"/>
      <x v="44"/>
      <x v="40"/>
    </i>
    <i r="1">
      <x v="33"/>
      <x v="5"/>
      <x v="4"/>
      <x v="49"/>
      <x v="45"/>
    </i>
    <i r="1">
      <x v="65"/>
      <x v="3"/>
      <x v="7"/>
      <x v="19"/>
      <x v="50"/>
    </i>
    <i r="1">
      <x v="67"/>
      <x v="6"/>
      <x v="12"/>
      <x v="7"/>
      <x v="6"/>
    </i>
    <i r="1">
      <x v="79"/>
      <x v="6"/>
      <x v="9"/>
      <x v="55"/>
      <x v="65"/>
    </i>
    <i r="1">
      <x v="80"/>
      <x/>
      <x v="12"/>
      <x v="54"/>
      <x v="6"/>
    </i>
    <i r="1">
      <x v="83"/>
      <x v="1"/>
      <x v="12"/>
      <x v="7"/>
      <x v="6"/>
    </i>
    <i r="1">
      <x v="90"/>
      <x v="6"/>
      <x v="4"/>
      <x v="49"/>
      <x v="66"/>
    </i>
    <i t="grand">
      <x/>
    </i>
  </rowItems>
  <colFields count="1">
    <field x="5"/>
  </colFields>
  <colItems count="4">
    <i>
      <x/>
    </i>
    <i>
      <x v="1"/>
    </i>
    <i>
      <x v="2"/>
    </i>
    <i t="grand">
      <x/>
    </i>
  </colItems>
  <pageFields count="2">
    <pageField fld="21" item="0" hier="-1"/>
    <pageField fld="6" hier="-1"/>
  </pageFields>
  <dataFields count="1">
    <dataField name="Value $" fld="3" baseField="1" baseItem="3" numFmtId="42"/>
  </dataFields>
  <formats count="39">
    <format dxfId="1196">
      <pivotArea outline="0" collapsedLevelsAreSubtotals="1" fieldPosition="0"/>
    </format>
    <format dxfId="1195">
      <pivotArea outline="0" collapsedLevelsAreSubtotals="1" fieldPosition="0"/>
    </format>
    <format dxfId="1194">
      <pivotArea field="5" type="button" dataOnly="0" labelOnly="1" outline="0" axis="axisCol" fieldPosition="0"/>
    </format>
    <format dxfId="1193">
      <pivotArea field="-2" type="button" dataOnly="0" labelOnly="1" outline="0" axis="axisValues" fieldPosition="0"/>
    </format>
    <format dxfId="1192">
      <pivotArea type="topRight" dataOnly="0" labelOnly="1" outline="0" fieldPosition="0"/>
    </format>
    <format dxfId="1191">
      <pivotArea dataOnly="0" labelOnly="1" outline="0" fieldPosition="0">
        <references count="1">
          <reference field="5" count="0"/>
        </references>
      </pivotArea>
    </format>
    <format dxfId="1190">
      <pivotArea field="5" dataOnly="0" labelOnly="1" grandCol="1" outline="0" axis="axisCol" fieldPosition="0">
        <references count="1">
          <reference field="4294967294" count="1" selected="0">
            <x v="0"/>
          </reference>
        </references>
      </pivotArea>
    </format>
    <format dxfId="1189">
      <pivotArea outline="0" fieldPosition="0">
        <references count="1">
          <reference field="4294967294" count="1">
            <x v="0"/>
          </reference>
        </references>
      </pivotArea>
    </format>
    <format dxfId="1188">
      <pivotArea dataOnly="0" labelOnly="1" outline="0" fieldPosition="0">
        <references count="2">
          <reference field="4294967294" count="1">
            <x v="0"/>
          </reference>
          <reference field="5" count="1" selected="0">
            <x v="0"/>
          </reference>
        </references>
      </pivotArea>
    </format>
    <format dxfId="1187">
      <pivotArea dataOnly="0" labelOnly="1" outline="0" fieldPosition="0">
        <references count="2">
          <reference field="4294967294" count="1">
            <x v="0"/>
          </reference>
          <reference field="5" count="1" selected="0">
            <x v="1"/>
          </reference>
        </references>
      </pivotArea>
    </format>
    <format dxfId="1186">
      <pivotArea dataOnly="0" labelOnly="1" outline="0" fieldPosition="0">
        <references count="2">
          <reference field="4294967294" count="1">
            <x v="0"/>
          </reference>
          <reference field="5" count="1" selected="0">
            <x v="2"/>
          </reference>
        </references>
      </pivotArea>
    </format>
    <format dxfId="1185">
      <pivotArea field="6" type="button" dataOnly="0" labelOnly="1" outline="0" axis="axisPage" fieldPosition="1"/>
    </format>
    <format dxfId="1184">
      <pivotArea field="1" type="button" dataOnly="0" labelOnly="1" outline="0" axis="axisRow" fieldPosition="0"/>
    </format>
    <format dxfId="1183">
      <pivotArea field="5" dataOnly="0" labelOnly="1" grandCol="1" outline="0" axis="axisCol" fieldPosition="0">
        <references count="1">
          <reference field="4294967294" count="1" selected="0">
            <x v="0"/>
          </reference>
        </references>
      </pivotArea>
    </format>
    <format dxfId="1182">
      <pivotArea dataOnly="0" labelOnly="1" outline="0" fieldPosition="0">
        <references count="2">
          <reference field="4294967294" count="1">
            <x v="0"/>
          </reference>
          <reference field="5" count="1" selected="0">
            <x v="0"/>
          </reference>
        </references>
      </pivotArea>
    </format>
    <format dxfId="1181">
      <pivotArea dataOnly="0" labelOnly="1" outline="0" fieldPosition="0">
        <references count="2">
          <reference field="4294967294" count="1">
            <x v="0"/>
          </reference>
          <reference field="5" count="1" selected="0">
            <x v="1"/>
          </reference>
        </references>
      </pivotArea>
    </format>
    <format dxfId="1180">
      <pivotArea dataOnly="0" labelOnly="1" outline="0" fieldPosition="0">
        <references count="2">
          <reference field="4294967294" count="1">
            <x v="0"/>
          </reference>
          <reference field="5" count="1" selected="0">
            <x v="2"/>
          </reference>
        </references>
      </pivotArea>
    </format>
    <format dxfId="1179">
      <pivotArea dataOnly="0" labelOnly="1" outline="0" fieldPosition="0">
        <references count="1">
          <reference field="4" count="0"/>
        </references>
      </pivotArea>
    </format>
    <format dxfId="1178">
      <pivotArea dataOnly="0" labelOnly="1" outline="0" fieldPosition="0">
        <references count="1">
          <reference field="4" count="0"/>
        </references>
      </pivotArea>
    </format>
    <format dxfId="1177">
      <pivotArea dataOnly="0" labelOnly="1" outline="0" fieldPosition="0">
        <references count="4">
          <reference field="0" count="1" selected="0">
            <x v="10"/>
          </reference>
          <reference field="1" count="1" selected="0">
            <x v="10"/>
          </reference>
          <reference field="4" count="1">
            <x v="12"/>
          </reference>
          <reference field="12" count="1" selected="0">
            <x v="0"/>
          </reference>
        </references>
      </pivotArea>
    </format>
    <format dxfId="1176">
      <pivotArea dataOnly="0" labelOnly="1" outline="0" fieldPosition="0">
        <references count="4">
          <reference field="0" count="1" selected="0">
            <x v="11"/>
          </reference>
          <reference field="1" count="1" selected="0">
            <x v="11"/>
          </reference>
          <reference field="4" count="1">
            <x v="12"/>
          </reference>
          <reference field="12" count="1" selected="0">
            <x v="0"/>
          </reference>
        </references>
      </pivotArea>
    </format>
    <format dxfId="1175">
      <pivotArea dataOnly="0" labelOnly="1" outline="0" fieldPosition="0">
        <references count="4">
          <reference field="0" count="1" selected="0">
            <x v="16"/>
          </reference>
          <reference field="1" count="1" selected="0">
            <x v="11"/>
          </reference>
          <reference field="4" count="1">
            <x v="1"/>
          </reference>
          <reference field="12" count="1" selected="0">
            <x v="4"/>
          </reference>
        </references>
      </pivotArea>
    </format>
    <format dxfId="1174">
      <pivotArea dataOnly="0" labelOnly="1" outline="0" fieldPosition="0">
        <references count="4">
          <reference field="0" count="1" selected="0">
            <x v="13"/>
          </reference>
          <reference field="1" count="1" selected="0">
            <x v="12"/>
          </reference>
          <reference field="4" count="1">
            <x v="7"/>
          </reference>
          <reference field="12" count="1" selected="0">
            <x v="4"/>
          </reference>
        </references>
      </pivotArea>
    </format>
    <format dxfId="1173">
      <pivotArea dataOnly="0" labelOnly="1" outline="0" fieldPosition="0">
        <references count="4">
          <reference field="0" count="1" selected="0">
            <x v="15"/>
          </reference>
          <reference field="1" count="1" selected="0">
            <x v="12"/>
          </reference>
          <reference field="4" count="1">
            <x v="6"/>
          </reference>
          <reference field="12" count="1" selected="0">
            <x v="6"/>
          </reference>
        </references>
      </pivotArea>
    </format>
    <format dxfId="1172">
      <pivotArea dataOnly="0" labelOnly="1" outline="0" fieldPosition="0">
        <references count="5">
          <reference field="0" count="1" selected="0">
            <x v="10"/>
          </reference>
          <reference field="1" count="1" selected="0">
            <x v="10"/>
          </reference>
          <reference field="4" count="1" selected="0">
            <x v="12"/>
          </reference>
          <reference field="12" count="1" selected="0">
            <x v="0"/>
          </reference>
          <reference field="13" count="1">
            <x v="0"/>
          </reference>
        </references>
      </pivotArea>
    </format>
    <format dxfId="1171">
      <pivotArea dataOnly="0" labelOnly="1" outline="0" fieldPosition="0">
        <references count="5">
          <reference field="0" count="1" selected="0">
            <x v="11"/>
          </reference>
          <reference field="1" count="1" selected="0">
            <x v="11"/>
          </reference>
          <reference field="4" count="1" selected="0">
            <x v="12"/>
          </reference>
          <reference field="12" count="1" selected="0">
            <x v="0"/>
          </reference>
          <reference field="13" count="1">
            <x v="4"/>
          </reference>
        </references>
      </pivotArea>
    </format>
    <format dxfId="1170">
      <pivotArea dataOnly="0" labelOnly="1" outline="0" fieldPosition="0">
        <references count="5">
          <reference field="0" count="1" selected="0">
            <x v="16"/>
          </reference>
          <reference field="1" count="1" selected="0">
            <x v="11"/>
          </reference>
          <reference field="4" count="1" selected="0">
            <x v="1"/>
          </reference>
          <reference field="12" count="1" selected="0">
            <x v="4"/>
          </reference>
          <reference field="13" count="1">
            <x v="11"/>
          </reference>
        </references>
      </pivotArea>
    </format>
    <format dxfId="1169">
      <pivotArea dataOnly="0" labelOnly="1" outline="0" fieldPosition="0">
        <references count="5">
          <reference field="0" count="1" selected="0">
            <x v="13"/>
          </reference>
          <reference field="1" count="1" selected="0">
            <x v="12"/>
          </reference>
          <reference field="4" count="1" selected="0">
            <x v="7"/>
          </reference>
          <reference field="12" count="1" selected="0">
            <x v="4"/>
          </reference>
          <reference field="13" count="1">
            <x v="5"/>
          </reference>
        </references>
      </pivotArea>
    </format>
    <format dxfId="1168">
      <pivotArea dataOnly="0" labelOnly="1" outline="0" fieldPosition="0">
        <references count="5">
          <reference field="0" count="1" selected="0">
            <x v="15"/>
          </reference>
          <reference field="1" count="1" selected="0">
            <x v="12"/>
          </reference>
          <reference field="4" count="1" selected="0">
            <x v="6"/>
          </reference>
          <reference field="12" count="1" selected="0">
            <x v="6"/>
          </reference>
          <reference field="13" count="1">
            <x v="9"/>
          </reference>
        </references>
      </pivotArea>
    </format>
    <format dxfId="1167">
      <pivotArea dataOnly="0" labelOnly="1" outline="0" fieldPosition="0">
        <references count="6">
          <reference field="0" count="1" selected="0">
            <x v="10"/>
          </reference>
          <reference field="1" count="1" selected="0">
            <x v="10"/>
          </reference>
          <reference field="4" count="1" selected="0">
            <x v="12"/>
          </reference>
          <reference field="12" count="1" selected="0">
            <x v="0"/>
          </reference>
          <reference field="13" count="1" selected="0">
            <x v="0"/>
          </reference>
          <reference field="14" count="1">
            <x v="6"/>
          </reference>
        </references>
      </pivotArea>
    </format>
    <format dxfId="1166">
      <pivotArea dataOnly="0" labelOnly="1" outline="0" fieldPosition="0">
        <references count="6">
          <reference field="0" count="1" selected="0">
            <x v="11"/>
          </reference>
          <reference field="1" count="1" selected="0">
            <x v="11"/>
          </reference>
          <reference field="4" count="1" selected="0">
            <x v="12"/>
          </reference>
          <reference field="12" count="1" selected="0">
            <x v="0"/>
          </reference>
          <reference field="13" count="1" selected="0">
            <x v="4"/>
          </reference>
          <reference field="14" count="1">
            <x v="6"/>
          </reference>
        </references>
      </pivotArea>
    </format>
    <format dxfId="1165">
      <pivotArea dataOnly="0" labelOnly="1" outline="0" fieldPosition="0">
        <references count="6">
          <reference field="0" count="1" selected="0">
            <x v="16"/>
          </reference>
          <reference field="1" count="1" selected="0">
            <x v="11"/>
          </reference>
          <reference field="4" count="1" selected="0">
            <x v="1"/>
          </reference>
          <reference field="12" count="1" selected="0">
            <x v="4"/>
          </reference>
          <reference field="13" count="1" selected="0">
            <x v="11"/>
          </reference>
          <reference field="14" count="1">
            <x v="4"/>
          </reference>
        </references>
      </pivotArea>
    </format>
    <format dxfId="1164">
      <pivotArea dataOnly="0" labelOnly="1" outline="0" fieldPosition="0">
        <references count="6">
          <reference field="0" count="1" selected="0">
            <x v="13"/>
          </reference>
          <reference field="1" count="1" selected="0">
            <x v="12"/>
          </reference>
          <reference field="4" count="1" selected="0">
            <x v="7"/>
          </reference>
          <reference field="12" count="1" selected="0">
            <x v="4"/>
          </reference>
          <reference field="13" count="1" selected="0">
            <x v="5"/>
          </reference>
          <reference field="14" count="1">
            <x v="5"/>
          </reference>
        </references>
      </pivotArea>
    </format>
    <format dxfId="1163">
      <pivotArea dataOnly="0" labelOnly="1" outline="0" fieldPosition="0">
        <references count="6">
          <reference field="0" count="1" selected="0">
            <x v="15"/>
          </reference>
          <reference field="1" count="1" selected="0">
            <x v="12"/>
          </reference>
          <reference field="4" count="1" selected="0">
            <x v="6"/>
          </reference>
          <reference field="12" count="1" selected="0">
            <x v="6"/>
          </reference>
          <reference field="13" count="1" selected="0">
            <x v="9"/>
          </reference>
          <reference field="14" count="1">
            <x v="1"/>
          </reference>
        </references>
      </pivotArea>
    </format>
    <format dxfId="1162">
      <pivotArea dataOnly="0" labelOnly="1" outline="0" fieldPosition="0">
        <references count="1">
          <reference field="4" count="0"/>
        </references>
      </pivotArea>
    </format>
    <format dxfId="1161">
      <pivotArea field="4" type="button" dataOnly="0" labelOnly="1" outline="0" axis="axisRow" fieldPosition="3"/>
    </format>
    <format dxfId="1160">
      <pivotArea field="13" type="button" dataOnly="0" labelOnly="1" outline="0" axis="axisRow" fieldPosition="4"/>
    </format>
    <format dxfId="1159">
      <pivotArea field="14" type="button" dataOnly="0" labelOnly="1" outline="0" axis="axisRow" fieldPosition="5"/>
    </format>
    <format dxfId="1158">
      <pivotArea dataOnly="0" labelOnly="1" outline="0" fieldPosition="0">
        <references count="1">
          <reference field="4" count="0"/>
        </references>
      </pivotArea>
    </format>
  </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5A9D9A-81A3-4711-9C3F-C5004A49A538}" name="PivotTable6" cacheId="15" applyNumberFormats="0" applyBorderFormats="0" applyFontFormats="0" applyPatternFormats="0" applyAlignmentFormats="0" applyWidthHeightFormats="1" dataCaption="Values" showMissing="0" updatedVersion="8" minRefreshableVersion="3" itemPrintTitles="1" createdVersion="8" indent="0" compact="0" compactData="0" multipleFieldFilters="0">
  <location ref="J55:R72" firstHeaderRow="0" firstDataRow="1" firstDataCol="7" rowPageCount="2" colPageCount="1"/>
  <pivotFields count="36">
    <pivotField axis="axisRow" compact="0" outline="0" showAll="0" defaultSubtotal="0">
      <items count="96">
        <item x="0"/>
        <item x="1"/>
        <item x="4"/>
        <item x="9"/>
        <item x="10"/>
        <item x="29"/>
        <item x="31"/>
        <item x="35"/>
        <item x="42"/>
        <item x="45"/>
        <item x="47"/>
        <item x="49"/>
        <item x="54"/>
        <item x="56"/>
        <item x="59"/>
        <item x="60"/>
        <item x="62"/>
        <item x="63"/>
        <item x="27"/>
        <item x="58"/>
        <item x="50"/>
        <item x="82"/>
        <item x="83"/>
        <item x="46"/>
        <item x="65"/>
        <item x="66"/>
        <item x="67"/>
        <item x="68"/>
        <item x="69"/>
        <item x="72"/>
        <item x="73"/>
        <item x="74"/>
        <item x="75"/>
        <item x="25"/>
        <item x="24"/>
        <item x="52"/>
        <item x="70"/>
        <item x="79"/>
        <item x="28"/>
        <item x="76"/>
        <item m="1" x="93"/>
        <item m="1" x="94"/>
        <item m="1" x="95"/>
        <item x="2"/>
        <item x="3"/>
        <item x="7"/>
        <item x="26"/>
        <item x="30"/>
        <item x="37"/>
        <item x="38"/>
        <item x="41"/>
        <item x="48"/>
        <item x="71"/>
        <item x="77"/>
        <item x="90"/>
        <item x="91"/>
        <item x="8"/>
        <item x="15"/>
        <item x="33"/>
        <item x="81"/>
        <item x="12"/>
        <item x="17"/>
        <item x="18"/>
        <item x="19"/>
        <item x="20"/>
        <item x="11"/>
        <item x="16"/>
        <item x="34"/>
        <item x="43"/>
        <item x="44"/>
        <item x="53"/>
        <item x="64"/>
        <item x="78"/>
        <item x="80"/>
        <item x="84"/>
        <item x="85"/>
        <item x="87"/>
        <item x="88"/>
        <item x="89"/>
        <item x="32"/>
        <item x="51"/>
        <item x="55"/>
        <item x="57"/>
        <item x="86"/>
        <item x="92"/>
        <item x="36"/>
        <item x="5"/>
        <item x="6"/>
        <item x="13"/>
        <item x="14"/>
        <item x="21"/>
        <item x="22"/>
        <item x="23"/>
        <item x="39"/>
        <item x="40"/>
        <item x="61"/>
      </items>
    </pivotField>
    <pivotField axis="axisRow" compact="0" outline="0" showAll="0" defaultSubtotal="0">
      <items count="14">
        <item h="1" x="4"/>
        <item m="1" x="6"/>
        <item x="3"/>
        <item x="1"/>
        <item x="2"/>
        <item x="0"/>
        <item h="1" m="1" x="11"/>
        <item h="1" m="1" x="9"/>
        <item h="1" x="5"/>
        <item h="1" m="1" x="7"/>
        <item h="1" m="1" x="8"/>
        <item h="1" m="1" x="13"/>
        <item h="1" m="1" x="12"/>
        <item h="1" m="1" x="10"/>
      </items>
    </pivotField>
    <pivotField compact="0" outline="0" showAll="0"/>
    <pivotField dataField="1" compact="0" outline="0" showAll="0"/>
    <pivotField axis="axisRow" compact="0" outline="0" showAll="0" defaultSubtotal="0">
      <items count="46">
        <item x="8"/>
        <item x="7"/>
        <item x="6"/>
        <item x="1"/>
        <item x="17"/>
        <item x="5"/>
        <item x="4"/>
        <item x="11"/>
        <item x="21"/>
        <item x="0"/>
        <item m="1" x="28"/>
        <item m="1" x="40"/>
        <item x="20"/>
        <item m="1" x="34"/>
        <item x="9"/>
        <item m="1" x="38"/>
        <item x="14"/>
        <item m="1" x="35"/>
        <item m="1" x="37"/>
        <item x="19"/>
        <item m="1" x="36"/>
        <item m="1" x="39"/>
        <item x="16"/>
        <item m="1" x="45"/>
        <item m="1" x="33"/>
        <item x="24"/>
        <item m="1" x="41"/>
        <item m="1" x="42"/>
        <item m="1" x="43"/>
        <item m="1" x="44"/>
        <item m="1" x="27"/>
        <item x="2"/>
        <item m="1" x="31"/>
        <item x="10"/>
        <item m="1" x="30"/>
        <item x="13"/>
        <item m="1" x="29"/>
        <item m="1" x="32"/>
        <item x="23"/>
        <item x="3"/>
        <item m="1" x="26"/>
        <item x="18"/>
        <item x="12"/>
        <item x="15"/>
        <item m="1" x="25"/>
        <item x="22"/>
      </items>
    </pivotField>
    <pivotField axis="axisRow" compact="0" outline="0" showAll="0" defaultSubtotal="0">
      <items count="4">
        <item x="2"/>
        <item x="3"/>
        <item x="0"/>
        <item x="1"/>
      </items>
    </pivotField>
    <pivotField axis="axisPage" compact="0" outline="0" showAll="0">
      <items count="16">
        <item x="3"/>
        <item h="1" x="0"/>
        <item h="1" x="6"/>
        <item h="1" x="5"/>
        <item h="1" x="2"/>
        <item h="1" x="4"/>
        <item h="1" x="1"/>
        <item h="1" m="1" x="8"/>
        <item h="1" m="1" x="13"/>
        <item h="1" m="1" x="14"/>
        <item h="1" m="1" x="10"/>
        <item h="1" m="1" x="11"/>
        <item h="1" m="1" x="9"/>
        <item h="1" m="1" x="12"/>
        <item h="1" m="1" x="7"/>
        <item t="default"/>
      </items>
    </pivotField>
    <pivotField compact="0" outline="0" showAll="0"/>
    <pivotField compact="0" outline="0" showAll="0"/>
    <pivotField compact="0" outline="0" showAll="0"/>
    <pivotField compact="0" outline="0" showAll="0"/>
    <pivotField compact="0" outline="0" showAll="0"/>
    <pivotField axis="axisRow" compact="0" outline="0" showAll="0" defaultSubtotal="0">
      <items count="10">
        <item x="4"/>
        <item x="0"/>
        <item x="3"/>
        <item x="5"/>
        <item x="1"/>
        <item x="2"/>
        <item x="6"/>
        <item m="1" x="7"/>
        <item m="1" x="9"/>
        <item m="1" x="8"/>
      </items>
    </pivotField>
    <pivotField axis="axisRow" compact="0" outline="0" showAll="0" defaultSubtotal="0">
      <items count="58">
        <item m="1" x="50"/>
        <item m="1" x="37"/>
        <item m="1" x="31"/>
        <item x="21"/>
        <item x="16"/>
        <item x="19"/>
        <item x="2"/>
        <item x="0"/>
        <item m="1" x="57"/>
        <item m="1" x="25"/>
        <item m="1" x="38"/>
        <item x="1"/>
        <item x="13"/>
        <item x="18"/>
        <item m="1" x="45"/>
        <item m="1" x="24"/>
        <item m="1" x="56"/>
        <item m="1" x="54"/>
        <item x="7"/>
        <item x="5"/>
        <item m="1" x="46"/>
        <item m="1" x="41"/>
        <item m="1" x="51"/>
        <item m="1" x="47"/>
        <item m="1" x="49"/>
        <item m="1" x="44"/>
        <item m="1" x="30"/>
        <item m="1" x="52"/>
        <item m="1" x="53"/>
        <item m="1" x="55"/>
        <item m="1" x="26"/>
        <item m="1" x="27"/>
        <item m="1" x="28"/>
        <item m="1" x="29"/>
        <item m="1" x="32"/>
        <item m="1" x="33"/>
        <item m="1" x="36"/>
        <item m="1" x="39"/>
        <item m="1" x="35"/>
        <item m="1" x="48"/>
        <item m="1" x="43"/>
        <item x="9"/>
        <item x="3"/>
        <item x="12"/>
        <item x="11"/>
        <item m="1" x="42"/>
        <item x="14"/>
        <item x="15"/>
        <item m="1" x="34"/>
        <item x="8"/>
        <item x="6"/>
        <item m="1" x="40"/>
        <item x="23"/>
        <item x="4"/>
        <item x="17"/>
        <item x="10"/>
        <item x="20"/>
        <item x="22"/>
      </items>
    </pivotField>
    <pivotField axis="axisRow" compact="0" outline="0" showAll="0">
      <items count="68">
        <item x="11"/>
        <item x="24"/>
        <item m="1" x="40"/>
        <item m="1" x="56"/>
        <item x="1"/>
        <item m="1" x="32"/>
        <item x="2"/>
        <item x="0"/>
        <item m="1" x="58"/>
        <item x="23"/>
        <item x="22"/>
        <item m="1" x="55"/>
        <item m="1" x="33"/>
        <item m="1" x="36"/>
        <item m="1" x="38"/>
        <item x="13"/>
        <item m="1" x="48"/>
        <item m="1" x="57"/>
        <item x="28"/>
        <item m="1" x="41"/>
        <item x="25"/>
        <item x="12"/>
        <item m="1" x="31"/>
        <item m="1" x="50"/>
        <item m="1" x="64"/>
        <item x="19"/>
        <item x="27"/>
        <item m="1" x="54"/>
        <item m="1" x="66"/>
        <item m="1" x="51"/>
        <item m="1" x="63"/>
        <item m="1" x="59"/>
        <item x="6"/>
        <item m="1" x="60"/>
        <item m="1" x="61"/>
        <item m="1" x="62"/>
        <item m="1" x="65"/>
        <item m="1" x="34"/>
        <item m="1" x="35"/>
        <item m="1" x="39"/>
        <item x="29"/>
        <item m="1" x="45"/>
        <item m="1" x="43"/>
        <item m="1" x="44"/>
        <item m="1" x="37"/>
        <item x="10"/>
        <item m="1" x="46"/>
        <item x="3"/>
        <item x="9"/>
        <item x="14"/>
        <item x="5"/>
        <item x="15"/>
        <item x="16"/>
        <item x="17"/>
        <item x="18"/>
        <item x="26"/>
        <item m="1" x="53"/>
        <item m="1" x="42"/>
        <item x="20"/>
        <item m="1" x="47"/>
        <item m="1" x="52"/>
        <item m="1" x="49"/>
        <item x="7"/>
        <item x="21"/>
        <item x="30"/>
        <item x="4"/>
        <item x="8"/>
        <item t="default"/>
      </items>
    </pivotField>
    <pivotField compact="0" outline="0" showAll="0"/>
    <pivotField compact="0" numFmtId="22" outline="0" showAll="0"/>
    <pivotField compact="0" outline="0" showAll="0"/>
    <pivotField compact="0" numFmtId="22" outline="0" showAll="0"/>
    <pivotField compact="0" outline="0" showAll="0"/>
    <pivotField compact="0" outline="0" showAll="0"/>
    <pivotField axis="axisPage" compact="0" outline="0" showAll="0">
      <items count="1384">
        <item x="0"/>
        <item m="1" x="1"/>
        <item m="1" x="1076"/>
        <item m="1" x="1077"/>
        <item m="1" x="1078"/>
        <item m="1" x="1079"/>
        <item m="1" x="1080"/>
        <item m="1" x="1081"/>
        <item m="1" x="1082"/>
        <item m="1" x="1083"/>
        <item m="1" x="1084"/>
        <item m="1" x="2"/>
        <item m="1" x="3"/>
        <item m="1" x="1085"/>
        <item m="1" x="1086"/>
        <item m="1" x="1087"/>
        <item m="1" x="1088"/>
        <item m="1" x="1350"/>
        <item m="1" x="1351"/>
        <item m="1" x="1352"/>
        <item m="1" x="1353"/>
        <item m="1" x="1354"/>
        <item m="1" x="1355"/>
        <item m="1" x="1356"/>
        <item m="1" x="1357"/>
        <item m="1" x="1358"/>
        <item m="1" x="1089"/>
        <item m="1" x="1090"/>
        <item m="1" x="1091"/>
        <item m="1" x="10"/>
        <item m="1" x="11"/>
        <item m="1" x="1093"/>
        <item m="1" x="1094"/>
        <item m="1" x="1095"/>
        <item m="1" x="941"/>
        <item m="1" x="942"/>
        <item m="1" x="943"/>
        <item m="1" x="944"/>
        <item m="1" x="945"/>
        <item m="1" x="946"/>
        <item m="1" x="947"/>
        <item m="1" x="948"/>
        <item m="1" x="949"/>
        <item m="1" x="952"/>
        <item m="1" x="953"/>
        <item m="1" x="954"/>
        <item m="1" x="955"/>
        <item m="1" x="1096"/>
        <item m="1" x="1097"/>
        <item m="1" x="1098"/>
        <item m="1" x="1099"/>
        <item m="1" x="1100"/>
        <item m="1" x="23"/>
        <item m="1" x="24"/>
        <item m="1" x="25"/>
        <item m="1" x="26"/>
        <item m="1" x="27"/>
        <item m="1" x="28"/>
        <item m="1" x="29"/>
        <item m="1" x="30"/>
        <item m="1" x="31"/>
        <item m="1" x="32"/>
        <item m="1" x="1101"/>
        <item m="1" x="1102"/>
        <item m="1" x="1103"/>
        <item m="1" x="1104"/>
        <item m="1" x="1105"/>
        <item m="1" x="33"/>
        <item m="1" x="35"/>
        <item m="1" x="36"/>
        <item m="1" x="1106"/>
        <item m="1" x="1107"/>
        <item m="1" x="1108"/>
        <item m="1" x="1109"/>
        <item m="1" x="1110"/>
        <item m="1" x="1111"/>
        <item m="1" x="1112"/>
        <item m="1" x="1113"/>
        <item m="1" x="1114"/>
        <item m="1" x="1115"/>
        <item m="1" x="1116"/>
        <item m="1" x="1013"/>
        <item m="1" x="1014"/>
        <item m="1" x="1015"/>
        <item m="1" x="1016"/>
        <item m="1" x="1017"/>
        <item m="1" x="1018"/>
        <item m="1" x="1021"/>
        <item m="1" x="1022"/>
        <item m="1" x="1359"/>
        <item m="1" x="1360"/>
        <item m="1" x="1361"/>
        <item m="1" x="1117"/>
        <item m="1" x="1118"/>
        <item m="1" x="1119"/>
        <item m="1" x="1120"/>
        <item m="1" x="1023"/>
        <item m="1" x="1024"/>
        <item m="1" x="1121"/>
        <item m="1" x="1122"/>
        <item m="1" x="1025"/>
        <item m="1" x="1026"/>
        <item m="1" x="50"/>
        <item m="1" x="51"/>
        <item m="1" x="52"/>
        <item m="1" x="56"/>
        <item m="1" x="58"/>
        <item m="1" x="64"/>
        <item m="1" x="65"/>
        <item m="1" x="66"/>
        <item m="1" x="67"/>
        <item m="1" x="68"/>
        <item m="1" x="1123"/>
        <item m="1" x="1124"/>
        <item m="1" x="1125"/>
        <item m="1" x="1126"/>
        <item m="1" x="1127"/>
        <item m="1" x="1128"/>
        <item m="1" x="69"/>
        <item m="1" x="70"/>
        <item m="1" x="71"/>
        <item m="1" x="74"/>
        <item m="1" x="75"/>
        <item m="1" x="1129"/>
        <item m="1" x="1130"/>
        <item m="1" x="1131"/>
        <item m="1" x="1132"/>
        <item m="1" x="1133"/>
        <item m="1" x="1030"/>
        <item m="1" x="1031"/>
        <item m="1" x="962"/>
        <item m="1" x="963"/>
        <item m="1" x="964"/>
        <item m="1" x="1134"/>
        <item m="1" x="1135"/>
        <item m="1" x="1136"/>
        <item m="1" x="1032"/>
        <item m="1" x="1033"/>
        <item m="1" x="80"/>
        <item m="1" x="96"/>
        <item m="1" x="97"/>
        <item m="1" x="1137"/>
        <item m="1" x="1138"/>
        <item m="1" x="1139"/>
        <item m="1" x="1140"/>
        <item m="1" x="1141"/>
        <item m="1" x="1142"/>
        <item m="1" x="1046"/>
        <item m="1" x="1047"/>
        <item m="1" x="1048"/>
        <item m="1" x="1143"/>
        <item m="1" x="1144"/>
        <item m="1" x="1145"/>
        <item m="1" x="1146"/>
        <item m="1" x="1147"/>
        <item m="1" x="1148"/>
        <item m="1" x="1149"/>
        <item m="1" x="1150"/>
        <item m="1" x="1151"/>
        <item m="1" x="1152"/>
        <item m="1" x="1153"/>
        <item m="1" x="1154"/>
        <item m="1" x="1362"/>
        <item m="1" x="1156"/>
        <item m="1" x="1157"/>
        <item m="1" x="1158"/>
        <item m="1" x="1159"/>
        <item m="1" x="1160"/>
        <item m="1" x="1161"/>
        <item m="1" x="1162"/>
        <item m="1" x="1363"/>
        <item m="1" x="111"/>
        <item m="1" x="112"/>
        <item m="1" x="115"/>
        <item m="1" x="116"/>
        <item m="1" x="1164"/>
        <item m="1" x="1165"/>
        <item m="1" x="1166"/>
        <item m="1" x="1167"/>
        <item m="1" x="1168"/>
        <item m="1" x="1169"/>
        <item m="1" x="1170"/>
        <item m="1" x="1171"/>
        <item m="1" x="1172"/>
        <item m="1" x="1049"/>
        <item m="1" x="1050"/>
        <item m="1" x="1051"/>
        <item m="1" x="1052"/>
        <item m="1" x="1173"/>
        <item m="1" x="1174"/>
        <item m="1" x="1175"/>
        <item m="1" x="1176"/>
        <item m="1" x="1053"/>
        <item m="1" x="1054"/>
        <item m="1" x="1364"/>
        <item m="1" x="1365"/>
        <item m="1" x="1366"/>
        <item m="1" x="1055"/>
        <item m="1" x="1056"/>
        <item m="1" x="121"/>
        <item m="1" x="122"/>
        <item m="1" x="123"/>
        <item m="1" x="124"/>
        <item m="1" x="1367"/>
        <item m="1" x="1368"/>
        <item m="1" x="1369"/>
        <item m="1" x="1370"/>
        <item m="1" x="1371"/>
        <item m="1" x="1372"/>
        <item m="1" x="1373"/>
        <item m="1" x="125"/>
        <item m="1" x="126"/>
        <item m="1" x="127"/>
        <item m="1" x="128"/>
        <item m="1" x="129"/>
        <item m="1" x="130"/>
        <item m="1" x="131"/>
        <item m="1" x="132"/>
        <item m="1" x="1177"/>
        <item m="1" x="1178"/>
        <item m="1" x="1179"/>
        <item m="1" x="1180"/>
        <item m="1" x="1181"/>
        <item m="1" x="1182"/>
        <item m="1" x="1183"/>
        <item m="1" x="1184"/>
        <item m="1" x="1185"/>
        <item m="1" x="1186"/>
        <item m="1" x="1187"/>
        <item m="1" x="138"/>
        <item m="1" x="139"/>
        <item m="1" x="140"/>
        <item m="1" x="141"/>
        <item m="1" x="142"/>
        <item m="1" x="143"/>
        <item m="1" x="145"/>
        <item m="1" x="153"/>
        <item m="1" x="154"/>
        <item m="1" x="155"/>
        <item m="1" x="156"/>
        <item m="1" x="157"/>
        <item m="1" x="1188"/>
        <item m="1" x="1189"/>
        <item m="1" x="1190"/>
        <item m="1" x="1191"/>
        <item m="1" x="1192"/>
        <item m="1" x="1193"/>
        <item m="1" x="1194"/>
        <item m="1" x="1195"/>
        <item m="1" x="1196"/>
        <item m="1" x="1197"/>
        <item m="1" x="1198"/>
        <item m="1" x="1199"/>
        <item m="1" x="1200"/>
        <item m="1" x="160"/>
        <item m="1" x="161"/>
        <item m="1" x="162"/>
        <item m="1" x="163"/>
        <item m="1" x="164"/>
        <item m="1" x="165"/>
        <item m="1" x="166"/>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67"/>
        <item m="1" x="168"/>
        <item m="1" x="169"/>
        <item m="1" x="170"/>
        <item m="1" x="171"/>
        <item m="1" x="172"/>
        <item m="1" x="173"/>
        <item m="1" x="174"/>
        <item m="1" x="175"/>
        <item m="1" x="176"/>
        <item m="1" x="177"/>
        <item m="1" x="178"/>
        <item m="1" x="179"/>
        <item m="1" x="180"/>
        <item m="1" x="181"/>
        <item m="1" x="182"/>
        <item m="1" x="183"/>
        <item m="1" x="186"/>
        <item m="1" x="187"/>
        <item m="1" x="1247"/>
        <item m="1" x="1248"/>
        <item m="1" x="1249"/>
        <item m="1" x="1250"/>
        <item m="1" x="1251"/>
        <item m="1" x="1252"/>
        <item m="1" x="188"/>
        <item m="1" x="189"/>
        <item m="1" x="190"/>
        <item m="1" x="191"/>
        <item m="1" x="192"/>
        <item m="1" x="193"/>
        <item m="1" x="1253"/>
        <item m="1" x="1254"/>
        <item m="1" x="1255"/>
        <item m="1" x="1256"/>
        <item m="1" x="194"/>
        <item m="1" x="195"/>
        <item m="1" x="196"/>
        <item m="1" x="197"/>
        <item m="1" x="198"/>
        <item m="1" x="199"/>
        <item m="1" x="200"/>
        <item m="1" x="201"/>
        <item m="1" x="202"/>
        <item m="1" x="203"/>
        <item m="1" x="204"/>
        <item m="1" x="205"/>
        <item m="1" x="206"/>
        <item m="1" x="207"/>
        <item m="1" x="208"/>
        <item m="1" x="209"/>
        <item m="1" x="1257"/>
        <item m="1" x="1258"/>
        <item m="1" x="1071"/>
        <item m="1" x="1072"/>
        <item m="1" x="1073"/>
        <item m="1" x="1074"/>
        <item m="1" x="1075"/>
        <item m="1" x="217"/>
        <item m="1" x="218"/>
        <item m="1" x="219"/>
        <item m="1" x="220"/>
        <item m="1" x="221"/>
        <item m="1" x="222"/>
        <item m="1" x="223"/>
        <item m="1" x="224"/>
        <item m="1" x="225"/>
        <item m="1" x="226"/>
        <item m="1" x="227"/>
        <item m="1" x="228"/>
        <item m="1" x="229"/>
        <item m="1" x="239"/>
        <item m="1" x="240"/>
        <item m="1" x="241"/>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71"/>
        <item m="1" x="272"/>
        <item m="1" x="273"/>
        <item m="1" x="274"/>
        <item m="1" x="275"/>
        <item m="1" x="27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64"/>
        <item m="1" x="365"/>
        <item m="1" x="366"/>
        <item m="1" x="367"/>
        <item m="1" x="368"/>
        <item m="1" x="403"/>
        <item m="1" x="404"/>
        <item m="1" x="405"/>
        <item m="1" x="406"/>
        <item m="1" x="407"/>
        <item m="1" x="408"/>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51"/>
        <item m="1" x="552"/>
        <item m="1" x="553"/>
        <item m="1" x="554"/>
        <item m="1" x="555"/>
        <item m="1" x="556"/>
        <item m="1" x="557"/>
        <item m="1" x="558"/>
        <item m="1" x="559"/>
        <item m="1" x="560"/>
        <item m="1" x="561"/>
        <item m="1" x="562"/>
        <item m="1" x="563"/>
        <item m="1" x="564"/>
        <item m="1" x="565"/>
        <item m="1" x="566"/>
        <item m="1" x="567"/>
        <item m="1" x="568"/>
        <item m="1" x="569"/>
        <item m="1" x="1259"/>
        <item m="1" x="1260"/>
        <item m="1" x="1261"/>
        <item m="1" x="1262"/>
        <item m="1" x="1263"/>
        <item m="1" x="1264"/>
        <item m="1" x="1265"/>
        <item m="1" x="1266"/>
        <item m="1" x="1267"/>
        <item m="1" x="570"/>
        <item m="1" x="571"/>
        <item m="1" x="572"/>
        <item m="1" x="573"/>
        <item m="1" x="574"/>
        <item m="1" x="575"/>
        <item m="1" x="576"/>
        <item m="1" x="577"/>
        <item m="1" x="578"/>
        <item m="1" x="579"/>
        <item m="1" x="580"/>
        <item m="1" x="581"/>
        <item m="1" x="582"/>
        <item m="1" x="586"/>
        <item m="1" x="587"/>
        <item m="1" x="588"/>
        <item m="1" x="589"/>
        <item m="1" x="590"/>
        <item m="1" x="591"/>
        <item m="1" x="592"/>
        <item m="1" x="1268"/>
        <item m="1" x="1269"/>
        <item m="1" x="1270"/>
        <item m="1" x="1271"/>
        <item m="1" x="1272"/>
        <item m="1" x="1273"/>
        <item m="1" x="1274"/>
        <item m="1" x="1275"/>
        <item m="1" x="1276"/>
        <item m="1" x="1277"/>
        <item m="1" x="1278"/>
        <item m="1" x="1279"/>
        <item m="1" x="1280"/>
        <item m="1" x="1281"/>
        <item m="1" x="1282"/>
        <item m="1" x="1283"/>
        <item m="1" x="593"/>
        <item m="1" x="594"/>
        <item m="1" x="595"/>
        <item m="1" x="596"/>
        <item m="1" x="984"/>
        <item m="1" x="985"/>
        <item m="1" x="986"/>
        <item m="1" x="987"/>
        <item m="1" x="988"/>
        <item m="1" x="989"/>
        <item m="1" x="990"/>
        <item m="1" x="991"/>
        <item m="1" x="992"/>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1284"/>
        <item m="1" x="1285"/>
        <item m="1" x="629"/>
        <item m="1" x="630"/>
        <item m="1" x="631"/>
        <item m="1" x="632"/>
        <item m="1" x="1286"/>
        <item m="1" x="1287"/>
        <item m="1" x="1288"/>
        <item m="1" x="633"/>
        <item m="1" x="634"/>
        <item m="1" x="635"/>
        <item m="1" x="636"/>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1289"/>
        <item m="1" x="1290"/>
        <item m="1" x="1291"/>
        <item m="1" x="1292"/>
        <item m="1" x="1293"/>
        <item m="1" x="1294"/>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717"/>
        <item m="1" x="1322"/>
        <item m="1" x="1323"/>
        <item m="1" x="1324"/>
        <item m="1" x="1325"/>
        <item m="1" x="1326"/>
        <item m="1" x="1327"/>
        <item m="1" x="1328"/>
        <item m="1" x="1329"/>
        <item m="1" x="1330"/>
        <item m="1" x="1331"/>
        <item m="1" x="1332"/>
        <item m="1" x="718"/>
        <item m="1" x="719"/>
        <item m="1" x="724"/>
        <item m="1" x="725"/>
        <item m="1" x="726"/>
        <item m="1" x="727"/>
        <item m="1" x="728"/>
        <item m="1" x="729"/>
        <item m="1" x="730"/>
        <item m="1" x="737"/>
        <item m="1" x="738"/>
        <item m="1" x="739"/>
        <item m="1" x="740"/>
        <item m="1" x="741"/>
        <item m="1" x="748"/>
        <item m="1" x="749"/>
        <item m="1" x="750"/>
        <item m="1" x="1333"/>
        <item m="1" x="1334"/>
        <item m="1" x="1335"/>
        <item m="1" x="1336"/>
        <item m="1" x="1337"/>
        <item m="1" x="1338"/>
        <item m="1" x="1339"/>
        <item m="1" x="1340"/>
        <item m="1" x="1341"/>
        <item m="1" x="1342"/>
        <item m="1" x="1343"/>
        <item m="1" x="1344"/>
        <item m="1" x="1345"/>
        <item m="1" x="753"/>
        <item m="1" x="757"/>
        <item m="1" x="758"/>
        <item m="1" x="759"/>
        <item m="1" x="873"/>
        <item m="1" x="874"/>
        <item m="1" x="875"/>
        <item m="1" x="877"/>
        <item m="1" x="878"/>
        <item m="1" x="879"/>
        <item m="1" x="880"/>
        <item m="1" x="886"/>
        <item m="1" x="887"/>
        <item m="1" x="888"/>
        <item m="1" x="889"/>
        <item m="1" x="890"/>
        <item m="1" x="1346"/>
        <item m="1" x="1347"/>
        <item m="1" x="1348"/>
        <item m="1" x="1349"/>
        <item m="1" x="1374"/>
        <item m="1" x="1375"/>
        <item m="1" x="1376"/>
        <item m="1" x="1377"/>
        <item m="1" x="1378"/>
        <item m="1" x="1379"/>
        <item m="1" x="1380"/>
        <item m="1" x="1381"/>
        <item m="1" x="1382"/>
        <item m="1" x="1002"/>
        <item m="1" x="1003"/>
        <item m="1" x="1004"/>
        <item m="1" x="1005"/>
        <item m="1" x="1006"/>
        <item m="1" x="1057"/>
        <item m="1" x="1058"/>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1007"/>
        <item m="1" x="1008"/>
        <item m="1" x="1092"/>
        <item m="1" x="956"/>
        <item m="1" x="957"/>
        <item m="1" x="958"/>
        <item m="1" x="1155"/>
        <item m="1" x="1163"/>
        <item m="1" x="1067"/>
        <item m="1" x="1068"/>
        <item m="1" x="1069"/>
        <item m="1" x="4"/>
        <item m="1" x="5"/>
        <item m="1" x="6"/>
        <item m="1" x="7"/>
        <item m="1" x="8"/>
        <item m="1" x="9"/>
        <item m="1" x="12"/>
        <item m="1" x="14"/>
        <item m="1" x="15"/>
        <item m="1" x="1011"/>
        <item m="1" x="1012"/>
        <item m="1" x="39"/>
        <item m="1" x="40"/>
        <item m="1" x="41"/>
        <item m="1" x="1019"/>
        <item m="1" x="1020"/>
        <item m="1" x="1059"/>
        <item m="1" x="1060"/>
        <item m="1" x="1061"/>
        <item m="1" x="53"/>
        <item m="1" x="54"/>
        <item m="1" x="55"/>
        <item m="1" x="57"/>
        <item m="1" x="59"/>
        <item m="1" x="60"/>
        <item m="1" x="61"/>
        <item m="1" x="62"/>
        <item m="1" x="63"/>
        <item m="1" x="72"/>
        <item m="1" x="73"/>
        <item m="1" x="76"/>
        <item m="1" x="77"/>
        <item m="1" x="78"/>
        <item m="1" x="965"/>
        <item m="1" x="966"/>
        <item m="1" x="967"/>
        <item m="1" x="1062"/>
        <item m="1" x="1063"/>
        <item m="1" x="1064"/>
        <item m="1" x="968"/>
        <item m="1" x="969"/>
        <item m="1" x="970"/>
        <item m="1" x="971"/>
        <item m="1" x="100"/>
        <item m="1" x="101"/>
        <item m="1" x="102"/>
        <item m="1" x="939"/>
        <item m="1" x="940"/>
        <item m="1" x="104"/>
        <item m="1" x="105"/>
        <item m="1" x="106"/>
        <item m="1" x="107"/>
        <item m="1" x="108"/>
        <item m="1" x="109"/>
        <item m="1" x="110"/>
        <item m="1" x="975"/>
        <item m="1" x="976"/>
        <item m="1" x="113"/>
        <item m="1" x="114"/>
        <item m="1" x="133"/>
        <item m="1" x="135"/>
        <item m="1" x="136"/>
        <item m="1" x="137"/>
        <item m="1" x="1065"/>
        <item m="1" x="1066"/>
        <item m="1" x="1070"/>
        <item m="1" x="210"/>
        <item m="1" x="212"/>
        <item m="1" x="213"/>
        <item m="1" x="234"/>
        <item m="1" x="235"/>
        <item m="1" x="236"/>
        <item m="1" x="980"/>
        <item m="1" x="981"/>
        <item m="1" x="982"/>
        <item m="1" x="983"/>
        <item m="1" x="369"/>
        <item m="1" x="370"/>
        <item m="1" x="371"/>
        <item m="1" x="372"/>
        <item m="1" x="373"/>
        <item m="1" x="374"/>
        <item m="1" x="375"/>
        <item m="1" x="376"/>
        <item m="1" x="377"/>
        <item m="1" x="382"/>
        <item m="1" x="383"/>
        <item m="1" x="384"/>
        <item m="1" x="385"/>
        <item m="1" x="386"/>
        <item m="1" x="387"/>
        <item m="1" x="388"/>
        <item m="1" x="389"/>
        <item m="1" x="390"/>
        <item m="1" x="391"/>
        <item m="1" x="399"/>
        <item m="1" x="400"/>
        <item m="1" x="401"/>
        <item m="1" x="402"/>
        <item m="1" x="409"/>
        <item m="1" x="410"/>
        <item m="1" x="411"/>
        <item m="1" x="412"/>
        <item m="1" x="413"/>
        <item m="1" x="414"/>
        <item m="1" x="439"/>
        <item m="1" x="440"/>
        <item m="1" x="441"/>
        <item m="1" x="442"/>
        <item m="1" x="443"/>
        <item m="1" x="511"/>
        <item m="1" x="512"/>
        <item m="1" x="513"/>
        <item m="1" x="514"/>
        <item m="1" x="515"/>
        <item m="1" x="516"/>
        <item m="1" x="547"/>
        <item m="1" x="548"/>
        <item m="1" x="549"/>
        <item m="1" x="550"/>
        <item m="1" x="637"/>
        <item m="1" x="638"/>
        <item m="1" x="639"/>
        <item m="1" x="640"/>
        <item m="1" x="641"/>
        <item m="1" x="642"/>
        <item m="1" x="643"/>
        <item m="1" x="720"/>
        <item m="1" x="721"/>
        <item m="1" x="722"/>
        <item m="1" x="723"/>
        <item m="1" x="731"/>
        <item m="1" x="732"/>
        <item m="1" x="733"/>
        <item m="1" x="734"/>
        <item m="1" x="735"/>
        <item m="1" x="736"/>
        <item m="1" x="742"/>
        <item m="1" x="743"/>
        <item m="1" x="744"/>
        <item m="1" x="745"/>
        <item m="1" x="746"/>
        <item m="1" x="747"/>
        <item m="1" x="754"/>
        <item m="1" x="755"/>
        <item m="1" x="756"/>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8"/>
        <item m="1" x="789"/>
        <item m="1" x="792"/>
        <item m="1" x="793"/>
        <item m="1" x="794"/>
        <item m="1" x="795"/>
        <item m="1" x="796"/>
        <item m="1" x="797"/>
        <item m="1" x="798"/>
        <item m="1" x="799"/>
        <item m="1" x="800"/>
        <item m="1" x="801"/>
        <item m="1" x="802"/>
        <item m="1" x="803"/>
        <item m="1" x="804"/>
        <item m="1" x="805"/>
        <item m="1" x="809"/>
        <item m="1" x="810"/>
        <item m="1" x="811"/>
        <item m="1" x="812"/>
        <item m="1" x="813"/>
        <item m="1" x="814"/>
        <item m="1" x="815"/>
        <item m="1" x="816"/>
        <item m="1" x="819"/>
        <item m="1" x="820"/>
        <item m="1" x="821"/>
        <item m="1" x="822"/>
        <item m="1" x="823"/>
        <item m="1" x="824"/>
        <item m="1" x="825"/>
        <item m="1" x="826"/>
        <item m="1" x="827"/>
        <item m="1" x="828"/>
        <item m="1" x="831"/>
        <item m="1" x="832"/>
        <item m="1" x="833"/>
        <item m="1" x="834"/>
        <item m="1" x="835"/>
        <item m="1" x="836"/>
        <item m="1" x="837"/>
        <item m="1" x="838"/>
        <item m="1" x="839"/>
        <item m="1" x="842"/>
        <item m="1" x="843"/>
        <item m="1" x="844"/>
        <item m="1" x="845"/>
        <item m="1" x="846"/>
        <item m="1" x="847"/>
        <item m="1" x="848"/>
        <item m="1" x="849"/>
        <item m="1" x="850"/>
        <item m="1" x="851"/>
        <item m="1" x="852"/>
        <item m="1" x="853"/>
        <item m="1" x="856"/>
        <item m="1" x="857"/>
        <item m="1" x="858"/>
        <item m="1" x="859"/>
        <item m="1" x="860"/>
        <item m="1" x="861"/>
        <item m="1" x="862"/>
        <item m="1" x="863"/>
        <item m="1" x="864"/>
        <item m="1" x="865"/>
        <item m="1" x="866"/>
        <item m="1" x="867"/>
        <item m="1" x="868"/>
        <item m="1" x="869"/>
        <item m="1" x="870"/>
        <item m="1" x="876"/>
        <item m="1" x="993"/>
        <item m="1" x="994"/>
        <item m="1" x="995"/>
        <item m="1" x="908"/>
        <item m="1" x="909"/>
        <item m="1" x="910"/>
        <item m="1" x="1000"/>
        <item m="1" x="1001"/>
        <item m="1" x="950"/>
        <item m="1" x="951"/>
        <item m="1" x="16"/>
        <item m="1" x="17"/>
        <item m="1" x="18"/>
        <item m="1" x="19"/>
        <item m="1" x="20"/>
        <item m="1" x="21"/>
        <item m="1" x="959"/>
        <item m="1" x="960"/>
        <item m="1" x="961"/>
        <item m="1" x="42"/>
        <item m="1" x="43"/>
        <item m="1" x="44"/>
        <item m="1" x="1027"/>
        <item m="1" x="1028"/>
        <item m="1" x="1029"/>
        <item m="1" x="79"/>
        <item m="1" x="1034"/>
        <item m="1" x="1035"/>
        <item m="1" x="1036"/>
        <item m="1" x="1037"/>
        <item m="1" x="1038"/>
        <item m="1" x="1039"/>
        <item m="1" x="1040"/>
        <item m="1" x="1041"/>
        <item m="1" x="1042"/>
        <item m="1" x="1043"/>
        <item m="1" x="1044"/>
        <item m="1" x="1045"/>
        <item m="1" x="87"/>
        <item m="1" x="88"/>
        <item m="1" x="89"/>
        <item m="1" x="103"/>
        <item m="1" x="134"/>
        <item m="1" x="144"/>
        <item m="1" x="977"/>
        <item m="1" x="978"/>
        <item m="1" x="979"/>
        <item m="1" x="583"/>
        <item m="1" x="584"/>
        <item m="1" x="585"/>
        <item m="1" x="883"/>
        <item m="1" x="884"/>
        <item m="1" x="885"/>
        <item m="1" x="996"/>
        <item m="1" x="997"/>
        <item m="1" x="998"/>
        <item m="1" x="999"/>
        <item m="1" x="13"/>
        <item m="1" x="1009"/>
        <item m="1" x="1010"/>
        <item m="1" x="37"/>
        <item m="1" x="38"/>
        <item m="1" x="972"/>
        <item m="1" x="973"/>
        <item m="1" x="974"/>
        <item m="1" x="211"/>
        <item m="1" x="215"/>
        <item m="1" x="216"/>
        <item m="1" x="230"/>
        <item m="1" x="231"/>
        <item m="1" x="232"/>
        <item m="1" x="233"/>
        <item m="1" x="237"/>
        <item m="1" x="238"/>
        <item m="1" x="242"/>
        <item m="1" x="243"/>
        <item m="1" x="244"/>
        <item m="1" x="245"/>
        <item m="1" x="246"/>
        <item m="1" x="247"/>
        <item m="1" x="269"/>
        <item m="1" x="270"/>
        <item m="1" x="751"/>
        <item m="1" x="752"/>
        <item m="1" x="786"/>
        <item m="1" x="787"/>
        <item m="1" x="790"/>
        <item m="1" x="791"/>
        <item m="1" x="806"/>
        <item m="1" x="807"/>
        <item m="1" x="808"/>
        <item m="1" x="817"/>
        <item m="1" x="818"/>
        <item m="1" x="829"/>
        <item m="1" x="830"/>
        <item m="1" x="840"/>
        <item m="1" x="841"/>
        <item m="1" x="854"/>
        <item m="1" x="855"/>
        <item m="1" x="22"/>
        <item m="1" x="48"/>
        <item m="1" x="49"/>
        <item m="1" x="34"/>
        <item m="1" x="45"/>
        <item m="1" x="46"/>
        <item m="1" x="47"/>
        <item m="1" x="81"/>
        <item m="1" x="82"/>
        <item m="1" x="83"/>
        <item m="1" x="84"/>
        <item m="1" x="85"/>
        <item m="1" x="86"/>
        <item m="1" x="90"/>
        <item m="1" x="91"/>
        <item m="1" x="92"/>
        <item m="1" x="93"/>
        <item m="1" x="94"/>
        <item m="1" x="95"/>
        <item m="1" x="117"/>
        <item m="1" x="118"/>
        <item m="1" x="119"/>
        <item m="1" x="120"/>
        <item m="1" x="146"/>
        <item m="1" x="147"/>
        <item m="1" x="148"/>
        <item m="1" x="149"/>
        <item m="1" x="150"/>
        <item m="1" x="151"/>
        <item m="1" x="152"/>
        <item m="1" x="158"/>
        <item m="1" x="159"/>
        <item m="1" x="184"/>
        <item m="1" x="185"/>
        <item m="1" x="214"/>
        <item m="1" x="357"/>
        <item m="1" x="358"/>
        <item m="1" x="359"/>
        <item m="1" x="360"/>
        <item m="1" x="361"/>
        <item m="1" x="362"/>
        <item m="1" x="363"/>
        <item m="1" x="378"/>
        <item m="1" x="379"/>
        <item m="1" x="380"/>
        <item m="1" x="381"/>
        <item m="1" x="392"/>
        <item m="1" x="393"/>
        <item m="1" x="394"/>
        <item m="1" x="395"/>
        <item m="1" x="396"/>
        <item m="1" x="397"/>
        <item m="1" x="398"/>
        <item m="1" x="871"/>
        <item m="1" x="872"/>
        <item m="1" x="881"/>
        <item m="1" x="882"/>
        <item m="1" x="891"/>
        <item m="1" x="892"/>
        <item m="1" x="893"/>
        <item m="1" x="894"/>
        <item m="1" x="895"/>
        <item m="1" x="896"/>
        <item m="1" x="897"/>
        <item m="1" x="898"/>
        <item m="1" x="899"/>
        <item m="1" x="900"/>
        <item m="1" x="901"/>
        <item m="1" x="902"/>
        <item m="1" x="903"/>
        <item m="1" x="904"/>
        <item m="1" x="905"/>
        <item m="1" x="906"/>
        <item m="1" x="907"/>
        <item m="1" x="937"/>
        <item m="1" x="938"/>
        <item m="1" x="98"/>
        <item m="1" x="99"/>
        <item t="default"/>
      </items>
    </pivotField>
    <pivotField compact="0" outline="0" showAll="0"/>
    <pivotField dataField="1" compact="0" numFmtId="164" outline="0" showAll="0"/>
    <pivotField compact="0" outline="0" showAll="0"/>
    <pivotField compact="0" outline="0" showAll="0"/>
    <pivotField compact="0" outline="0" showAll="0"/>
    <pivotField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1"/>
        <item sd="0" x="2"/>
        <item sd="0" x="3"/>
        <item sd="0" x="4"/>
        <item x="0"/>
        <item x="5"/>
      </items>
    </pivotField>
    <pivotField compact="0" outline="0" showAll="0" defaultSubtotal="0">
      <items count="8">
        <item sd="0" x="1"/>
        <item sd="0" x="2"/>
        <item sd="0" x="3"/>
        <item x="4"/>
        <item x="5"/>
        <item x="6"/>
        <item x="0"/>
        <item x="7"/>
      </items>
    </pivotField>
    <pivotField compact="0" outline="0" dragToRow="0" dragToCol="0" dragToPage="0" showAll="0" defaultSubtota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1"/>
        <item sd="0" x="2"/>
        <item sd="0" x="3"/>
        <item sd="0" x="4"/>
        <item x="0"/>
        <item x="5"/>
        <item t="default"/>
      </items>
    </pivotField>
    <pivotField compact="0" outline="0" showAll="0">
      <items count="4">
        <item sd="0" x="1"/>
        <item x="0"/>
        <item x="2"/>
        <item t="default"/>
      </items>
    </pivotField>
  </pivotFields>
  <rowFields count="7">
    <field x="1"/>
    <field x="0"/>
    <field x="12"/>
    <field x="4"/>
    <field x="5"/>
    <field x="13"/>
    <field x="14"/>
  </rowFields>
  <rowItems count="17">
    <i>
      <x v="2"/>
      <x v="50"/>
      <x v="1"/>
      <x v="16"/>
      <x v="1"/>
      <x v="42"/>
      <x/>
    </i>
    <i>
      <x v="3"/>
      <x v="34"/>
      <x v="1"/>
      <x v="1"/>
      <x v="2"/>
      <x v="19"/>
      <x v="48"/>
    </i>
    <i r="1">
      <x v="66"/>
      <x v="1"/>
      <x v="6"/>
      <x v="1"/>
      <x v="19"/>
      <x v="62"/>
    </i>
    <i>
      <x v="4"/>
      <x v="33"/>
      <x/>
      <x v="2"/>
      <x v="1"/>
      <x v="49"/>
      <x v="45"/>
    </i>
    <i r="1">
      <x v="90"/>
      <x v="1"/>
      <x v="2"/>
      <x v="1"/>
      <x v="49"/>
      <x v="66"/>
    </i>
    <i>
      <x v="5"/>
      <x v="29"/>
      <x v="6"/>
      <x v="9"/>
      <x v="3"/>
      <x v="7"/>
      <x v="7"/>
    </i>
    <i r="1">
      <x v="57"/>
      <x v="1"/>
      <x v="9"/>
      <x/>
      <x v="7"/>
      <x v="7"/>
    </i>
    <i r="1">
      <x v="60"/>
      <x v="1"/>
      <x v="9"/>
      <x v="1"/>
      <x v="11"/>
      <x v="32"/>
    </i>
    <i r="1">
      <x v="61"/>
      <x v="1"/>
      <x v="2"/>
      <x/>
      <x v="50"/>
      <x v="7"/>
    </i>
    <i r="1">
      <x v="62"/>
      <x v="1"/>
      <x v="9"/>
      <x/>
      <x v="18"/>
      <x v="6"/>
    </i>
    <i r="1">
      <x v="63"/>
      <x v="1"/>
      <x v="2"/>
      <x/>
      <x v="7"/>
      <x v="7"/>
    </i>
    <i r="1">
      <x v="64"/>
      <x v="1"/>
      <x v="2"/>
      <x/>
      <x v="7"/>
      <x v="7"/>
    </i>
    <i r="1">
      <x v="88"/>
      <x v="1"/>
      <x v="2"/>
      <x/>
      <x v="7"/>
      <x v="7"/>
    </i>
    <i r="1">
      <x v="89"/>
      <x v="1"/>
      <x v="2"/>
      <x/>
      <x v="7"/>
      <x v="7"/>
    </i>
    <i r="1">
      <x v="91"/>
      <x v="1"/>
      <x v="2"/>
      <x/>
      <x v="7"/>
      <x v="7"/>
    </i>
    <i r="1">
      <x v="92"/>
      <x v="1"/>
      <x v="2"/>
      <x/>
      <x v="7"/>
      <x v="7"/>
    </i>
    <i t="grand">
      <x/>
    </i>
  </rowItems>
  <colFields count="1">
    <field x="-2"/>
  </colFields>
  <colItems count="2">
    <i>
      <x/>
    </i>
    <i i="1">
      <x v="1"/>
    </i>
  </colItems>
  <pageFields count="2">
    <pageField fld="21" item="0" hier="-1"/>
    <pageField fld="6" item="0" hier="-1"/>
  </pageFields>
  <dataFields count="2">
    <dataField name="Revenue" fld="3" baseField="5" baseItem="3" numFmtId="42"/>
    <dataField name="GM Contribution" fld="23" baseField="15" baseItem="1" numFmtId="164"/>
  </dataFields>
  <formats count="11">
    <format dxfId="1142">
      <pivotArea outline="0" fieldPosition="0">
        <references count="1">
          <reference field="4294967294" count="1">
            <x v="0"/>
          </reference>
        </references>
      </pivotArea>
    </format>
    <format dxfId="1141">
      <pivotArea dataOnly="0" labelOnly="1" outline="0" fieldPosition="0">
        <references count="1">
          <reference field="4" count="0"/>
        </references>
      </pivotArea>
    </format>
    <format dxfId="1140">
      <pivotArea dataOnly="0" labelOnly="1" outline="0" fieldPosition="0">
        <references count="1">
          <reference field="4" count="0"/>
        </references>
      </pivotArea>
    </format>
    <format dxfId="1139">
      <pivotArea dataOnly="0" labelOnly="1" outline="0" fieldPosition="0">
        <references count="1">
          <reference field="5" count="0"/>
        </references>
      </pivotArea>
    </format>
    <format dxfId="1138">
      <pivotArea field="4" type="button" dataOnly="0" labelOnly="1" outline="0" axis="axisRow" fieldPosition="3"/>
    </format>
    <format dxfId="1137">
      <pivotArea field="5" type="button" dataOnly="0" labelOnly="1" outline="0" axis="axisRow" fieldPosition="4"/>
    </format>
    <format dxfId="1136">
      <pivotArea field="13" type="button" dataOnly="0" labelOnly="1" outline="0" axis="axisRow" fieldPosition="5"/>
    </format>
    <format dxfId="1135">
      <pivotArea field="14" type="button" dataOnly="0" labelOnly="1" outline="0" axis="axisRow" fieldPosition="6"/>
    </format>
    <format dxfId="1134">
      <pivotArea dataOnly="0" labelOnly="1" outline="0" fieldPosition="0">
        <references count="1">
          <reference field="13" count="0"/>
        </references>
      </pivotArea>
    </format>
    <format dxfId="1133">
      <pivotArea dataOnly="0" labelOnly="1" outline="0" fieldPosition="0">
        <references count="1">
          <reference field="14" count="0"/>
        </references>
      </pivotArea>
    </format>
    <format dxfId="1132">
      <pivotArea dataOnly="0" labelOnly="1" outline="0" fieldPosition="0">
        <references count="1">
          <reference field="4294967294" count="1">
            <x v="0"/>
          </reference>
        </references>
      </pivotArea>
    </format>
  </formats>
  <pivotTableStyleInfo name="PivotStyleMedium15" showRowHeaders="0"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0C5F46-F0E6-40BB-AE30-3E6A5889E6CA}" name="PivotTable6" cacheId="15" applyNumberFormats="0" applyBorderFormats="0" applyFontFormats="0" applyPatternFormats="0" applyAlignmentFormats="0" applyWidthHeightFormats="1" dataCaption="Values" showMissing="0" updatedVersion="8" minRefreshableVersion="3" itemPrintTitles="1" createdVersion="8" indent="0" compact="0" compactData="0" multipleFieldFilters="0">
  <location ref="J53:R63" firstHeaderRow="0" firstDataRow="1" firstDataCol="7" rowPageCount="2" colPageCount="1"/>
  <pivotFields count="36">
    <pivotField axis="axisRow" compact="0" outline="0" showAll="0" defaultSubtotal="0">
      <items count="96">
        <item x="0"/>
        <item x="1"/>
        <item x="4"/>
        <item x="9"/>
        <item x="10"/>
        <item x="29"/>
        <item x="31"/>
        <item x="35"/>
        <item x="42"/>
        <item x="45"/>
        <item x="47"/>
        <item x="49"/>
        <item x="54"/>
        <item x="56"/>
        <item x="59"/>
        <item x="60"/>
        <item x="62"/>
        <item x="63"/>
        <item x="27"/>
        <item x="58"/>
        <item x="50"/>
        <item x="82"/>
        <item x="83"/>
        <item x="46"/>
        <item x="65"/>
        <item x="66"/>
        <item x="67"/>
        <item x="68"/>
        <item x="69"/>
        <item x="72"/>
        <item x="73"/>
        <item x="74"/>
        <item x="75"/>
        <item x="25"/>
        <item x="24"/>
        <item x="52"/>
        <item x="70"/>
        <item x="79"/>
        <item x="28"/>
        <item x="76"/>
        <item m="1" x="93"/>
        <item m="1" x="94"/>
        <item m="1" x="95"/>
        <item x="2"/>
        <item x="3"/>
        <item x="7"/>
        <item x="26"/>
        <item x="30"/>
        <item x="37"/>
        <item x="38"/>
        <item x="41"/>
        <item x="48"/>
        <item x="71"/>
        <item x="77"/>
        <item x="90"/>
        <item x="91"/>
        <item x="8"/>
        <item x="15"/>
        <item x="33"/>
        <item x="81"/>
        <item x="12"/>
        <item x="17"/>
        <item x="18"/>
        <item x="19"/>
        <item x="20"/>
        <item x="11"/>
        <item x="16"/>
        <item x="34"/>
        <item x="43"/>
        <item x="44"/>
        <item x="53"/>
        <item x="64"/>
        <item x="78"/>
        <item x="80"/>
        <item x="84"/>
        <item x="85"/>
        <item x="87"/>
        <item x="88"/>
        <item x="89"/>
        <item x="32"/>
        <item x="51"/>
        <item x="55"/>
        <item x="57"/>
        <item x="86"/>
        <item x="92"/>
        <item x="36"/>
        <item x="5"/>
        <item x="6"/>
        <item x="13"/>
        <item x="14"/>
        <item x="21"/>
        <item x="22"/>
        <item x="23"/>
        <item x="39"/>
        <item x="40"/>
        <item x="61"/>
      </items>
    </pivotField>
    <pivotField axis="axisRow" compact="0" outline="0" showAll="0" sortType="descending" defaultSubtotal="0">
      <items count="14">
        <item h="1" x="5"/>
        <item h="1" m="1" x="10"/>
        <item h="1" m="1" x="8"/>
        <item h="1" m="1" x="7"/>
        <item h="1" m="1" x="12"/>
        <item h="1" x="4"/>
        <item h="1" m="1" x="9"/>
        <item h="1" m="1" x="11"/>
        <item h="1" m="1" x="6"/>
        <item h="1" m="1" x="13"/>
        <item x="3"/>
        <item x="1"/>
        <item x="2"/>
        <item x="0"/>
      </items>
    </pivotField>
    <pivotField compact="0" outline="0" showAll="0"/>
    <pivotField dataField="1" compact="0" outline="0" showAll="0"/>
    <pivotField axis="axisRow" compact="0" outline="0" showAll="0" defaultSubtotal="0">
      <items count="46">
        <item x="8"/>
        <item x="7"/>
        <item x="6"/>
        <item x="1"/>
        <item x="17"/>
        <item x="5"/>
        <item x="4"/>
        <item x="11"/>
        <item x="21"/>
        <item x="0"/>
        <item m="1" x="28"/>
        <item m="1" x="40"/>
        <item x="20"/>
        <item m="1" x="34"/>
        <item x="9"/>
        <item m="1" x="38"/>
        <item x="14"/>
        <item m="1" x="35"/>
        <item m="1" x="37"/>
        <item x="19"/>
        <item m="1" x="36"/>
        <item m="1" x="39"/>
        <item x="16"/>
        <item m="1" x="45"/>
        <item m="1" x="33"/>
        <item x="24"/>
        <item m="1" x="41"/>
        <item m="1" x="42"/>
        <item m="1" x="43"/>
        <item m="1" x="44"/>
        <item m="1" x="27"/>
        <item x="2"/>
        <item m="1" x="31"/>
        <item x="10"/>
        <item m="1" x="30"/>
        <item x="13"/>
        <item m="1" x="29"/>
        <item m="1" x="32"/>
        <item x="23"/>
        <item x="3"/>
        <item m="1" x="26"/>
        <item x="18"/>
        <item x="12"/>
        <item x="15"/>
        <item m="1" x="25"/>
        <item x="22"/>
      </items>
    </pivotField>
    <pivotField axis="axisRow" compact="0" outline="0" showAll="0" defaultSubtotal="0">
      <items count="4">
        <item x="2"/>
        <item x="3"/>
        <item x="0"/>
        <item x="1"/>
      </items>
    </pivotField>
    <pivotField axis="axisPage" compact="0" outline="0" showAll="0">
      <items count="16">
        <item x="3"/>
        <item x="0"/>
        <item x="6"/>
        <item x="5"/>
        <item x="2"/>
        <item x="4"/>
        <item x="1"/>
        <item m="1" x="8"/>
        <item m="1" x="13"/>
        <item m="1" x="14"/>
        <item m="1" x="10"/>
        <item m="1" x="11"/>
        <item m="1" x="9"/>
        <item m="1" x="12"/>
        <item m="1" x="7"/>
        <item t="default"/>
      </items>
    </pivotField>
    <pivotField compact="0" outline="0" showAll="0"/>
    <pivotField compact="0" outline="0" showAll="0"/>
    <pivotField compact="0" outline="0" showAll="0"/>
    <pivotField compact="0" outline="0" showAll="0"/>
    <pivotField compact="0" outline="0" showAll="0"/>
    <pivotField axis="axisRow" compact="0" outline="0" showAll="0" defaultSubtotal="0">
      <items count="10">
        <item x="4"/>
        <item x="0"/>
        <item x="3"/>
        <item h="1" x="5"/>
        <item x="1"/>
        <item h="1" x="2"/>
        <item h="1" x="6"/>
        <item h="1" m="1" x="7"/>
        <item h="1" m="1" x="9"/>
        <item h="1" m="1" x="8"/>
      </items>
    </pivotField>
    <pivotField axis="axisRow" compact="0" outline="0" showAll="0" defaultSubtotal="0">
      <items count="58">
        <item m="1" x="50"/>
        <item m="1" x="37"/>
        <item m="1" x="31"/>
        <item x="21"/>
        <item x="16"/>
        <item x="19"/>
        <item x="2"/>
        <item x="0"/>
        <item m="1" x="57"/>
        <item m="1" x="25"/>
        <item m="1" x="38"/>
        <item x="1"/>
        <item x="13"/>
        <item x="18"/>
        <item m="1" x="45"/>
        <item m="1" x="24"/>
        <item m="1" x="56"/>
        <item m="1" x="54"/>
        <item x="7"/>
        <item x="5"/>
        <item m="1" x="46"/>
        <item m="1" x="41"/>
        <item m="1" x="51"/>
        <item m="1" x="47"/>
        <item m="1" x="49"/>
        <item m="1" x="44"/>
        <item m="1" x="30"/>
        <item m="1" x="52"/>
        <item m="1" x="53"/>
        <item m="1" x="55"/>
        <item m="1" x="26"/>
        <item m="1" x="27"/>
        <item m="1" x="28"/>
        <item m="1" x="29"/>
        <item m="1" x="32"/>
        <item m="1" x="33"/>
        <item m="1" x="36"/>
        <item m="1" x="39"/>
        <item m="1" x="35"/>
        <item m="1" x="48"/>
        <item m="1" x="43"/>
        <item x="9"/>
        <item x="3"/>
        <item x="12"/>
        <item x="11"/>
        <item m="1" x="42"/>
        <item x="14"/>
        <item x="15"/>
        <item m="1" x="34"/>
        <item x="8"/>
        <item x="6"/>
        <item m="1" x="40"/>
        <item x="23"/>
        <item x="4"/>
        <item x="17"/>
        <item x="10"/>
        <item x="20"/>
        <item x="22"/>
      </items>
    </pivotField>
    <pivotField axis="axisRow" compact="0" outline="0" showAll="0">
      <items count="68">
        <item x="11"/>
        <item x="24"/>
        <item m="1" x="40"/>
        <item m="1" x="56"/>
        <item x="1"/>
        <item m="1" x="32"/>
        <item x="2"/>
        <item x="0"/>
        <item m="1" x="58"/>
        <item x="23"/>
        <item x="22"/>
        <item m="1" x="55"/>
        <item m="1" x="33"/>
        <item m="1" x="36"/>
        <item m="1" x="38"/>
        <item x="13"/>
        <item m="1" x="48"/>
        <item m="1" x="57"/>
        <item x="28"/>
        <item m="1" x="41"/>
        <item x="25"/>
        <item x="12"/>
        <item m="1" x="31"/>
        <item m="1" x="50"/>
        <item m="1" x="64"/>
        <item x="19"/>
        <item x="27"/>
        <item m="1" x="54"/>
        <item m="1" x="66"/>
        <item m="1" x="51"/>
        <item m="1" x="63"/>
        <item m="1" x="59"/>
        <item x="6"/>
        <item m="1" x="60"/>
        <item m="1" x="61"/>
        <item m="1" x="62"/>
        <item m="1" x="65"/>
        <item m="1" x="34"/>
        <item m="1" x="35"/>
        <item m="1" x="39"/>
        <item x="29"/>
        <item m="1" x="45"/>
        <item m="1" x="43"/>
        <item m="1" x="44"/>
        <item m="1" x="37"/>
        <item x="10"/>
        <item m="1" x="46"/>
        <item x="3"/>
        <item x="9"/>
        <item x="14"/>
        <item x="5"/>
        <item x="15"/>
        <item x="16"/>
        <item x="17"/>
        <item x="18"/>
        <item x="26"/>
        <item m="1" x="53"/>
        <item m="1" x="42"/>
        <item x="20"/>
        <item m="1" x="47"/>
        <item m="1" x="52"/>
        <item m="1" x="49"/>
        <item x="7"/>
        <item x="21"/>
        <item x="30"/>
        <item x="4"/>
        <item x="8"/>
        <item t="default"/>
      </items>
    </pivotField>
    <pivotField compact="0" outline="0" showAll="0"/>
    <pivotField compact="0" numFmtId="22" outline="0" showAll="0"/>
    <pivotField compact="0" outline="0" showAll="0"/>
    <pivotField compact="0" numFmtId="22" outline="0" showAll="0"/>
    <pivotField compact="0" outline="0" showAll="0"/>
    <pivotField compact="0" outline="0" showAll="0"/>
    <pivotField axis="axisPage" compact="0" outline="0" showAll="0">
      <items count="1384">
        <item x="0"/>
        <item m="1" x="1"/>
        <item m="1" x="1076"/>
        <item m="1" x="1077"/>
        <item m="1" x="1078"/>
        <item m="1" x="1079"/>
        <item m="1" x="1080"/>
        <item m="1" x="1081"/>
        <item m="1" x="1082"/>
        <item m="1" x="1083"/>
        <item m="1" x="1084"/>
        <item m="1" x="2"/>
        <item m="1" x="3"/>
        <item m="1" x="1085"/>
        <item m="1" x="1086"/>
        <item m="1" x="1087"/>
        <item m="1" x="1088"/>
        <item m="1" x="1350"/>
        <item m="1" x="1351"/>
        <item m="1" x="1352"/>
        <item m="1" x="1353"/>
        <item m="1" x="1354"/>
        <item m="1" x="1355"/>
        <item m="1" x="1356"/>
        <item m="1" x="1357"/>
        <item m="1" x="1358"/>
        <item m="1" x="1089"/>
        <item m="1" x="1090"/>
        <item m="1" x="1091"/>
        <item m="1" x="10"/>
        <item m="1" x="11"/>
        <item m="1" x="1093"/>
        <item m="1" x="1094"/>
        <item m="1" x="1095"/>
        <item m="1" x="941"/>
        <item m="1" x="942"/>
        <item m="1" x="943"/>
        <item m="1" x="944"/>
        <item m="1" x="945"/>
        <item m="1" x="946"/>
        <item m="1" x="947"/>
        <item m="1" x="948"/>
        <item m="1" x="949"/>
        <item m="1" x="952"/>
        <item m="1" x="953"/>
        <item m="1" x="954"/>
        <item m="1" x="955"/>
        <item m="1" x="1096"/>
        <item m="1" x="1097"/>
        <item m="1" x="1098"/>
        <item m="1" x="1099"/>
        <item m="1" x="1100"/>
        <item m="1" x="23"/>
        <item m="1" x="24"/>
        <item m="1" x="25"/>
        <item m="1" x="26"/>
        <item m="1" x="27"/>
        <item m="1" x="28"/>
        <item m="1" x="29"/>
        <item m="1" x="30"/>
        <item m="1" x="31"/>
        <item m="1" x="32"/>
        <item m="1" x="1101"/>
        <item m="1" x="1102"/>
        <item m="1" x="1103"/>
        <item m="1" x="1104"/>
        <item m="1" x="1105"/>
        <item m="1" x="33"/>
        <item m="1" x="35"/>
        <item m="1" x="36"/>
        <item m="1" x="1106"/>
        <item m="1" x="1107"/>
        <item m="1" x="1108"/>
        <item m="1" x="1109"/>
        <item m="1" x="1110"/>
        <item m="1" x="1111"/>
        <item m="1" x="1112"/>
        <item m="1" x="1113"/>
        <item m="1" x="1114"/>
        <item m="1" x="1115"/>
        <item m="1" x="1116"/>
        <item m="1" x="1013"/>
        <item m="1" x="1014"/>
        <item m="1" x="1015"/>
        <item m="1" x="1016"/>
        <item m="1" x="1017"/>
        <item m="1" x="1018"/>
        <item m="1" x="1021"/>
        <item m="1" x="1022"/>
        <item m="1" x="1359"/>
        <item m="1" x="1360"/>
        <item m="1" x="1361"/>
        <item m="1" x="1117"/>
        <item m="1" x="1118"/>
        <item m="1" x="1119"/>
        <item m="1" x="1120"/>
        <item m="1" x="1023"/>
        <item m="1" x="1024"/>
        <item m="1" x="1121"/>
        <item m="1" x="1122"/>
        <item m="1" x="1025"/>
        <item m="1" x="1026"/>
        <item m="1" x="50"/>
        <item m="1" x="51"/>
        <item m="1" x="52"/>
        <item m="1" x="56"/>
        <item m="1" x="58"/>
        <item m="1" x="64"/>
        <item m="1" x="65"/>
        <item m="1" x="66"/>
        <item m="1" x="67"/>
        <item m="1" x="68"/>
        <item m="1" x="1123"/>
        <item m="1" x="1124"/>
        <item m="1" x="1125"/>
        <item m="1" x="1126"/>
        <item m="1" x="1127"/>
        <item m="1" x="1128"/>
        <item m="1" x="69"/>
        <item m="1" x="70"/>
        <item m="1" x="71"/>
        <item m="1" x="74"/>
        <item m="1" x="75"/>
        <item m="1" x="1129"/>
        <item m="1" x="1130"/>
        <item m="1" x="1131"/>
        <item m="1" x="1132"/>
        <item m="1" x="1133"/>
        <item m="1" x="1030"/>
        <item m="1" x="1031"/>
        <item m="1" x="962"/>
        <item m="1" x="963"/>
        <item m="1" x="964"/>
        <item m="1" x="1134"/>
        <item m="1" x="1135"/>
        <item m="1" x="1136"/>
        <item m="1" x="1032"/>
        <item m="1" x="1033"/>
        <item m="1" x="80"/>
        <item m="1" x="96"/>
        <item m="1" x="97"/>
        <item m="1" x="1137"/>
        <item m="1" x="1138"/>
        <item m="1" x="1139"/>
        <item m="1" x="1140"/>
        <item m="1" x="1141"/>
        <item m="1" x="1142"/>
        <item m="1" x="1046"/>
        <item m="1" x="1047"/>
        <item m="1" x="1048"/>
        <item m="1" x="1143"/>
        <item m="1" x="1144"/>
        <item m="1" x="1145"/>
        <item m="1" x="1146"/>
        <item m="1" x="1147"/>
        <item m="1" x="1148"/>
        <item m="1" x="1149"/>
        <item m="1" x="1150"/>
        <item m="1" x="1151"/>
        <item m="1" x="1152"/>
        <item m="1" x="1153"/>
        <item m="1" x="1154"/>
        <item m="1" x="1362"/>
        <item m="1" x="1156"/>
        <item m="1" x="1157"/>
        <item m="1" x="1158"/>
        <item m="1" x="1159"/>
        <item m="1" x="1160"/>
        <item m="1" x="1161"/>
        <item m="1" x="1162"/>
        <item m="1" x="1363"/>
        <item m="1" x="111"/>
        <item m="1" x="112"/>
        <item m="1" x="115"/>
        <item m="1" x="116"/>
        <item m="1" x="1164"/>
        <item m="1" x="1165"/>
        <item m="1" x="1166"/>
        <item m="1" x="1167"/>
        <item m="1" x="1168"/>
        <item m="1" x="1169"/>
        <item m="1" x="1170"/>
        <item m="1" x="1171"/>
        <item m="1" x="1172"/>
        <item m="1" x="1049"/>
        <item m="1" x="1050"/>
        <item m="1" x="1051"/>
        <item m="1" x="1052"/>
        <item m="1" x="1173"/>
        <item m="1" x="1174"/>
        <item m="1" x="1175"/>
        <item m="1" x="1176"/>
        <item m="1" x="1053"/>
        <item m="1" x="1054"/>
        <item m="1" x="1364"/>
        <item m="1" x="1365"/>
        <item m="1" x="1366"/>
        <item m="1" x="1055"/>
        <item m="1" x="1056"/>
        <item m="1" x="121"/>
        <item m="1" x="122"/>
        <item m="1" x="123"/>
        <item m="1" x="124"/>
        <item m="1" x="1367"/>
        <item m="1" x="1368"/>
        <item m="1" x="1369"/>
        <item m="1" x="1370"/>
        <item m="1" x="1371"/>
        <item m="1" x="1372"/>
        <item m="1" x="1373"/>
        <item m="1" x="125"/>
        <item m="1" x="126"/>
        <item m="1" x="127"/>
        <item m="1" x="128"/>
        <item m="1" x="129"/>
        <item m="1" x="130"/>
        <item m="1" x="131"/>
        <item m="1" x="132"/>
        <item m="1" x="1177"/>
        <item m="1" x="1178"/>
        <item m="1" x="1179"/>
        <item m="1" x="1180"/>
        <item m="1" x="1181"/>
        <item m="1" x="1182"/>
        <item m="1" x="1183"/>
        <item m="1" x="1184"/>
        <item m="1" x="1185"/>
        <item m="1" x="1186"/>
        <item m="1" x="1187"/>
        <item m="1" x="138"/>
        <item m="1" x="139"/>
        <item m="1" x="140"/>
        <item m="1" x="141"/>
        <item m="1" x="142"/>
        <item m="1" x="143"/>
        <item m="1" x="145"/>
        <item m="1" x="153"/>
        <item m="1" x="154"/>
        <item m="1" x="155"/>
        <item m="1" x="156"/>
        <item m="1" x="157"/>
        <item m="1" x="1188"/>
        <item m="1" x="1189"/>
        <item m="1" x="1190"/>
        <item m="1" x="1191"/>
        <item m="1" x="1192"/>
        <item m="1" x="1193"/>
        <item m="1" x="1194"/>
        <item m="1" x="1195"/>
        <item m="1" x="1196"/>
        <item m="1" x="1197"/>
        <item m="1" x="1198"/>
        <item m="1" x="1199"/>
        <item m="1" x="1200"/>
        <item m="1" x="160"/>
        <item m="1" x="161"/>
        <item m="1" x="162"/>
        <item m="1" x="163"/>
        <item m="1" x="164"/>
        <item m="1" x="165"/>
        <item m="1" x="166"/>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67"/>
        <item m="1" x="168"/>
        <item m="1" x="169"/>
        <item m="1" x="170"/>
        <item m="1" x="171"/>
        <item m="1" x="172"/>
        <item m="1" x="173"/>
        <item m="1" x="174"/>
        <item m="1" x="175"/>
        <item m="1" x="176"/>
        <item m="1" x="177"/>
        <item m="1" x="178"/>
        <item m="1" x="179"/>
        <item m="1" x="180"/>
        <item m="1" x="181"/>
        <item m="1" x="182"/>
        <item m="1" x="183"/>
        <item m="1" x="186"/>
        <item m="1" x="187"/>
        <item m="1" x="1247"/>
        <item m="1" x="1248"/>
        <item m="1" x="1249"/>
        <item m="1" x="1250"/>
        <item m="1" x="1251"/>
        <item m="1" x="1252"/>
        <item m="1" x="188"/>
        <item m="1" x="189"/>
        <item m="1" x="190"/>
        <item m="1" x="191"/>
        <item m="1" x="192"/>
        <item m="1" x="193"/>
        <item m="1" x="1253"/>
        <item m="1" x="1254"/>
        <item m="1" x="1255"/>
        <item m="1" x="1256"/>
        <item m="1" x="194"/>
        <item m="1" x="195"/>
        <item m="1" x="196"/>
        <item m="1" x="197"/>
        <item m="1" x="198"/>
        <item m="1" x="199"/>
        <item m="1" x="200"/>
        <item m="1" x="201"/>
        <item m="1" x="202"/>
        <item m="1" x="203"/>
        <item m="1" x="204"/>
        <item m="1" x="205"/>
        <item m="1" x="206"/>
        <item m="1" x="207"/>
        <item m="1" x="208"/>
        <item m="1" x="209"/>
        <item m="1" x="1257"/>
        <item m="1" x="1258"/>
        <item m="1" x="1071"/>
        <item m="1" x="1072"/>
        <item m="1" x="1073"/>
        <item m="1" x="1074"/>
        <item m="1" x="1075"/>
        <item m="1" x="217"/>
        <item m="1" x="218"/>
        <item m="1" x="219"/>
        <item m="1" x="220"/>
        <item m="1" x="221"/>
        <item m="1" x="222"/>
        <item m="1" x="223"/>
        <item m="1" x="224"/>
        <item m="1" x="225"/>
        <item m="1" x="226"/>
        <item m="1" x="227"/>
        <item m="1" x="228"/>
        <item m="1" x="229"/>
        <item m="1" x="239"/>
        <item m="1" x="240"/>
        <item m="1" x="241"/>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71"/>
        <item m="1" x="272"/>
        <item m="1" x="273"/>
        <item m="1" x="274"/>
        <item m="1" x="275"/>
        <item m="1" x="27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64"/>
        <item m="1" x="365"/>
        <item m="1" x="366"/>
        <item m="1" x="367"/>
        <item m="1" x="368"/>
        <item m="1" x="403"/>
        <item m="1" x="404"/>
        <item m="1" x="405"/>
        <item m="1" x="406"/>
        <item m="1" x="407"/>
        <item m="1" x="408"/>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51"/>
        <item m="1" x="552"/>
        <item m="1" x="553"/>
        <item m="1" x="554"/>
        <item m="1" x="555"/>
        <item m="1" x="556"/>
        <item m="1" x="557"/>
        <item m="1" x="558"/>
        <item m="1" x="559"/>
        <item m="1" x="560"/>
        <item m="1" x="561"/>
        <item m="1" x="562"/>
        <item m="1" x="563"/>
        <item m="1" x="564"/>
        <item m="1" x="565"/>
        <item m="1" x="566"/>
        <item m="1" x="567"/>
        <item m="1" x="568"/>
        <item m="1" x="569"/>
        <item m="1" x="1259"/>
        <item m="1" x="1260"/>
        <item m="1" x="1261"/>
        <item m="1" x="1262"/>
        <item m="1" x="1263"/>
        <item m="1" x="1264"/>
        <item m="1" x="1265"/>
        <item m="1" x="1266"/>
        <item m="1" x="1267"/>
        <item m="1" x="570"/>
        <item m="1" x="571"/>
        <item m="1" x="572"/>
        <item m="1" x="573"/>
        <item m="1" x="574"/>
        <item m="1" x="575"/>
        <item m="1" x="576"/>
        <item m="1" x="577"/>
        <item m="1" x="578"/>
        <item m="1" x="579"/>
        <item m="1" x="580"/>
        <item m="1" x="581"/>
        <item m="1" x="582"/>
        <item m="1" x="586"/>
        <item m="1" x="587"/>
        <item m="1" x="588"/>
        <item m="1" x="589"/>
        <item m="1" x="590"/>
        <item m="1" x="591"/>
        <item m="1" x="592"/>
        <item m="1" x="1268"/>
        <item m="1" x="1269"/>
        <item m="1" x="1270"/>
        <item m="1" x="1271"/>
        <item m="1" x="1272"/>
        <item m="1" x="1273"/>
        <item m="1" x="1274"/>
        <item m="1" x="1275"/>
        <item m="1" x="1276"/>
        <item m="1" x="1277"/>
        <item m="1" x="1278"/>
        <item m="1" x="1279"/>
        <item m="1" x="1280"/>
        <item m="1" x="1281"/>
        <item m="1" x="1282"/>
        <item m="1" x="1283"/>
        <item m="1" x="593"/>
        <item m="1" x="594"/>
        <item m="1" x="595"/>
        <item m="1" x="596"/>
        <item m="1" x="984"/>
        <item m="1" x="985"/>
        <item m="1" x="986"/>
        <item m="1" x="987"/>
        <item m="1" x="988"/>
        <item m="1" x="989"/>
        <item m="1" x="990"/>
        <item m="1" x="991"/>
        <item m="1" x="992"/>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1284"/>
        <item m="1" x="1285"/>
        <item m="1" x="629"/>
        <item m="1" x="630"/>
        <item m="1" x="631"/>
        <item m="1" x="632"/>
        <item m="1" x="1286"/>
        <item m="1" x="1287"/>
        <item m="1" x="1288"/>
        <item m="1" x="633"/>
        <item m="1" x="634"/>
        <item m="1" x="635"/>
        <item m="1" x="636"/>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1289"/>
        <item m="1" x="1290"/>
        <item m="1" x="1291"/>
        <item m="1" x="1292"/>
        <item m="1" x="1293"/>
        <item m="1" x="1294"/>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717"/>
        <item m="1" x="1322"/>
        <item m="1" x="1323"/>
        <item m="1" x="1324"/>
        <item m="1" x="1325"/>
        <item m="1" x="1326"/>
        <item m="1" x="1327"/>
        <item m="1" x="1328"/>
        <item m="1" x="1329"/>
        <item m="1" x="1330"/>
        <item m="1" x="1331"/>
        <item m="1" x="1332"/>
        <item m="1" x="718"/>
        <item m="1" x="719"/>
        <item m="1" x="724"/>
        <item m="1" x="725"/>
        <item m="1" x="726"/>
        <item m="1" x="727"/>
        <item m="1" x="728"/>
        <item m="1" x="729"/>
        <item m="1" x="730"/>
        <item m="1" x="737"/>
        <item m="1" x="738"/>
        <item m="1" x="739"/>
        <item m="1" x="740"/>
        <item m="1" x="741"/>
        <item m="1" x="748"/>
        <item m="1" x="749"/>
        <item m="1" x="750"/>
        <item m="1" x="1333"/>
        <item m="1" x="1334"/>
        <item m="1" x="1335"/>
        <item m="1" x="1336"/>
        <item m="1" x="1337"/>
        <item m="1" x="1338"/>
        <item m="1" x="1339"/>
        <item m="1" x="1340"/>
        <item m="1" x="1341"/>
        <item m="1" x="1342"/>
        <item m="1" x="1343"/>
        <item m="1" x="1344"/>
        <item m="1" x="1345"/>
        <item m="1" x="753"/>
        <item m="1" x="757"/>
        <item m="1" x="758"/>
        <item m="1" x="759"/>
        <item m="1" x="873"/>
        <item m="1" x="874"/>
        <item m="1" x="875"/>
        <item m="1" x="877"/>
        <item m="1" x="878"/>
        <item m="1" x="879"/>
        <item m="1" x="880"/>
        <item m="1" x="886"/>
        <item m="1" x="887"/>
        <item m="1" x="888"/>
        <item m="1" x="889"/>
        <item m="1" x="890"/>
        <item m="1" x="1346"/>
        <item m="1" x="1347"/>
        <item m="1" x="1348"/>
        <item m="1" x="1349"/>
        <item m="1" x="1374"/>
        <item m="1" x="1375"/>
        <item m="1" x="1376"/>
        <item m="1" x="1377"/>
        <item m="1" x="1378"/>
        <item m="1" x="1379"/>
        <item m="1" x="1380"/>
        <item m="1" x="1381"/>
        <item m="1" x="1382"/>
        <item m="1" x="1002"/>
        <item m="1" x="1003"/>
        <item m="1" x="1004"/>
        <item m="1" x="1005"/>
        <item m="1" x="1006"/>
        <item m="1" x="1057"/>
        <item m="1" x="1058"/>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1007"/>
        <item m="1" x="1008"/>
        <item m="1" x="1092"/>
        <item m="1" x="956"/>
        <item m="1" x="957"/>
        <item m="1" x="958"/>
        <item m="1" x="1155"/>
        <item m="1" x="1163"/>
        <item m="1" x="1067"/>
        <item m="1" x="1068"/>
        <item m="1" x="1069"/>
        <item m="1" x="4"/>
        <item m="1" x="5"/>
        <item m="1" x="6"/>
        <item m="1" x="7"/>
        <item m="1" x="8"/>
        <item m="1" x="9"/>
        <item m="1" x="12"/>
        <item m="1" x="14"/>
        <item m="1" x="15"/>
        <item m="1" x="1011"/>
        <item m="1" x="1012"/>
        <item m="1" x="39"/>
        <item m="1" x="40"/>
        <item m="1" x="41"/>
        <item m="1" x="1019"/>
        <item m="1" x="1020"/>
        <item m="1" x="1059"/>
        <item m="1" x="1060"/>
        <item m="1" x="1061"/>
        <item m="1" x="53"/>
        <item m="1" x="54"/>
        <item m="1" x="55"/>
        <item m="1" x="57"/>
        <item m="1" x="59"/>
        <item m="1" x="60"/>
        <item m="1" x="61"/>
        <item m="1" x="62"/>
        <item m="1" x="63"/>
        <item m="1" x="72"/>
        <item m="1" x="73"/>
        <item m="1" x="76"/>
        <item m="1" x="77"/>
        <item m="1" x="78"/>
        <item m="1" x="965"/>
        <item m="1" x="966"/>
        <item m="1" x="967"/>
        <item m="1" x="1062"/>
        <item m="1" x="1063"/>
        <item m="1" x="1064"/>
        <item m="1" x="968"/>
        <item m="1" x="969"/>
        <item m="1" x="970"/>
        <item m="1" x="971"/>
        <item m="1" x="100"/>
        <item m="1" x="101"/>
        <item m="1" x="102"/>
        <item m="1" x="939"/>
        <item m="1" x="940"/>
        <item m="1" x="104"/>
        <item m="1" x="105"/>
        <item m="1" x="106"/>
        <item m="1" x="107"/>
        <item m="1" x="108"/>
        <item m="1" x="109"/>
        <item m="1" x="110"/>
        <item m="1" x="975"/>
        <item m="1" x="976"/>
        <item m="1" x="113"/>
        <item m="1" x="114"/>
        <item m="1" x="133"/>
        <item m="1" x="135"/>
        <item m="1" x="136"/>
        <item m="1" x="137"/>
        <item m="1" x="1065"/>
        <item m="1" x="1066"/>
        <item m="1" x="1070"/>
        <item m="1" x="210"/>
        <item m="1" x="212"/>
        <item m="1" x="213"/>
        <item m="1" x="234"/>
        <item m="1" x="235"/>
        <item m="1" x="236"/>
        <item m="1" x="980"/>
        <item m="1" x="981"/>
        <item m="1" x="982"/>
        <item m="1" x="983"/>
        <item m="1" x="369"/>
        <item m="1" x="370"/>
        <item m="1" x="371"/>
        <item m="1" x="372"/>
        <item m="1" x="373"/>
        <item m="1" x="374"/>
        <item m="1" x="375"/>
        <item m="1" x="376"/>
        <item m="1" x="377"/>
        <item m="1" x="382"/>
        <item m="1" x="383"/>
        <item m="1" x="384"/>
        <item m="1" x="385"/>
        <item m="1" x="386"/>
        <item m="1" x="387"/>
        <item m="1" x="388"/>
        <item m="1" x="389"/>
        <item m="1" x="390"/>
        <item m="1" x="391"/>
        <item m="1" x="399"/>
        <item m="1" x="400"/>
        <item m="1" x="401"/>
        <item m="1" x="402"/>
        <item m="1" x="409"/>
        <item m="1" x="410"/>
        <item m="1" x="411"/>
        <item m="1" x="412"/>
        <item m="1" x="413"/>
        <item m="1" x="414"/>
        <item m="1" x="439"/>
        <item m="1" x="440"/>
        <item m="1" x="441"/>
        <item m="1" x="442"/>
        <item m="1" x="443"/>
        <item m="1" x="511"/>
        <item m="1" x="512"/>
        <item m="1" x="513"/>
        <item m="1" x="514"/>
        <item m="1" x="515"/>
        <item m="1" x="516"/>
        <item m="1" x="547"/>
        <item m="1" x="548"/>
        <item m="1" x="549"/>
        <item m="1" x="550"/>
        <item m="1" x="637"/>
        <item m="1" x="638"/>
        <item m="1" x="639"/>
        <item m="1" x="640"/>
        <item m="1" x="641"/>
        <item m="1" x="642"/>
        <item m="1" x="643"/>
        <item m="1" x="720"/>
        <item m="1" x="721"/>
        <item m="1" x="722"/>
        <item m="1" x="723"/>
        <item m="1" x="731"/>
        <item m="1" x="732"/>
        <item m="1" x="733"/>
        <item m="1" x="734"/>
        <item m="1" x="735"/>
        <item m="1" x="736"/>
        <item m="1" x="742"/>
        <item m="1" x="743"/>
        <item m="1" x="744"/>
        <item m="1" x="745"/>
        <item m="1" x="746"/>
        <item m="1" x="747"/>
        <item m="1" x="754"/>
        <item m="1" x="755"/>
        <item m="1" x="756"/>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8"/>
        <item m="1" x="789"/>
        <item m="1" x="792"/>
        <item m="1" x="793"/>
        <item m="1" x="794"/>
        <item m="1" x="795"/>
        <item m="1" x="796"/>
        <item m="1" x="797"/>
        <item m="1" x="798"/>
        <item m="1" x="799"/>
        <item m="1" x="800"/>
        <item m="1" x="801"/>
        <item m="1" x="802"/>
        <item m="1" x="803"/>
        <item m="1" x="804"/>
        <item m="1" x="805"/>
        <item m="1" x="809"/>
        <item m="1" x="810"/>
        <item m="1" x="811"/>
        <item m="1" x="812"/>
        <item m="1" x="813"/>
        <item m="1" x="814"/>
        <item m="1" x="815"/>
        <item m="1" x="816"/>
        <item m="1" x="819"/>
        <item m="1" x="820"/>
        <item m="1" x="821"/>
        <item m="1" x="822"/>
        <item m="1" x="823"/>
        <item m="1" x="824"/>
        <item m="1" x="825"/>
        <item m="1" x="826"/>
        <item m="1" x="827"/>
        <item m="1" x="828"/>
        <item m="1" x="831"/>
        <item m="1" x="832"/>
        <item m="1" x="833"/>
        <item m="1" x="834"/>
        <item m="1" x="835"/>
        <item m="1" x="836"/>
        <item m="1" x="837"/>
        <item m="1" x="838"/>
        <item m="1" x="839"/>
        <item m="1" x="842"/>
        <item m="1" x="843"/>
        <item m="1" x="844"/>
        <item m="1" x="845"/>
        <item m="1" x="846"/>
        <item m="1" x="847"/>
        <item m="1" x="848"/>
        <item m="1" x="849"/>
        <item m="1" x="850"/>
        <item m="1" x="851"/>
        <item m="1" x="852"/>
        <item m="1" x="853"/>
        <item m="1" x="856"/>
        <item m="1" x="857"/>
        <item m="1" x="858"/>
        <item m="1" x="859"/>
        <item m="1" x="860"/>
        <item m="1" x="861"/>
        <item m="1" x="862"/>
        <item m="1" x="863"/>
        <item m="1" x="864"/>
        <item m="1" x="865"/>
        <item m="1" x="866"/>
        <item m="1" x="867"/>
        <item m="1" x="868"/>
        <item m="1" x="869"/>
        <item m="1" x="870"/>
        <item m="1" x="876"/>
        <item m="1" x="993"/>
        <item m="1" x="994"/>
        <item m="1" x="995"/>
        <item m="1" x="908"/>
        <item m="1" x="909"/>
        <item m="1" x="910"/>
        <item m="1" x="1000"/>
        <item m="1" x="1001"/>
        <item m="1" x="950"/>
        <item m="1" x="951"/>
        <item m="1" x="16"/>
        <item m="1" x="17"/>
        <item m="1" x="18"/>
        <item m="1" x="19"/>
        <item m="1" x="20"/>
        <item m="1" x="21"/>
        <item m="1" x="959"/>
        <item m="1" x="960"/>
        <item m="1" x="961"/>
        <item m="1" x="42"/>
        <item m="1" x="43"/>
        <item m="1" x="44"/>
        <item m="1" x="1027"/>
        <item m="1" x="1028"/>
        <item m="1" x="1029"/>
        <item m="1" x="79"/>
        <item m="1" x="1034"/>
        <item m="1" x="1035"/>
        <item m="1" x="1036"/>
        <item m="1" x="1037"/>
        <item m="1" x="1038"/>
        <item m="1" x="1039"/>
        <item m="1" x="1040"/>
        <item m="1" x="1041"/>
        <item m="1" x="1042"/>
        <item m="1" x="1043"/>
        <item m="1" x="1044"/>
        <item m="1" x="1045"/>
        <item m="1" x="87"/>
        <item m="1" x="88"/>
        <item m="1" x="89"/>
        <item m="1" x="103"/>
        <item m="1" x="134"/>
        <item m="1" x="144"/>
        <item m="1" x="977"/>
        <item m="1" x="978"/>
        <item m="1" x="979"/>
        <item m="1" x="583"/>
        <item m="1" x="584"/>
        <item m="1" x="585"/>
        <item m="1" x="883"/>
        <item m="1" x="884"/>
        <item m="1" x="885"/>
        <item m="1" x="996"/>
        <item m="1" x="997"/>
        <item m="1" x="998"/>
        <item m="1" x="999"/>
        <item m="1" x="13"/>
        <item m="1" x="1009"/>
        <item m="1" x="1010"/>
        <item m="1" x="37"/>
        <item m="1" x="38"/>
        <item m="1" x="972"/>
        <item m="1" x="973"/>
        <item m="1" x="974"/>
        <item m="1" x="211"/>
        <item m="1" x="215"/>
        <item m="1" x="216"/>
        <item m="1" x="230"/>
        <item m="1" x="231"/>
        <item m="1" x="232"/>
        <item m="1" x="233"/>
        <item m="1" x="237"/>
        <item m="1" x="238"/>
        <item m="1" x="242"/>
        <item m="1" x="243"/>
        <item m="1" x="244"/>
        <item m="1" x="245"/>
        <item m="1" x="246"/>
        <item m="1" x="247"/>
        <item m="1" x="269"/>
        <item m="1" x="270"/>
        <item m="1" x="751"/>
        <item m="1" x="752"/>
        <item m="1" x="786"/>
        <item m="1" x="787"/>
        <item m="1" x="790"/>
        <item m="1" x="791"/>
        <item m="1" x="806"/>
        <item m="1" x="807"/>
        <item m="1" x="808"/>
        <item m="1" x="817"/>
        <item m="1" x="818"/>
        <item m="1" x="829"/>
        <item m="1" x="830"/>
        <item m="1" x="840"/>
        <item m="1" x="841"/>
        <item m="1" x="854"/>
        <item m="1" x="855"/>
        <item m="1" x="22"/>
        <item m="1" x="48"/>
        <item m="1" x="49"/>
        <item m="1" x="34"/>
        <item m="1" x="45"/>
        <item m="1" x="46"/>
        <item m="1" x="47"/>
        <item m="1" x="81"/>
        <item m="1" x="82"/>
        <item m="1" x="83"/>
        <item m="1" x="84"/>
        <item m="1" x="85"/>
        <item m="1" x="86"/>
        <item m="1" x="90"/>
        <item m="1" x="91"/>
        <item m="1" x="92"/>
        <item m="1" x="93"/>
        <item m="1" x="94"/>
        <item m="1" x="95"/>
        <item m="1" x="117"/>
        <item m="1" x="118"/>
        <item m="1" x="119"/>
        <item m="1" x="120"/>
        <item m="1" x="146"/>
        <item m="1" x="147"/>
        <item m="1" x="148"/>
        <item m="1" x="149"/>
        <item m="1" x="150"/>
        <item m="1" x="151"/>
        <item m="1" x="152"/>
        <item m="1" x="158"/>
        <item m="1" x="159"/>
        <item m="1" x="184"/>
        <item m="1" x="185"/>
        <item m="1" x="214"/>
        <item m="1" x="357"/>
        <item m="1" x="358"/>
        <item m="1" x="359"/>
        <item m="1" x="360"/>
        <item m="1" x="361"/>
        <item m="1" x="362"/>
        <item m="1" x="363"/>
        <item m="1" x="378"/>
        <item m="1" x="379"/>
        <item m="1" x="380"/>
        <item m="1" x="381"/>
        <item m="1" x="392"/>
        <item m="1" x="393"/>
        <item m="1" x="394"/>
        <item m="1" x="395"/>
        <item m="1" x="396"/>
        <item m="1" x="397"/>
        <item m="1" x="398"/>
        <item m="1" x="871"/>
        <item m="1" x="872"/>
        <item m="1" x="881"/>
        <item m="1" x="882"/>
        <item m="1" x="891"/>
        <item m="1" x="892"/>
        <item m="1" x="893"/>
        <item m="1" x="894"/>
        <item m="1" x="895"/>
        <item m="1" x="896"/>
        <item m="1" x="897"/>
        <item m="1" x="898"/>
        <item m="1" x="899"/>
        <item m="1" x="900"/>
        <item m="1" x="901"/>
        <item m="1" x="902"/>
        <item m="1" x="903"/>
        <item m="1" x="904"/>
        <item m="1" x="905"/>
        <item m="1" x="906"/>
        <item m="1" x="907"/>
        <item m="1" x="937"/>
        <item m="1" x="938"/>
        <item m="1" x="98"/>
        <item m="1" x="99"/>
        <item t="default"/>
      </items>
    </pivotField>
    <pivotField compact="0" outline="0" showAll="0"/>
    <pivotField dataField="1" compact="0" numFmtId="164" outline="0" showAll="0"/>
    <pivotField compact="0" outline="0" showAll="0"/>
    <pivotField compact="0" outline="0" showAll="0"/>
    <pivotField compact="0" outline="0" showAll="0"/>
    <pivotField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1"/>
        <item sd="0" x="2"/>
        <item sd="0" x="3"/>
        <item sd="0" x="4"/>
        <item x="0"/>
        <item x="5"/>
      </items>
    </pivotField>
    <pivotField compact="0" outline="0" showAll="0" defaultSubtotal="0">
      <items count="8">
        <item sd="0" x="1"/>
        <item sd="0" x="2"/>
        <item sd="0" x="3"/>
        <item x="4"/>
        <item x="5"/>
        <item x="6"/>
        <item x="0"/>
        <item x="7"/>
      </items>
    </pivotField>
    <pivotField compact="0" outline="0" dragToRow="0" dragToCol="0" dragToPage="0" showAll="0" defaultSubtota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1"/>
        <item sd="0" x="2"/>
        <item sd="0" x="3"/>
        <item sd="0" x="4"/>
        <item x="0"/>
        <item x="5"/>
        <item t="default"/>
      </items>
    </pivotField>
    <pivotField compact="0" outline="0" showAll="0">
      <items count="4">
        <item sd="0" x="1"/>
        <item x="0"/>
        <item x="2"/>
        <item t="default"/>
      </items>
    </pivotField>
  </pivotFields>
  <rowFields count="7">
    <field x="1"/>
    <field x="0"/>
    <field x="12"/>
    <field x="4"/>
    <field x="5"/>
    <field x="13"/>
    <field x="14"/>
  </rowFields>
  <rowItems count="10">
    <i>
      <x v="10"/>
      <x v="13"/>
      <x v="2"/>
      <x v="5"/>
      <x v="1"/>
      <x v="13"/>
      <x v="63"/>
    </i>
    <i r="1">
      <x v="81"/>
      <x v="2"/>
      <x v="43"/>
      <x v="1"/>
      <x v="13"/>
      <x/>
    </i>
    <i r="1">
      <x v="82"/>
      <x v="2"/>
      <x v="22"/>
      <x v="1"/>
      <x v="5"/>
      <x/>
    </i>
    <i>
      <x v="11"/>
      <x v="16"/>
      <x v="2"/>
      <x v="41"/>
      <x v="2"/>
      <x v="13"/>
      <x v="63"/>
    </i>
    <i>
      <x v="13"/>
      <x v="14"/>
      <x v="1"/>
      <x v="9"/>
      <x/>
      <x v="6"/>
      <x v="9"/>
    </i>
    <i r="1">
      <x v="15"/>
      <x v="1"/>
      <x v="4"/>
      <x/>
      <x v="19"/>
      <x v="1"/>
    </i>
    <i r="1">
      <x v="17"/>
      <x/>
      <x v="9"/>
      <x v="2"/>
      <x v="19"/>
      <x v="7"/>
    </i>
    <i r="1">
      <x v="19"/>
      <x v="1"/>
      <x v="9"/>
      <x/>
      <x v="19"/>
      <x v="10"/>
    </i>
    <i r="1">
      <x v="95"/>
      <x v="2"/>
      <x v="9"/>
      <x/>
      <x v="56"/>
      <x v="7"/>
    </i>
    <i t="grand">
      <x/>
    </i>
  </rowItems>
  <colFields count="1">
    <field x="-2"/>
  </colFields>
  <colItems count="2">
    <i>
      <x/>
    </i>
    <i i="1">
      <x v="1"/>
    </i>
  </colItems>
  <pageFields count="2">
    <pageField fld="21" item="0" hier="-1"/>
    <pageField fld="6" item="2" hier="-1"/>
  </pageFields>
  <dataFields count="2">
    <dataField name="Revenue" fld="3" baseField="5" baseItem="3" numFmtId="42"/>
    <dataField name="GM Contribution" fld="23" baseField="15" baseItem="10" numFmtId="164"/>
  </dataFields>
  <formats count="11">
    <format dxfId="1012">
      <pivotArea outline="0" fieldPosition="0">
        <references count="1">
          <reference field="4294967294" count="1">
            <x v="0"/>
          </reference>
        </references>
      </pivotArea>
    </format>
    <format dxfId="1011">
      <pivotArea dataOnly="0" labelOnly="1" outline="0" fieldPosition="0">
        <references count="1">
          <reference field="4" count="0"/>
        </references>
      </pivotArea>
    </format>
    <format dxfId="1010">
      <pivotArea dataOnly="0" labelOnly="1" outline="0" fieldPosition="0">
        <references count="1">
          <reference field="4" count="0"/>
        </references>
      </pivotArea>
    </format>
    <format dxfId="1009">
      <pivotArea dataOnly="0" labelOnly="1" outline="0" fieldPosition="0">
        <references count="1">
          <reference field="5" count="0"/>
        </references>
      </pivotArea>
    </format>
    <format dxfId="1008">
      <pivotArea field="4" type="button" dataOnly="0" labelOnly="1" outline="0" axis="axisRow" fieldPosition="3"/>
    </format>
    <format dxfId="1007">
      <pivotArea field="5" type="button" dataOnly="0" labelOnly="1" outline="0" axis="axisRow" fieldPosition="4"/>
    </format>
    <format dxfId="1006">
      <pivotArea field="13" type="button" dataOnly="0" labelOnly="1" outline="0" axis="axisRow" fieldPosition="5"/>
    </format>
    <format dxfId="1005">
      <pivotArea field="14" type="button" dataOnly="0" labelOnly="1" outline="0" axis="axisRow" fieldPosition="6"/>
    </format>
    <format dxfId="1004">
      <pivotArea dataOnly="0" labelOnly="1" outline="0" fieldPosition="0">
        <references count="1">
          <reference field="13" count="0"/>
        </references>
      </pivotArea>
    </format>
    <format dxfId="1003">
      <pivotArea dataOnly="0" labelOnly="1" outline="0" fieldPosition="0">
        <references count="1">
          <reference field="14" count="0"/>
        </references>
      </pivotArea>
    </format>
    <format dxfId="1002">
      <pivotArea dataOnly="0" labelOnly="1" outline="0" fieldPosition="0">
        <references count="1">
          <reference field="4294967294" count="1">
            <x v="0"/>
          </reference>
        </references>
      </pivotArea>
    </format>
  </formats>
  <pivotTableStyleInfo name="PivotStyleMedium15" showRowHeaders="0"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F9D2DF-DDAA-49BD-BB17-7BC58B9E8814}" name="PivotTable6" cacheId="15" applyNumberFormats="0" applyBorderFormats="0" applyFontFormats="0" applyPatternFormats="0" applyAlignmentFormats="0" applyWidthHeightFormats="1" dataCaption="Values" showMissing="0" updatedVersion="8" minRefreshableVersion="3" itemPrintTitles="1" createdVersion="8" indent="0" compact="0" compactData="0" multipleFieldFilters="0">
  <location ref="J55:R68" firstHeaderRow="0" firstDataRow="1" firstDataCol="7" rowPageCount="2" colPageCount="1"/>
  <pivotFields count="36">
    <pivotField axis="axisRow" compact="0" outline="0" showAll="0" defaultSubtotal="0">
      <items count="96">
        <item x="0"/>
        <item x="1"/>
        <item x="4"/>
        <item x="9"/>
        <item x="10"/>
        <item x="29"/>
        <item x="31"/>
        <item x="35"/>
        <item x="42"/>
        <item x="45"/>
        <item x="47"/>
        <item x="49"/>
        <item x="54"/>
        <item x="56"/>
        <item x="59"/>
        <item x="60"/>
        <item x="62"/>
        <item x="63"/>
        <item x="27"/>
        <item x="58"/>
        <item x="50"/>
        <item x="82"/>
        <item x="83"/>
        <item x="46"/>
        <item x="65"/>
        <item x="66"/>
        <item x="67"/>
        <item x="68"/>
        <item x="69"/>
        <item x="72"/>
        <item x="73"/>
        <item x="74"/>
        <item x="75"/>
        <item x="25"/>
        <item x="24"/>
        <item x="52"/>
        <item x="70"/>
        <item x="79"/>
        <item x="28"/>
        <item x="76"/>
        <item m="1" x="93"/>
        <item m="1" x="94"/>
        <item m="1" x="95"/>
        <item x="2"/>
        <item x="3"/>
        <item x="7"/>
        <item x="26"/>
        <item x="30"/>
        <item x="37"/>
        <item x="38"/>
        <item x="41"/>
        <item x="48"/>
        <item x="71"/>
        <item x="77"/>
        <item x="90"/>
        <item x="91"/>
        <item x="8"/>
        <item x="15"/>
        <item x="33"/>
        <item x="81"/>
        <item x="12"/>
        <item x="17"/>
        <item x="18"/>
        <item x="19"/>
        <item x="20"/>
        <item x="11"/>
        <item x="16"/>
        <item x="34"/>
        <item x="43"/>
        <item x="44"/>
        <item x="53"/>
        <item x="64"/>
        <item x="78"/>
        <item x="80"/>
        <item x="84"/>
        <item x="85"/>
        <item x="87"/>
        <item x="88"/>
        <item x="89"/>
        <item x="32"/>
        <item x="51"/>
        <item x="55"/>
        <item x="57"/>
        <item x="86"/>
        <item x="92"/>
        <item x="36"/>
        <item x="5"/>
        <item x="6"/>
        <item x="13"/>
        <item x="14"/>
        <item x="21"/>
        <item x="22"/>
        <item x="23"/>
        <item x="39"/>
        <item x="40"/>
        <item x="61"/>
      </items>
    </pivotField>
    <pivotField axis="axisRow" compact="0" outline="0" showAll="0" sortType="descending" defaultSubtotal="0">
      <items count="14">
        <item h="1" x="5"/>
        <item h="1" m="1" x="10"/>
        <item h="1" m="1" x="8"/>
        <item h="1" m="1" x="7"/>
        <item h="1" m="1" x="12"/>
        <item h="1" x="4"/>
        <item h="1" m="1" x="9"/>
        <item h="1" m="1" x="11"/>
        <item m="1" x="6"/>
        <item h="1" m="1" x="13"/>
        <item x="3"/>
        <item x="1"/>
        <item x="2"/>
        <item x="0"/>
      </items>
    </pivotField>
    <pivotField compact="0" outline="0" showAll="0"/>
    <pivotField dataField="1" compact="0" outline="0" showAll="0"/>
    <pivotField axis="axisRow" compact="0" outline="0" showAll="0" defaultSubtotal="0">
      <items count="46">
        <item x="8"/>
        <item x="7"/>
        <item x="6"/>
        <item x="1"/>
        <item x="17"/>
        <item x="5"/>
        <item x="4"/>
        <item x="11"/>
        <item x="21"/>
        <item x="0"/>
        <item m="1" x="28"/>
        <item m="1" x="40"/>
        <item x="20"/>
        <item m="1" x="34"/>
        <item x="9"/>
        <item m="1" x="38"/>
        <item x="14"/>
        <item m="1" x="35"/>
        <item m="1" x="37"/>
        <item x="19"/>
        <item m="1" x="36"/>
        <item m="1" x="39"/>
        <item x="16"/>
        <item m="1" x="45"/>
        <item m="1" x="33"/>
        <item x="24"/>
        <item m="1" x="41"/>
        <item m="1" x="42"/>
        <item m="1" x="43"/>
        <item m="1" x="44"/>
        <item m="1" x="27"/>
        <item x="2"/>
        <item m="1" x="31"/>
        <item x="10"/>
        <item m="1" x="30"/>
        <item x="13"/>
        <item m="1" x="29"/>
        <item m="1" x="32"/>
        <item x="23"/>
        <item x="3"/>
        <item m="1" x="26"/>
        <item x="18"/>
        <item x="12"/>
        <item x="15"/>
        <item m="1" x="25"/>
        <item x="22"/>
      </items>
    </pivotField>
    <pivotField axis="axisRow" compact="0" outline="0" showAll="0" defaultSubtotal="0">
      <items count="4">
        <item x="2"/>
        <item x="3"/>
        <item x="0"/>
        <item x="1"/>
      </items>
    </pivotField>
    <pivotField axis="axisPage" compact="0" outline="0" showAll="0">
      <items count="16">
        <item x="3"/>
        <item x="0"/>
        <item x="6"/>
        <item x="5"/>
        <item x="2"/>
        <item x="4"/>
        <item x="1"/>
        <item m="1" x="8"/>
        <item m="1" x="13"/>
        <item m="1" x="14"/>
        <item m="1" x="10"/>
        <item m="1" x="11"/>
        <item m="1" x="9"/>
        <item m="1" x="12"/>
        <item m="1" x="7"/>
        <item t="default"/>
      </items>
    </pivotField>
    <pivotField compact="0" outline="0" showAll="0"/>
    <pivotField compact="0" outline="0" showAll="0"/>
    <pivotField compact="0" outline="0" showAll="0"/>
    <pivotField compact="0" outline="0" showAll="0"/>
    <pivotField compact="0" outline="0" showAll="0"/>
    <pivotField axis="axisRow" compact="0" outline="0" showAll="0" defaultSubtotal="0">
      <items count="10">
        <item x="4"/>
        <item x="0"/>
        <item x="3"/>
        <item h="1" x="5"/>
        <item x="1"/>
        <item h="1" x="2"/>
        <item h="1" x="6"/>
        <item h="1" m="1" x="7"/>
        <item h="1" m="1" x="9"/>
        <item h="1" m="1" x="8"/>
      </items>
    </pivotField>
    <pivotField axis="axisRow" compact="0" outline="0" showAll="0" defaultSubtotal="0">
      <items count="58">
        <item m="1" x="50"/>
        <item m="1" x="37"/>
        <item m="1" x="31"/>
        <item x="21"/>
        <item x="16"/>
        <item x="19"/>
        <item x="2"/>
        <item x="0"/>
        <item m="1" x="57"/>
        <item m="1" x="25"/>
        <item m="1" x="38"/>
        <item x="1"/>
        <item x="13"/>
        <item x="18"/>
        <item m="1" x="45"/>
        <item m="1" x="24"/>
        <item m="1" x="56"/>
        <item m="1" x="54"/>
        <item x="7"/>
        <item x="5"/>
        <item m="1" x="46"/>
        <item m="1" x="41"/>
        <item m="1" x="51"/>
        <item m="1" x="47"/>
        <item m="1" x="49"/>
        <item m="1" x="44"/>
        <item m="1" x="30"/>
        <item m="1" x="52"/>
        <item m="1" x="53"/>
        <item m="1" x="55"/>
        <item m="1" x="26"/>
        <item m="1" x="27"/>
        <item m="1" x="28"/>
        <item m="1" x="29"/>
        <item m="1" x="32"/>
        <item m="1" x="33"/>
        <item m="1" x="36"/>
        <item m="1" x="39"/>
        <item m="1" x="35"/>
        <item m="1" x="48"/>
        <item m="1" x="43"/>
        <item x="9"/>
        <item x="3"/>
        <item x="12"/>
        <item x="11"/>
        <item m="1" x="42"/>
        <item x="14"/>
        <item x="15"/>
        <item m="1" x="34"/>
        <item x="8"/>
        <item x="6"/>
        <item m="1" x="40"/>
        <item x="23"/>
        <item x="4"/>
        <item x="17"/>
        <item x="10"/>
        <item x="20"/>
        <item x="22"/>
      </items>
    </pivotField>
    <pivotField axis="axisRow" compact="0" outline="0" showAll="0">
      <items count="68">
        <item x="11"/>
        <item x="24"/>
        <item m="1" x="40"/>
        <item m="1" x="56"/>
        <item x="1"/>
        <item m="1" x="32"/>
        <item x="2"/>
        <item x="0"/>
        <item m="1" x="58"/>
        <item x="23"/>
        <item x="22"/>
        <item m="1" x="55"/>
        <item m="1" x="33"/>
        <item m="1" x="36"/>
        <item m="1" x="38"/>
        <item x="13"/>
        <item m="1" x="48"/>
        <item m="1" x="57"/>
        <item x="28"/>
        <item m="1" x="41"/>
        <item x="25"/>
        <item x="12"/>
        <item m="1" x="31"/>
        <item m="1" x="50"/>
        <item m="1" x="64"/>
        <item x="19"/>
        <item x="27"/>
        <item m="1" x="54"/>
        <item m="1" x="66"/>
        <item m="1" x="51"/>
        <item m="1" x="63"/>
        <item m="1" x="59"/>
        <item x="6"/>
        <item m="1" x="60"/>
        <item m="1" x="61"/>
        <item m="1" x="62"/>
        <item m="1" x="65"/>
        <item m="1" x="34"/>
        <item m="1" x="35"/>
        <item m="1" x="39"/>
        <item x="29"/>
        <item m="1" x="45"/>
        <item m="1" x="43"/>
        <item m="1" x="44"/>
        <item m="1" x="37"/>
        <item x="10"/>
        <item m="1" x="46"/>
        <item x="3"/>
        <item x="9"/>
        <item x="14"/>
        <item x="5"/>
        <item x="15"/>
        <item x="16"/>
        <item x="17"/>
        <item x="18"/>
        <item x="26"/>
        <item m="1" x="53"/>
        <item m="1" x="42"/>
        <item x="20"/>
        <item m="1" x="47"/>
        <item m="1" x="52"/>
        <item m="1" x="49"/>
        <item x="7"/>
        <item x="21"/>
        <item x="30"/>
        <item x="4"/>
        <item x="8"/>
        <item t="default"/>
      </items>
    </pivotField>
    <pivotField compact="0" outline="0" showAll="0"/>
    <pivotField compact="0" numFmtId="22" outline="0" showAll="0"/>
    <pivotField compact="0" outline="0" showAll="0"/>
    <pivotField compact="0" numFmtId="22" outline="0" showAll="0"/>
    <pivotField compact="0" outline="0" showAll="0"/>
    <pivotField compact="0" outline="0" showAll="0"/>
    <pivotField axis="axisPage" compact="0" outline="0" showAll="0">
      <items count="1384">
        <item x="0"/>
        <item m="1" x="1"/>
        <item m="1" x="1076"/>
        <item m="1" x="1077"/>
        <item m="1" x="1078"/>
        <item m="1" x="1079"/>
        <item m="1" x="1080"/>
        <item m="1" x="1081"/>
        <item m="1" x="1082"/>
        <item m="1" x="1083"/>
        <item m="1" x="1084"/>
        <item m="1" x="2"/>
        <item m="1" x="3"/>
        <item m="1" x="1085"/>
        <item m="1" x="1086"/>
        <item m="1" x="1087"/>
        <item m="1" x="1088"/>
        <item m="1" x="1350"/>
        <item m="1" x="1351"/>
        <item m="1" x="1352"/>
        <item m="1" x="1353"/>
        <item m="1" x="1354"/>
        <item m="1" x="1355"/>
        <item m="1" x="1356"/>
        <item m="1" x="1357"/>
        <item m="1" x="1358"/>
        <item m="1" x="1089"/>
        <item m="1" x="1090"/>
        <item m="1" x="1091"/>
        <item m="1" x="10"/>
        <item m="1" x="11"/>
        <item m="1" x="1093"/>
        <item m="1" x="1094"/>
        <item m="1" x="1095"/>
        <item m="1" x="941"/>
        <item m="1" x="942"/>
        <item m="1" x="943"/>
        <item m="1" x="944"/>
        <item m="1" x="945"/>
        <item m="1" x="946"/>
        <item m="1" x="947"/>
        <item m="1" x="948"/>
        <item m="1" x="949"/>
        <item m="1" x="952"/>
        <item m="1" x="953"/>
        <item m="1" x="954"/>
        <item m="1" x="955"/>
        <item m="1" x="1096"/>
        <item m="1" x="1097"/>
        <item m="1" x="1098"/>
        <item m="1" x="1099"/>
        <item m="1" x="1100"/>
        <item m="1" x="23"/>
        <item m="1" x="24"/>
        <item m="1" x="25"/>
        <item m="1" x="26"/>
        <item m="1" x="27"/>
        <item m="1" x="28"/>
        <item m="1" x="29"/>
        <item m="1" x="30"/>
        <item m="1" x="31"/>
        <item m="1" x="32"/>
        <item m="1" x="1101"/>
        <item m="1" x="1102"/>
        <item m="1" x="1103"/>
        <item m="1" x="1104"/>
        <item m="1" x="1105"/>
        <item m="1" x="33"/>
        <item m="1" x="35"/>
        <item m="1" x="36"/>
        <item m="1" x="1106"/>
        <item m="1" x="1107"/>
        <item m="1" x="1108"/>
        <item m="1" x="1109"/>
        <item m="1" x="1110"/>
        <item m="1" x="1111"/>
        <item m="1" x="1112"/>
        <item m="1" x="1113"/>
        <item m="1" x="1114"/>
        <item m="1" x="1115"/>
        <item m="1" x="1116"/>
        <item m="1" x="1013"/>
        <item m="1" x="1014"/>
        <item m="1" x="1015"/>
        <item m="1" x="1016"/>
        <item m="1" x="1017"/>
        <item m="1" x="1018"/>
        <item m="1" x="1021"/>
        <item m="1" x="1022"/>
        <item m="1" x="1359"/>
        <item m="1" x="1360"/>
        <item m="1" x="1361"/>
        <item m="1" x="1117"/>
        <item m="1" x="1118"/>
        <item m="1" x="1119"/>
        <item m="1" x="1120"/>
        <item m="1" x="1023"/>
        <item m="1" x="1024"/>
        <item m="1" x="1121"/>
        <item m="1" x="1122"/>
        <item m="1" x="1025"/>
        <item m="1" x="1026"/>
        <item m="1" x="50"/>
        <item m="1" x="51"/>
        <item m="1" x="52"/>
        <item m="1" x="56"/>
        <item m="1" x="58"/>
        <item m="1" x="64"/>
        <item m="1" x="65"/>
        <item m="1" x="66"/>
        <item m="1" x="67"/>
        <item m="1" x="68"/>
        <item m="1" x="1123"/>
        <item m="1" x="1124"/>
        <item m="1" x="1125"/>
        <item m="1" x="1126"/>
        <item m="1" x="1127"/>
        <item m="1" x="1128"/>
        <item m="1" x="69"/>
        <item m="1" x="70"/>
        <item m="1" x="71"/>
        <item m="1" x="74"/>
        <item m="1" x="75"/>
        <item m="1" x="1129"/>
        <item m="1" x="1130"/>
        <item m="1" x="1131"/>
        <item m="1" x="1132"/>
        <item m="1" x="1133"/>
        <item m="1" x="1030"/>
        <item m="1" x="1031"/>
        <item m="1" x="962"/>
        <item m="1" x="963"/>
        <item m="1" x="964"/>
        <item m="1" x="1134"/>
        <item m="1" x="1135"/>
        <item m="1" x="1136"/>
        <item m="1" x="1032"/>
        <item m="1" x="1033"/>
        <item m="1" x="80"/>
        <item m="1" x="96"/>
        <item m="1" x="97"/>
        <item m="1" x="1137"/>
        <item m="1" x="1138"/>
        <item m="1" x="1139"/>
        <item m="1" x="1140"/>
        <item m="1" x="1141"/>
        <item m="1" x="1142"/>
        <item m="1" x="1046"/>
        <item m="1" x="1047"/>
        <item m="1" x="1048"/>
        <item m="1" x="1143"/>
        <item m="1" x="1144"/>
        <item m="1" x="1145"/>
        <item m="1" x="1146"/>
        <item m="1" x="1147"/>
        <item m="1" x="1148"/>
        <item m="1" x="1149"/>
        <item m="1" x="1150"/>
        <item m="1" x="1151"/>
        <item m="1" x="1152"/>
        <item m="1" x="1153"/>
        <item m="1" x="1154"/>
        <item m="1" x="1362"/>
        <item m="1" x="1156"/>
        <item m="1" x="1157"/>
        <item m="1" x="1158"/>
        <item m="1" x="1159"/>
        <item m="1" x="1160"/>
        <item m="1" x="1161"/>
        <item m="1" x="1162"/>
        <item m="1" x="1363"/>
        <item m="1" x="111"/>
        <item m="1" x="112"/>
        <item m="1" x="115"/>
        <item m="1" x="116"/>
        <item m="1" x="1164"/>
        <item m="1" x="1165"/>
        <item m="1" x="1166"/>
        <item m="1" x="1167"/>
        <item m="1" x="1168"/>
        <item m="1" x="1169"/>
        <item m="1" x="1170"/>
        <item m="1" x="1171"/>
        <item m="1" x="1172"/>
        <item m="1" x="1049"/>
        <item m="1" x="1050"/>
        <item m="1" x="1051"/>
        <item m="1" x="1052"/>
        <item m="1" x="1173"/>
        <item m="1" x="1174"/>
        <item m="1" x="1175"/>
        <item m="1" x="1176"/>
        <item m="1" x="1053"/>
        <item m="1" x="1054"/>
        <item m="1" x="1364"/>
        <item m="1" x="1365"/>
        <item m="1" x="1366"/>
        <item m="1" x="1055"/>
        <item m="1" x="1056"/>
        <item m="1" x="121"/>
        <item m="1" x="122"/>
        <item m="1" x="123"/>
        <item m="1" x="124"/>
        <item m="1" x="1367"/>
        <item m="1" x="1368"/>
        <item m="1" x="1369"/>
        <item m="1" x="1370"/>
        <item m="1" x="1371"/>
        <item m="1" x="1372"/>
        <item m="1" x="1373"/>
        <item m="1" x="125"/>
        <item m="1" x="126"/>
        <item m="1" x="127"/>
        <item m="1" x="128"/>
        <item m="1" x="129"/>
        <item m="1" x="130"/>
        <item m="1" x="131"/>
        <item m="1" x="132"/>
        <item m="1" x="1177"/>
        <item m="1" x="1178"/>
        <item m="1" x="1179"/>
        <item m="1" x="1180"/>
        <item m="1" x="1181"/>
        <item m="1" x="1182"/>
        <item m="1" x="1183"/>
        <item m="1" x="1184"/>
        <item m="1" x="1185"/>
        <item m="1" x="1186"/>
        <item m="1" x="1187"/>
        <item m="1" x="138"/>
        <item m="1" x="139"/>
        <item m="1" x="140"/>
        <item m="1" x="141"/>
        <item m="1" x="142"/>
        <item m="1" x="143"/>
        <item m="1" x="145"/>
        <item m="1" x="153"/>
        <item m="1" x="154"/>
        <item m="1" x="155"/>
        <item m="1" x="156"/>
        <item m="1" x="157"/>
        <item m="1" x="1188"/>
        <item m="1" x="1189"/>
        <item m="1" x="1190"/>
        <item m="1" x="1191"/>
        <item m="1" x="1192"/>
        <item m="1" x="1193"/>
        <item m="1" x="1194"/>
        <item m="1" x="1195"/>
        <item m="1" x="1196"/>
        <item m="1" x="1197"/>
        <item m="1" x="1198"/>
        <item m="1" x="1199"/>
        <item m="1" x="1200"/>
        <item m="1" x="160"/>
        <item m="1" x="161"/>
        <item m="1" x="162"/>
        <item m="1" x="163"/>
        <item m="1" x="164"/>
        <item m="1" x="165"/>
        <item m="1" x="166"/>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67"/>
        <item m="1" x="168"/>
        <item m="1" x="169"/>
        <item m="1" x="170"/>
        <item m="1" x="171"/>
        <item m="1" x="172"/>
        <item m="1" x="173"/>
        <item m="1" x="174"/>
        <item m="1" x="175"/>
        <item m="1" x="176"/>
        <item m="1" x="177"/>
        <item m="1" x="178"/>
        <item m="1" x="179"/>
        <item m="1" x="180"/>
        <item m="1" x="181"/>
        <item m="1" x="182"/>
        <item m="1" x="183"/>
        <item m="1" x="186"/>
        <item m="1" x="187"/>
        <item m="1" x="1247"/>
        <item m="1" x="1248"/>
        <item m="1" x="1249"/>
        <item m="1" x="1250"/>
        <item m="1" x="1251"/>
        <item m="1" x="1252"/>
        <item m="1" x="188"/>
        <item m="1" x="189"/>
        <item m="1" x="190"/>
        <item m="1" x="191"/>
        <item m="1" x="192"/>
        <item m="1" x="193"/>
        <item m="1" x="1253"/>
        <item m="1" x="1254"/>
        <item m="1" x="1255"/>
        <item m="1" x="1256"/>
        <item m="1" x="194"/>
        <item m="1" x="195"/>
        <item m="1" x="196"/>
        <item m="1" x="197"/>
        <item m="1" x="198"/>
        <item m="1" x="199"/>
        <item m="1" x="200"/>
        <item m="1" x="201"/>
        <item m="1" x="202"/>
        <item m="1" x="203"/>
        <item m="1" x="204"/>
        <item m="1" x="205"/>
        <item m="1" x="206"/>
        <item m="1" x="207"/>
        <item m="1" x="208"/>
        <item m="1" x="209"/>
        <item m="1" x="1257"/>
        <item m="1" x="1258"/>
        <item m="1" x="1071"/>
        <item m="1" x="1072"/>
        <item m="1" x="1073"/>
        <item m="1" x="1074"/>
        <item m="1" x="1075"/>
        <item m="1" x="217"/>
        <item m="1" x="218"/>
        <item m="1" x="219"/>
        <item m="1" x="220"/>
        <item m="1" x="221"/>
        <item m="1" x="222"/>
        <item m="1" x="223"/>
        <item m="1" x="224"/>
        <item m="1" x="225"/>
        <item m="1" x="226"/>
        <item m="1" x="227"/>
        <item m="1" x="228"/>
        <item m="1" x="229"/>
        <item m="1" x="239"/>
        <item m="1" x="240"/>
        <item m="1" x="241"/>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71"/>
        <item m="1" x="272"/>
        <item m="1" x="273"/>
        <item m="1" x="274"/>
        <item m="1" x="275"/>
        <item m="1" x="27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64"/>
        <item m="1" x="365"/>
        <item m="1" x="366"/>
        <item m="1" x="367"/>
        <item m="1" x="368"/>
        <item m="1" x="403"/>
        <item m="1" x="404"/>
        <item m="1" x="405"/>
        <item m="1" x="406"/>
        <item m="1" x="407"/>
        <item m="1" x="408"/>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51"/>
        <item m="1" x="552"/>
        <item m="1" x="553"/>
        <item m="1" x="554"/>
        <item m="1" x="555"/>
        <item m="1" x="556"/>
        <item m="1" x="557"/>
        <item m="1" x="558"/>
        <item m="1" x="559"/>
        <item m="1" x="560"/>
        <item m="1" x="561"/>
        <item m="1" x="562"/>
        <item m="1" x="563"/>
        <item m="1" x="564"/>
        <item m="1" x="565"/>
        <item m="1" x="566"/>
        <item m="1" x="567"/>
        <item m="1" x="568"/>
        <item m="1" x="569"/>
        <item m="1" x="1259"/>
        <item m="1" x="1260"/>
        <item m="1" x="1261"/>
        <item m="1" x="1262"/>
        <item m="1" x="1263"/>
        <item m="1" x="1264"/>
        <item m="1" x="1265"/>
        <item m="1" x="1266"/>
        <item m="1" x="1267"/>
        <item m="1" x="570"/>
        <item m="1" x="571"/>
        <item m="1" x="572"/>
        <item m="1" x="573"/>
        <item m="1" x="574"/>
        <item m="1" x="575"/>
        <item m="1" x="576"/>
        <item m="1" x="577"/>
        <item m="1" x="578"/>
        <item m="1" x="579"/>
        <item m="1" x="580"/>
        <item m="1" x="581"/>
        <item m="1" x="582"/>
        <item m="1" x="586"/>
        <item m="1" x="587"/>
        <item m="1" x="588"/>
        <item m="1" x="589"/>
        <item m="1" x="590"/>
        <item m="1" x="591"/>
        <item m="1" x="592"/>
        <item m="1" x="1268"/>
        <item m="1" x="1269"/>
        <item m="1" x="1270"/>
        <item m="1" x="1271"/>
        <item m="1" x="1272"/>
        <item m="1" x="1273"/>
        <item m="1" x="1274"/>
        <item m="1" x="1275"/>
        <item m="1" x="1276"/>
        <item m="1" x="1277"/>
        <item m="1" x="1278"/>
        <item m="1" x="1279"/>
        <item m="1" x="1280"/>
        <item m="1" x="1281"/>
        <item m="1" x="1282"/>
        <item m="1" x="1283"/>
        <item m="1" x="593"/>
        <item m="1" x="594"/>
        <item m="1" x="595"/>
        <item m="1" x="596"/>
        <item m="1" x="984"/>
        <item m="1" x="985"/>
        <item m="1" x="986"/>
        <item m="1" x="987"/>
        <item m="1" x="988"/>
        <item m="1" x="989"/>
        <item m="1" x="990"/>
        <item m="1" x="991"/>
        <item m="1" x="992"/>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1284"/>
        <item m="1" x="1285"/>
        <item m="1" x="629"/>
        <item m="1" x="630"/>
        <item m="1" x="631"/>
        <item m="1" x="632"/>
        <item m="1" x="1286"/>
        <item m="1" x="1287"/>
        <item m="1" x="1288"/>
        <item m="1" x="633"/>
        <item m="1" x="634"/>
        <item m="1" x="635"/>
        <item m="1" x="636"/>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1289"/>
        <item m="1" x="1290"/>
        <item m="1" x="1291"/>
        <item m="1" x="1292"/>
        <item m="1" x="1293"/>
        <item m="1" x="1294"/>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717"/>
        <item m="1" x="1322"/>
        <item m="1" x="1323"/>
        <item m="1" x="1324"/>
        <item m="1" x="1325"/>
        <item m="1" x="1326"/>
        <item m="1" x="1327"/>
        <item m="1" x="1328"/>
        <item m="1" x="1329"/>
        <item m="1" x="1330"/>
        <item m="1" x="1331"/>
        <item m="1" x="1332"/>
        <item m="1" x="718"/>
        <item m="1" x="719"/>
        <item m="1" x="724"/>
        <item m="1" x="725"/>
        <item m="1" x="726"/>
        <item m="1" x="727"/>
        <item m="1" x="728"/>
        <item m="1" x="729"/>
        <item m="1" x="730"/>
        <item m="1" x="737"/>
        <item m="1" x="738"/>
        <item m="1" x="739"/>
        <item m="1" x="740"/>
        <item m="1" x="741"/>
        <item m="1" x="748"/>
        <item m="1" x="749"/>
        <item m="1" x="750"/>
        <item m="1" x="1333"/>
        <item m="1" x="1334"/>
        <item m="1" x="1335"/>
        <item m="1" x="1336"/>
        <item m="1" x="1337"/>
        <item m="1" x="1338"/>
        <item m="1" x="1339"/>
        <item m="1" x="1340"/>
        <item m="1" x="1341"/>
        <item m="1" x="1342"/>
        <item m="1" x="1343"/>
        <item m="1" x="1344"/>
        <item m="1" x="1345"/>
        <item m="1" x="753"/>
        <item m="1" x="757"/>
        <item m="1" x="758"/>
        <item m="1" x="759"/>
        <item m="1" x="873"/>
        <item m="1" x="874"/>
        <item m="1" x="875"/>
        <item m="1" x="877"/>
        <item m="1" x="878"/>
        <item m="1" x="879"/>
        <item m="1" x="880"/>
        <item m="1" x="886"/>
        <item m="1" x="887"/>
        <item m="1" x="888"/>
        <item m="1" x="889"/>
        <item m="1" x="890"/>
        <item m="1" x="1346"/>
        <item m="1" x="1347"/>
        <item m="1" x="1348"/>
        <item m="1" x="1349"/>
        <item m="1" x="1374"/>
        <item m="1" x="1375"/>
        <item m="1" x="1376"/>
        <item m="1" x="1377"/>
        <item m="1" x="1378"/>
        <item m="1" x="1379"/>
        <item m="1" x="1380"/>
        <item m="1" x="1381"/>
        <item m="1" x="1382"/>
        <item m="1" x="1002"/>
        <item m="1" x="1003"/>
        <item m="1" x="1004"/>
        <item m="1" x="1005"/>
        <item m="1" x="1006"/>
        <item m="1" x="1057"/>
        <item m="1" x="1058"/>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1007"/>
        <item m="1" x="1008"/>
        <item m="1" x="1092"/>
        <item m="1" x="956"/>
        <item m="1" x="957"/>
        <item m="1" x="958"/>
        <item m="1" x="1155"/>
        <item m="1" x="1163"/>
        <item m="1" x="1067"/>
        <item m="1" x="1068"/>
        <item m="1" x="1069"/>
        <item m="1" x="4"/>
        <item m="1" x="5"/>
        <item m="1" x="6"/>
        <item m="1" x="7"/>
        <item m="1" x="8"/>
        <item m="1" x="9"/>
        <item m="1" x="12"/>
        <item m="1" x="14"/>
        <item m="1" x="15"/>
        <item m="1" x="1011"/>
        <item m="1" x="1012"/>
        <item m="1" x="39"/>
        <item m="1" x="40"/>
        <item m="1" x="41"/>
        <item m="1" x="1019"/>
        <item m="1" x="1020"/>
        <item m="1" x="1059"/>
        <item m="1" x="1060"/>
        <item m="1" x="1061"/>
        <item m="1" x="53"/>
        <item m="1" x="54"/>
        <item m="1" x="55"/>
        <item m="1" x="57"/>
        <item m="1" x="59"/>
        <item m="1" x="60"/>
        <item m="1" x="61"/>
        <item m="1" x="62"/>
        <item m="1" x="63"/>
        <item m="1" x="72"/>
        <item m="1" x="73"/>
        <item m="1" x="76"/>
        <item m="1" x="77"/>
        <item m="1" x="78"/>
        <item m="1" x="965"/>
        <item m="1" x="966"/>
        <item m="1" x="967"/>
        <item m="1" x="1062"/>
        <item m="1" x="1063"/>
        <item m="1" x="1064"/>
        <item m="1" x="968"/>
        <item m="1" x="969"/>
        <item m="1" x="970"/>
        <item m="1" x="971"/>
        <item m="1" x="100"/>
        <item m="1" x="101"/>
        <item m="1" x="102"/>
        <item m="1" x="939"/>
        <item m="1" x="940"/>
        <item m="1" x="104"/>
        <item m="1" x="105"/>
        <item m="1" x="106"/>
        <item m="1" x="107"/>
        <item m="1" x="108"/>
        <item m="1" x="109"/>
        <item m="1" x="110"/>
        <item m="1" x="975"/>
        <item m="1" x="976"/>
        <item m="1" x="113"/>
        <item m="1" x="114"/>
        <item m="1" x="133"/>
        <item m="1" x="135"/>
        <item m="1" x="136"/>
        <item m="1" x="137"/>
        <item m="1" x="1065"/>
        <item m="1" x="1066"/>
        <item m="1" x="1070"/>
        <item m="1" x="210"/>
        <item m="1" x="212"/>
        <item m="1" x="213"/>
        <item m="1" x="234"/>
        <item m="1" x="235"/>
        <item m="1" x="236"/>
        <item m="1" x="980"/>
        <item m="1" x="981"/>
        <item m="1" x="982"/>
        <item m="1" x="983"/>
        <item m="1" x="369"/>
        <item m="1" x="370"/>
        <item m="1" x="371"/>
        <item m="1" x="372"/>
        <item m="1" x="373"/>
        <item m="1" x="374"/>
        <item m="1" x="375"/>
        <item m="1" x="376"/>
        <item m="1" x="377"/>
        <item m="1" x="382"/>
        <item m="1" x="383"/>
        <item m="1" x="384"/>
        <item m="1" x="385"/>
        <item m="1" x="386"/>
        <item m="1" x="387"/>
        <item m="1" x="388"/>
        <item m="1" x="389"/>
        <item m="1" x="390"/>
        <item m="1" x="391"/>
        <item m="1" x="399"/>
        <item m="1" x="400"/>
        <item m="1" x="401"/>
        <item m="1" x="402"/>
        <item m="1" x="409"/>
        <item m="1" x="410"/>
        <item m="1" x="411"/>
        <item m="1" x="412"/>
        <item m="1" x="413"/>
        <item m="1" x="414"/>
        <item m="1" x="439"/>
        <item m="1" x="440"/>
        <item m="1" x="441"/>
        <item m="1" x="442"/>
        <item m="1" x="443"/>
        <item m="1" x="511"/>
        <item m="1" x="512"/>
        <item m="1" x="513"/>
        <item m="1" x="514"/>
        <item m="1" x="515"/>
        <item m="1" x="516"/>
        <item m="1" x="547"/>
        <item m="1" x="548"/>
        <item m="1" x="549"/>
        <item m="1" x="550"/>
        <item m="1" x="637"/>
        <item m="1" x="638"/>
        <item m="1" x="639"/>
        <item m="1" x="640"/>
        <item m="1" x="641"/>
        <item m="1" x="642"/>
        <item m="1" x="643"/>
        <item m="1" x="720"/>
        <item m="1" x="721"/>
        <item m="1" x="722"/>
        <item m="1" x="723"/>
        <item m="1" x="731"/>
        <item m="1" x="732"/>
        <item m="1" x="733"/>
        <item m="1" x="734"/>
        <item m="1" x="735"/>
        <item m="1" x="736"/>
        <item m="1" x="742"/>
        <item m="1" x="743"/>
        <item m="1" x="744"/>
        <item m="1" x="745"/>
        <item m="1" x="746"/>
        <item m="1" x="747"/>
        <item m="1" x="754"/>
        <item m="1" x="755"/>
        <item m="1" x="756"/>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8"/>
        <item m="1" x="789"/>
        <item m="1" x="792"/>
        <item m="1" x="793"/>
        <item m="1" x="794"/>
        <item m="1" x="795"/>
        <item m="1" x="796"/>
        <item m="1" x="797"/>
        <item m="1" x="798"/>
        <item m="1" x="799"/>
        <item m="1" x="800"/>
        <item m="1" x="801"/>
        <item m="1" x="802"/>
        <item m="1" x="803"/>
        <item m="1" x="804"/>
        <item m="1" x="805"/>
        <item m="1" x="809"/>
        <item m="1" x="810"/>
        <item m="1" x="811"/>
        <item m="1" x="812"/>
        <item m="1" x="813"/>
        <item m="1" x="814"/>
        <item m="1" x="815"/>
        <item m="1" x="816"/>
        <item m="1" x="819"/>
        <item m="1" x="820"/>
        <item m="1" x="821"/>
        <item m="1" x="822"/>
        <item m="1" x="823"/>
        <item m="1" x="824"/>
        <item m="1" x="825"/>
        <item m="1" x="826"/>
        <item m="1" x="827"/>
        <item m="1" x="828"/>
        <item m="1" x="831"/>
        <item m="1" x="832"/>
        <item m="1" x="833"/>
        <item m="1" x="834"/>
        <item m="1" x="835"/>
        <item m="1" x="836"/>
        <item m="1" x="837"/>
        <item m="1" x="838"/>
        <item m="1" x="839"/>
        <item m="1" x="842"/>
        <item m="1" x="843"/>
        <item m="1" x="844"/>
        <item m="1" x="845"/>
        <item m="1" x="846"/>
        <item m="1" x="847"/>
        <item m="1" x="848"/>
        <item m="1" x="849"/>
        <item m="1" x="850"/>
        <item m="1" x="851"/>
        <item m="1" x="852"/>
        <item m="1" x="853"/>
        <item m="1" x="856"/>
        <item m="1" x="857"/>
        <item m="1" x="858"/>
        <item m="1" x="859"/>
        <item m="1" x="860"/>
        <item m="1" x="861"/>
        <item m="1" x="862"/>
        <item m="1" x="863"/>
        <item m="1" x="864"/>
        <item m="1" x="865"/>
        <item m="1" x="866"/>
        <item m="1" x="867"/>
        <item m="1" x="868"/>
        <item m="1" x="869"/>
        <item m="1" x="870"/>
        <item m="1" x="876"/>
        <item m="1" x="993"/>
        <item m="1" x="994"/>
        <item m="1" x="995"/>
        <item m="1" x="908"/>
        <item m="1" x="909"/>
        <item m="1" x="910"/>
        <item m="1" x="1000"/>
        <item m="1" x="1001"/>
        <item m="1" x="950"/>
        <item m="1" x="951"/>
        <item m="1" x="16"/>
        <item m="1" x="17"/>
        <item m="1" x="18"/>
        <item m="1" x="19"/>
        <item m="1" x="20"/>
        <item m="1" x="21"/>
        <item m="1" x="959"/>
        <item m="1" x="960"/>
        <item m="1" x="961"/>
        <item m="1" x="42"/>
        <item m="1" x="43"/>
        <item m="1" x="44"/>
        <item m="1" x="1027"/>
        <item m="1" x="1028"/>
        <item m="1" x="1029"/>
        <item m="1" x="79"/>
        <item m="1" x="1034"/>
        <item m="1" x="1035"/>
        <item m="1" x="1036"/>
        <item m="1" x="1037"/>
        <item m="1" x="1038"/>
        <item m="1" x="1039"/>
        <item m="1" x="1040"/>
        <item m="1" x="1041"/>
        <item m="1" x="1042"/>
        <item m="1" x="1043"/>
        <item m="1" x="1044"/>
        <item m="1" x="1045"/>
        <item m="1" x="87"/>
        <item m="1" x="88"/>
        <item m="1" x="89"/>
        <item m="1" x="103"/>
        <item m="1" x="134"/>
        <item m="1" x="144"/>
        <item m="1" x="977"/>
        <item m="1" x="978"/>
        <item m="1" x="979"/>
        <item m="1" x="583"/>
        <item m="1" x="584"/>
        <item m="1" x="585"/>
        <item m="1" x="883"/>
        <item m="1" x="884"/>
        <item m="1" x="885"/>
        <item m="1" x="996"/>
        <item m="1" x="997"/>
        <item m="1" x="998"/>
        <item m="1" x="999"/>
        <item m="1" x="13"/>
        <item m="1" x="1009"/>
        <item m="1" x="1010"/>
        <item m="1" x="37"/>
        <item m="1" x="38"/>
        <item m="1" x="972"/>
        <item m="1" x="973"/>
        <item m="1" x="974"/>
        <item m="1" x="211"/>
        <item m="1" x="215"/>
        <item m="1" x="216"/>
        <item m="1" x="230"/>
        <item m="1" x="231"/>
        <item m="1" x="232"/>
        <item m="1" x="233"/>
        <item m="1" x="237"/>
        <item m="1" x="238"/>
        <item m="1" x="242"/>
        <item m="1" x="243"/>
        <item m="1" x="244"/>
        <item m="1" x="245"/>
        <item m="1" x="246"/>
        <item m="1" x="247"/>
        <item m="1" x="269"/>
        <item m="1" x="270"/>
        <item m="1" x="751"/>
        <item m="1" x="752"/>
        <item m="1" x="786"/>
        <item m="1" x="787"/>
        <item m="1" x="790"/>
        <item m="1" x="791"/>
        <item m="1" x="806"/>
        <item m="1" x="807"/>
        <item m="1" x="808"/>
        <item m="1" x="817"/>
        <item m="1" x="818"/>
        <item m="1" x="829"/>
        <item m="1" x="830"/>
        <item m="1" x="840"/>
        <item m="1" x="841"/>
        <item m="1" x="854"/>
        <item m="1" x="855"/>
        <item m="1" x="22"/>
        <item m="1" x="48"/>
        <item m="1" x="49"/>
        <item m="1" x="34"/>
        <item m="1" x="45"/>
        <item m="1" x="46"/>
        <item m="1" x="47"/>
        <item m="1" x="81"/>
        <item m="1" x="82"/>
        <item m="1" x="83"/>
        <item m="1" x="84"/>
        <item m="1" x="85"/>
        <item m="1" x="86"/>
        <item m="1" x="90"/>
        <item m="1" x="91"/>
        <item m="1" x="92"/>
        <item m="1" x="93"/>
        <item m="1" x="94"/>
        <item m="1" x="95"/>
        <item m="1" x="117"/>
        <item m="1" x="118"/>
        <item m="1" x="119"/>
        <item m="1" x="120"/>
        <item m="1" x="146"/>
        <item m="1" x="147"/>
        <item m="1" x="148"/>
        <item m="1" x="149"/>
        <item m="1" x="150"/>
        <item m="1" x="151"/>
        <item m="1" x="152"/>
        <item m="1" x="158"/>
        <item m="1" x="159"/>
        <item m="1" x="184"/>
        <item m="1" x="185"/>
        <item m="1" x="214"/>
        <item m="1" x="357"/>
        <item m="1" x="358"/>
        <item m="1" x="359"/>
        <item m="1" x="360"/>
        <item m="1" x="361"/>
        <item m="1" x="362"/>
        <item m="1" x="363"/>
        <item m="1" x="378"/>
        <item m="1" x="379"/>
        <item m="1" x="380"/>
        <item m="1" x="381"/>
        <item m="1" x="392"/>
        <item m="1" x="393"/>
        <item m="1" x="394"/>
        <item m="1" x="395"/>
        <item m="1" x="396"/>
        <item m="1" x="397"/>
        <item m="1" x="398"/>
        <item m="1" x="871"/>
        <item m="1" x="872"/>
        <item m="1" x="881"/>
        <item m="1" x="882"/>
        <item m="1" x="891"/>
        <item m="1" x="892"/>
        <item m="1" x="893"/>
        <item m="1" x="894"/>
        <item m="1" x="895"/>
        <item m="1" x="896"/>
        <item m="1" x="897"/>
        <item m="1" x="898"/>
        <item m="1" x="899"/>
        <item m="1" x="900"/>
        <item m="1" x="901"/>
        <item m="1" x="902"/>
        <item m="1" x="903"/>
        <item m="1" x="904"/>
        <item m="1" x="905"/>
        <item m="1" x="906"/>
        <item m="1" x="907"/>
        <item m="1" x="937"/>
        <item m="1" x="938"/>
        <item m="1" x="98"/>
        <item m="1" x="99"/>
        <item t="default"/>
      </items>
    </pivotField>
    <pivotField compact="0" outline="0" showAll="0"/>
    <pivotField dataField="1" compact="0" numFmtId="164" outline="0" showAll="0"/>
    <pivotField compact="0" outline="0" showAll="0"/>
    <pivotField compact="0" outline="0" showAll="0"/>
    <pivotField compact="0" outline="0" showAll="0"/>
    <pivotField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1"/>
        <item sd="0" x="2"/>
        <item sd="0" x="3"/>
        <item sd="0" x="4"/>
        <item x="0"/>
        <item x="5"/>
      </items>
    </pivotField>
    <pivotField compact="0" outline="0" showAll="0" defaultSubtotal="0">
      <items count="8">
        <item sd="0" x="1"/>
        <item sd="0" x="2"/>
        <item sd="0" x="3"/>
        <item x="4"/>
        <item x="5"/>
        <item x="6"/>
        <item x="0"/>
        <item x="7"/>
      </items>
    </pivotField>
    <pivotField compact="0" outline="0" dragToRow="0" dragToCol="0" dragToPage="0" showAll="0" defaultSubtota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1"/>
        <item sd="0" x="2"/>
        <item sd="0" x="3"/>
        <item sd="0" x="4"/>
        <item x="0"/>
        <item x="5"/>
        <item t="default"/>
      </items>
    </pivotField>
    <pivotField compact="0" outline="0" showAll="0">
      <items count="4">
        <item sd="0" x="1"/>
        <item x="0"/>
        <item x="2"/>
        <item t="default"/>
      </items>
    </pivotField>
  </pivotFields>
  <rowFields count="7">
    <field x="1"/>
    <field x="0"/>
    <field x="12"/>
    <field x="4"/>
    <field x="5"/>
    <field x="13"/>
    <field x="14"/>
  </rowFields>
  <rowItems count="13">
    <i>
      <x v="10"/>
      <x v="37"/>
      <x v="1"/>
      <x v="38"/>
      <x v="1"/>
      <x v="42"/>
      <x v="18"/>
    </i>
    <i>
      <x v="11"/>
      <x v="72"/>
      <x v="1"/>
      <x v="45"/>
      <x v="1"/>
      <x v="57"/>
      <x v="50"/>
    </i>
    <i>
      <x v="12"/>
      <x v="21"/>
      <x v="4"/>
      <x v="25"/>
      <x v="1"/>
      <x v="42"/>
      <x/>
    </i>
    <i r="1">
      <x v="22"/>
      <x v="1"/>
      <x v="1"/>
      <x/>
      <x v="44"/>
      <x v="40"/>
    </i>
    <i r="1">
      <x v="65"/>
      <x v="4"/>
      <x v="5"/>
      <x v="2"/>
      <x v="19"/>
      <x v="50"/>
    </i>
    <i>
      <x v="13"/>
      <x v="54"/>
      <x/>
      <x v="9"/>
      <x v="3"/>
      <x v="7"/>
      <x v="7"/>
    </i>
    <i r="1">
      <x v="59"/>
      <x v="1"/>
      <x v="9"/>
      <x v="3"/>
      <x v="7"/>
      <x v="7"/>
    </i>
    <i r="1">
      <x v="73"/>
      <x/>
      <x v="9"/>
      <x v="3"/>
      <x v="7"/>
      <x v="7"/>
    </i>
    <i r="1">
      <x v="75"/>
      <x v="1"/>
      <x v="9"/>
      <x v="3"/>
      <x v="7"/>
      <x v="7"/>
    </i>
    <i r="1">
      <x v="76"/>
      <x v="1"/>
      <x v="9"/>
      <x v="3"/>
      <x v="7"/>
      <x v="7"/>
    </i>
    <i r="1">
      <x v="77"/>
      <x v="1"/>
      <x v="9"/>
      <x v="3"/>
      <x v="52"/>
      <x v="64"/>
    </i>
    <i r="1">
      <x v="78"/>
      <x v="1"/>
      <x v="9"/>
      <x v="3"/>
      <x v="7"/>
      <x v="7"/>
    </i>
    <i t="grand">
      <x/>
    </i>
  </rowItems>
  <colFields count="1">
    <field x="-2"/>
  </colFields>
  <colItems count="2">
    <i>
      <x/>
    </i>
    <i i="1">
      <x v="1"/>
    </i>
  </colItems>
  <pageFields count="2">
    <pageField fld="21" item="0" hier="-1"/>
    <pageField fld="6" item="4" hier="-1"/>
  </pageFields>
  <dataFields count="2">
    <dataField name="Revenue" fld="3" baseField="5" baseItem="3" numFmtId="42"/>
    <dataField name="GM Contribution" fld="23" baseField="15" baseItem="10" numFmtId="164"/>
  </dataFields>
  <formats count="11">
    <format dxfId="879">
      <pivotArea outline="0" fieldPosition="0">
        <references count="1">
          <reference field="4294967294" count="1">
            <x v="0"/>
          </reference>
        </references>
      </pivotArea>
    </format>
    <format dxfId="878">
      <pivotArea dataOnly="0" labelOnly="1" outline="0" fieldPosition="0">
        <references count="1">
          <reference field="4" count="0"/>
        </references>
      </pivotArea>
    </format>
    <format dxfId="877">
      <pivotArea dataOnly="0" labelOnly="1" outline="0" fieldPosition="0">
        <references count="1">
          <reference field="4" count="0"/>
        </references>
      </pivotArea>
    </format>
    <format dxfId="876">
      <pivotArea dataOnly="0" labelOnly="1" outline="0" fieldPosition="0">
        <references count="1">
          <reference field="5" count="0"/>
        </references>
      </pivotArea>
    </format>
    <format dxfId="875">
      <pivotArea field="4" type="button" dataOnly="0" labelOnly="1" outline="0" axis="axisRow" fieldPosition="3"/>
    </format>
    <format dxfId="874">
      <pivotArea field="5" type="button" dataOnly="0" labelOnly="1" outline="0" axis="axisRow" fieldPosition="4"/>
    </format>
    <format dxfId="873">
      <pivotArea field="13" type="button" dataOnly="0" labelOnly="1" outline="0" axis="axisRow" fieldPosition="5"/>
    </format>
    <format dxfId="872">
      <pivotArea field="14" type="button" dataOnly="0" labelOnly="1" outline="0" axis="axisRow" fieldPosition="6"/>
    </format>
    <format dxfId="871">
      <pivotArea dataOnly="0" labelOnly="1" outline="0" fieldPosition="0">
        <references count="1">
          <reference field="13" count="0"/>
        </references>
      </pivotArea>
    </format>
    <format dxfId="870">
      <pivotArea dataOnly="0" labelOnly="1" outline="0" fieldPosition="0">
        <references count="1">
          <reference field="14" count="0"/>
        </references>
      </pivotArea>
    </format>
    <format dxfId="869">
      <pivotArea dataOnly="0" labelOnly="1" outline="0" fieldPosition="0">
        <references count="1">
          <reference field="4294967294" count="1">
            <x v="0"/>
          </reference>
        </references>
      </pivotArea>
    </format>
  </formats>
  <pivotTableStyleInfo name="PivotStyleMedium15" showRowHeaders="0"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9F74C6-445B-40AB-A209-96B276DA79A5}" name="PivotTable6" cacheId="15" applyNumberFormats="0" applyBorderFormats="0" applyFontFormats="0" applyPatternFormats="0" applyAlignmentFormats="0" applyWidthHeightFormats="1" dataCaption="Values" showMissing="0" updatedVersion="8" minRefreshableVersion="3" itemPrintTitles="1" createdVersion="8" indent="0" compact="0" compactData="0" multipleFieldFilters="0">
  <location ref="J53:R57" firstHeaderRow="0" firstDataRow="1" firstDataCol="7" rowPageCount="2" colPageCount="1"/>
  <pivotFields count="36">
    <pivotField axis="axisRow" compact="0" outline="0" showAll="0" defaultSubtotal="0">
      <items count="96">
        <item x="0"/>
        <item x="1"/>
        <item x="4"/>
        <item x="9"/>
        <item x="10"/>
        <item x="29"/>
        <item x="31"/>
        <item x="35"/>
        <item x="42"/>
        <item x="45"/>
        <item x="47"/>
        <item x="49"/>
        <item x="54"/>
        <item x="56"/>
        <item x="59"/>
        <item x="60"/>
        <item x="62"/>
        <item x="63"/>
        <item x="27"/>
        <item x="58"/>
        <item x="50"/>
        <item x="82"/>
        <item x="83"/>
        <item x="46"/>
        <item x="65"/>
        <item x="66"/>
        <item x="67"/>
        <item x="68"/>
        <item x="69"/>
        <item x="72"/>
        <item x="73"/>
        <item x="74"/>
        <item x="75"/>
        <item x="25"/>
        <item x="24"/>
        <item x="52"/>
        <item x="70"/>
        <item x="79"/>
        <item x="28"/>
        <item x="76"/>
        <item m="1" x="93"/>
        <item m="1" x="94"/>
        <item m="1" x="95"/>
        <item x="2"/>
        <item x="3"/>
        <item x="7"/>
        <item x="26"/>
        <item x="30"/>
        <item x="37"/>
        <item x="38"/>
        <item x="41"/>
        <item x="48"/>
        <item x="71"/>
        <item x="77"/>
        <item x="90"/>
        <item x="91"/>
        <item x="8"/>
        <item x="15"/>
        <item x="33"/>
        <item x="81"/>
        <item x="12"/>
        <item x="17"/>
        <item x="18"/>
        <item x="19"/>
        <item x="20"/>
        <item x="11"/>
        <item x="16"/>
        <item x="34"/>
        <item x="43"/>
        <item x="44"/>
        <item x="53"/>
        <item x="64"/>
        <item x="78"/>
        <item x="80"/>
        <item x="84"/>
        <item x="85"/>
        <item x="87"/>
        <item x="88"/>
        <item x="89"/>
        <item x="32"/>
        <item x="51"/>
        <item x="55"/>
        <item x="57"/>
        <item x="86"/>
        <item x="92"/>
        <item x="36"/>
        <item x="5"/>
        <item x="6"/>
        <item x="13"/>
        <item x="14"/>
        <item x="21"/>
        <item x="22"/>
        <item x="23"/>
        <item x="39"/>
        <item x="40"/>
        <item x="61"/>
      </items>
    </pivotField>
    <pivotField axis="axisRow" compact="0" outline="0" showAll="0" sortType="descending" defaultSubtotal="0">
      <items count="14">
        <item h="1" x="5"/>
        <item h="1" m="1" x="10"/>
        <item h="1" m="1" x="8"/>
        <item h="1" m="1" x="7"/>
        <item h="1" m="1" x="12"/>
        <item h="1" x="4"/>
        <item h="1" m="1" x="9"/>
        <item h="1" m="1" x="11"/>
        <item m="1" x="6"/>
        <item h="1" m="1" x="13"/>
        <item x="3"/>
        <item x="1"/>
        <item x="2"/>
        <item x="0"/>
      </items>
    </pivotField>
    <pivotField compact="0" outline="0" showAll="0"/>
    <pivotField dataField="1" compact="0" outline="0" showAll="0"/>
    <pivotField axis="axisRow" compact="0" outline="0" showAll="0" defaultSubtotal="0">
      <items count="46">
        <item x="8"/>
        <item x="7"/>
        <item x="6"/>
        <item x="1"/>
        <item x="17"/>
        <item x="5"/>
        <item x="4"/>
        <item x="11"/>
        <item x="21"/>
        <item x="0"/>
        <item m="1" x="28"/>
        <item m="1" x="40"/>
        <item x="20"/>
        <item m="1" x="34"/>
        <item x="9"/>
        <item m="1" x="38"/>
        <item x="14"/>
        <item m="1" x="35"/>
        <item m="1" x="37"/>
        <item x="19"/>
        <item m="1" x="36"/>
        <item m="1" x="39"/>
        <item x="16"/>
        <item m="1" x="45"/>
        <item m="1" x="33"/>
        <item x="24"/>
        <item m="1" x="41"/>
        <item m="1" x="42"/>
        <item m="1" x="43"/>
        <item m="1" x="44"/>
        <item m="1" x="27"/>
        <item x="2"/>
        <item m="1" x="31"/>
        <item x="10"/>
        <item m="1" x="30"/>
        <item x="13"/>
        <item m="1" x="29"/>
        <item m="1" x="32"/>
        <item x="23"/>
        <item x="3"/>
        <item m="1" x="26"/>
        <item x="18"/>
        <item x="12"/>
        <item x="15"/>
        <item m="1" x="25"/>
        <item x="22"/>
      </items>
    </pivotField>
    <pivotField axis="axisRow" compact="0" outline="0" showAll="0" defaultSubtotal="0">
      <items count="4">
        <item x="2"/>
        <item x="3"/>
        <item x="0"/>
        <item x="1"/>
      </items>
    </pivotField>
    <pivotField axis="axisPage" compact="0" outline="0" showAll="0">
      <items count="16">
        <item x="3"/>
        <item x="0"/>
        <item x="6"/>
        <item x="5"/>
        <item x="2"/>
        <item x="4"/>
        <item x="1"/>
        <item m="1" x="8"/>
        <item m="1" x="13"/>
        <item m="1" x="14"/>
        <item m="1" x="10"/>
        <item m="1" x="11"/>
        <item m="1" x="9"/>
        <item m="1" x="12"/>
        <item m="1" x="7"/>
        <item t="default"/>
      </items>
    </pivotField>
    <pivotField compact="0" outline="0" showAll="0"/>
    <pivotField compact="0" outline="0" showAll="0"/>
    <pivotField compact="0" outline="0" showAll="0"/>
    <pivotField compact="0" outline="0" showAll="0"/>
    <pivotField compact="0" outline="0" showAll="0"/>
    <pivotField axis="axisRow" compact="0" outline="0" showAll="0" defaultSubtotal="0">
      <items count="10">
        <item x="4"/>
        <item x="0"/>
        <item x="3"/>
        <item x="5"/>
        <item x="1"/>
        <item x="2"/>
        <item x="6"/>
        <item m="1" x="7"/>
        <item m="1" x="9"/>
        <item m="1" x="8"/>
      </items>
    </pivotField>
    <pivotField axis="axisRow" compact="0" outline="0" showAll="0" defaultSubtotal="0">
      <items count="58">
        <item m="1" x="50"/>
        <item m="1" x="37"/>
        <item m="1" x="31"/>
        <item x="21"/>
        <item x="16"/>
        <item x="19"/>
        <item x="2"/>
        <item x="0"/>
        <item m="1" x="57"/>
        <item m="1" x="25"/>
        <item m="1" x="38"/>
        <item x="1"/>
        <item x="13"/>
        <item x="18"/>
        <item m="1" x="45"/>
        <item m="1" x="24"/>
        <item m="1" x="56"/>
        <item m="1" x="54"/>
        <item x="7"/>
        <item x="5"/>
        <item m="1" x="46"/>
        <item m="1" x="41"/>
        <item m="1" x="51"/>
        <item m="1" x="47"/>
        <item m="1" x="49"/>
        <item m="1" x="44"/>
        <item m="1" x="30"/>
        <item m="1" x="52"/>
        <item m="1" x="53"/>
        <item m="1" x="55"/>
        <item m="1" x="26"/>
        <item m="1" x="27"/>
        <item m="1" x="28"/>
        <item m="1" x="29"/>
        <item m="1" x="32"/>
        <item m="1" x="33"/>
        <item m="1" x="36"/>
        <item m="1" x="39"/>
        <item m="1" x="35"/>
        <item m="1" x="48"/>
        <item m="1" x="43"/>
        <item x="9"/>
        <item x="3"/>
        <item x="12"/>
        <item x="11"/>
        <item m="1" x="42"/>
        <item x="14"/>
        <item x="15"/>
        <item m="1" x="34"/>
        <item x="8"/>
        <item x="6"/>
        <item m="1" x="40"/>
        <item x="23"/>
        <item x="4"/>
        <item x="17"/>
        <item x="10"/>
        <item x="20"/>
        <item x="22"/>
      </items>
    </pivotField>
    <pivotField axis="axisRow" compact="0" outline="0" showAll="0">
      <items count="68">
        <item x="11"/>
        <item x="24"/>
        <item m="1" x="40"/>
        <item m="1" x="56"/>
        <item x="1"/>
        <item m="1" x="32"/>
        <item x="2"/>
        <item x="0"/>
        <item m="1" x="58"/>
        <item x="23"/>
        <item x="22"/>
        <item m="1" x="55"/>
        <item m="1" x="33"/>
        <item m="1" x="36"/>
        <item m="1" x="38"/>
        <item x="13"/>
        <item m="1" x="48"/>
        <item m="1" x="57"/>
        <item x="28"/>
        <item m="1" x="41"/>
        <item x="25"/>
        <item x="12"/>
        <item m="1" x="31"/>
        <item m="1" x="50"/>
        <item m="1" x="64"/>
        <item x="19"/>
        <item x="27"/>
        <item m="1" x="54"/>
        <item m="1" x="66"/>
        <item m="1" x="51"/>
        <item m="1" x="63"/>
        <item m="1" x="59"/>
        <item x="6"/>
        <item m="1" x="60"/>
        <item m="1" x="61"/>
        <item m="1" x="62"/>
        <item m="1" x="65"/>
        <item m="1" x="34"/>
        <item m="1" x="35"/>
        <item m="1" x="39"/>
        <item x="29"/>
        <item m="1" x="45"/>
        <item m="1" x="43"/>
        <item m="1" x="44"/>
        <item m="1" x="37"/>
        <item x="10"/>
        <item m="1" x="46"/>
        <item x="3"/>
        <item x="9"/>
        <item x="14"/>
        <item x="5"/>
        <item x="15"/>
        <item x="16"/>
        <item x="17"/>
        <item x="18"/>
        <item x="26"/>
        <item m="1" x="53"/>
        <item m="1" x="42"/>
        <item x="20"/>
        <item m="1" x="47"/>
        <item m="1" x="52"/>
        <item m="1" x="49"/>
        <item x="7"/>
        <item x="21"/>
        <item x="30"/>
        <item x="4"/>
        <item x="8"/>
        <item t="default"/>
      </items>
    </pivotField>
    <pivotField compact="0" outline="0" showAll="0"/>
    <pivotField compact="0" numFmtId="22" outline="0" showAll="0"/>
    <pivotField compact="0" outline="0" showAll="0"/>
    <pivotField compact="0" numFmtId="22" outline="0" showAll="0"/>
    <pivotField compact="0" outline="0" showAll="0"/>
    <pivotField compact="0" outline="0" showAll="0"/>
    <pivotField axis="axisPage" compact="0" outline="0" showAll="0">
      <items count="1384">
        <item x="0"/>
        <item m="1" x="1"/>
        <item m="1" x="1076"/>
        <item m="1" x="1077"/>
        <item m="1" x="1078"/>
        <item m="1" x="1079"/>
        <item m="1" x="1080"/>
        <item m="1" x="1081"/>
        <item m="1" x="1082"/>
        <item m="1" x="1083"/>
        <item m="1" x="1084"/>
        <item m="1" x="2"/>
        <item m="1" x="3"/>
        <item m="1" x="1085"/>
        <item m="1" x="1086"/>
        <item m="1" x="1087"/>
        <item m="1" x="1088"/>
        <item m="1" x="1350"/>
        <item m="1" x="1351"/>
        <item m="1" x="1352"/>
        <item m="1" x="1353"/>
        <item m="1" x="1354"/>
        <item m="1" x="1355"/>
        <item m="1" x="1356"/>
        <item m="1" x="1357"/>
        <item m="1" x="1358"/>
        <item m="1" x="1089"/>
        <item m="1" x="1090"/>
        <item m="1" x="1091"/>
        <item m="1" x="10"/>
        <item m="1" x="11"/>
        <item m="1" x="1093"/>
        <item m="1" x="1094"/>
        <item m="1" x="1095"/>
        <item m="1" x="941"/>
        <item m="1" x="942"/>
        <item m="1" x="943"/>
        <item m="1" x="944"/>
        <item m="1" x="945"/>
        <item m="1" x="946"/>
        <item m="1" x="947"/>
        <item m="1" x="948"/>
        <item m="1" x="949"/>
        <item m="1" x="952"/>
        <item m="1" x="953"/>
        <item m="1" x="954"/>
        <item m="1" x="955"/>
        <item m="1" x="1096"/>
        <item m="1" x="1097"/>
        <item m="1" x="1098"/>
        <item m="1" x="1099"/>
        <item m="1" x="1100"/>
        <item m="1" x="23"/>
        <item m="1" x="24"/>
        <item m="1" x="25"/>
        <item m="1" x="26"/>
        <item m="1" x="27"/>
        <item m="1" x="28"/>
        <item m="1" x="29"/>
        <item m="1" x="30"/>
        <item m="1" x="31"/>
        <item m="1" x="32"/>
        <item m="1" x="1101"/>
        <item m="1" x="1102"/>
        <item m="1" x="1103"/>
        <item m="1" x="1104"/>
        <item m="1" x="1105"/>
        <item m="1" x="33"/>
        <item m="1" x="35"/>
        <item m="1" x="36"/>
        <item m="1" x="1106"/>
        <item m="1" x="1107"/>
        <item m="1" x="1108"/>
        <item m="1" x="1109"/>
        <item m="1" x="1110"/>
        <item m="1" x="1111"/>
        <item m="1" x="1112"/>
        <item m="1" x="1113"/>
        <item m="1" x="1114"/>
        <item m="1" x="1115"/>
        <item m="1" x="1116"/>
        <item m="1" x="1013"/>
        <item m="1" x="1014"/>
        <item m="1" x="1015"/>
        <item m="1" x="1016"/>
        <item m="1" x="1017"/>
        <item m="1" x="1018"/>
        <item m="1" x="1021"/>
        <item m="1" x="1022"/>
        <item m="1" x="1359"/>
        <item m="1" x="1360"/>
        <item m="1" x="1361"/>
        <item m="1" x="1117"/>
        <item m="1" x="1118"/>
        <item m="1" x="1119"/>
        <item m="1" x="1120"/>
        <item m="1" x="1023"/>
        <item m="1" x="1024"/>
        <item m="1" x="1121"/>
        <item m="1" x="1122"/>
        <item m="1" x="1025"/>
        <item m="1" x="1026"/>
        <item m="1" x="50"/>
        <item m="1" x="51"/>
        <item m="1" x="52"/>
        <item m="1" x="56"/>
        <item m="1" x="58"/>
        <item m="1" x="64"/>
        <item m="1" x="65"/>
        <item m="1" x="66"/>
        <item m="1" x="67"/>
        <item m="1" x="68"/>
        <item m="1" x="1123"/>
        <item m="1" x="1124"/>
        <item m="1" x="1125"/>
        <item m="1" x="1126"/>
        <item m="1" x="1127"/>
        <item m="1" x="1128"/>
        <item m="1" x="69"/>
        <item m="1" x="70"/>
        <item m="1" x="71"/>
        <item m="1" x="74"/>
        <item m="1" x="75"/>
        <item m="1" x="1129"/>
        <item m="1" x="1130"/>
        <item m="1" x="1131"/>
        <item m="1" x="1132"/>
        <item m="1" x="1133"/>
        <item m="1" x="1030"/>
        <item m="1" x="1031"/>
        <item m="1" x="962"/>
        <item m="1" x="963"/>
        <item m="1" x="964"/>
        <item m="1" x="1134"/>
        <item m="1" x="1135"/>
        <item m="1" x="1136"/>
        <item m="1" x="1032"/>
        <item m="1" x="1033"/>
        <item m="1" x="80"/>
        <item m="1" x="96"/>
        <item m="1" x="97"/>
        <item m="1" x="1137"/>
        <item m="1" x="1138"/>
        <item m="1" x="1139"/>
        <item m="1" x="1140"/>
        <item m="1" x="1141"/>
        <item m="1" x="1142"/>
        <item m="1" x="1046"/>
        <item m="1" x="1047"/>
        <item m="1" x="1048"/>
        <item m="1" x="1143"/>
        <item m="1" x="1144"/>
        <item m="1" x="1145"/>
        <item m="1" x="1146"/>
        <item m="1" x="1147"/>
        <item m="1" x="1148"/>
        <item m="1" x="1149"/>
        <item m="1" x="1150"/>
        <item m="1" x="1151"/>
        <item m="1" x="1152"/>
        <item m="1" x="1153"/>
        <item m="1" x="1154"/>
        <item m="1" x="1362"/>
        <item m="1" x="1156"/>
        <item m="1" x="1157"/>
        <item m="1" x="1158"/>
        <item m="1" x="1159"/>
        <item m="1" x="1160"/>
        <item m="1" x="1161"/>
        <item m="1" x="1162"/>
        <item m="1" x="1363"/>
        <item m="1" x="111"/>
        <item m="1" x="112"/>
        <item m="1" x="115"/>
        <item m="1" x="116"/>
        <item m="1" x="1164"/>
        <item m="1" x="1165"/>
        <item m="1" x="1166"/>
        <item m="1" x="1167"/>
        <item m="1" x="1168"/>
        <item m="1" x="1169"/>
        <item m="1" x="1170"/>
        <item m="1" x="1171"/>
        <item m="1" x="1172"/>
        <item m="1" x="1049"/>
        <item m="1" x="1050"/>
        <item m="1" x="1051"/>
        <item m="1" x="1052"/>
        <item m="1" x="1173"/>
        <item m="1" x="1174"/>
        <item m="1" x="1175"/>
        <item m="1" x="1176"/>
        <item m="1" x="1053"/>
        <item m="1" x="1054"/>
        <item m="1" x="1364"/>
        <item m="1" x="1365"/>
        <item m="1" x="1366"/>
        <item m="1" x="1055"/>
        <item m="1" x="1056"/>
        <item m="1" x="121"/>
        <item m="1" x="122"/>
        <item m="1" x="123"/>
        <item m="1" x="124"/>
        <item m="1" x="1367"/>
        <item m="1" x="1368"/>
        <item m="1" x="1369"/>
        <item m="1" x="1370"/>
        <item m="1" x="1371"/>
        <item m="1" x="1372"/>
        <item m="1" x="1373"/>
        <item m="1" x="125"/>
        <item m="1" x="126"/>
        <item m="1" x="127"/>
        <item m="1" x="128"/>
        <item m="1" x="129"/>
        <item m="1" x="130"/>
        <item m="1" x="131"/>
        <item m="1" x="132"/>
        <item m="1" x="1177"/>
        <item m="1" x="1178"/>
        <item m="1" x="1179"/>
        <item m="1" x="1180"/>
        <item m="1" x="1181"/>
        <item m="1" x="1182"/>
        <item m="1" x="1183"/>
        <item m="1" x="1184"/>
        <item m="1" x="1185"/>
        <item m="1" x="1186"/>
        <item m="1" x="1187"/>
        <item m="1" x="138"/>
        <item m="1" x="139"/>
        <item m="1" x="140"/>
        <item m="1" x="141"/>
        <item m="1" x="142"/>
        <item m="1" x="143"/>
        <item m="1" x="145"/>
        <item m="1" x="153"/>
        <item m="1" x="154"/>
        <item m="1" x="155"/>
        <item m="1" x="156"/>
        <item m="1" x="157"/>
        <item m="1" x="1188"/>
        <item m="1" x="1189"/>
        <item m="1" x="1190"/>
        <item m="1" x="1191"/>
        <item m="1" x="1192"/>
        <item m="1" x="1193"/>
        <item m="1" x="1194"/>
        <item m="1" x="1195"/>
        <item m="1" x="1196"/>
        <item m="1" x="1197"/>
        <item m="1" x="1198"/>
        <item m="1" x="1199"/>
        <item m="1" x="1200"/>
        <item m="1" x="160"/>
        <item m="1" x="161"/>
        <item m="1" x="162"/>
        <item m="1" x="163"/>
        <item m="1" x="164"/>
        <item m="1" x="165"/>
        <item m="1" x="166"/>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67"/>
        <item m="1" x="168"/>
        <item m="1" x="169"/>
        <item m="1" x="170"/>
        <item m="1" x="171"/>
        <item m="1" x="172"/>
        <item m="1" x="173"/>
        <item m="1" x="174"/>
        <item m="1" x="175"/>
        <item m="1" x="176"/>
        <item m="1" x="177"/>
        <item m="1" x="178"/>
        <item m="1" x="179"/>
        <item m="1" x="180"/>
        <item m="1" x="181"/>
        <item m="1" x="182"/>
        <item m="1" x="183"/>
        <item m="1" x="186"/>
        <item m="1" x="187"/>
        <item m="1" x="1247"/>
        <item m="1" x="1248"/>
        <item m="1" x="1249"/>
        <item m="1" x="1250"/>
        <item m="1" x="1251"/>
        <item m="1" x="1252"/>
        <item m="1" x="188"/>
        <item m="1" x="189"/>
        <item m="1" x="190"/>
        <item m="1" x="191"/>
        <item m="1" x="192"/>
        <item m="1" x="193"/>
        <item m="1" x="1253"/>
        <item m="1" x="1254"/>
        <item m="1" x="1255"/>
        <item m="1" x="1256"/>
        <item m="1" x="194"/>
        <item m="1" x="195"/>
        <item m="1" x="196"/>
        <item m="1" x="197"/>
        <item m="1" x="198"/>
        <item m="1" x="199"/>
        <item m="1" x="200"/>
        <item m="1" x="201"/>
        <item m="1" x="202"/>
        <item m="1" x="203"/>
        <item m="1" x="204"/>
        <item m="1" x="205"/>
        <item m="1" x="206"/>
        <item m="1" x="207"/>
        <item m="1" x="208"/>
        <item m="1" x="209"/>
        <item m="1" x="1257"/>
        <item m="1" x="1258"/>
        <item m="1" x="1071"/>
        <item m="1" x="1072"/>
        <item m="1" x="1073"/>
        <item m="1" x="1074"/>
        <item m="1" x="1075"/>
        <item m="1" x="217"/>
        <item m="1" x="218"/>
        <item m="1" x="219"/>
        <item m="1" x="220"/>
        <item m="1" x="221"/>
        <item m="1" x="222"/>
        <item m="1" x="223"/>
        <item m="1" x="224"/>
        <item m="1" x="225"/>
        <item m="1" x="226"/>
        <item m="1" x="227"/>
        <item m="1" x="228"/>
        <item m="1" x="229"/>
        <item m="1" x="239"/>
        <item m="1" x="240"/>
        <item m="1" x="241"/>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71"/>
        <item m="1" x="272"/>
        <item m="1" x="273"/>
        <item m="1" x="274"/>
        <item m="1" x="275"/>
        <item m="1" x="27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64"/>
        <item m="1" x="365"/>
        <item m="1" x="366"/>
        <item m="1" x="367"/>
        <item m="1" x="368"/>
        <item m="1" x="403"/>
        <item m="1" x="404"/>
        <item m="1" x="405"/>
        <item m="1" x="406"/>
        <item m="1" x="407"/>
        <item m="1" x="408"/>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51"/>
        <item m="1" x="552"/>
        <item m="1" x="553"/>
        <item m="1" x="554"/>
        <item m="1" x="555"/>
        <item m="1" x="556"/>
        <item m="1" x="557"/>
        <item m="1" x="558"/>
        <item m="1" x="559"/>
        <item m="1" x="560"/>
        <item m="1" x="561"/>
        <item m="1" x="562"/>
        <item m="1" x="563"/>
        <item m="1" x="564"/>
        <item m="1" x="565"/>
        <item m="1" x="566"/>
        <item m="1" x="567"/>
        <item m="1" x="568"/>
        <item m="1" x="569"/>
        <item m="1" x="1259"/>
        <item m="1" x="1260"/>
        <item m="1" x="1261"/>
        <item m="1" x="1262"/>
        <item m="1" x="1263"/>
        <item m="1" x="1264"/>
        <item m="1" x="1265"/>
        <item m="1" x="1266"/>
        <item m="1" x="1267"/>
        <item m="1" x="570"/>
        <item m="1" x="571"/>
        <item m="1" x="572"/>
        <item m="1" x="573"/>
        <item m="1" x="574"/>
        <item m="1" x="575"/>
        <item m="1" x="576"/>
        <item m="1" x="577"/>
        <item m="1" x="578"/>
        <item m="1" x="579"/>
        <item m="1" x="580"/>
        <item m="1" x="581"/>
        <item m="1" x="582"/>
        <item m="1" x="586"/>
        <item m="1" x="587"/>
        <item m="1" x="588"/>
        <item m="1" x="589"/>
        <item m="1" x="590"/>
        <item m="1" x="591"/>
        <item m="1" x="592"/>
        <item m="1" x="1268"/>
        <item m="1" x="1269"/>
        <item m="1" x="1270"/>
        <item m="1" x="1271"/>
        <item m="1" x="1272"/>
        <item m="1" x="1273"/>
        <item m="1" x="1274"/>
        <item m="1" x="1275"/>
        <item m="1" x="1276"/>
        <item m="1" x="1277"/>
        <item m="1" x="1278"/>
        <item m="1" x="1279"/>
        <item m="1" x="1280"/>
        <item m="1" x="1281"/>
        <item m="1" x="1282"/>
        <item m="1" x="1283"/>
        <item m="1" x="593"/>
        <item m="1" x="594"/>
        <item m="1" x="595"/>
        <item m="1" x="596"/>
        <item m="1" x="984"/>
        <item m="1" x="985"/>
        <item m="1" x="986"/>
        <item m="1" x="987"/>
        <item m="1" x="988"/>
        <item m="1" x="989"/>
        <item m="1" x="990"/>
        <item m="1" x="991"/>
        <item m="1" x="992"/>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1284"/>
        <item m="1" x="1285"/>
        <item m="1" x="629"/>
        <item m="1" x="630"/>
        <item m="1" x="631"/>
        <item m="1" x="632"/>
        <item m="1" x="1286"/>
        <item m="1" x="1287"/>
        <item m="1" x="1288"/>
        <item m="1" x="633"/>
        <item m="1" x="634"/>
        <item m="1" x="635"/>
        <item m="1" x="636"/>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1289"/>
        <item m="1" x="1290"/>
        <item m="1" x="1291"/>
        <item m="1" x="1292"/>
        <item m="1" x="1293"/>
        <item m="1" x="1294"/>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717"/>
        <item m="1" x="1322"/>
        <item m="1" x="1323"/>
        <item m="1" x="1324"/>
        <item m="1" x="1325"/>
        <item m="1" x="1326"/>
        <item m="1" x="1327"/>
        <item m="1" x="1328"/>
        <item m="1" x="1329"/>
        <item m="1" x="1330"/>
        <item m="1" x="1331"/>
        <item m="1" x="1332"/>
        <item m="1" x="718"/>
        <item m="1" x="719"/>
        <item m="1" x="724"/>
        <item m="1" x="725"/>
        <item m="1" x="726"/>
        <item m="1" x="727"/>
        <item m="1" x="728"/>
        <item m="1" x="729"/>
        <item m="1" x="730"/>
        <item m="1" x="737"/>
        <item m="1" x="738"/>
        <item m="1" x="739"/>
        <item m="1" x="740"/>
        <item m="1" x="741"/>
        <item m="1" x="748"/>
        <item m="1" x="749"/>
        <item m="1" x="750"/>
        <item m="1" x="1333"/>
        <item m="1" x="1334"/>
        <item m="1" x="1335"/>
        <item m="1" x="1336"/>
        <item m="1" x="1337"/>
        <item m="1" x="1338"/>
        <item m="1" x="1339"/>
        <item m="1" x="1340"/>
        <item m="1" x="1341"/>
        <item m="1" x="1342"/>
        <item m="1" x="1343"/>
        <item m="1" x="1344"/>
        <item m="1" x="1345"/>
        <item m="1" x="753"/>
        <item m="1" x="757"/>
        <item m="1" x="758"/>
        <item m="1" x="759"/>
        <item m="1" x="873"/>
        <item m="1" x="874"/>
        <item m="1" x="875"/>
        <item m="1" x="877"/>
        <item m="1" x="878"/>
        <item m="1" x="879"/>
        <item m="1" x="880"/>
        <item m="1" x="886"/>
        <item m="1" x="887"/>
        <item m="1" x="888"/>
        <item m="1" x="889"/>
        <item m="1" x="890"/>
        <item m="1" x="1346"/>
        <item m="1" x="1347"/>
        <item m="1" x="1348"/>
        <item m="1" x="1349"/>
        <item m="1" x="1374"/>
        <item m="1" x="1375"/>
        <item m="1" x="1376"/>
        <item m="1" x="1377"/>
        <item m="1" x="1378"/>
        <item m="1" x="1379"/>
        <item m="1" x="1380"/>
        <item m="1" x="1381"/>
        <item m="1" x="1382"/>
        <item m="1" x="1002"/>
        <item m="1" x="1003"/>
        <item m="1" x="1004"/>
        <item m="1" x="1005"/>
        <item m="1" x="1006"/>
        <item m="1" x="1057"/>
        <item m="1" x="1058"/>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1007"/>
        <item m="1" x="1008"/>
        <item m="1" x="1092"/>
        <item m="1" x="956"/>
        <item m="1" x="957"/>
        <item m="1" x="958"/>
        <item m="1" x="1155"/>
        <item m="1" x="1163"/>
        <item m="1" x="1067"/>
        <item m="1" x="1068"/>
        <item m="1" x="1069"/>
        <item m="1" x="4"/>
        <item m="1" x="5"/>
        <item m="1" x="6"/>
        <item m="1" x="7"/>
        <item m="1" x="8"/>
        <item m="1" x="9"/>
        <item m="1" x="12"/>
        <item m="1" x="14"/>
        <item m="1" x="15"/>
        <item m="1" x="1011"/>
        <item m="1" x="1012"/>
        <item m="1" x="39"/>
        <item m="1" x="40"/>
        <item m="1" x="41"/>
        <item m="1" x="1019"/>
        <item m="1" x="1020"/>
        <item m="1" x="1059"/>
        <item m="1" x="1060"/>
        <item m="1" x="1061"/>
        <item m="1" x="53"/>
        <item m="1" x="54"/>
        <item m="1" x="55"/>
        <item m="1" x="57"/>
        <item m="1" x="59"/>
        <item m="1" x="60"/>
        <item m="1" x="61"/>
        <item m="1" x="62"/>
        <item m="1" x="63"/>
        <item m="1" x="72"/>
        <item m="1" x="73"/>
        <item m="1" x="76"/>
        <item m="1" x="77"/>
        <item m="1" x="78"/>
        <item m="1" x="965"/>
        <item m="1" x="966"/>
        <item m="1" x="967"/>
        <item m="1" x="1062"/>
        <item m="1" x="1063"/>
        <item m="1" x="1064"/>
        <item m="1" x="968"/>
        <item m="1" x="969"/>
        <item m="1" x="970"/>
        <item m="1" x="971"/>
        <item m="1" x="100"/>
        <item m="1" x="101"/>
        <item m="1" x="102"/>
        <item m="1" x="939"/>
        <item m="1" x="940"/>
        <item m="1" x="104"/>
        <item m="1" x="105"/>
        <item m="1" x="106"/>
        <item m="1" x="107"/>
        <item m="1" x="108"/>
        <item m="1" x="109"/>
        <item m="1" x="110"/>
        <item m="1" x="975"/>
        <item m="1" x="976"/>
        <item m="1" x="113"/>
        <item m="1" x="114"/>
        <item m="1" x="133"/>
        <item m="1" x="135"/>
        <item m="1" x="136"/>
        <item m="1" x="137"/>
        <item m="1" x="1065"/>
        <item m="1" x="1066"/>
        <item m="1" x="1070"/>
        <item m="1" x="210"/>
        <item m="1" x="212"/>
        <item m="1" x="213"/>
        <item m="1" x="234"/>
        <item m="1" x="235"/>
        <item m="1" x="236"/>
        <item m="1" x="980"/>
        <item m="1" x="981"/>
        <item m="1" x="982"/>
        <item m="1" x="983"/>
        <item m="1" x="369"/>
        <item m="1" x="370"/>
        <item m="1" x="371"/>
        <item m="1" x="372"/>
        <item m="1" x="373"/>
        <item m="1" x="374"/>
        <item m="1" x="375"/>
        <item m="1" x="376"/>
        <item m="1" x="377"/>
        <item m="1" x="382"/>
        <item m="1" x="383"/>
        <item m="1" x="384"/>
        <item m="1" x="385"/>
        <item m="1" x="386"/>
        <item m="1" x="387"/>
        <item m="1" x="388"/>
        <item m="1" x="389"/>
        <item m="1" x="390"/>
        <item m="1" x="391"/>
        <item m="1" x="399"/>
        <item m="1" x="400"/>
        <item m="1" x="401"/>
        <item m="1" x="402"/>
        <item m="1" x="409"/>
        <item m="1" x="410"/>
        <item m="1" x="411"/>
        <item m="1" x="412"/>
        <item m="1" x="413"/>
        <item m="1" x="414"/>
        <item m="1" x="439"/>
        <item m="1" x="440"/>
        <item m="1" x="441"/>
        <item m="1" x="442"/>
        <item m="1" x="443"/>
        <item m="1" x="511"/>
        <item m="1" x="512"/>
        <item m="1" x="513"/>
        <item m="1" x="514"/>
        <item m="1" x="515"/>
        <item m="1" x="516"/>
        <item m="1" x="547"/>
        <item m="1" x="548"/>
        <item m="1" x="549"/>
        <item m="1" x="550"/>
        <item m="1" x="637"/>
        <item m="1" x="638"/>
        <item m="1" x="639"/>
        <item m="1" x="640"/>
        <item m="1" x="641"/>
        <item m="1" x="642"/>
        <item m="1" x="643"/>
        <item m="1" x="720"/>
        <item m="1" x="721"/>
        <item m="1" x="722"/>
        <item m="1" x="723"/>
        <item m="1" x="731"/>
        <item m="1" x="732"/>
        <item m="1" x="733"/>
        <item m="1" x="734"/>
        <item m="1" x="735"/>
        <item m="1" x="736"/>
        <item m="1" x="742"/>
        <item m="1" x="743"/>
        <item m="1" x="744"/>
        <item m="1" x="745"/>
        <item m="1" x="746"/>
        <item m="1" x="747"/>
        <item m="1" x="754"/>
        <item m="1" x="755"/>
        <item m="1" x="756"/>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8"/>
        <item m="1" x="789"/>
        <item m="1" x="792"/>
        <item m="1" x="793"/>
        <item m="1" x="794"/>
        <item m="1" x="795"/>
        <item m="1" x="796"/>
        <item m="1" x="797"/>
        <item m="1" x="798"/>
        <item m="1" x="799"/>
        <item m="1" x="800"/>
        <item m="1" x="801"/>
        <item m="1" x="802"/>
        <item m="1" x="803"/>
        <item m="1" x="804"/>
        <item m="1" x="805"/>
        <item m="1" x="809"/>
        <item m="1" x="810"/>
        <item m="1" x="811"/>
        <item m="1" x="812"/>
        <item m="1" x="813"/>
        <item m="1" x="814"/>
        <item m="1" x="815"/>
        <item m="1" x="816"/>
        <item m="1" x="819"/>
        <item m="1" x="820"/>
        <item m="1" x="821"/>
        <item m="1" x="822"/>
        <item m="1" x="823"/>
        <item m="1" x="824"/>
        <item m="1" x="825"/>
        <item m="1" x="826"/>
        <item m="1" x="827"/>
        <item m="1" x="828"/>
        <item m="1" x="831"/>
        <item m="1" x="832"/>
        <item m="1" x="833"/>
        <item m="1" x="834"/>
        <item m="1" x="835"/>
        <item m="1" x="836"/>
        <item m="1" x="837"/>
        <item m="1" x="838"/>
        <item m="1" x="839"/>
        <item m="1" x="842"/>
        <item m="1" x="843"/>
        <item m="1" x="844"/>
        <item m="1" x="845"/>
        <item m="1" x="846"/>
        <item m="1" x="847"/>
        <item m="1" x="848"/>
        <item m="1" x="849"/>
        <item m="1" x="850"/>
        <item m="1" x="851"/>
        <item m="1" x="852"/>
        <item m="1" x="853"/>
        <item m="1" x="856"/>
        <item m="1" x="857"/>
        <item m="1" x="858"/>
        <item m="1" x="859"/>
        <item m="1" x="860"/>
        <item m="1" x="861"/>
        <item m="1" x="862"/>
        <item m="1" x="863"/>
        <item m="1" x="864"/>
        <item m="1" x="865"/>
        <item m="1" x="866"/>
        <item m="1" x="867"/>
        <item m="1" x="868"/>
        <item m="1" x="869"/>
        <item m="1" x="870"/>
        <item m="1" x="876"/>
        <item m="1" x="993"/>
        <item m="1" x="994"/>
        <item m="1" x="995"/>
        <item m="1" x="908"/>
        <item m="1" x="909"/>
        <item m="1" x="910"/>
        <item m="1" x="1000"/>
        <item m="1" x="1001"/>
        <item m="1" x="950"/>
        <item m="1" x="951"/>
        <item m="1" x="16"/>
        <item m="1" x="17"/>
        <item m="1" x="18"/>
        <item m="1" x="19"/>
        <item m="1" x="20"/>
        <item m="1" x="21"/>
        <item m="1" x="959"/>
        <item m="1" x="960"/>
        <item m="1" x="961"/>
        <item m="1" x="42"/>
        <item m="1" x="43"/>
        <item m="1" x="44"/>
        <item m="1" x="1027"/>
        <item m="1" x="1028"/>
        <item m="1" x="1029"/>
        <item m="1" x="79"/>
        <item m="1" x="1034"/>
        <item m="1" x="1035"/>
        <item m="1" x="1036"/>
        <item m="1" x="1037"/>
        <item m="1" x="1038"/>
        <item m="1" x="1039"/>
        <item m="1" x="1040"/>
        <item m="1" x="1041"/>
        <item m="1" x="1042"/>
        <item m="1" x="1043"/>
        <item m="1" x="1044"/>
        <item m="1" x="1045"/>
        <item m="1" x="87"/>
        <item m="1" x="88"/>
        <item m="1" x="89"/>
        <item m="1" x="103"/>
        <item m="1" x="134"/>
        <item m="1" x="144"/>
        <item m="1" x="977"/>
        <item m="1" x="978"/>
        <item m="1" x="979"/>
        <item m="1" x="583"/>
        <item m="1" x="584"/>
        <item m="1" x="585"/>
        <item m="1" x="883"/>
        <item m="1" x="884"/>
        <item m="1" x="885"/>
        <item m="1" x="996"/>
        <item m="1" x="997"/>
        <item m="1" x="998"/>
        <item m="1" x="999"/>
        <item m="1" x="13"/>
        <item m="1" x="1009"/>
        <item m="1" x="1010"/>
        <item m="1" x="37"/>
        <item m="1" x="38"/>
        <item m="1" x="972"/>
        <item m="1" x="973"/>
        <item m="1" x="974"/>
        <item m="1" x="211"/>
        <item m="1" x="215"/>
        <item m="1" x="216"/>
        <item m="1" x="230"/>
        <item m="1" x="231"/>
        <item m="1" x="232"/>
        <item m="1" x="233"/>
        <item m="1" x="237"/>
        <item m="1" x="238"/>
        <item m="1" x="242"/>
        <item m="1" x="243"/>
        <item m="1" x="244"/>
        <item m="1" x="245"/>
        <item m="1" x="246"/>
        <item m="1" x="247"/>
        <item m="1" x="269"/>
        <item m="1" x="270"/>
        <item m="1" x="751"/>
        <item m="1" x="752"/>
        <item m="1" x="786"/>
        <item m="1" x="787"/>
        <item m="1" x="790"/>
        <item m="1" x="791"/>
        <item m="1" x="806"/>
        <item m="1" x="807"/>
        <item m="1" x="808"/>
        <item m="1" x="817"/>
        <item m="1" x="818"/>
        <item m="1" x="829"/>
        <item m="1" x="830"/>
        <item m="1" x="840"/>
        <item m="1" x="841"/>
        <item m="1" x="854"/>
        <item m="1" x="855"/>
        <item m="1" x="22"/>
        <item m="1" x="48"/>
        <item m="1" x="49"/>
        <item m="1" x="34"/>
        <item m="1" x="45"/>
        <item m="1" x="46"/>
        <item m="1" x="47"/>
        <item m="1" x="81"/>
        <item m="1" x="82"/>
        <item m="1" x="83"/>
        <item m="1" x="84"/>
        <item m="1" x="85"/>
        <item m="1" x="86"/>
        <item m="1" x="90"/>
        <item m="1" x="91"/>
        <item m="1" x="92"/>
        <item m="1" x="93"/>
        <item m="1" x="94"/>
        <item m="1" x="95"/>
        <item m="1" x="117"/>
        <item m="1" x="118"/>
        <item m="1" x="119"/>
        <item m="1" x="120"/>
        <item m="1" x="146"/>
        <item m="1" x="147"/>
        <item m="1" x="148"/>
        <item m="1" x="149"/>
        <item m="1" x="150"/>
        <item m="1" x="151"/>
        <item m="1" x="152"/>
        <item m="1" x="158"/>
        <item m="1" x="159"/>
        <item m="1" x="184"/>
        <item m="1" x="185"/>
        <item m="1" x="214"/>
        <item m="1" x="357"/>
        <item m="1" x="358"/>
        <item m="1" x="359"/>
        <item m="1" x="360"/>
        <item m="1" x="361"/>
        <item m="1" x="362"/>
        <item m="1" x="363"/>
        <item m="1" x="378"/>
        <item m="1" x="379"/>
        <item m="1" x="380"/>
        <item m="1" x="381"/>
        <item m="1" x="392"/>
        <item m="1" x="393"/>
        <item m="1" x="394"/>
        <item m="1" x="395"/>
        <item m="1" x="396"/>
        <item m="1" x="397"/>
        <item m="1" x="398"/>
        <item m="1" x="871"/>
        <item m="1" x="872"/>
        <item m="1" x="881"/>
        <item m="1" x="882"/>
        <item m="1" x="891"/>
        <item m="1" x="892"/>
        <item m="1" x="893"/>
        <item m="1" x="894"/>
        <item m="1" x="895"/>
        <item m="1" x="896"/>
        <item m="1" x="897"/>
        <item m="1" x="898"/>
        <item m="1" x="899"/>
        <item m="1" x="900"/>
        <item m="1" x="901"/>
        <item m="1" x="902"/>
        <item m="1" x="903"/>
        <item m="1" x="904"/>
        <item m="1" x="905"/>
        <item m="1" x="906"/>
        <item m="1" x="907"/>
        <item m="1" x="937"/>
        <item m="1" x="938"/>
        <item m="1" x="98"/>
        <item m="1" x="99"/>
        <item t="default"/>
      </items>
    </pivotField>
    <pivotField compact="0" outline="0" showAll="0"/>
    <pivotField dataField="1" compact="0" numFmtId="164" outline="0" showAll="0"/>
    <pivotField compact="0" outline="0" showAll="0"/>
    <pivotField compact="0" outline="0" showAll="0"/>
    <pivotField compact="0" outline="0" showAll="0"/>
    <pivotField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1"/>
        <item sd="0" x="2"/>
        <item sd="0" x="3"/>
        <item sd="0" x="4"/>
        <item x="0"/>
        <item x="5"/>
      </items>
    </pivotField>
    <pivotField compact="0" outline="0" showAll="0" defaultSubtotal="0">
      <items count="8">
        <item sd="0" x="1"/>
        <item sd="0" x="2"/>
        <item sd="0" x="3"/>
        <item x="4"/>
        <item x="5"/>
        <item x="6"/>
        <item x="0"/>
        <item x="7"/>
      </items>
    </pivotField>
    <pivotField compact="0" outline="0" dragToRow="0" dragToCol="0" dragToPage="0" showAll="0" defaultSubtota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1"/>
        <item sd="0" x="2"/>
        <item sd="0" x="3"/>
        <item sd="0" x="4"/>
        <item x="0"/>
        <item x="5"/>
        <item t="default"/>
      </items>
    </pivotField>
    <pivotField compact="0" outline="0" showAll="0">
      <items count="4">
        <item sd="0" x="1"/>
        <item x="0"/>
        <item x="2"/>
        <item t="default"/>
      </items>
    </pivotField>
  </pivotFields>
  <rowFields count="7">
    <field x="1"/>
    <field x="0"/>
    <field x="12"/>
    <field x="4"/>
    <field x="5"/>
    <field x="13"/>
    <field x="14"/>
  </rowFields>
  <rowItems count="4">
    <i>
      <x v="11"/>
      <x v="93"/>
      <x v="1"/>
      <x v="7"/>
      <x v="1"/>
      <x v="53"/>
      <x/>
    </i>
    <i>
      <x v="13"/>
      <x v="39"/>
      <x v="6"/>
      <x v="9"/>
      <x v="3"/>
      <x v="7"/>
      <x v="7"/>
    </i>
    <i r="1">
      <x v="94"/>
      <x v="1"/>
      <x v="9"/>
      <x v="3"/>
      <x v="7"/>
      <x v="7"/>
    </i>
    <i t="grand">
      <x/>
    </i>
  </rowItems>
  <colFields count="1">
    <field x="-2"/>
  </colFields>
  <colItems count="2">
    <i>
      <x/>
    </i>
    <i i="1">
      <x v="1"/>
    </i>
  </colItems>
  <pageFields count="2">
    <pageField fld="21" item="0" hier="-1"/>
    <pageField fld="6" item="5" hier="-1"/>
  </pageFields>
  <dataFields count="2">
    <dataField name="Revenue" fld="3" baseField="5" baseItem="3" numFmtId="42"/>
    <dataField name="GM Contribution" fld="23" baseField="15" baseItem="10" numFmtId="164"/>
  </dataFields>
  <formats count="11">
    <format dxfId="758">
      <pivotArea outline="0" fieldPosition="0">
        <references count="1">
          <reference field="4294967294" count="1">
            <x v="0"/>
          </reference>
        </references>
      </pivotArea>
    </format>
    <format dxfId="757">
      <pivotArea dataOnly="0" labelOnly="1" outline="0" fieldPosition="0">
        <references count="1">
          <reference field="4" count="0"/>
        </references>
      </pivotArea>
    </format>
    <format dxfId="756">
      <pivotArea dataOnly="0" labelOnly="1" outline="0" fieldPosition="0">
        <references count="1">
          <reference field="4" count="0"/>
        </references>
      </pivotArea>
    </format>
    <format dxfId="755">
      <pivotArea dataOnly="0" labelOnly="1" outline="0" fieldPosition="0">
        <references count="1">
          <reference field="5" count="0"/>
        </references>
      </pivotArea>
    </format>
    <format dxfId="754">
      <pivotArea field="4" type="button" dataOnly="0" labelOnly="1" outline="0" axis="axisRow" fieldPosition="3"/>
    </format>
    <format dxfId="753">
      <pivotArea field="5" type="button" dataOnly="0" labelOnly="1" outline="0" axis="axisRow" fieldPosition="4"/>
    </format>
    <format dxfId="752">
      <pivotArea field="13" type="button" dataOnly="0" labelOnly="1" outline="0" axis="axisRow" fieldPosition="5"/>
    </format>
    <format dxfId="751">
      <pivotArea field="14" type="button" dataOnly="0" labelOnly="1" outline="0" axis="axisRow" fieldPosition="6"/>
    </format>
    <format dxfId="750">
      <pivotArea dataOnly="0" labelOnly="1" outline="0" fieldPosition="0">
        <references count="1">
          <reference field="13" count="0"/>
        </references>
      </pivotArea>
    </format>
    <format dxfId="749">
      <pivotArea dataOnly="0" labelOnly="1" outline="0" fieldPosition="0">
        <references count="1">
          <reference field="14" count="0"/>
        </references>
      </pivotArea>
    </format>
    <format dxfId="748">
      <pivotArea dataOnly="0" labelOnly="1" outline="0" fieldPosition="0">
        <references count="1">
          <reference field="4294967294" count="1">
            <x v="0"/>
          </reference>
        </references>
      </pivotArea>
    </format>
  </formats>
  <pivotTableStyleInfo name="PivotStyleMedium15" showRowHeaders="0"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1DF2D7-493A-4689-9296-67982FF669F6}" name="PivotTable6" cacheId="15" applyNumberFormats="0" applyBorderFormats="0" applyFontFormats="0" applyPatternFormats="0" applyAlignmentFormats="0" applyWidthHeightFormats="1" dataCaption="Values" showMissing="0" updatedVersion="8" minRefreshableVersion="3" itemPrintTitles="1" createdVersion="8" indent="0" compact="0" compactData="0" multipleFieldFilters="0">
  <location ref="J53:R64" firstHeaderRow="0" firstDataRow="1" firstDataCol="7" rowPageCount="2" colPageCount="1"/>
  <pivotFields count="36">
    <pivotField axis="axisRow" compact="0" outline="0" showAll="0" sortType="ascending" defaultSubtotal="0">
      <items count="96">
        <item m="1" x="93"/>
        <item m="1" x="94"/>
        <item m="1" x="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s>
    </pivotField>
    <pivotField axis="axisRow" compact="0" outline="0" showAll="0" sortType="descending" defaultSubtotal="0">
      <items count="14">
        <item h="1" x="5"/>
        <item h="1" m="1" x="10"/>
        <item h="1" m="1" x="8"/>
        <item h="1" m="1" x="7"/>
        <item h="1" m="1" x="12"/>
        <item h="1" x="4"/>
        <item h="1" m="1" x="9"/>
        <item h="1" m="1" x="11"/>
        <item m="1" x="6"/>
        <item h="1" m="1" x="13"/>
        <item x="3"/>
        <item x="1"/>
        <item x="2"/>
        <item x="0"/>
      </items>
    </pivotField>
    <pivotField compact="0" outline="0" showAll="0"/>
    <pivotField dataField="1" compact="0" outline="0" showAll="0"/>
    <pivotField axis="axisRow" compact="0" outline="0" showAll="0" defaultSubtotal="0">
      <items count="46">
        <item x="8"/>
        <item x="7"/>
        <item x="6"/>
        <item x="1"/>
        <item x="17"/>
        <item x="5"/>
        <item x="4"/>
        <item x="11"/>
        <item x="21"/>
        <item x="0"/>
        <item m="1" x="28"/>
        <item m="1" x="40"/>
        <item x="20"/>
        <item m="1" x="34"/>
        <item x="9"/>
        <item m="1" x="38"/>
        <item x="14"/>
        <item m="1" x="35"/>
        <item m="1" x="37"/>
        <item x="19"/>
        <item m="1" x="36"/>
        <item m="1" x="39"/>
        <item x="16"/>
        <item m="1" x="45"/>
        <item m="1" x="33"/>
        <item x="24"/>
        <item m="1" x="41"/>
        <item m="1" x="42"/>
        <item m="1" x="43"/>
        <item m="1" x="44"/>
        <item m="1" x="27"/>
        <item x="2"/>
        <item m="1" x="31"/>
        <item x="10"/>
        <item m="1" x="30"/>
        <item x="13"/>
        <item m="1" x="29"/>
        <item m="1" x="32"/>
        <item x="23"/>
        <item x="3"/>
        <item m="1" x="26"/>
        <item x="18"/>
        <item x="12"/>
        <item x="15"/>
        <item m="1" x="25"/>
        <item x="22"/>
      </items>
    </pivotField>
    <pivotField axis="axisRow" compact="0" outline="0" showAll="0" defaultSubtotal="0">
      <items count="4">
        <item x="2"/>
        <item x="3"/>
        <item x="0"/>
        <item x="1"/>
      </items>
    </pivotField>
    <pivotField axis="axisPage" compact="0" outline="0" showAll="0">
      <items count="16">
        <item x="3"/>
        <item x="0"/>
        <item x="6"/>
        <item x="5"/>
        <item x="2"/>
        <item x="4"/>
        <item x="1"/>
        <item m="1" x="8"/>
        <item m="1" x="13"/>
        <item m="1" x="14"/>
        <item m="1" x="10"/>
        <item m="1" x="11"/>
        <item m="1" x="9"/>
        <item m="1" x="12"/>
        <item m="1" x="7"/>
        <item t="default"/>
      </items>
    </pivotField>
    <pivotField compact="0" outline="0" showAll="0"/>
    <pivotField compact="0" outline="0" showAll="0"/>
    <pivotField compact="0" outline="0" showAll="0"/>
    <pivotField compact="0" outline="0" showAll="0"/>
    <pivotField compact="0" outline="0" showAll="0"/>
    <pivotField axis="axisRow" compact="0" outline="0" showAll="0" defaultSubtotal="0">
      <items count="10">
        <item x="4"/>
        <item x="0"/>
        <item x="3"/>
        <item h="1" x="5"/>
        <item x="1"/>
        <item h="1" x="2"/>
        <item x="6"/>
        <item h="1" m="1" x="7"/>
        <item h="1" m="1" x="9"/>
        <item h="1" m="1" x="8"/>
      </items>
    </pivotField>
    <pivotField axis="axisRow" compact="0" outline="0" showAll="0" defaultSubtotal="0">
      <items count="58">
        <item m="1" x="50"/>
        <item m="1" x="37"/>
        <item m="1" x="31"/>
        <item x="21"/>
        <item x="16"/>
        <item x="19"/>
        <item x="2"/>
        <item x="0"/>
        <item m="1" x="57"/>
        <item m="1" x="25"/>
        <item m="1" x="38"/>
        <item x="1"/>
        <item x="13"/>
        <item x="18"/>
        <item m="1" x="45"/>
        <item m="1" x="24"/>
        <item m="1" x="56"/>
        <item m="1" x="54"/>
        <item x="7"/>
        <item x="5"/>
        <item m="1" x="46"/>
        <item m="1" x="41"/>
        <item m="1" x="51"/>
        <item m="1" x="47"/>
        <item m="1" x="49"/>
        <item m="1" x="44"/>
        <item m="1" x="30"/>
        <item m="1" x="52"/>
        <item m="1" x="53"/>
        <item m="1" x="55"/>
        <item m="1" x="26"/>
        <item m="1" x="27"/>
        <item m="1" x="28"/>
        <item m="1" x="29"/>
        <item m="1" x="32"/>
        <item m="1" x="33"/>
        <item m="1" x="36"/>
        <item m="1" x="39"/>
        <item m="1" x="35"/>
        <item m="1" x="48"/>
        <item m="1" x="43"/>
        <item x="9"/>
        <item x="3"/>
        <item x="12"/>
        <item x="11"/>
        <item m="1" x="42"/>
        <item x="14"/>
        <item x="15"/>
        <item m="1" x="34"/>
        <item x="8"/>
        <item x="6"/>
        <item m="1" x="40"/>
        <item x="23"/>
        <item x="4"/>
        <item x="17"/>
        <item x="10"/>
        <item x="20"/>
        <item x="22"/>
      </items>
    </pivotField>
    <pivotField axis="axisRow" compact="0" outline="0" showAll="0">
      <items count="68">
        <item x="11"/>
        <item x="24"/>
        <item m="1" x="40"/>
        <item m="1" x="56"/>
        <item x="1"/>
        <item m="1" x="32"/>
        <item x="2"/>
        <item x="0"/>
        <item m="1" x="58"/>
        <item x="23"/>
        <item x="22"/>
        <item m="1" x="55"/>
        <item m="1" x="33"/>
        <item m="1" x="36"/>
        <item m="1" x="38"/>
        <item x="13"/>
        <item m="1" x="48"/>
        <item m="1" x="57"/>
        <item x="28"/>
        <item m="1" x="41"/>
        <item x="25"/>
        <item x="12"/>
        <item m="1" x="31"/>
        <item m="1" x="50"/>
        <item m="1" x="64"/>
        <item x="19"/>
        <item x="27"/>
        <item m="1" x="54"/>
        <item m="1" x="66"/>
        <item m="1" x="51"/>
        <item m="1" x="63"/>
        <item m="1" x="59"/>
        <item x="6"/>
        <item m="1" x="60"/>
        <item m="1" x="61"/>
        <item m="1" x="62"/>
        <item m="1" x="65"/>
        <item m="1" x="34"/>
        <item m="1" x="35"/>
        <item m="1" x="39"/>
        <item x="29"/>
        <item m="1" x="45"/>
        <item m="1" x="43"/>
        <item m="1" x="44"/>
        <item m="1" x="37"/>
        <item x="10"/>
        <item m="1" x="46"/>
        <item x="3"/>
        <item x="9"/>
        <item x="14"/>
        <item x="5"/>
        <item x="15"/>
        <item x="16"/>
        <item x="17"/>
        <item x="18"/>
        <item x="26"/>
        <item m="1" x="53"/>
        <item m="1" x="42"/>
        <item x="20"/>
        <item m="1" x="47"/>
        <item m="1" x="52"/>
        <item m="1" x="49"/>
        <item x="7"/>
        <item x="21"/>
        <item x="30"/>
        <item x="4"/>
        <item x="8"/>
        <item t="default"/>
      </items>
    </pivotField>
    <pivotField compact="0" outline="0" showAll="0"/>
    <pivotField compact="0" numFmtId="22" outline="0" showAll="0"/>
    <pivotField compact="0" outline="0" showAll="0"/>
    <pivotField compact="0" numFmtId="22" outline="0" showAll="0"/>
    <pivotField compact="0" outline="0" showAll="0"/>
    <pivotField compact="0" outline="0" showAll="0"/>
    <pivotField axis="axisPage" compact="0" outline="0" showAll="0">
      <items count="1384">
        <item x="0"/>
        <item m="1" x="1"/>
        <item m="1" x="1076"/>
        <item m="1" x="1077"/>
        <item m="1" x="1078"/>
        <item m="1" x="1079"/>
        <item m="1" x="1080"/>
        <item m="1" x="1081"/>
        <item m="1" x="1082"/>
        <item m="1" x="1083"/>
        <item m="1" x="1084"/>
        <item m="1" x="2"/>
        <item m="1" x="3"/>
        <item m="1" x="1085"/>
        <item m="1" x="1086"/>
        <item m="1" x="1087"/>
        <item m="1" x="1088"/>
        <item m="1" x="1350"/>
        <item m="1" x="1351"/>
        <item m="1" x="1352"/>
        <item m="1" x="1353"/>
        <item m="1" x="1354"/>
        <item m="1" x="1355"/>
        <item m="1" x="1356"/>
        <item m="1" x="1357"/>
        <item m="1" x="1358"/>
        <item m="1" x="1089"/>
        <item m="1" x="1090"/>
        <item m="1" x="1091"/>
        <item m="1" x="10"/>
        <item m="1" x="11"/>
        <item m="1" x="1093"/>
        <item m="1" x="1094"/>
        <item m="1" x="1095"/>
        <item m="1" x="941"/>
        <item m="1" x="942"/>
        <item m="1" x="943"/>
        <item m="1" x="944"/>
        <item m="1" x="945"/>
        <item m="1" x="946"/>
        <item m="1" x="947"/>
        <item m="1" x="948"/>
        <item m="1" x="949"/>
        <item m="1" x="952"/>
        <item m="1" x="953"/>
        <item m="1" x="954"/>
        <item m="1" x="955"/>
        <item m="1" x="1096"/>
        <item m="1" x="1097"/>
        <item m="1" x="1098"/>
        <item m="1" x="1099"/>
        <item m="1" x="1100"/>
        <item m="1" x="23"/>
        <item m="1" x="24"/>
        <item m="1" x="25"/>
        <item m="1" x="26"/>
        <item m="1" x="27"/>
        <item m="1" x="28"/>
        <item m="1" x="29"/>
        <item m="1" x="30"/>
        <item m="1" x="31"/>
        <item m="1" x="32"/>
        <item m="1" x="1101"/>
        <item m="1" x="1102"/>
        <item m="1" x="1103"/>
        <item m="1" x="1104"/>
        <item m="1" x="1105"/>
        <item m="1" x="33"/>
        <item m="1" x="35"/>
        <item m="1" x="36"/>
        <item m="1" x="1106"/>
        <item m="1" x="1107"/>
        <item m="1" x="1108"/>
        <item m="1" x="1109"/>
        <item m="1" x="1110"/>
        <item m="1" x="1111"/>
        <item m="1" x="1112"/>
        <item m="1" x="1113"/>
        <item m="1" x="1114"/>
        <item m="1" x="1115"/>
        <item m="1" x="1116"/>
        <item m="1" x="1013"/>
        <item m="1" x="1014"/>
        <item m="1" x="1015"/>
        <item m="1" x="1016"/>
        <item m="1" x="1017"/>
        <item m="1" x="1018"/>
        <item m="1" x="1021"/>
        <item m="1" x="1022"/>
        <item m="1" x="1359"/>
        <item m="1" x="1360"/>
        <item m="1" x="1361"/>
        <item m="1" x="1117"/>
        <item m="1" x="1118"/>
        <item m="1" x="1119"/>
        <item m="1" x="1120"/>
        <item m="1" x="1023"/>
        <item m="1" x="1024"/>
        <item m="1" x="1121"/>
        <item m="1" x="1122"/>
        <item m="1" x="1025"/>
        <item m="1" x="1026"/>
        <item m="1" x="50"/>
        <item m="1" x="51"/>
        <item m="1" x="52"/>
        <item m="1" x="56"/>
        <item m="1" x="58"/>
        <item m="1" x="64"/>
        <item m="1" x="65"/>
        <item m="1" x="66"/>
        <item m="1" x="67"/>
        <item m="1" x="68"/>
        <item m="1" x="1123"/>
        <item m="1" x="1124"/>
        <item m="1" x="1125"/>
        <item m="1" x="1126"/>
        <item m="1" x="1127"/>
        <item m="1" x="1128"/>
        <item m="1" x="69"/>
        <item m="1" x="70"/>
        <item m="1" x="71"/>
        <item m="1" x="74"/>
        <item m="1" x="75"/>
        <item m="1" x="1129"/>
        <item m="1" x="1130"/>
        <item m="1" x="1131"/>
        <item m="1" x="1132"/>
        <item m="1" x="1133"/>
        <item m="1" x="1030"/>
        <item m="1" x="1031"/>
        <item m="1" x="962"/>
        <item m="1" x="963"/>
        <item m="1" x="964"/>
        <item m="1" x="1134"/>
        <item m="1" x="1135"/>
        <item m="1" x="1136"/>
        <item m="1" x="1032"/>
        <item m="1" x="1033"/>
        <item m="1" x="80"/>
        <item m="1" x="96"/>
        <item m="1" x="97"/>
        <item m="1" x="1137"/>
        <item m="1" x="1138"/>
        <item m="1" x="1139"/>
        <item m="1" x="1140"/>
        <item m="1" x="1141"/>
        <item m="1" x="1142"/>
        <item m="1" x="1046"/>
        <item m="1" x="1047"/>
        <item m="1" x="1048"/>
        <item m="1" x="1143"/>
        <item m="1" x="1144"/>
        <item m="1" x="1145"/>
        <item m="1" x="1146"/>
        <item m="1" x="1147"/>
        <item m="1" x="1148"/>
        <item m="1" x="1149"/>
        <item m="1" x="1150"/>
        <item m="1" x="1151"/>
        <item m="1" x="1152"/>
        <item m="1" x="1153"/>
        <item m="1" x="1154"/>
        <item m="1" x="1362"/>
        <item m="1" x="1156"/>
        <item m="1" x="1157"/>
        <item m="1" x="1158"/>
        <item m="1" x="1159"/>
        <item m="1" x="1160"/>
        <item m="1" x="1161"/>
        <item m="1" x="1162"/>
        <item m="1" x="1363"/>
        <item m="1" x="111"/>
        <item m="1" x="112"/>
        <item m="1" x="115"/>
        <item m="1" x="116"/>
        <item m="1" x="1164"/>
        <item m="1" x="1165"/>
        <item m="1" x="1166"/>
        <item m="1" x="1167"/>
        <item m="1" x="1168"/>
        <item m="1" x="1169"/>
        <item m="1" x="1170"/>
        <item m="1" x="1171"/>
        <item m="1" x="1172"/>
        <item m="1" x="1049"/>
        <item m="1" x="1050"/>
        <item m="1" x="1051"/>
        <item m="1" x="1052"/>
        <item m="1" x="1173"/>
        <item m="1" x="1174"/>
        <item m="1" x="1175"/>
        <item m="1" x="1176"/>
        <item m="1" x="1053"/>
        <item m="1" x="1054"/>
        <item m="1" x="1364"/>
        <item m="1" x="1365"/>
        <item m="1" x="1366"/>
        <item m="1" x="1055"/>
        <item m="1" x="1056"/>
        <item m="1" x="121"/>
        <item m="1" x="122"/>
        <item m="1" x="123"/>
        <item m="1" x="124"/>
        <item m="1" x="1367"/>
        <item m="1" x="1368"/>
        <item m="1" x="1369"/>
        <item m="1" x="1370"/>
        <item m="1" x="1371"/>
        <item m="1" x="1372"/>
        <item m="1" x="1373"/>
        <item m="1" x="125"/>
        <item m="1" x="126"/>
        <item m="1" x="127"/>
        <item m="1" x="128"/>
        <item m="1" x="129"/>
        <item m="1" x="130"/>
        <item m="1" x="131"/>
        <item m="1" x="132"/>
        <item m="1" x="1177"/>
        <item m="1" x="1178"/>
        <item m="1" x="1179"/>
        <item m="1" x="1180"/>
        <item m="1" x="1181"/>
        <item m="1" x="1182"/>
        <item m="1" x="1183"/>
        <item m="1" x="1184"/>
        <item m="1" x="1185"/>
        <item m="1" x="1186"/>
        <item m="1" x="1187"/>
        <item m="1" x="138"/>
        <item m="1" x="139"/>
        <item m="1" x="140"/>
        <item m="1" x="141"/>
        <item m="1" x="142"/>
        <item m="1" x="143"/>
        <item m="1" x="145"/>
        <item m="1" x="153"/>
        <item m="1" x="154"/>
        <item m="1" x="155"/>
        <item m="1" x="156"/>
        <item m="1" x="157"/>
        <item m="1" x="1188"/>
        <item m="1" x="1189"/>
        <item m="1" x="1190"/>
        <item m="1" x="1191"/>
        <item m="1" x="1192"/>
        <item m="1" x="1193"/>
        <item m="1" x="1194"/>
        <item m="1" x="1195"/>
        <item m="1" x="1196"/>
        <item m="1" x="1197"/>
        <item m="1" x="1198"/>
        <item m="1" x="1199"/>
        <item m="1" x="1200"/>
        <item m="1" x="160"/>
        <item m="1" x="161"/>
        <item m="1" x="162"/>
        <item m="1" x="163"/>
        <item m="1" x="164"/>
        <item m="1" x="165"/>
        <item m="1" x="166"/>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67"/>
        <item m="1" x="168"/>
        <item m="1" x="169"/>
        <item m="1" x="170"/>
        <item m="1" x="171"/>
        <item m="1" x="172"/>
        <item m="1" x="173"/>
        <item m="1" x="174"/>
        <item m="1" x="175"/>
        <item m="1" x="176"/>
        <item m="1" x="177"/>
        <item m="1" x="178"/>
        <item m="1" x="179"/>
        <item m="1" x="180"/>
        <item m="1" x="181"/>
        <item m="1" x="182"/>
        <item m="1" x="183"/>
        <item m="1" x="186"/>
        <item m="1" x="187"/>
        <item m="1" x="1247"/>
        <item m="1" x="1248"/>
        <item m="1" x="1249"/>
        <item m="1" x="1250"/>
        <item m="1" x="1251"/>
        <item m="1" x="1252"/>
        <item m="1" x="188"/>
        <item m="1" x="189"/>
        <item m="1" x="190"/>
        <item m="1" x="191"/>
        <item m="1" x="192"/>
        <item m="1" x="193"/>
        <item m="1" x="1253"/>
        <item m="1" x="1254"/>
        <item m="1" x="1255"/>
        <item m="1" x="1256"/>
        <item m="1" x="194"/>
        <item m="1" x="195"/>
        <item m="1" x="196"/>
        <item m="1" x="197"/>
        <item m="1" x="198"/>
        <item m="1" x="199"/>
        <item m="1" x="200"/>
        <item m="1" x="201"/>
        <item m="1" x="202"/>
        <item m="1" x="203"/>
        <item m="1" x="204"/>
        <item m="1" x="205"/>
        <item m="1" x="206"/>
        <item m="1" x="207"/>
        <item m="1" x="208"/>
        <item m="1" x="209"/>
        <item m="1" x="1257"/>
        <item m="1" x="1258"/>
        <item m="1" x="1071"/>
        <item m="1" x="1072"/>
        <item m="1" x="1073"/>
        <item m="1" x="1074"/>
        <item m="1" x="1075"/>
        <item m="1" x="217"/>
        <item m="1" x="218"/>
        <item m="1" x="219"/>
        <item m="1" x="220"/>
        <item m="1" x="221"/>
        <item m="1" x="222"/>
        <item m="1" x="223"/>
        <item m="1" x="224"/>
        <item m="1" x="225"/>
        <item m="1" x="226"/>
        <item m="1" x="227"/>
        <item m="1" x="228"/>
        <item m="1" x="229"/>
        <item m="1" x="239"/>
        <item m="1" x="240"/>
        <item m="1" x="241"/>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71"/>
        <item m="1" x="272"/>
        <item m="1" x="273"/>
        <item m="1" x="274"/>
        <item m="1" x="275"/>
        <item m="1" x="27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64"/>
        <item m="1" x="365"/>
        <item m="1" x="366"/>
        <item m="1" x="367"/>
        <item m="1" x="368"/>
        <item m="1" x="403"/>
        <item m="1" x="404"/>
        <item m="1" x="405"/>
        <item m="1" x="406"/>
        <item m="1" x="407"/>
        <item m="1" x="408"/>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51"/>
        <item m="1" x="552"/>
        <item m="1" x="553"/>
        <item m="1" x="554"/>
        <item m="1" x="555"/>
        <item m="1" x="556"/>
        <item m="1" x="557"/>
        <item m="1" x="558"/>
        <item m="1" x="559"/>
        <item m="1" x="560"/>
        <item m="1" x="561"/>
        <item m="1" x="562"/>
        <item m="1" x="563"/>
        <item m="1" x="564"/>
        <item m="1" x="565"/>
        <item m="1" x="566"/>
        <item m="1" x="567"/>
        <item m="1" x="568"/>
        <item m="1" x="569"/>
        <item m="1" x="1259"/>
        <item m="1" x="1260"/>
        <item m="1" x="1261"/>
        <item m="1" x="1262"/>
        <item m="1" x="1263"/>
        <item m="1" x="1264"/>
        <item m="1" x="1265"/>
        <item m="1" x="1266"/>
        <item m="1" x="1267"/>
        <item m="1" x="570"/>
        <item m="1" x="571"/>
        <item m="1" x="572"/>
        <item m="1" x="573"/>
        <item m="1" x="574"/>
        <item m="1" x="575"/>
        <item m="1" x="576"/>
        <item m="1" x="577"/>
        <item m="1" x="578"/>
        <item m="1" x="579"/>
        <item m="1" x="580"/>
        <item m="1" x="581"/>
        <item m="1" x="582"/>
        <item m="1" x="586"/>
        <item m="1" x="587"/>
        <item m="1" x="588"/>
        <item m="1" x="589"/>
        <item m="1" x="590"/>
        <item m="1" x="591"/>
        <item m="1" x="592"/>
        <item m="1" x="1268"/>
        <item m="1" x="1269"/>
        <item m="1" x="1270"/>
        <item m="1" x="1271"/>
        <item m="1" x="1272"/>
        <item m="1" x="1273"/>
        <item m="1" x="1274"/>
        <item m="1" x="1275"/>
        <item m="1" x="1276"/>
        <item m="1" x="1277"/>
        <item m="1" x="1278"/>
        <item m="1" x="1279"/>
        <item m="1" x="1280"/>
        <item m="1" x="1281"/>
        <item m="1" x="1282"/>
        <item m="1" x="1283"/>
        <item m="1" x="593"/>
        <item m="1" x="594"/>
        <item m="1" x="595"/>
        <item m="1" x="596"/>
        <item m="1" x="984"/>
        <item m="1" x="985"/>
        <item m="1" x="986"/>
        <item m="1" x="987"/>
        <item m="1" x="988"/>
        <item m="1" x="989"/>
        <item m="1" x="990"/>
        <item m="1" x="991"/>
        <item m="1" x="992"/>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1284"/>
        <item m="1" x="1285"/>
        <item m="1" x="629"/>
        <item m="1" x="630"/>
        <item m="1" x="631"/>
        <item m="1" x="632"/>
        <item m="1" x="1286"/>
        <item m="1" x="1287"/>
        <item m="1" x="1288"/>
        <item m="1" x="633"/>
        <item m="1" x="634"/>
        <item m="1" x="635"/>
        <item m="1" x="636"/>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1289"/>
        <item m="1" x="1290"/>
        <item m="1" x="1291"/>
        <item m="1" x="1292"/>
        <item m="1" x="1293"/>
        <item m="1" x="1294"/>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717"/>
        <item m="1" x="1322"/>
        <item m="1" x="1323"/>
        <item m="1" x="1324"/>
        <item m="1" x="1325"/>
        <item m="1" x="1326"/>
        <item m="1" x="1327"/>
        <item m="1" x="1328"/>
        <item m="1" x="1329"/>
        <item m="1" x="1330"/>
        <item m="1" x="1331"/>
        <item m="1" x="1332"/>
        <item m="1" x="718"/>
        <item m="1" x="719"/>
        <item m="1" x="724"/>
        <item m="1" x="725"/>
        <item m="1" x="726"/>
        <item m="1" x="727"/>
        <item m="1" x="728"/>
        <item m="1" x="729"/>
        <item m="1" x="730"/>
        <item m="1" x="737"/>
        <item m="1" x="738"/>
        <item m="1" x="739"/>
        <item m="1" x="740"/>
        <item m="1" x="741"/>
        <item m="1" x="748"/>
        <item m="1" x="749"/>
        <item m="1" x="750"/>
        <item m="1" x="1333"/>
        <item m="1" x="1334"/>
        <item m="1" x="1335"/>
        <item m="1" x="1336"/>
        <item m="1" x="1337"/>
        <item m="1" x="1338"/>
        <item m="1" x="1339"/>
        <item m="1" x="1340"/>
        <item m="1" x="1341"/>
        <item m="1" x="1342"/>
        <item m="1" x="1343"/>
        <item m="1" x="1344"/>
        <item m="1" x="1345"/>
        <item m="1" x="753"/>
        <item m="1" x="757"/>
        <item m="1" x="758"/>
        <item m="1" x="759"/>
        <item m="1" x="873"/>
        <item m="1" x="874"/>
        <item m="1" x="875"/>
        <item m="1" x="877"/>
        <item m="1" x="878"/>
        <item m="1" x="879"/>
        <item m="1" x="880"/>
        <item m="1" x="886"/>
        <item m="1" x="887"/>
        <item m="1" x="888"/>
        <item m="1" x="889"/>
        <item m="1" x="890"/>
        <item m="1" x="1346"/>
        <item m="1" x="1347"/>
        <item m="1" x="1348"/>
        <item m="1" x="1349"/>
        <item m="1" x="1374"/>
        <item m="1" x="1375"/>
        <item m="1" x="1376"/>
        <item m="1" x="1377"/>
        <item m="1" x="1378"/>
        <item m="1" x="1379"/>
        <item m="1" x="1380"/>
        <item m="1" x="1381"/>
        <item m="1" x="1382"/>
        <item m="1" x="1002"/>
        <item m="1" x="1003"/>
        <item m="1" x="1004"/>
        <item m="1" x="1005"/>
        <item m="1" x="1006"/>
        <item m="1" x="1057"/>
        <item m="1" x="1058"/>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1007"/>
        <item m="1" x="1008"/>
        <item m="1" x="1092"/>
        <item m="1" x="956"/>
        <item m="1" x="957"/>
        <item m="1" x="958"/>
        <item m="1" x="1155"/>
        <item m="1" x="1163"/>
        <item m="1" x="1067"/>
        <item m="1" x="1068"/>
        <item m="1" x="1069"/>
        <item m="1" x="4"/>
        <item m="1" x="5"/>
        <item m="1" x="6"/>
        <item m="1" x="7"/>
        <item m="1" x="8"/>
        <item m="1" x="9"/>
        <item m="1" x="12"/>
        <item m="1" x="14"/>
        <item m="1" x="15"/>
        <item m="1" x="1011"/>
        <item m="1" x="1012"/>
        <item m="1" x="39"/>
        <item m="1" x="40"/>
        <item m="1" x="41"/>
        <item m="1" x="1019"/>
        <item m="1" x="1020"/>
        <item m="1" x="1059"/>
        <item m="1" x="1060"/>
        <item m="1" x="1061"/>
        <item m="1" x="53"/>
        <item m="1" x="54"/>
        <item m="1" x="55"/>
        <item m="1" x="57"/>
        <item m="1" x="59"/>
        <item m="1" x="60"/>
        <item m="1" x="61"/>
        <item m="1" x="62"/>
        <item m="1" x="63"/>
        <item m="1" x="72"/>
        <item m="1" x="73"/>
        <item m="1" x="76"/>
        <item m="1" x="77"/>
        <item m="1" x="78"/>
        <item m="1" x="965"/>
        <item m="1" x="966"/>
        <item m="1" x="967"/>
        <item m="1" x="1062"/>
        <item m="1" x="1063"/>
        <item m="1" x="1064"/>
        <item m="1" x="968"/>
        <item m="1" x="969"/>
        <item m="1" x="970"/>
        <item m="1" x="971"/>
        <item m="1" x="100"/>
        <item m="1" x="101"/>
        <item m="1" x="102"/>
        <item m="1" x="939"/>
        <item m="1" x="940"/>
        <item m="1" x="104"/>
        <item m="1" x="105"/>
        <item m="1" x="106"/>
        <item m="1" x="107"/>
        <item m="1" x="108"/>
        <item m="1" x="109"/>
        <item m="1" x="110"/>
        <item m="1" x="975"/>
        <item m="1" x="976"/>
        <item m="1" x="113"/>
        <item m="1" x="114"/>
        <item m="1" x="133"/>
        <item m="1" x="135"/>
        <item m="1" x="136"/>
        <item m="1" x="137"/>
        <item m="1" x="1065"/>
        <item m="1" x="1066"/>
        <item m="1" x="1070"/>
        <item m="1" x="210"/>
        <item m="1" x="212"/>
        <item m="1" x="213"/>
        <item m="1" x="234"/>
        <item m="1" x="235"/>
        <item m="1" x="236"/>
        <item m="1" x="980"/>
        <item m="1" x="981"/>
        <item m="1" x="982"/>
        <item m="1" x="983"/>
        <item m="1" x="369"/>
        <item m="1" x="370"/>
        <item m="1" x="371"/>
        <item m="1" x="372"/>
        <item m="1" x="373"/>
        <item m="1" x="374"/>
        <item m="1" x="375"/>
        <item m="1" x="376"/>
        <item m="1" x="377"/>
        <item m="1" x="382"/>
        <item m="1" x="383"/>
        <item m="1" x="384"/>
        <item m="1" x="385"/>
        <item m="1" x="386"/>
        <item m="1" x="387"/>
        <item m="1" x="388"/>
        <item m="1" x="389"/>
        <item m="1" x="390"/>
        <item m="1" x="391"/>
        <item m="1" x="399"/>
        <item m="1" x="400"/>
        <item m="1" x="401"/>
        <item m="1" x="402"/>
        <item m="1" x="409"/>
        <item m="1" x="410"/>
        <item m="1" x="411"/>
        <item m="1" x="412"/>
        <item m="1" x="413"/>
        <item m="1" x="414"/>
        <item m="1" x="439"/>
        <item m="1" x="440"/>
        <item m="1" x="441"/>
        <item m="1" x="442"/>
        <item m="1" x="443"/>
        <item m="1" x="511"/>
        <item m="1" x="512"/>
        <item m="1" x="513"/>
        <item m="1" x="514"/>
        <item m="1" x="515"/>
        <item m="1" x="516"/>
        <item m="1" x="547"/>
        <item m="1" x="548"/>
        <item m="1" x="549"/>
        <item m="1" x="550"/>
        <item m="1" x="637"/>
        <item m="1" x="638"/>
        <item m="1" x="639"/>
        <item m="1" x="640"/>
        <item m="1" x="641"/>
        <item m="1" x="642"/>
        <item m="1" x="643"/>
        <item m="1" x="720"/>
        <item m="1" x="721"/>
        <item m="1" x="722"/>
        <item m="1" x="723"/>
        <item m="1" x="731"/>
        <item m="1" x="732"/>
        <item m="1" x="733"/>
        <item m="1" x="734"/>
        <item m="1" x="735"/>
        <item m="1" x="736"/>
        <item m="1" x="742"/>
        <item m="1" x="743"/>
        <item m="1" x="744"/>
        <item m="1" x="745"/>
        <item m="1" x="746"/>
        <item m="1" x="747"/>
        <item m="1" x="754"/>
        <item m="1" x="755"/>
        <item m="1" x="756"/>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8"/>
        <item m="1" x="789"/>
        <item m="1" x="792"/>
        <item m="1" x="793"/>
        <item m="1" x="794"/>
        <item m="1" x="795"/>
        <item m="1" x="796"/>
        <item m="1" x="797"/>
        <item m="1" x="798"/>
        <item m="1" x="799"/>
        <item m="1" x="800"/>
        <item m="1" x="801"/>
        <item m="1" x="802"/>
        <item m="1" x="803"/>
        <item m="1" x="804"/>
        <item m="1" x="805"/>
        <item m="1" x="809"/>
        <item m="1" x="810"/>
        <item m="1" x="811"/>
        <item m="1" x="812"/>
        <item m="1" x="813"/>
        <item m="1" x="814"/>
        <item m="1" x="815"/>
        <item m="1" x="816"/>
        <item m="1" x="819"/>
        <item m="1" x="820"/>
        <item m="1" x="821"/>
        <item m="1" x="822"/>
        <item m="1" x="823"/>
        <item m="1" x="824"/>
        <item m="1" x="825"/>
        <item m="1" x="826"/>
        <item m="1" x="827"/>
        <item m="1" x="828"/>
        <item m="1" x="831"/>
        <item m="1" x="832"/>
        <item m="1" x="833"/>
        <item m="1" x="834"/>
        <item m="1" x="835"/>
        <item m="1" x="836"/>
        <item m="1" x="837"/>
        <item m="1" x="838"/>
        <item m="1" x="839"/>
        <item m="1" x="842"/>
        <item m="1" x="843"/>
        <item m="1" x="844"/>
        <item m="1" x="845"/>
        <item m="1" x="846"/>
        <item m="1" x="847"/>
        <item m="1" x="848"/>
        <item m="1" x="849"/>
        <item m="1" x="850"/>
        <item m="1" x="851"/>
        <item m="1" x="852"/>
        <item m="1" x="853"/>
        <item m="1" x="856"/>
        <item m="1" x="857"/>
        <item m="1" x="858"/>
        <item m="1" x="859"/>
        <item m="1" x="860"/>
        <item m="1" x="861"/>
        <item m="1" x="862"/>
        <item m="1" x="863"/>
        <item m="1" x="864"/>
        <item m="1" x="865"/>
        <item m="1" x="866"/>
        <item m="1" x="867"/>
        <item m="1" x="868"/>
        <item m="1" x="869"/>
        <item m="1" x="870"/>
        <item m="1" x="876"/>
        <item m="1" x="993"/>
        <item m="1" x="994"/>
        <item m="1" x="995"/>
        <item m="1" x="908"/>
        <item m="1" x="909"/>
        <item m="1" x="910"/>
        <item m="1" x="1000"/>
        <item m="1" x="1001"/>
        <item m="1" x="950"/>
        <item m="1" x="951"/>
        <item m="1" x="16"/>
        <item m="1" x="17"/>
        <item m="1" x="18"/>
        <item m="1" x="19"/>
        <item m="1" x="20"/>
        <item m="1" x="21"/>
        <item m="1" x="959"/>
        <item m="1" x="960"/>
        <item m="1" x="961"/>
        <item m="1" x="42"/>
        <item m="1" x="43"/>
        <item m="1" x="44"/>
        <item m="1" x="1027"/>
        <item m="1" x="1028"/>
        <item m="1" x="1029"/>
        <item m="1" x="79"/>
        <item m="1" x="1034"/>
        <item m="1" x="1035"/>
        <item m="1" x="1036"/>
        <item m="1" x="1037"/>
        <item m="1" x="1038"/>
        <item m="1" x="1039"/>
        <item m="1" x="1040"/>
        <item m="1" x="1041"/>
        <item m="1" x="1042"/>
        <item m="1" x="1043"/>
        <item m="1" x="1044"/>
        <item m="1" x="1045"/>
        <item m="1" x="87"/>
        <item m="1" x="88"/>
        <item m="1" x="89"/>
        <item m="1" x="103"/>
        <item m="1" x="134"/>
        <item m="1" x="144"/>
        <item m="1" x="977"/>
        <item m="1" x="978"/>
        <item m="1" x="979"/>
        <item m="1" x="583"/>
        <item m="1" x="584"/>
        <item m="1" x="585"/>
        <item m="1" x="883"/>
        <item m="1" x="884"/>
        <item m="1" x="885"/>
        <item m="1" x="996"/>
        <item m="1" x="997"/>
        <item m="1" x="998"/>
        <item m="1" x="999"/>
        <item m="1" x="13"/>
        <item m="1" x="1009"/>
        <item m="1" x="1010"/>
        <item m="1" x="37"/>
        <item m="1" x="38"/>
        <item m="1" x="972"/>
        <item m="1" x="973"/>
        <item m="1" x="974"/>
        <item m="1" x="211"/>
        <item m="1" x="215"/>
        <item m="1" x="216"/>
        <item m="1" x="230"/>
        <item m="1" x="231"/>
        <item m="1" x="232"/>
        <item m="1" x="233"/>
        <item m="1" x="237"/>
        <item m="1" x="238"/>
        <item m="1" x="242"/>
        <item m="1" x="243"/>
        <item m="1" x="244"/>
        <item m="1" x="245"/>
        <item m="1" x="246"/>
        <item m="1" x="247"/>
        <item m="1" x="269"/>
        <item m="1" x="270"/>
        <item m="1" x="751"/>
        <item m="1" x="752"/>
        <item m="1" x="786"/>
        <item m="1" x="787"/>
        <item m="1" x="790"/>
        <item m="1" x="791"/>
        <item m="1" x="806"/>
        <item m="1" x="807"/>
        <item m="1" x="808"/>
        <item m="1" x="817"/>
        <item m="1" x="818"/>
        <item m="1" x="829"/>
        <item m="1" x="830"/>
        <item m="1" x="840"/>
        <item m="1" x="841"/>
        <item m="1" x="854"/>
        <item m="1" x="855"/>
        <item m="1" x="22"/>
        <item m="1" x="48"/>
        <item m="1" x="49"/>
        <item m="1" x="34"/>
        <item m="1" x="45"/>
        <item m="1" x="46"/>
        <item m="1" x="47"/>
        <item m="1" x="81"/>
        <item m="1" x="82"/>
        <item m="1" x="83"/>
        <item m="1" x="84"/>
        <item m="1" x="85"/>
        <item m="1" x="86"/>
        <item m="1" x="90"/>
        <item m="1" x="91"/>
        <item m="1" x="92"/>
        <item m="1" x="93"/>
        <item m="1" x="94"/>
        <item m="1" x="95"/>
        <item m="1" x="117"/>
        <item m="1" x="118"/>
        <item m="1" x="119"/>
        <item m="1" x="120"/>
        <item m="1" x="146"/>
        <item m="1" x="147"/>
        <item m="1" x="148"/>
        <item m="1" x="149"/>
        <item m="1" x="150"/>
        <item m="1" x="151"/>
        <item m="1" x="152"/>
        <item m="1" x="158"/>
        <item m="1" x="159"/>
        <item m="1" x="184"/>
        <item m="1" x="185"/>
        <item m="1" x="214"/>
        <item m="1" x="357"/>
        <item m="1" x="358"/>
        <item m="1" x="359"/>
        <item m="1" x="360"/>
        <item m="1" x="361"/>
        <item m="1" x="362"/>
        <item m="1" x="363"/>
        <item m="1" x="378"/>
        <item m="1" x="379"/>
        <item m="1" x="380"/>
        <item m="1" x="381"/>
        <item m="1" x="392"/>
        <item m="1" x="393"/>
        <item m="1" x="394"/>
        <item m="1" x="395"/>
        <item m="1" x="396"/>
        <item m="1" x="397"/>
        <item m="1" x="398"/>
        <item m="1" x="871"/>
        <item m="1" x="872"/>
        <item m="1" x="881"/>
        <item m="1" x="882"/>
        <item m="1" x="891"/>
        <item m="1" x="892"/>
        <item m="1" x="893"/>
        <item m="1" x="894"/>
        <item m="1" x="895"/>
        <item m="1" x="896"/>
        <item m="1" x="897"/>
        <item m="1" x="898"/>
        <item m="1" x="899"/>
        <item m="1" x="900"/>
        <item m="1" x="901"/>
        <item m="1" x="902"/>
        <item m="1" x="903"/>
        <item m="1" x="904"/>
        <item m="1" x="905"/>
        <item m="1" x="906"/>
        <item m="1" x="907"/>
        <item m="1" x="937"/>
        <item m="1" x="938"/>
        <item m="1" x="98"/>
        <item m="1" x="99"/>
        <item t="default"/>
      </items>
    </pivotField>
    <pivotField compact="0" outline="0" showAll="0"/>
    <pivotField dataField="1" compact="0" numFmtId="164" outline="0" showAll="0"/>
    <pivotField compact="0" outline="0" showAll="0"/>
    <pivotField compact="0" outline="0" showAll="0"/>
    <pivotField compact="0" outline="0" showAll="0"/>
    <pivotField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1"/>
        <item sd="0" x="2"/>
        <item sd="0" x="3"/>
        <item sd="0" x="4"/>
        <item x="0"/>
        <item x="5"/>
      </items>
    </pivotField>
    <pivotField compact="0" outline="0" showAll="0" defaultSubtotal="0">
      <items count="8">
        <item sd="0" x="1"/>
        <item sd="0" x="2"/>
        <item sd="0" x="3"/>
        <item x="4"/>
        <item x="5"/>
        <item x="6"/>
        <item x="0"/>
        <item x="7"/>
      </items>
    </pivotField>
    <pivotField compact="0" outline="0" dragToRow="0" dragToCol="0" dragToPage="0" showAll="0" defaultSubtota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1"/>
        <item sd="0" x="2"/>
        <item sd="0" x="3"/>
        <item sd="0" x="4"/>
        <item x="0"/>
        <item x="5"/>
        <item t="default"/>
      </items>
    </pivotField>
    <pivotField compact="0" outline="0" showAll="0">
      <items count="4">
        <item sd="0" x="1"/>
        <item x="0"/>
        <item x="2"/>
        <item t="default"/>
      </items>
    </pivotField>
  </pivotFields>
  <rowFields count="7">
    <field x="1"/>
    <field x="0"/>
    <field x="12"/>
    <field x="4"/>
    <field x="5"/>
    <field x="13"/>
    <field x="14"/>
  </rowFields>
  <rowItems count="11">
    <i>
      <x v="10"/>
      <x v="39"/>
      <x v="1"/>
      <x v="7"/>
      <x v="2"/>
      <x v="44"/>
      <x/>
    </i>
    <i r="1">
      <x v="40"/>
      <x v="1"/>
      <x v="35"/>
      <x/>
      <x v="43"/>
      <x v="49"/>
    </i>
    <i>
      <x v="11"/>
      <x v="10"/>
      <x v="1"/>
      <x v="39"/>
      <x v="2"/>
      <x v="42"/>
      <x v="47"/>
    </i>
    <i r="1">
      <x v="29"/>
      <x v="2"/>
      <x/>
      <x v="2"/>
      <x v="41"/>
      <x/>
    </i>
    <i r="1">
      <x v="30"/>
      <x v="2"/>
      <x v="14"/>
      <x v="2"/>
      <x v="11"/>
      <x/>
    </i>
    <i r="1">
      <x v="31"/>
      <x v="4"/>
      <x v="33"/>
      <x v="2"/>
      <x v="11"/>
      <x v="21"/>
    </i>
    <i>
      <x v="13"/>
      <x v="32"/>
      <x v="1"/>
      <x v="9"/>
      <x/>
      <x v="7"/>
      <x v="7"/>
    </i>
    <i r="1">
      <x v="34"/>
      <x v="1"/>
      <x v="9"/>
      <x/>
      <x v="7"/>
      <x v="7"/>
    </i>
    <i r="1">
      <x v="41"/>
      <x v="1"/>
      <x v="9"/>
      <x v="3"/>
      <x v="7"/>
      <x v="7"/>
    </i>
    <i r="1">
      <x v="80"/>
      <x v="6"/>
      <x v="9"/>
      <x v="3"/>
      <x v="7"/>
      <x v="7"/>
    </i>
    <i t="grand">
      <x/>
    </i>
  </rowItems>
  <colFields count="1">
    <field x="-2"/>
  </colFields>
  <colItems count="2">
    <i>
      <x/>
    </i>
    <i i="1">
      <x v="1"/>
    </i>
  </colItems>
  <pageFields count="2">
    <pageField fld="21" item="0" hier="-1"/>
    <pageField fld="6" item="6" hier="-1"/>
  </pageFields>
  <dataFields count="2">
    <dataField name="Revenue" fld="3" baseField="5" baseItem="3" numFmtId="42"/>
    <dataField name="GM Contribution" fld="23" baseField="15" baseItem="10" numFmtId="164"/>
  </dataFields>
  <formats count="11">
    <format dxfId="626">
      <pivotArea outline="0" fieldPosition="0">
        <references count="1">
          <reference field="4294967294" count="1">
            <x v="0"/>
          </reference>
        </references>
      </pivotArea>
    </format>
    <format dxfId="625">
      <pivotArea dataOnly="0" labelOnly="1" outline="0" fieldPosition="0">
        <references count="1">
          <reference field="4" count="0"/>
        </references>
      </pivotArea>
    </format>
    <format dxfId="624">
      <pivotArea dataOnly="0" labelOnly="1" outline="0" fieldPosition="0">
        <references count="1">
          <reference field="4" count="0"/>
        </references>
      </pivotArea>
    </format>
    <format dxfId="623">
      <pivotArea dataOnly="0" labelOnly="1" outline="0" fieldPosition="0">
        <references count="1">
          <reference field="5" count="0"/>
        </references>
      </pivotArea>
    </format>
    <format dxfId="622">
      <pivotArea field="4" type="button" dataOnly="0" labelOnly="1" outline="0" axis="axisRow" fieldPosition="3"/>
    </format>
    <format dxfId="621">
      <pivotArea field="5" type="button" dataOnly="0" labelOnly="1" outline="0" axis="axisRow" fieldPosition="4"/>
    </format>
    <format dxfId="620">
      <pivotArea field="13" type="button" dataOnly="0" labelOnly="1" outline="0" axis="axisRow" fieldPosition="5"/>
    </format>
    <format dxfId="619">
      <pivotArea field="14" type="button" dataOnly="0" labelOnly="1" outline="0" axis="axisRow" fieldPosition="6"/>
    </format>
    <format dxfId="618">
      <pivotArea dataOnly="0" labelOnly="1" outline="0" fieldPosition="0">
        <references count="1">
          <reference field="13" count="0"/>
        </references>
      </pivotArea>
    </format>
    <format dxfId="617">
      <pivotArea dataOnly="0" labelOnly="1" outline="0" fieldPosition="0">
        <references count="1">
          <reference field="14" count="0"/>
        </references>
      </pivotArea>
    </format>
    <format dxfId="616">
      <pivotArea dataOnly="0" labelOnly="1" outline="0" fieldPosition="0">
        <references count="1">
          <reference field="4294967294" count="1">
            <x v="0"/>
          </reference>
        </references>
      </pivotArea>
    </format>
  </formats>
  <pivotTableStyleInfo name="PivotStyleMedium15" showRowHeaders="0"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90C174-401B-486E-91B4-D0ABB79428A7}" name="PivotTable6" cacheId="15" applyNumberFormats="0" applyBorderFormats="0" applyFontFormats="0" applyPatternFormats="0" applyAlignmentFormats="0" applyWidthHeightFormats="1" dataCaption="Values" showMissing="0" updatedVersion="8" minRefreshableVersion="3" itemPrintTitles="1" createdVersion="8" indent="0" compact="0" compactData="0" multipleFieldFilters="0">
  <location ref="J53:R79" firstHeaderRow="0" firstDataRow="1" firstDataCol="7" rowPageCount="2" colPageCount="1"/>
  <pivotFields count="36">
    <pivotField axis="axisRow" compact="0" outline="0" showAll="0" sortType="ascending" defaultSubtotal="0">
      <items count="96">
        <item m="1" x="93"/>
        <item m="1" x="94"/>
        <item m="1" x="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s>
    </pivotField>
    <pivotField axis="axisRow" compact="0" outline="0" showAll="0" sortType="descending" defaultSubtotal="0">
      <items count="14">
        <item h="1" x="5"/>
        <item h="1" m="1" x="10"/>
        <item h="1" m="1" x="8"/>
        <item h="1" m="1" x="7"/>
        <item h="1" m="1" x="12"/>
        <item h="1" x="4"/>
        <item h="1" m="1" x="9"/>
        <item h="1" m="1" x="11"/>
        <item m="1" x="6"/>
        <item h="1" m="1" x="13"/>
        <item x="3"/>
        <item x="1"/>
        <item x="2"/>
        <item x="0"/>
      </items>
    </pivotField>
    <pivotField compact="0" outline="0" showAll="0"/>
    <pivotField dataField="1" compact="0" outline="0" showAll="0"/>
    <pivotField axis="axisRow" compact="0" outline="0" showAll="0" defaultSubtotal="0">
      <items count="46">
        <item x="8"/>
        <item x="7"/>
        <item x="6"/>
        <item x="1"/>
        <item x="17"/>
        <item x="5"/>
        <item x="4"/>
        <item x="11"/>
        <item x="21"/>
        <item x="0"/>
        <item m="1" x="28"/>
        <item m="1" x="40"/>
        <item x="20"/>
        <item m="1" x="34"/>
        <item x="9"/>
        <item m="1" x="38"/>
        <item x="14"/>
        <item m="1" x="35"/>
        <item m="1" x="37"/>
        <item x="19"/>
        <item m="1" x="36"/>
        <item m="1" x="39"/>
        <item x="16"/>
        <item m="1" x="45"/>
        <item m="1" x="33"/>
        <item x="24"/>
        <item m="1" x="41"/>
        <item m="1" x="42"/>
        <item m="1" x="43"/>
        <item m="1" x="44"/>
        <item m="1" x="27"/>
        <item x="2"/>
        <item m="1" x="31"/>
        <item x="10"/>
        <item m="1" x="30"/>
        <item x="13"/>
        <item m="1" x="29"/>
        <item m="1" x="32"/>
        <item x="23"/>
        <item x="3"/>
        <item m="1" x="26"/>
        <item x="18"/>
        <item x="12"/>
        <item x="15"/>
        <item m="1" x="25"/>
        <item x="22"/>
      </items>
    </pivotField>
    <pivotField axis="axisRow" compact="0" outline="0" showAll="0" defaultSubtotal="0">
      <items count="4">
        <item x="2"/>
        <item x="3"/>
        <item x="0"/>
        <item x="1"/>
      </items>
    </pivotField>
    <pivotField axis="axisPage" compact="0" outline="0" showAll="0">
      <items count="16">
        <item x="3"/>
        <item x="0"/>
        <item x="6"/>
        <item x="5"/>
        <item x="2"/>
        <item x="4"/>
        <item x="1"/>
        <item m="1" x="8"/>
        <item m="1" x="13"/>
        <item m="1" x="14"/>
        <item m="1" x="10"/>
        <item m="1" x="11"/>
        <item m="1" x="9"/>
        <item m="1" x="12"/>
        <item m="1" x="7"/>
        <item t="default"/>
      </items>
    </pivotField>
    <pivotField compact="0" outline="0" showAll="0"/>
    <pivotField compact="0" outline="0" showAll="0"/>
    <pivotField compact="0" outline="0" showAll="0"/>
    <pivotField compact="0" outline="0" showAll="0"/>
    <pivotField compact="0" outline="0" showAll="0"/>
    <pivotField axis="axisRow" compact="0" outline="0" showAll="0" defaultSubtotal="0">
      <items count="10">
        <item x="4"/>
        <item x="0"/>
        <item x="3"/>
        <item h="1" x="5"/>
        <item x="1"/>
        <item h="1" x="2"/>
        <item x="6"/>
        <item h="1" m="1" x="7"/>
        <item h="1" m="1" x="9"/>
        <item h="1" m="1" x="8"/>
      </items>
    </pivotField>
    <pivotField axis="axisRow" compact="0" outline="0" showAll="0" defaultSubtotal="0">
      <items count="58">
        <item m="1" x="50"/>
        <item m="1" x="37"/>
        <item m="1" x="31"/>
        <item x="21"/>
        <item x="16"/>
        <item x="19"/>
        <item x="2"/>
        <item x="0"/>
        <item m="1" x="57"/>
        <item m="1" x="25"/>
        <item m="1" x="38"/>
        <item x="1"/>
        <item x="13"/>
        <item x="18"/>
        <item m="1" x="45"/>
        <item m="1" x="24"/>
        <item m="1" x="56"/>
        <item m="1" x="54"/>
        <item x="7"/>
        <item x="5"/>
        <item m="1" x="46"/>
        <item m="1" x="41"/>
        <item m="1" x="51"/>
        <item m="1" x="47"/>
        <item m="1" x="49"/>
        <item m="1" x="44"/>
        <item m="1" x="30"/>
        <item m="1" x="52"/>
        <item m="1" x="53"/>
        <item m="1" x="55"/>
        <item m="1" x="26"/>
        <item m="1" x="27"/>
        <item m="1" x="28"/>
        <item m="1" x="29"/>
        <item m="1" x="32"/>
        <item m="1" x="33"/>
        <item m="1" x="36"/>
        <item m="1" x="39"/>
        <item m="1" x="35"/>
        <item m="1" x="48"/>
        <item m="1" x="43"/>
        <item x="9"/>
        <item x="3"/>
        <item x="12"/>
        <item x="11"/>
        <item m="1" x="42"/>
        <item x="14"/>
        <item x="15"/>
        <item m="1" x="34"/>
        <item x="8"/>
        <item x="6"/>
        <item m="1" x="40"/>
        <item x="23"/>
        <item x="4"/>
        <item x="17"/>
        <item x="10"/>
        <item x="20"/>
        <item x="22"/>
      </items>
    </pivotField>
    <pivotField axis="axisRow" compact="0" outline="0" showAll="0">
      <items count="68">
        <item x="11"/>
        <item x="24"/>
        <item m="1" x="40"/>
        <item m="1" x="56"/>
        <item x="1"/>
        <item m="1" x="32"/>
        <item x="2"/>
        <item x="0"/>
        <item m="1" x="58"/>
        <item x="23"/>
        <item x="22"/>
        <item m="1" x="55"/>
        <item m="1" x="33"/>
        <item m="1" x="36"/>
        <item m="1" x="38"/>
        <item x="13"/>
        <item m="1" x="48"/>
        <item m="1" x="57"/>
        <item x="28"/>
        <item m="1" x="41"/>
        <item x="25"/>
        <item x="12"/>
        <item m="1" x="31"/>
        <item m="1" x="50"/>
        <item m="1" x="64"/>
        <item x="19"/>
        <item x="27"/>
        <item m="1" x="54"/>
        <item m="1" x="66"/>
        <item m="1" x="51"/>
        <item m="1" x="63"/>
        <item m="1" x="59"/>
        <item x="6"/>
        <item m="1" x="60"/>
        <item m="1" x="61"/>
        <item m="1" x="62"/>
        <item m="1" x="65"/>
        <item m="1" x="34"/>
        <item m="1" x="35"/>
        <item m="1" x="39"/>
        <item x="29"/>
        <item m="1" x="45"/>
        <item m="1" x="43"/>
        <item m="1" x="44"/>
        <item m="1" x="37"/>
        <item x="10"/>
        <item m="1" x="46"/>
        <item x="3"/>
        <item x="9"/>
        <item x="14"/>
        <item x="5"/>
        <item x="15"/>
        <item x="16"/>
        <item x="17"/>
        <item x="18"/>
        <item x="26"/>
        <item m="1" x="53"/>
        <item m="1" x="42"/>
        <item x="20"/>
        <item m="1" x="47"/>
        <item m="1" x="52"/>
        <item m="1" x="49"/>
        <item x="7"/>
        <item x="21"/>
        <item x="30"/>
        <item x="4"/>
        <item x="8"/>
        <item t="default"/>
      </items>
    </pivotField>
    <pivotField compact="0" outline="0" showAll="0"/>
    <pivotField compact="0" numFmtId="22" outline="0" showAll="0"/>
    <pivotField compact="0" outline="0" showAll="0"/>
    <pivotField compact="0" numFmtId="22" outline="0" showAll="0"/>
    <pivotField compact="0" outline="0" showAll="0"/>
    <pivotField compact="0" outline="0" showAll="0"/>
    <pivotField axis="axisPage" compact="0" outline="0" showAll="0">
      <items count="1384">
        <item x="0"/>
        <item m="1" x="1"/>
        <item m="1" x="1076"/>
        <item m="1" x="1077"/>
        <item m="1" x="1078"/>
        <item m="1" x="1079"/>
        <item m="1" x="1080"/>
        <item m="1" x="1081"/>
        <item m="1" x="1082"/>
        <item m="1" x="1083"/>
        <item m="1" x="1084"/>
        <item m="1" x="2"/>
        <item m="1" x="3"/>
        <item m="1" x="1085"/>
        <item m="1" x="1086"/>
        <item m="1" x="1087"/>
        <item m="1" x="1088"/>
        <item m="1" x="1350"/>
        <item m="1" x="1351"/>
        <item m="1" x="1352"/>
        <item m="1" x="1353"/>
        <item m="1" x="1354"/>
        <item m="1" x="1355"/>
        <item m="1" x="1356"/>
        <item m="1" x="1357"/>
        <item m="1" x="1358"/>
        <item m="1" x="1089"/>
        <item m="1" x="1090"/>
        <item m="1" x="1091"/>
        <item m="1" x="10"/>
        <item m="1" x="11"/>
        <item m="1" x="1093"/>
        <item m="1" x="1094"/>
        <item m="1" x="1095"/>
        <item m="1" x="941"/>
        <item m="1" x="942"/>
        <item m="1" x="943"/>
        <item m="1" x="944"/>
        <item m="1" x="945"/>
        <item m="1" x="946"/>
        <item m="1" x="947"/>
        <item m="1" x="948"/>
        <item m="1" x="949"/>
        <item m="1" x="952"/>
        <item m="1" x="953"/>
        <item m="1" x="954"/>
        <item m="1" x="955"/>
        <item m="1" x="1096"/>
        <item m="1" x="1097"/>
        <item m="1" x="1098"/>
        <item m="1" x="1099"/>
        <item m="1" x="1100"/>
        <item m="1" x="23"/>
        <item m="1" x="24"/>
        <item m="1" x="25"/>
        <item m="1" x="26"/>
        <item m="1" x="27"/>
        <item m="1" x="28"/>
        <item m="1" x="29"/>
        <item m="1" x="30"/>
        <item m="1" x="31"/>
        <item m="1" x="32"/>
        <item m="1" x="1101"/>
        <item m="1" x="1102"/>
        <item m="1" x="1103"/>
        <item m="1" x="1104"/>
        <item m="1" x="1105"/>
        <item m="1" x="33"/>
        <item m="1" x="35"/>
        <item m="1" x="36"/>
        <item m="1" x="1106"/>
        <item m="1" x="1107"/>
        <item m="1" x="1108"/>
        <item m="1" x="1109"/>
        <item m="1" x="1110"/>
        <item m="1" x="1111"/>
        <item m="1" x="1112"/>
        <item m="1" x="1113"/>
        <item m="1" x="1114"/>
        <item m="1" x="1115"/>
        <item m="1" x="1116"/>
        <item m="1" x="1013"/>
        <item m="1" x="1014"/>
        <item m="1" x="1015"/>
        <item m="1" x="1016"/>
        <item m="1" x="1017"/>
        <item m="1" x="1018"/>
        <item m="1" x="1021"/>
        <item m="1" x="1022"/>
        <item m="1" x="1359"/>
        <item m="1" x="1360"/>
        <item m="1" x="1361"/>
        <item m="1" x="1117"/>
        <item m="1" x="1118"/>
        <item m="1" x="1119"/>
        <item m="1" x="1120"/>
        <item m="1" x="1023"/>
        <item m="1" x="1024"/>
        <item m="1" x="1121"/>
        <item m="1" x="1122"/>
        <item m="1" x="1025"/>
        <item m="1" x="1026"/>
        <item m="1" x="50"/>
        <item m="1" x="51"/>
        <item m="1" x="52"/>
        <item m="1" x="56"/>
        <item m="1" x="58"/>
        <item m="1" x="64"/>
        <item m="1" x="65"/>
        <item m="1" x="66"/>
        <item m="1" x="67"/>
        <item m="1" x="68"/>
        <item m="1" x="1123"/>
        <item m="1" x="1124"/>
        <item m="1" x="1125"/>
        <item m="1" x="1126"/>
        <item m="1" x="1127"/>
        <item m="1" x="1128"/>
        <item m="1" x="69"/>
        <item m="1" x="70"/>
        <item m="1" x="71"/>
        <item m="1" x="74"/>
        <item m="1" x="75"/>
        <item m="1" x="1129"/>
        <item m="1" x="1130"/>
        <item m="1" x="1131"/>
        <item m="1" x="1132"/>
        <item m="1" x="1133"/>
        <item m="1" x="1030"/>
        <item m="1" x="1031"/>
        <item m="1" x="962"/>
        <item m="1" x="963"/>
        <item m="1" x="964"/>
        <item m="1" x="1134"/>
        <item m="1" x="1135"/>
        <item m="1" x="1136"/>
        <item m="1" x="1032"/>
        <item m="1" x="1033"/>
        <item m="1" x="80"/>
        <item m="1" x="96"/>
        <item m="1" x="97"/>
        <item m="1" x="1137"/>
        <item m="1" x="1138"/>
        <item m="1" x="1139"/>
        <item m="1" x="1140"/>
        <item m="1" x="1141"/>
        <item m="1" x="1142"/>
        <item m="1" x="1046"/>
        <item m="1" x="1047"/>
        <item m="1" x="1048"/>
        <item m="1" x="1143"/>
        <item m="1" x="1144"/>
        <item m="1" x="1145"/>
        <item m="1" x="1146"/>
        <item m="1" x="1147"/>
        <item m="1" x="1148"/>
        <item m="1" x="1149"/>
        <item m="1" x="1150"/>
        <item m="1" x="1151"/>
        <item m="1" x="1152"/>
        <item m="1" x="1153"/>
        <item m="1" x="1154"/>
        <item m="1" x="1362"/>
        <item m="1" x="1156"/>
        <item m="1" x="1157"/>
        <item m="1" x="1158"/>
        <item m="1" x="1159"/>
        <item m="1" x="1160"/>
        <item m="1" x="1161"/>
        <item m="1" x="1162"/>
        <item m="1" x="1363"/>
        <item m="1" x="111"/>
        <item m="1" x="112"/>
        <item m="1" x="115"/>
        <item m="1" x="116"/>
        <item m="1" x="1164"/>
        <item m="1" x="1165"/>
        <item m="1" x="1166"/>
        <item m="1" x="1167"/>
        <item m="1" x="1168"/>
        <item m="1" x="1169"/>
        <item m="1" x="1170"/>
        <item m="1" x="1171"/>
        <item m="1" x="1172"/>
        <item m="1" x="1049"/>
        <item m="1" x="1050"/>
        <item m="1" x="1051"/>
        <item m="1" x="1052"/>
        <item m="1" x="1173"/>
        <item m="1" x="1174"/>
        <item m="1" x="1175"/>
        <item m="1" x="1176"/>
        <item m="1" x="1053"/>
        <item m="1" x="1054"/>
        <item m="1" x="1364"/>
        <item m="1" x="1365"/>
        <item m="1" x="1366"/>
        <item m="1" x="1055"/>
        <item m="1" x="1056"/>
        <item m="1" x="121"/>
        <item m="1" x="122"/>
        <item m="1" x="123"/>
        <item m="1" x="124"/>
        <item m="1" x="1367"/>
        <item m="1" x="1368"/>
        <item m="1" x="1369"/>
        <item m="1" x="1370"/>
        <item m="1" x="1371"/>
        <item m="1" x="1372"/>
        <item m="1" x="1373"/>
        <item m="1" x="125"/>
        <item m="1" x="126"/>
        <item m="1" x="127"/>
        <item m="1" x="128"/>
        <item m="1" x="129"/>
        <item m="1" x="130"/>
        <item m="1" x="131"/>
        <item m="1" x="132"/>
        <item m="1" x="1177"/>
        <item m="1" x="1178"/>
        <item m="1" x="1179"/>
        <item m="1" x="1180"/>
        <item m="1" x="1181"/>
        <item m="1" x="1182"/>
        <item m="1" x="1183"/>
        <item m="1" x="1184"/>
        <item m="1" x="1185"/>
        <item m="1" x="1186"/>
        <item m="1" x="1187"/>
        <item m="1" x="138"/>
        <item m="1" x="139"/>
        <item m="1" x="140"/>
        <item m="1" x="141"/>
        <item m="1" x="142"/>
        <item m="1" x="143"/>
        <item m="1" x="145"/>
        <item m="1" x="153"/>
        <item m="1" x="154"/>
        <item m="1" x="155"/>
        <item m="1" x="156"/>
        <item m="1" x="157"/>
        <item m="1" x="1188"/>
        <item m="1" x="1189"/>
        <item m="1" x="1190"/>
        <item m="1" x="1191"/>
        <item m="1" x="1192"/>
        <item m="1" x="1193"/>
        <item m="1" x="1194"/>
        <item m="1" x="1195"/>
        <item m="1" x="1196"/>
        <item m="1" x="1197"/>
        <item m="1" x="1198"/>
        <item m="1" x="1199"/>
        <item m="1" x="1200"/>
        <item m="1" x="160"/>
        <item m="1" x="161"/>
        <item m="1" x="162"/>
        <item m="1" x="163"/>
        <item m="1" x="164"/>
        <item m="1" x="165"/>
        <item m="1" x="166"/>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67"/>
        <item m="1" x="168"/>
        <item m="1" x="169"/>
        <item m="1" x="170"/>
        <item m="1" x="171"/>
        <item m="1" x="172"/>
        <item m="1" x="173"/>
        <item m="1" x="174"/>
        <item m="1" x="175"/>
        <item m="1" x="176"/>
        <item m="1" x="177"/>
        <item m="1" x="178"/>
        <item m="1" x="179"/>
        <item m="1" x="180"/>
        <item m="1" x="181"/>
        <item m="1" x="182"/>
        <item m="1" x="183"/>
        <item m="1" x="186"/>
        <item m="1" x="187"/>
        <item m="1" x="1247"/>
        <item m="1" x="1248"/>
        <item m="1" x="1249"/>
        <item m="1" x="1250"/>
        <item m="1" x="1251"/>
        <item m="1" x="1252"/>
        <item m="1" x="188"/>
        <item m="1" x="189"/>
        <item m="1" x="190"/>
        <item m="1" x="191"/>
        <item m="1" x="192"/>
        <item m="1" x="193"/>
        <item m="1" x="1253"/>
        <item m="1" x="1254"/>
        <item m="1" x="1255"/>
        <item m="1" x="1256"/>
        <item m="1" x="194"/>
        <item m="1" x="195"/>
        <item m="1" x="196"/>
        <item m="1" x="197"/>
        <item m="1" x="198"/>
        <item m="1" x="199"/>
        <item m="1" x="200"/>
        <item m="1" x="201"/>
        <item m="1" x="202"/>
        <item m="1" x="203"/>
        <item m="1" x="204"/>
        <item m="1" x="205"/>
        <item m="1" x="206"/>
        <item m="1" x="207"/>
        <item m="1" x="208"/>
        <item m="1" x="209"/>
        <item m="1" x="1257"/>
        <item m="1" x="1258"/>
        <item m="1" x="1071"/>
        <item m="1" x="1072"/>
        <item m="1" x="1073"/>
        <item m="1" x="1074"/>
        <item m="1" x="1075"/>
        <item m="1" x="217"/>
        <item m="1" x="218"/>
        <item m="1" x="219"/>
        <item m="1" x="220"/>
        <item m="1" x="221"/>
        <item m="1" x="222"/>
        <item m="1" x="223"/>
        <item m="1" x="224"/>
        <item m="1" x="225"/>
        <item m="1" x="226"/>
        <item m="1" x="227"/>
        <item m="1" x="228"/>
        <item m="1" x="229"/>
        <item m="1" x="239"/>
        <item m="1" x="240"/>
        <item m="1" x="241"/>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71"/>
        <item m="1" x="272"/>
        <item m="1" x="273"/>
        <item m="1" x="274"/>
        <item m="1" x="275"/>
        <item m="1" x="27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64"/>
        <item m="1" x="365"/>
        <item m="1" x="366"/>
        <item m="1" x="367"/>
        <item m="1" x="368"/>
        <item m="1" x="403"/>
        <item m="1" x="404"/>
        <item m="1" x="405"/>
        <item m="1" x="406"/>
        <item m="1" x="407"/>
        <item m="1" x="408"/>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51"/>
        <item m="1" x="552"/>
        <item m="1" x="553"/>
        <item m="1" x="554"/>
        <item m="1" x="555"/>
        <item m="1" x="556"/>
        <item m="1" x="557"/>
        <item m="1" x="558"/>
        <item m="1" x="559"/>
        <item m="1" x="560"/>
        <item m="1" x="561"/>
        <item m="1" x="562"/>
        <item m="1" x="563"/>
        <item m="1" x="564"/>
        <item m="1" x="565"/>
        <item m="1" x="566"/>
        <item m="1" x="567"/>
        <item m="1" x="568"/>
        <item m="1" x="569"/>
        <item m="1" x="1259"/>
        <item m="1" x="1260"/>
        <item m="1" x="1261"/>
        <item m="1" x="1262"/>
        <item m="1" x="1263"/>
        <item m="1" x="1264"/>
        <item m="1" x="1265"/>
        <item m="1" x="1266"/>
        <item m="1" x="1267"/>
        <item m="1" x="570"/>
        <item m="1" x="571"/>
        <item m="1" x="572"/>
        <item m="1" x="573"/>
        <item m="1" x="574"/>
        <item m="1" x="575"/>
        <item m="1" x="576"/>
        <item m="1" x="577"/>
        <item m="1" x="578"/>
        <item m="1" x="579"/>
        <item m="1" x="580"/>
        <item m="1" x="581"/>
        <item m="1" x="582"/>
        <item m="1" x="586"/>
        <item m="1" x="587"/>
        <item m="1" x="588"/>
        <item m="1" x="589"/>
        <item m="1" x="590"/>
        <item m="1" x="591"/>
        <item m="1" x="592"/>
        <item m="1" x="1268"/>
        <item m="1" x="1269"/>
        <item m="1" x="1270"/>
        <item m="1" x="1271"/>
        <item m="1" x="1272"/>
        <item m="1" x="1273"/>
        <item m="1" x="1274"/>
        <item m="1" x="1275"/>
        <item m="1" x="1276"/>
        <item m="1" x="1277"/>
        <item m="1" x="1278"/>
        <item m="1" x="1279"/>
        <item m="1" x="1280"/>
        <item m="1" x="1281"/>
        <item m="1" x="1282"/>
        <item m="1" x="1283"/>
        <item m="1" x="593"/>
        <item m="1" x="594"/>
        <item m="1" x="595"/>
        <item m="1" x="596"/>
        <item m="1" x="984"/>
        <item m="1" x="985"/>
        <item m="1" x="986"/>
        <item m="1" x="987"/>
        <item m="1" x="988"/>
        <item m="1" x="989"/>
        <item m="1" x="990"/>
        <item m="1" x="991"/>
        <item m="1" x="992"/>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1284"/>
        <item m="1" x="1285"/>
        <item m="1" x="629"/>
        <item m="1" x="630"/>
        <item m="1" x="631"/>
        <item m="1" x="632"/>
        <item m="1" x="1286"/>
        <item m="1" x="1287"/>
        <item m="1" x="1288"/>
        <item m="1" x="633"/>
        <item m="1" x="634"/>
        <item m="1" x="635"/>
        <item m="1" x="636"/>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1289"/>
        <item m="1" x="1290"/>
        <item m="1" x="1291"/>
        <item m="1" x="1292"/>
        <item m="1" x="1293"/>
        <item m="1" x="1294"/>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717"/>
        <item m="1" x="1322"/>
        <item m="1" x="1323"/>
        <item m="1" x="1324"/>
        <item m="1" x="1325"/>
        <item m="1" x="1326"/>
        <item m="1" x="1327"/>
        <item m="1" x="1328"/>
        <item m="1" x="1329"/>
        <item m="1" x="1330"/>
        <item m="1" x="1331"/>
        <item m="1" x="1332"/>
        <item m="1" x="718"/>
        <item m="1" x="719"/>
        <item m="1" x="724"/>
        <item m="1" x="725"/>
        <item m="1" x="726"/>
        <item m="1" x="727"/>
        <item m="1" x="728"/>
        <item m="1" x="729"/>
        <item m="1" x="730"/>
        <item m="1" x="737"/>
        <item m="1" x="738"/>
        <item m="1" x="739"/>
        <item m="1" x="740"/>
        <item m="1" x="741"/>
        <item m="1" x="748"/>
        <item m="1" x="749"/>
        <item m="1" x="750"/>
        <item m="1" x="1333"/>
        <item m="1" x="1334"/>
        <item m="1" x="1335"/>
        <item m="1" x="1336"/>
        <item m="1" x="1337"/>
        <item m="1" x="1338"/>
        <item m="1" x="1339"/>
        <item m="1" x="1340"/>
        <item m="1" x="1341"/>
        <item m="1" x="1342"/>
        <item m="1" x="1343"/>
        <item m="1" x="1344"/>
        <item m="1" x="1345"/>
        <item m="1" x="753"/>
        <item m="1" x="757"/>
        <item m="1" x="758"/>
        <item m="1" x="759"/>
        <item m="1" x="873"/>
        <item m="1" x="874"/>
        <item m="1" x="875"/>
        <item m="1" x="877"/>
        <item m="1" x="878"/>
        <item m="1" x="879"/>
        <item m="1" x="880"/>
        <item m="1" x="886"/>
        <item m="1" x="887"/>
        <item m="1" x="888"/>
        <item m="1" x="889"/>
        <item m="1" x="890"/>
        <item m="1" x="1346"/>
        <item m="1" x="1347"/>
        <item m="1" x="1348"/>
        <item m="1" x="1349"/>
        <item m="1" x="1374"/>
        <item m="1" x="1375"/>
        <item m="1" x="1376"/>
        <item m="1" x="1377"/>
        <item m="1" x="1378"/>
        <item m="1" x="1379"/>
        <item m="1" x="1380"/>
        <item m="1" x="1381"/>
        <item m="1" x="1382"/>
        <item m="1" x="1002"/>
        <item m="1" x="1003"/>
        <item m="1" x="1004"/>
        <item m="1" x="1005"/>
        <item m="1" x="1006"/>
        <item m="1" x="1057"/>
        <item m="1" x="1058"/>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1007"/>
        <item m="1" x="1008"/>
        <item m="1" x="1092"/>
        <item m="1" x="956"/>
        <item m="1" x="957"/>
        <item m="1" x="958"/>
        <item m="1" x="1155"/>
        <item m="1" x="1163"/>
        <item m="1" x="1067"/>
        <item m="1" x="1068"/>
        <item m="1" x="1069"/>
        <item m="1" x="4"/>
        <item m="1" x="5"/>
        <item m="1" x="6"/>
        <item m="1" x="7"/>
        <item m="1" x="8"/>
        <item m="1" x="9"/>
        <item m="1" x="12"/>
        <item m="1" x="14"/>
        <item m="1" x="15"/>
        <item m="1" x="1011"/>
        <item m="1" x="1012"/>
        <item m="1" x="39"/>
        <item m="1" x="40"/>
        <item m="1" x="41"/>
        <item m="1" x="1019"/>
        <item m="1" x="1020"/>
        <item m="1" x="1059"/>
        <item m="1" x="1060"/>
        <item m="1" x="1061"/>
        <item m="1" x="53"/>
        <item m="1" x="54"/>
        <item m="1" x="55"/>
        <item m="1" x="57"/>
        <item m="1" x="59"/>
        <item m="1" x="60"/>
        <item m="1" x="61"/>
        <item m="1" x="62"/>
        <item m="1" x="63"/>
        <item m="1" x="72"/>
        <item m="1" x="73"/>
        <item m="1" x="76"/>
        <item m="1" x="77"/>
        <item m="1" x="78"/>
        <item m="1" x="965"/>
        <item m="1" x="966"/>
        <item m="1" x="967"/>
        <item m="1" x="1062"/>
        <item m="1" x="1063"/>
        <item m="1" x="1064"/>
        <item m="1" x="968"/>
        <item m="1" x="969"/>
        <item m="1" x="970"/>
        <item m="1" x="971"/>
        <item m="1" x="100"/>
        <item m="1" x="101"/>
        <item m="1" x="102"/>
        <item m="1" x="939"/>
        <item m="1" x="940"/>
        <item m="1" x="104"/>
        <item m="1" x="105"/>
        <item m="1" x="106"/>
        <item m="1" x="107"/>
        <item m="1" x="108"/>
        <item m="1" x="109"/>
        <item m="1" x="110"/>
        <item m="1" x="975"/>
        <item m="1" x="976"/>
        <item m="1" x="113"/>
        <item m="1" x="114"/>
        <item m="1" x="133"/>
        <item m="1" x="135"/>
        <item m="1" x="136"/>
        <item m="1" x="137"/>
        <item m="1" x="1065"/>
        <item m="1" x="1066"/>
        <item m="1" x="1070"/>
        <item m="1" x="210"/>
        <item m="1" x="212"/>
        <item m="1" x="213"/>
        <item m="1" x="234"/>
        <item m="1" x="235"/>
        <item m="1" x="236"/>
        <item m="1" x="980"/>
        <item m="1" x="981"/>
        <item m="1" x="982"/>
        <item m="1" x="983"/>
        <item m="1" x="369"/>
        <item m="1" x="370"/>
        <item m="1" x="371"/>
        <item m="1" x="372"/>
        <item m="1" x="373"/>
        <item m="1" x="374"/>
        <item m="1" x="375"/>
        <item m="1" x="376"/>
        <item m="1" x="377"/>
        <item m="1" x="382"/>
        <item m="1" x="383"/>
        <item m="1" x="384"/>
        <item m="1" x="385"/>
        <item m="1" x="386"/>
        <item m="1" x="387"/>
        <item m="1" x="388"/>
        <item m="1" x="389"/>
        <item m="1" x="390"/>
        <item m="1" x="391"/>
        <item m="1" x="399"/>
        <item m="1" x="400"/>
        <item m="1" x="401"/>
        <item m="1" x="402"/>
        <item m="1" x="409"/>
        <item m="1" x="410"/>
        <item m="1" x="411"/>
        <item m="1" x="412"/>
        <item m="1" x="413"/>
        <item m="1" x="414"/>
        <item m="1" x="439"/>
        <item m="1" x="440"/>
        <item m="1" x="441"/>
        <item m="1" x="442"/>
        <item m="1" x="443"/>
        <item m="1" x="511"/>
        <item m="1" x="512"/>
        <item m="1" x="513"/>
        <item m="1" x="514"/>
        <item m="1" x="515"/>
        <item m="1" x="516"/>
        <item m="1" x="547"/>
        <item m="1" x="548"/>
        <item m="1" x="549"/>
        <item m="1" x="550"/>
        <item m="1" x="637"/>
        <item m="1" x="638"/>
        <item m="1" x="639"/>
        <item m="1" x="640"/>
        <item m="1" x="641"/>
        <item m="1" x="642"/>
        <item m="1" x="643"/>
        <item m="1" x="720"/>
        <item m="1" x="721"/>
        <item m="1" x="722"/>
        <item m="1" x="723"/>
        <item m="1" x="731"/>
        <item m="1" x="732"/>
        <item m="1" x="733"/>
        <item m="1" x="734"/>
        <item m="1" x="735"/>
        <item m="1" x="736"/>
        <item m="1" x="742"/>
        <item m="1" x="743"/>
        <item m="1" x="744"/>
        <item m="1" x="745"/>
        <item m="1" x="746"/>
        <item m="1" x="747"/>
        <item m="1" x="754"/>
        <item m="1" x="755"/>
        <item m="1" x="756"/>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8"/>
        <item m="1" x="789"/>
        <item m="1" x="792"/>
        <item m="1" x="793"/>
        <item m="1" x="794"/>
        <item m="1" x="795"/>
        <item m="1" x="796"/>
        <item m="1" x="797"/>
        <item m="1" x="798"/>
        <item m="1" x="799"/>
        <item m="1" x="800"/>
        <item m="1" x="801"/>
        <item m="1" x="802"/>
        <item m="1" x="803"/>
        <item m="1" x="804"/>
        <item m="1" x="805"/>
        <item m="1" x="809"/>
        <item m="1" x="810"/>
        <item m="1" x="811"/>
        <item m="1" x="812"/>
        <item m="1" x="813"/>
        <item m="1" x="814"/>
        <item m="1" x="815"/>
        <item m="1" x="816"/>
        <item m="1" x="819"/>
        <item m="1" x="820"/>
        <item m="1" x="821"/>
        <item m="1" x="822"/>
        <item m="1" x="823"/>
        <item m="1" x="824"/>
        <item m="1" x="825"/>
        <item m="1" x="826"/>
        <item m="1" x="827"/>
        <item m="1" x="828"/>
        <item m="1" x="831"/>
        <item m="1" x="832"/>
        <item m="1" x="833"/>
        <item m="1" x="834"/>
        <item m="1" x="835"/>
        <item m="1" x="836"/>
        <item m="1" x="837"/>
        <item m="1" x="838"/>
        <item m="1" x="839"/>
        <item m="1" x="842"/>
        <item m="1" x="843"/>
        <item m="1" x="844"/>
        <item m="1" x="845"/>
        <item m="1" x="846"/>
        <item m="1" x="847"/>
        <item m="1" x="848"/>
        <item m="1" x="849"/>
        <item m="1" x="850"/>
        <item m="1" x="851"/>
        <item m="1" x="852"/>
        <item m="1" x="853"/>
        <item m="1" x="856"/>
        <item m="1" x="857"/>
        <item m="1" x="858"/>
        <item m="1" x="859"/>
        <item m="1" x="860"/>
        <item m="1" x="861"/>
        <item m="1" x="862"/>
        <item m="1" x="863"/>
        <item m="1" x="864"/>
        <item m="1" x="865"/>
        <item m="1" x="866"/>
        <item m="1" x="867"/>
        <item m="1" x="868"/>
        <item m="1" x="869"/>
        <item m="1" x="870"/>
        <item m="1" x="876"/>
        <item m="1" x="993"/>
        <item m="1" x="994"/>
        <item m="1" x="995"/>
        <item m="1" x="908"/>
        <item m="1" x="909"/>
        <item m="1" x="910"/>
        <item m="1" x="1000"/>
        <item m="1" x="1001"/>
        <item m="1" x="950"/>
        <item m="1" x="951"/>
        <item m="1" x="16"/>
        <item m="1" x="17"/>
        <item m="1" x="18"/>
        <item m="1" x="19"/>
        <item m="1" x="20"/>
        <item m="1" x="21"/>
        <item m="1" x="959"/>
        <item m="1" x="960"/>
        <item m="1" x="961"/>
        <item m="1" x="42"/>
        <item m="1" x="43"/>
        <item m="1" x="44"/>
        <item m="1" x="1027"/>
        <item m="1" x="1028"/>
        <item m="1" x="1029"/>
        <item m="1" x="79"/>
        <item m="1" x="1034"/>
        <item m="1" x="1035"/>
        <item m="1" x="1036"/>
        <item m="1" x="1037"/>
        <item m="1" x="1038"/>
        <item m="1" x="1039"/>
        <item m="1" x="1040"/>
        <item m="1" x="1041"/>
        <item m="1" x="1042"/>
        <item m="1" x="1043"/>
        <item m="1" x="1044"/>
        <item m="1" x="1045"/>
        <item m="1" x="87"/>
        <item m="1" x="88"/>
        <item m="1" x="89"/>
        <item m="1" x="103"/>
        <item m="1" x="134"/>
        <item m="1" x="144"/>
        <item m="1" x="977"/>
        <item m="1" x="978"/>
        <item m="1" x="979"/>
        <item m="1" x="583"/>
        <item m="1" x="584"/>
        <item m="1" x="585"/>
        <item m="1" x="883"/>
        <item m="1" x="884"/>
        <item m="1" x="885"/>
        <item m="1" x="996"/>
        <item m="1" x="997"/>
        <item m="1" x="998"/>
        <item m="1" x="999"/>
        <item m="1" x="13"/>
        <item m="1" x="1009"/>
        <item m="1" x="1010"/>
        <item m="1" x="37"/>
        <item m="1" x="38"/>
        <item m="1" x="972"/>
        <item m="1" x="973"/>
        <item m="1" x="974"/>
        <item m="1" x="211"/>
        <item m="1" x="215"/>
        <item m="1" x="216"/>
        <item m="1" x="230"/>
        <item m="1" x="231"/>
        <item m="1" x="232"/>
        <item m="1" x="233"/>
        <item m="1" x="237"/>
        <item m="1" x="238"/>
        <item m="1" x="242"/>
        <item m="1" x="243"/>
        <item m="1" x="244"/>
        <item m="1" x="245"/>
        <item m="1" x="246"/>
        <item m="1" x="247"/>
        <item m="1" x="269"/>
        <item m="1" x="270"/>
        <item m="1" x="751"/>
        <item m="1" x="752"/>
        <item m="1" x="786"/>
        <item m="1" x="787"/>
        <item m="1" x="790"/>
        <item m="1" x="791"/>
        <item m="1" x="806"/>
        <item m="1" x="807"/>
        <item m="1" x="808"/>
        <item m="1" x="817"/>
        <item m="1" x="818"/>
        <item m="1" x="829"/>
        <item m="1" x="830"/>
        <item m="1" x="840"/>
        <item m="1" x="841"/>
        <item m="1" x="854"/>
        <item m="1" x="855"/>
        <item m="1" x="22"/>
        <item m="1" x="48"/>
        <item m="1" x="49"/>
        <item m="1" x="34"/>
        <item m="1" x="45"/>
        <item m="1" x="46"/>
        <item m="1" x="47"/>
        <item m="1" x="81"/>
        <item m="1" x="82"/>
        <item m="1" x="83"/>
        <item m="1" x="84"/>
        <item m="1" x="85"/>
        <item m="1" x="86"/>
        <item m="1" x="90"/>
        <item m="1" x="91"/>
        <item m="1" x="92"/>
        <item m="1" x="93"/>
        <item m="1" x="94"/>
        <item m="1" x="95"/>
        <item m="1" x="117"/>
        <item m="1" x="118"/>
        <item m="1" x="119"/>
        <item m="1" x="120"/>
        <item m="1" x="146"/>
        <item m="1" x="147"/>
        <item m="1" x="148"/>
        <item m="1" x="149"/>
        <item m="1" x="150"/>
        <item m="1" x="151"/>
        <item m="1" x="152"/>
        <item m="1" x="158"/>
        <item m="1" x="159"/>
        <item m="1" x="184"/>
        <item m="1" x="185"/>
        <item m="1" x="214"/>
        <item m="1" x="357"/>
        <item m="1" x="358"/>
        <item m="1" x="359"/>
        <item m="1" x="360"/>
        <item m="1" x="361"/>
        <item m="1" x="362"/>
        <item m="1" x="363"/>
        <item m="1" x="378"/>
        <item m="1" x="379"/>
        <item m="1" x="380"/>
        <item m="1" x="381"/>
        <item m="1" x="392"/>
        <item m="1" x="393"/>
        <item m="1" x="394"/>
        <item m="1" x="395"/>
        <item m="1" x="396"/>
        <item m="1" x="397"/>
        <item m="1" x="398"/>
        <item m="1" x="871"/>
        <item m="1" x="872"/>
        <item m="1" x="881"/>
        <item m="1" x="882"/>
        <item m="1" x="891"/>
        <item m="1" x="892"/>
        <item m="1" x="893"/>
        <item m="1" x="894"/>
        <item m="1" x="895"/>
        <item m="1" x="896"/>
        <item m="1" x="897"/>
        <item m="1" x="898"/>
        <item m="1" x="899"/>
        <item m="1" x="900"/>
        <item m="1" x="901"/>
        <item m="1" x="902"/>
        <item m="1" x="903"/>
        <item m="1" x="904"/>
        <item m="1" x="905"/>
        <item m="1" x="906"/>
        <item m="1" x="907"/>
        <item m="1" x="937"/>
        <item m="1" x="938"/>
        <item m="1" x="98"/>
        <item m="1" x="99"/>
        <item t="default"/>
      </items>
    </pivotField>
    <pivotField compact="0" outline="0" showAll="0"/>
    <pivotField dataField="1" compact="0" numFmtId="164" outline="0" showAll="0"/>
    <pivotField compact="0" outline="0" showAll="0"/>
    <pivotField compact="0" outline="0" showAll="0"/>
    <pivotField compact="0" outline="0" showAll="0"/>
    <pivotField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1"/>
        <item sd="0" x="2"/>
        <item sd="0" x="3"/>
        <item sd="0" x="4"/>
        <item x="0"/>
        <item x="5"/>
      </items>
    </pivotField>
    <pivotField compact="0" outline="0" showAll="0" defaultSubtotal="0">
      <items count="8">
        <item sd="0" x="1"/>
        <item sd="0" x="2"/>
        <item sd="0" x="3"/>
        <item x="4"/>
        <item x="5"/>
        <item x="6"/>
        <item x="0"/>
        <item x="7"/>
      </items>
    </pivotField>
    <pivotField compact="0" outline="0" dragToRow="0" dragToCol="0" dragToPage="0" showAll="0" defaultSubtota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1"/>
        <item sd="0" x="2"/>
        <item sd="0" x="3"/>
        <item sd="0" x="4"/>
        <item x="0"/>
        <item x="5"/>
        <item t="default"/>
      </items>
    </pivotField>
    <pivotField compact="0" outline="0" showAll="0">
      <items count="4">
        <item sd="0" x="1"/>
        <item x="0"/>
        <item x="2"/>
        <item t="default"/>
      </items>
    </pivotField>
  </pivotFields>
  <rowFields count="7">
    <field x="1"/>
    <field x="0"/>
    <field x="12"/>
    <field x="4"/>
    <field x="5"/>
    <field x="13"/>
    <field x="14"/>
  </rowFields>
  <rowItems count="26">
    <i>
      <x v="10"/>
      <x v="36"/>
      <x v="1"/>
      <x v="42"/>
      <x v="2"/>
      <x v="42"/>
      <x v="15"/>
    </i>
    <i r="1">
      <x v="69"/>
      <x v="1"/>
      <x v="12"/>
      <x v="1"/>
      <x v="13"/>
      <x v="20"/>
    </i>
    <i r="1">
      <x v="71"/>
      <x v="1"/>
      <x v="8"/>
      <x v="1"/>
      <x v="13"/>
      <x v="55"/>
    </i>
    <i>
      <x v="11"/>
      <x v="6"/>
      <x v="2"/>
      <x v="31"/>
      <x v="2"/>
      <x v="6"/>
      <x v="6"/>
    </i>
    <i r="1">
      <x v="11"/>
      <x v="1"/>
      <x v="6"/>
      <x v="2"/>
      <x v="53"/>
      <x v="65"/>
    </i>
    <i r="1">
      <x v="33"/>
      <x v="1"/>
      <x v="1"/>
      <x v="2"/>
      <x v="19"/>
      <x/>
    </i>
    <i>
      <x v="12"/>
      <x v="35"/>
      <x v="1"/>
      <x v="7"/>
      <x/>
      <x v="55"/>
      <x v="65"/>
    </i>
    <i r="1">
      <x v="37"/>
      <x v="1"/>
      <x v="9"/>
      <x v="1"/>
      <x v="7"/>
      <x v="7"/>
    </i>
    <i>
      <x v="13"/>
      <x v="3"/>
      <x v="1"/>
      <x v="9"/>
      <x v="2"/>
      <x v="7"/>
      <x v="7"/>
    </i>
    <i r="1">
      <x v="4"/>
      <x v="4"/>
      <x v="3"/>
      <x v="2"/>
      <x v="11"/>
      <x v="4"/>
    </i>
    <i r="1">
      <x v="7"/>
      <x v="1"/>
      <x v="9"/>
      <x v="3"/>
      <x v="7"/>
      <x v="7"/>
    </i>
    <i r="1">
      <x v="8"/>
      <x v="1"/>
      <x v="9"/>
      <x v="3"/>
      <x v="7"/>
      <x v="7"/>
    </i>
    <i r="1">
      <x v="9"/>
      <x v="1"/>
      <x v="9"/>
      <x v="3"/>
      <x v="7"/>
      <x v="7"/>
    </i>
    <i r="1">
      <x v="12"/>
      <x/>
      <x v="9"/>
      <x v="3"/>
      <x v="7"/>
      <x v="7"/>
    </i>
    <i r="1">
      <x v="13"/>
      <x v="1"/>
      <x v="9"/>
      <x/>
      <x v="7"/>
      <x v="7"/>
    </i>
    <i r="1">
      <x v="38"/>
      <x v="1"/>
      <x v="9"/>
      <x v="3"/>
      <x v="7"/>
      <x v="7"/>
    </i>
    <i r="1">
      <x v="46"/>
      <x v="6"/>
      <x v="9"/>
      <x v="3"/>
      <x v="7"/>
      <x v="7"/>
    </i>
    <i r="1">
      <x v="47"/>
      <x v="6"/>
      <x v="9"/>
      <x v="3"/>
      <x v="7"/>
      <x v="7"/>
    </i>
    <i r="1">
      <x v="56"/>
      <x v="6"/>
      <x v="9"/>
      <x v="3"/>
      <x v="7"/>
      <x v="7"/>
    </i>
    <i r="1">
      <x v="67"/>
      <x v="6"/>
      <x v="9"/>
      <x v="3"/>
      <x v="7"/>
      <x v="7"/>
    </i>
    <i r="1">
      <x v="68"/>
      <x v="1"/>
      <x v="19"/>
      <x v="3"/>
      <x v="7"/>
      <x v="7"/>
    </i>
    <i r="1">
      <x v="70"/>
      <x v="1"/>
      <x v="19"/>
      <x v="3"/>
      <x v="7"/>
      <x v="7"/>
    </i>
    <i r="1">
      <x v="72"/>
      <x v="1"/>
      <x v="19"/>
      <x v="3"/>
      <x v="7"/>
      <x v="7"/>
    </i>
    <i r="1">
      <x v="73"/>
      <x v="1"/>
      <x v="19"/>
      <x v="3"/>
      <x v="3"/>
      <x v="26"/>
    </i>
    <i r="1">
      <x v="78"/>
      <x v="6"/>
      <x v="9"/>
      <x v="3"/>
      <x v="7"/>
      <x v="7"/>
    </i>
    <i t="grand">
      <x/>
    </i>
  </rowItems>
  <colFields count="1">
    <field x="-2"/>
  </colFields>
  <colItems count="2">
    <i>
      <x/>
    </i>
    <i i="1">
      <x v="1"/>
    </i>
  </colItems>
  <pageFields count="2">
    <pageField fld="21" item="0" hier="-1"/>
    <pageField fld="6" item="1" hier="-1"/>
  </pageFields>
  <dataFields count="2">
    <dataField name="Revenue" fld="3" baseField="5" baseItem="3" numFmtId="42"/>
    <dataField name="GM Contribution" fld="23" baseField="15" baseItem="10" numFmtId="164"/>
  </dataFields>
  <formats count="11">
    <format dxfId="495">
      <pivotArea outline="0" fieldPosition="0">
        <references count="1">
          <reference field="4294967294" count="1">
            <x v="0"/>
          </reference>
        </references>
      </pivotArea>
    </format>
    <format dxfId="494">
      <pivotArea dataOnly="0" labelOnly="1" outline="0" fieldPosition="0">
        <references count="1">
          <reference field="4" count="0"/>
        </references>
      </pivotArea>
    </format>
    <format dxfId="493">
      <pivotArea dataOnly="0" labelOnly="1" outline="0" fieldPosition="0">
        <references count="1">
          <reference field="4" count="0"/>
        </references>
      </pivotArea>
    </format>
    <format dxfId="492">
      <pivotArea dataOnly="0" labelOnly="1" outline="0" fieldPosition="0">
        <references count="1">
          <reference field="5" count="0"/>
        </references>
      </pivotArea>
    </format>
    <format dxfId="491">
      <pivotArea field="4" type="button" dataOnly="0" labelOnly="1" outline="0" axis="axisRow" fieldPosition="3"/>
    </format>
    <format dxfId="490">
      <pivotArea field="5" type="button" dataOnly="0" labelOnly="1" outline="0" axis="axisRow" fieldPosition="4"/>
    </format>
    <format dxfId="489">
      <pivotArea field="13" type="button" dataOnly="0" labelOnly="1" outline="0" axis="axisRow" fieldPosition="5"/>
    </format>
    <format dxfId="488">
      <pivotArea field="14" type="button" dataOnly="0" labelOnly="1" outline="0" axis="axisRow" fieldPosition="6"/>
    </format>
    <format dxfId="487">
      <pivotArea dataOnly="0" labelOnly="1" outline="0" fieldPosition="0">
        <references count="1">
          <reference field="13" count="0"/>
        </references>
      </pivotArea>
    </format>
    <format dxfId="486">
      <pivotArea dataOnly="0" labelOnly="1" outline="0" fieldPosition="0">
        <references count="1">
          <reference field="14" count="0"/>
        </references>
      </pivotArea>
    </format>
    <format dxfId="485">
      <pivotArea dataOnly="0" labelOnly="1" outline="0" fieldPosition="0">
        <references count="1">
          <reference field="4294967294" count="1">
            <x v="0"/>
          </reference>
        </references>
      </pivotArea>
    </format>
  </formats>
  <pivotTableStyleInfo name="PivotStyleMedium15" showRowHeaders="0"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2DE2D2-F898-497A-8B3D-7DD41CAC8A20}" name="PivotTable4" cacheId="15" applyNumberFormats="0" applyBorderFormats="0" applyFontFormats="0" applyPatternFormats="0" applyAlignmentFormats="0" applyWidthHeightFormats="1" dataCaption="Values" showError="1" updatedVersion="8" minRefreshableVersion="3" itemPrintTitles="1" createdVersion="8" indent="0" compact="0" compactData="0" multipleFieldFilters="0">
  <location ref="A5:G14" firstHeaderRow="1" firstDataRow="1" firstDataCol="6" rowPageCount="2" colPageCount="1"/>
  <pivotFields count="36">
    <pivotField axis="axisRow" compact="0" outline="0" showAll="0" defaultSubtotal="0">
      <items count="96">
        <item x="0"/>
        <item x="1"/>
        <item x="4"/>
        <item x="9"/>
        <item x="10"/>
        <item x="27"/>
        <item x="29"/>
        <item x="31"/>
        <item x="35"/>
        <item x="42"/>
        <item x="45"/>
        <item x="47"/>
        <item x="49"/>
        <item x="50"/>
        <item x="54"/>
        <item x="56"/>
        <item x="58"/>
        <item x="59"/>
        <item x="60"/>
        <item x="62"/>
        <item x="63"/>
        <item x="82"/>
        <item x="83"/>
        <item x="46"/>
        <item x="65"/>
        <item x="66"/>
        <item x="67"/>
        <item x="68"/>
        <item x="69"/>
        <item x="72"/>
        <item x="73"/>
        <item x="74"/>
        <item x="75"/>
        <item x="25"/>
        <item x="24"/>
        <item x="52"/>
        <item x="70"/>
        <item x="79"/>
        <item x="28"/>
        <item x="76"/>
        <item m="1" x="93"/>
        <item m="1" x="94"/>
        <item m="1" x="95"/>
        <item x="2"/>
        <item x="3"/>
        <item x="7"/>
        <item x="26"/>
        <item x="30"/>
        <item x="37"/>
        <item x="38"/>
        <item x="41"/>
        <item x="48"/>
        <item x="71"/>
        <item x="77"/>
        <item x="90"/>
        <item x="91"/>
        <item x="8"/>
        <item x="15"/>
        <item x="33"/>
        <item x="81"/>
        <item x="12"/>
        <item x="17"/>
        <item x="18"/>
        <item x="19"/>
        <item x="20"/>
        <item x="11"/>
        <item x="16"/>
        <item x="34"/>
        <item x="43"/>
        <item x="44"/>
        <item x="53"/>
        <item x="64"/>
        <item x="78"/>
        <item x="80"/>
        <item x="84"/>
        <item x="85"/>
        <item x="87"/>
        <item x="88"/>
        <item x="89"/>
        <item x="32"/>
        <item x="51"/>
        <item x="55"/>
        <item x="57"/>
        <item x="86"/>
        <item x="92"/>
        <item x="36"/>
        <item x="5"/>
        <item x="6"/>
        <item x="13"/>
        <item x="14"/>
        <item x="21"/>
        <item x="22"/>
        <item x="23"/>
        <item x="39"/>
        <item x="40"/>
        <item x="61"/>
      </items>
    </pivotField>
    <pivotField axis="axisRow" compact="0" outline="0" showAll="0" sortType="descending" defaultSubtotal="0">
      <items count="14">
        <item x="5"/>
        <item m="1" x="10"/>
        <item m="1" x="8"/>
        <item m="1" x="7"/>
        <item m="1" x="12"/>
        <item x="4"/>
        <item m="1" x="9"/>
        <item m="1" x="11"/>
        <item m="1" x="6"/>
        <item m="1" x="13"/>
        <item x="3"/>
        <item x="1"/>
        <item x="2"/>
        <item h="1" x="0"/>
      </items>
    </pivotField>
    <pivotField compact="0" outline="0" showAll="0"/>
    <pivotField dataField="1" compact="0" outline="0" showAll="0"/>
    <pivotField axis="axisRow" compact="0" outline="0" showAll="0" defaultSubtotal="0">
      <items count="46">
        <item x="9"/>
        <item x="8"/>
        <item x="7"/>
        <item m="1" x="28"/>
        <item m="1" x="40"/>
        <item x="6"/>
        <item x="1"/>
        <item x="17"/>
        <item x="5"/>
        <item x="4"/>
        <item x="11"/>
        <item x="20"/>
        <item m="1" x="38"/>
        <item x="21"/>
        <item m="1" x="34"/>
        <item x="0"/>
        <item x="14"/>
        <item m="1" x="35"/>
        <item m="1" x="37"/>
        <item x="19"/>
        <item m="1" x="36"/>
        <item m="1" x="39"/>
        <item x="16"/>
        <item m="1" x="45"/>
        <item m="1" x="33"/>
        <item x="24"/>
        <item m="1" x="41"/>
        <item m="1" x="42"/>
        <item m="1" x="43"/>
        <item m="1" x="44"/>
        <item m="1" x="27"/>
        <item x="2"/>
        <item m="1" x="31"/>
        <item x="10"/>
        <item m="1" x="30"/>
        <item x="13"/>
        <item m="1" x="29"/>
        <item m="1" x="32"/>
        <item x="23"/>
        <item x="3"/>
        <item m="1" x="26"/>
        <item x="18"/>
        <item x="12"/>
        <item x="15"/>
        <item m="1" x="25"/>
        <item x="22"/>
      </items>
    </pivotField>
    <pivotField compact="0" outline="0" showAll="0"/>
    <pivotField axis="axisRow" compact="0" outline="0" multipleItemSelectionAllowed="1" showAll="0" sortType="ascending" defaultSubtotal="0">
      <items count="15">
        <item m="1" x="9"/>
        <item m="1" x="12"/>
        <item m="1" x="8"/>
        <item m="1" x="11"/>
        <item m="1" x="13"/>
        <item m="1" x="7"/>
        <item x="3"/>
        <item x="4"/>
        <item x="1"/>
        <item x="0"/>
        <item x="6"/>
        <item m="1" x="10"/>
        <item x="2"/>
        <item m="1" x="14"/>
        <item x="5"/>
      </items>
    </pivotField>
    <pivotField compact="0" outline="0" showAll="0"/>
    <pivotField compact="0" outline="0" showAll="0"/>
    <pivotField compact="0" outline="0" showAll="0"/>
    <pivotField compact="0" outline="0" showAll="0"/>
    <pivotField axis="axisPage" compact="0" outline="0" multipleItemSelectionAllowed="1" showAll="0">
      <items count="104">
        <item h="1" x="11"/>
        <item h="1" x="5"/>
        <item h="1" x="2"/>
        <item x="0"/>
        <item m="1" x="70"/>
        <item h="1" x="6"/>
        <item h="1" m="1" x="22"/>
        <item h="1" x="12"/>
        <item x="1"/>
        <item m="1" x="53"/>
        <item x="7"/>
        <item x="14"/>
        <item m="1" x="47"/>
        <item h="1" m="1" x="57"/>
        <item h="1" m="1" x="20"/>
        <item h="1" m="1" x="21"/>
        <item h="1" m="1" x="58"/>
        <item h="1" m="1" x="23"/>
        <item h="1" m="1" x="24"/>
        <item h="1" m="1" x="59"/>
        <item h="1" m="1" x="60"/>
        <item h="1" m="1" x="61"/>
        <item h="1" m="1" x="62"/>
        <item h="1" m="1" x="63"/>
        <item h="1" m="1" x="64"/>
        <item h="1" m="1" x="55"/>
        <item h="1" m="1" x="65"/>
        <item h="1" m="1" x="26"/>
        <item h="1" m="1" x="66"/>
        <item h="1" m="1" x="27"/>
        <item h="1" m="1" x="28"/>
        <item h="1" m="1" x="67"/>
        <item h="1" m="1" x="29"/>
        <item h="1" m="1" x="68"/>
        <item h="1" m="1" x="69"/>
        <item h="1" m="1" x="71"/>
        <item h="1" m="1" x="72"/>
        <item h="1" m="1" x="73"/>
        <item h="1" m="1" x="74"/>
        <item h="1" x="17"/>
        <item h="1" m="1" x="75"/>
        <item h="1" m="1" x="36"/>
        <item h="1" m="1" x="35"/>
        <item h="1" m="1" x="37"/>
        <item h="1" m="1" x="76"/>
        <item h="1" m="1" x="77"/>
        <item h="1" m="1" x="78"/>
        <item h="1" m="1" x="79"/>
        <item h="1" m="1" x="80"/>
        <item h="1" m="1" x="81"/>
        <item h="1" m="1" x="82"/>
        <item h="1" m="1" x="83"/>
        <item h="1" m="1" x="84"/>
        <item h="1" m="1" x="85"/>
        <item h="1" m="1" x="86"/>
        <item h="1" m="1" x="87"/>
        <item h="1" m="1" x="88"/>
        <item h="1" m="1" x="40"/>
        <item h="1" m="1" x="89"/>
        <item h="1" m="1" x="41"/>
        <item h="1" m="1" x="90"/>
        <item h="1" m="1" x="91"/>
        <item h="1" m="1" x="92"/>
        <item h="1" m="1" x="93"/>
        <item h="1" m="1" x="94"/>
        <item h="1" m="1" x="95"/>
        <item h="1" m="1" x="96"/>
        <item h="1" m="1" x="49"/>
        <item h="1" m="1" x="97"/>
        <item h="1" m="1" x="51"/>
        <item h="1" m="1" x="98"/>
        <item h="1" m="1" x="99"/>
        <item h="1" m="1" x="52"/>
        <item h="1" m="1" x="100"/>
        <item h="1" m="1" x="31"/>
        <item h="1" m="1" x="101"/>
        <item h="1" m="1" x="102"/>
        <item h="1" m="1" x="54"/>
        <item h="1" m="1" x="30"/>
        <item h="1" m="1" x="48"/>
        <item h="1" m="1" x="50"/>
        <item h="1" m="1" x="33"/>
        <item h="1" m="1" x="34"/>
        <item h="1" x="8"/>
        <item h="1" m="1" x="18"/>
        <item h="1" m="1" x="25"/>
        <item h="1" m="1" x="56"/>
        <item h="1" x="15"/>
        <item h="1" x="16"/>
        <item h="1" x="13"/>
        <item h="1" x="4"/>
        <item h="1" m="1" x="32"/>
        <item h="1" m="1" x="38"/>
        <item h="1" m="1" x="39"/>
        <item h="1" m="1" x="19"/>
        <item h="1" m="1" x="42"/>
        <item h="1" m="1" x="43"/>
        <item h="1" m="1" x="44"/>
        <item h="1" m="1" x="45"/>
        <item h="1" m="1" x="46"/>
        <item h="1" x="3"/>
        <item h="1" x="9"/>
        <item h="1" x="10"/>
        <item t="default"/>
      </items>
    </pivotField>
    <pivotField axis="axisRow" compact="0" outline="0" multipleItemSelectionAllowed="1" showAll="0" defaultSubtotal="0">
      <items count="10">
        <item x="0"/>
        <item x="2"/>
        <item x="6"/>
        <item x="4"/>
        <item x="1"/>
        <item x="3"/>
        <item x="5"/>
        <item m="1" x="7"/>
        <item m="1" x="9"/>
        <item m="1" x="8"/>
      </items>
    </pivotField>
    <pivotField compact="0" outline="0" showAll="0">
      <items count="59">
        <item m="1" x="50"/>
        <item m="1" x="37"/>
        <item m="1" x="31"/>
        <item x="21"/>
        <item x="16"/>
        <item x="19"/>
        <item x="2"/>
        <item x="0"/>
        <item m="1" x="57"/>
        <item m="1" x="25"/>
        <item m="1" x="38"/>
        <item x="1"/>
        <item x="13"/>
        <item x="18"/>
        <item m="1" x="45"/>
        <item m="1" x="24"/>
        <item m="1" x="56"/>
        <item m="1" x="54"/>
        <item x="7"/>
        <item x="5"/>
        <item m="1" x="46"/>
        <item m="1" x="41"/>
        <item m="1" x="51"/>
        <item m="1" x="47"/>
        <item m="1" x="49"/>
        <item m="1" x="44"/>
        <item m="1" x="30"/>
        <item m="1" x="52"/>
        <item m="1" x="53"/>
        <item m="1" x="55"/>
        <item m="1" x="26"/>
        <item m="1" x="27"/>
        <item m="1" x="28"/>
        <item m="1" x="29"/>
        <item m="1" x="32"/>
        <item m="1" x="33"/>
        <item m="1" x="36"/>
        <item m="1" x="39"/>
        <item m="1" x="35"/>
        <item m="1" x="48"/>
        <item m="1" x="43"/>
        <item x="9"/>
        <item x="3"/>
        <item x="12"/>
        <item x="11"/>
        <item m="1" x="42"/>
        <item x="14"/>
        <item x="15"/>
        <item m="1" x="34"/>
        <item x="8"/>
        <item x="6"/>
        <item m="1" x="40"/>
        <item x="23"/>
        <item x="4"/>
        <item x="17"/>
        <item x="10"/>
        <item x="20"/>
        <item x="22"/>
        <item t="default"/>
      </items>
    </pivotField>
    <pivotField compact="0" outline="0" showAll="0" sortType="ascending">
      <items count="68">
        <item m="1" x="39"/>
        <item m="1" x="35"/>
        <item m="1" x="55"/>
        <item m="1" x="48"/>
        <item m="1" x="36"/>
        <item x="6"/>
        <item m="1" x="62"/>
        <item x="13"/>
        <item m="1" x="33"/>
        <item m="1" x="49"/>
        <item m="1" x="37"/>
        <item m="1" x="63"/>
        <item m="1" x="57"/>
        <item m="1" x="38"/>
        <item m="1" x="47"/>
        <item x="4"/>
        <item x="5"/>
        <item m="1" x="65"/>
        <item x="8"/>
        <item x="11"/>
        <item m="1" x="50"/>
        <item m="1" x="54"/>
        <item m="1" x="46"/>
        <item x="3"/>
        <item x="9"/>
        <item x="24"/>
        <item x="7"/>
        <item x="29"/>
        <item m="1" x="31"/>
        <item x="14"/>
        <item m="1" x="40"/>
        <item m="1" x="42"/>
        <item x="27"/>
        <item x="10"/>
        <item m="1" x="66"/>
        <item m="1" x="60"/>
        <item x="12"/>
        <item x="22"/>
        <item m="1" x="56"/>
        <item m="1" x="44"/>
        <item x="1"/>
        <item m="1" x="51"/>
        <item m="1" x="45"/>
        <item m="1" x="32"/>
        <item x="21"/>
        <item m="1" x="43"/>
        <item x="30"/>
        <item m="1" x="58"/>
        <item x="2"/>
        <item x="26"/>
        <item x="28"/>
        <item m="1" x="34"/>
        <item x="25"/>
        <item m="1" x="41"/>
        <item x="23"/>
        <item m="1" x="59"/>
        <item m="1" x="61"/>
        <item m="1" x="53"/>
        <item x="20"/>
        <item m="1" x="64"/>
        <item m="1" x="52"/>
        <item x="19"/>
        <item x="17"/>
        <item x="15"/>
        <item x="16"/>
        <item x="18"/>
        <item x="0"/>
        <item t="default"/>
      </items>
    </pivotField>
    <pivotField compact="0" outline="0" showAll="0"/>
    <pivotField compact="0" numFmtId="22" outline="0" showAll="0"/>
    <pivotField compact="0" outline="0" showAll="0"/>
    <pivotField compact="0" numFmtId="22" outline="0" showAll="0"/>
    <pivotField compact="0" outline="0" showAll="0"/>
    <pivotField compact="0" outline="0" showAll="0"/>
    <pivotField axis="axisPage" compact="0" outline="0" showAll="0">
      <items count="1384">
        <item x="0"/>
        <item m="1" x="1"/>
        <item m="1" x="1076"/>
        <item m="1" x="1077"/>
        <item m="1" x="1078"/>
        <item m="1" x="1079"/>
        <item m="1" x="1080"/>
        <item m="1" x="1081"/>
        <item m="1" x="1082"/>
        <item m="1" x="1083"/>
        <item m="1" x="1084"/>
        <item m="1" x="2"/>
        <item m="1" x="3"/>
        <item m="1" x="1085"/>
        <item m="1" x="1086"/>
        <item m="1" x="1087"/>
        <item m="1" x="1088"/>
        <item m="1" x="1350"/>
        <item m="1" x="1351"/>
        <item m="1" x="1352"/>
        <item m="1" x="1353"/>
        <item m="1" x="1354"/>
        <item m="1" x="1355"/>
        <item m="1" x="1356"/>
        <item m="1" x="1357"/>
        <item m="1" x="1358"/>
        <item m="1" x="1089"/>
        <item m="1" x="1090"/>
        <item m="1" x="1091"/>
        <item m="1" x="10"/>
        <item m="1" x="11"/>
        <item m="1" x="1093"/>
        <item m="1" x="1094"/>
        <item m="1" x="1095"/>
        <item m="1" x="941"/>
        <item m="1" x="942"/>
        <item m="1" x="943"/>
        <item m="1" x="944"/>
        <item m="1" x="945"/>
        <item m="1" x="946"/>
        <item m="1" x="947"/>
        <item m="1" x="948"/>
        <item m="1" x="949"/>
        <item m="1" x="952"/>
        <item m="1" x="953"/>
        <item m="1" x="954"/>
        <item m="1" x="955"/>
        <item m="1" x="1096"/>
        <item m="1" x="1097"/>
        <item m="1" x="1098"/>
        <item m="1" x="1099"/>
        <item m="1" x="1100"/>
        <item m="1" x="23"/>
        <item m="1" x="24"/>
        <item m="1" x="25"/>
        <item m="1" x="26"/>
        <item m="1" x="27"/>
        <item m="1" x="28"/>
        <item m="1" x="29"/>
        <item m="1" x="30"/>
        <item m="1" x="31"/>
        <item m="1" x="32"/>
        <item m="1" x="1101"/>
        <item m="1" x="1102"/>
        <item m="1" x="1103"/>
        <item m="1" x="1104"/>
        <item m="1" x="1105"/>
        <item m="1" x="33"/>
        <item m="1" x="35"/>
        <item m="1" x="36"/>
        <item m="1" x="1106"/>
        <item m="1" x="1107"/>
        <item m="1" x="1108"/>
        <item m="1" x="1109"/>
        <item m="1" x="1110"/>
        <item m="1" x="1111"/>
        <item m="1" x="1112"/>
        <item m="1" x="1113"/>
        <item m="1" x="1114"/>
        <item m="1" x="1115"/>
        <item m="1" x="1116"/>
        <item m="1" x="1013"/>
        <item m="1" x="1014"/>
        <item m="1" x="1015"/>
        <item m="1" x="1016"/>
        <item m="1" x="1017"/>
        <item m="1" x="1018"/>
        <item m="1" x="1021"/>
        <item m="1" x="1022"/>
        <item m="1" x="1359"/>
        <item m="1" x="1360"/>
        <item m="1" x="1361"/>
        <item m="1" x="1117"/>
        <item m="1" x="1118"/>
        <item m="1" x="1119"/>
        <item m="1" x="1120"/>
        <item m="1" x="1023"/>
        <item m="1" x="1024"/>
        <item m="1" x="1121"/>
        <item m="1" x="1122"/>
        <item m="1" x="1025"/>
        <item m="1" x="1026"/>
        <item m="1" x="50"/>
        <item m="1" x="51"/>
        <item m="1" x="52"/>
        <item m="1" x="56"/>
        <item m="1" x="58"/>
        <item m="1" x="64"/>
        <item m="1" x="65"/>
        <item m="1" x="66"/>
        <item m="1" x="67"/>
        <item m="1" x="68"/>
        <item m="1" x="1123"/>
        <item m="1" x="1124"/>
        <item m="1" x="1125"/>
        <item m="1" x="1126"/>
        <item m="1" x="1127"/>
        <item m="1" x="1128"/>
        <item m="1" x="69"/>
        <item m="1" x="70"/>
        <item m="1" x="71"/>
        <item m="1" x="74"/>
        <item m="1" x="75"/>
        <item m="1" x="1129"/>
        <item m="1" x="1130"/>
        <item m="1" x="1131"/>
        <item m="1" x="1132"/>
        <item m="1" x="1133"/>
        <item m="1" x="1030"/>
        <item m="1" x="1031"/>
        <item m="1" x="962"/>
        <item m="1" x="963"/>
        <item m="1" x="964"/>
        <item m="1" x="1134"/>
        <item m="1" x="1135"/>
        <item m="1" x="1136"/>
        <item m="1" x="1032"/>
        <item m="1" x="1033"/>
        <item m="1" x="80"/>
        <item m="1" x="96"/>
        <item m="1" x="97"/>
        <item m="1" x="1137"/>
        <item m="1" x="1138"/>
        <item m="1" x="1139"/>
        <item m="1" x="1140"/>
        <item m="1" x="1141"/>
        <item m="1" x="1142"/>
        <item m="1" x="1046"/>
        <item m="1" x="1047"/>
        <item m="1" x="1048"/>
        <item m="1" x="1143"/>
        <item m="1" x="1144"/>
        <item m="1" x="1145"/>
        <item m="1" x="1146"/>
        <item m="1" x="1147"/>
        <item m="1" x="1148"/>
        <item m="1" x="1149"/>
        <item m="1" x="1150"/>
        <item m="1" x="1151"/>
        <item m="1" x="1152"/>
        <item m="1" x="1153"/>
        <item m="1" x="1154"/>
        <item m="1" x="1362"/>
        <item m="1" x="1156"/>
        <item m="1" x="1157"/>
        <item m="1" x="1158"/>
        <item m="1" x="1159"/>
        <item m="1" x="1160"/>
        <item m="1" x="1161"/>
        <item m="1" x="1162"/>
        <item m="1" x="1363"/>
        <item m="1" x="111"/>
        <item m="1" x="112"/>
        <item m="1" x="115"/>
        <item m="1" x="116"/>
        <item m="1" x="1164"/>
        <item m="1" x="1165"/>
        <item m="1" x="1166"/>
        <item m="1" x="1167"/>
        <item m="1" x="1168"/>
        <item m="1" x="1169"/>
        <item m="1" x="1170"/>
        <item m="1" x="1171"/>
        <item m="1" x="1172"/>
        <item m="1" x="1049"/>
        <item m="1" x="1050"/>
        <item m="1" x="1051"/>
        <item m="1" x="1052"/>
        <item m="1" x="1173"/>
        <item m="1" x="1174"/>
        <item m="1" x="1175"/>
        <item m="1" x="1176"/>
        <item m="1" x="1053"/>
        <item m="1" x="1054"/>
        <item m="1" x="1364"/>
        <item m="1" x="1365"/>
        <item m="1" x="1366"/>
        <item m="1" x="1055"/>
        <item m="1" x="1056"/>
        <item m="1" x="121"/>
        <item m="1" x="122"/>
        <item m="1" x="123"/>
        <item m="1" x="124"/>
        <item m="1" x="1367"/>
        <item m="1" x="1368"/>
        <item m="1" x="1369"/>
        <item m="1" x="1370"/>
        <item m="1" x="1371"/>
        <item m="1" x="1372"/>
        <item m="1" x="1373"/>
        <item m="1" x="125"/>
        <item m="1" x="126"/>
        <item m="1" x="127"/>
        <item m="1" x="128"/>
        <item m="1" x="129"/>
        <item m="1" x="130"/>
        <item m="1" x="131"/>
        <item m="1" x="132"/>
        <item m="1" x="1177"/>
        <item m="1" x="1178"/>
        <item m="1" x="1179"/>
        <item m="1" x="1180"/>
        <item m="1" x="1181"/>
        <item m="1" x="1182"/>
        <item m="1" x="1183"/>
        <item m="1" x="1184"/>
        <item m="1" x="1185"/>
        <item m="1" x="1186"/>
        <item m="1" x="1187"/>
        <item m="1" x="138"/>
        <item m="1" x="139"/>
        <item m="1" x="140"/>
        <item m="1" x="141"/>
        <item m="1" x="142"/>
        <item m="1" x="143"/>
        <item m="1" x="145"/>
        <item m="1" x="153"/>
        <item m="1" x="154"/>
        <item m="1" x="155"/>
        <item m="1" x="156"/>
        <item m="1" x="157"/>
        <item m="1" x="1188"/>
        <item m="1" x="1189"/>
        <item m="1" x="1190"/>
        <item m="1" x="1191"/>
        <item m="1" x="1192"/>
        <item m="1" x="1193"/>
        <item m="1" x="1194"/>
        <item m="1" x="1195"/>
        <item m="1" x="1196"/>
        <item m="1" x="1197"/>
        <item m="1" x="1198"/>
        <item m="1" x="1199"/>
        <item m="1" x="1200"/>
        <item m="1" x="160"/>
        <item m="1" x="161"/>
        <item m="1" x="162"/>
        <item m="1" x="163"/>
        <item m="1" x="164"/>
        <item m="1" x="165"/>
        <item m="1" x="166"/>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67"/>
        <item m="1" x="168"/>
        <item m="1" x="169"/>
        <item m="1" x="170"/>
        <item m="1" x="171"/>
        <item m="1" x="172"/>
        <item m="1" x="173"/>
        <item m="1" x="174"/>
        <item m="1" x="175"/>
        <item m="1" x="176"/>
        <item m="1" x="177"/>
        <item m="1" x="178"/>
        <item m="1" x="179"/>
        <item m="1" x="180"/>
        <item m="1" x="181"/>
        <item m="1" x="182"/>
        <item m="1" x="183"/>
        <item m="1" x="186"/>
        <item m="1" x="187"/>
        <item m="1" x="1247"/>
        <item m="1" x="1248"/>
        <item m="1" x="1249"/>
        <item m="1" x="1250"/>
        <item m="1" x="1251"/>
        <item m="1" x="1252"/>
        <item m="1" x="188"/>
        <item m="1" x="189"/>
        <item m="1" x="190"/>
        <item m="1" x="191"/>
        <item m="1" x="192"/>
        <item m="1" x="193"/>
        <item m="1" x="1253"/>
        <item m="1" x="1254"/>
        <item m="1" x="1255"/>
        <item m="1" x="1256"/>
        <item m="1" x="194"/>
        <item m="1" x="195"/>
        <item m="1" x="196"/>
        <item m="1" x="197"/>
        <item m="1" x="198"/>
        <item m="1" x="199"/>
        <item m="1" x="200"/>
        <item m="1" x="201"/>
        <item m="1" x="202"/>
        <item m="1" x="203"/>
        <item m="1" x="204"/>
        <item m="1" x="205"/>
        <item m="1" x="206"/>
        <item m="1" x="207"/>
        <item m="1" x="208"/>
        <item m="1" x="209"/>
        <item m="1" x="1257"/>
        <item m="1" x="1258"/>
        <item m="1" x="1071"/>
        <item m="1" x="1072"/>
        <item m="1" x="1073"/>
        <item m="1" x="1074"/>
        <item m="1" x="1075"/>
        <item m="1" x="217"/>
        <item m="1" x="218"/>
        <item m="1" x="219"/>
        <item m="1" x="220"/>
        <item m="1" x="221"/>
        <item m="1" x="222"/>
        <item m="1" x="223"/>
        <item m="1" x="224"/>
        <item m="1" x="225"/>
        <item m="1" x="226"/>
        <item m="1" x="227"/>
        <item m="1" x="228"/>
        <item m="1" x="229"/>
        <item m="1" x="239"/>
        <item m="1" x="240"/>
        <item m="1" x="241"/>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71"/>
        <item m="1" x="272"/>
        <item m="1" x="273"/>
        <item m="1" x="274"/>
        <item m="1" x="275"/>
        <item m="1" x="27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64"/>
        <item m="1" x="365"/>
        <item m="1" x="366"/>
        <item m="1" x="367"/>
        <item m="1" x="368"/>
        <item m="1" x="403"/>
        <item m="1" x="404"/>
        <item m="1" x="405"/>
        <item m="1" x="406"/>
        <item m="1" x="407"/>
        <item m="1" x="408"/>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51"/>
        <item m="1" x="552"/>
        <item m="1" x="553"/>
        <item m="1" x="554"/>
        <item m="1" x="555"/>
        <item m="1" x="556"/>
        <item m="1" x="557"/>
        <item m="1" x="558"/>
        <item m="1" x="559"/>
        <item m="1" x="560"/>
        <item m="1" x="561"/>
        <item m="1" x="562"/>
        <item m="1" x="563"/>
        <item m="1" x="564"/>
        <item m="1" x="565"/>
        <item m="1" x="566"/>
        <item m="1" x="567"/>
        <item m="1" x="568"/>
        <item m="1" x="569"/>
        <item m="1" x="1259"/>
        <item m="1" x="1260"/>
        <item m="1" x="1261"/>
        <item m="1" x="1262"/>
        <item m="1" x="1263"/>
        <item m="1" x="1264"/>
        <item m="1" x="1265"/>
        <item m="1" x="1266"/>
        <item m="1" x="1267"/>
        <item m="1" x="570"/>
        <item m="1" x="571"/>
        <item m="1" x="572"/>
        <item m="1" x="573"/>
        <item m="1" x="574"/>
        <item m="1" x="575"/>
        <item m="1" x="576"/>
        <item m="1" x="577"/>
        <item m="1" x="578"/>
        <item m="1" x="579"/>
        <item m="1" x="580"/>
        <item m="1" x="581"/>
        <item m="1" x="582"/>
        <item m="1" x="586"/>
        <item m="1" x="587"/>
        <item m="1" x="588"/>
        <item m="1" x="589"/>
        <item m="1" x="590"/>
        <item m="1" x="591"/>
        <item m="1" x="592"/>
        <item m="1" x="1268"/>
        <item m="1" x="1269"/>
        <item m="1" x="1270"/>
        <item m="1" x="1271"/>
        <item m="1" x="1272"/>
        <item m="1" x="1273"/>
        <item m="1" x="1274"/>
        <item m="1" x="1275"/>
        <item m="1" x="1276"/>
        <item m="1" x="1277"/>
        <item m="1" x="1278"/>
        <item m="1" x="1279"/>
        <item m="1" x="1280"/>
        <item m="1" x="1281"/>
        <item m="1" x="1282"/>
        <item m="1" x="1283"/>
        <item m="1" x="593"/>
        <item m="1" x="594"/>
        <item m="1" x="595"/>
        <item m="1" x="596"/>
        <item m="1" x="984"/>
        <item m="1" x="985"/>
        <item m="1" x="986"/>
        <item m="1" x="987"/>
        <item m="1" x="988"/>
        <item m="1" x="989"/>
        <item m="1" x="990"/>
        <item m="1" x="991"/>
        <item m="1" x="992"/>
        <item m="1" x="597"/>
        <item m="1" x="598"/>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1284"/>
        <item m="1" x="1285"/>
        <item m="1" x="629"/>
        <item m="1" x="630"/>
        <item m="1" x="631"/>
        <item m="1" x="632"/>
        <item m="1" x="1286"/>
        <item m="1" x="1287"/>
        <item m="1" x="1288"/>
        <item m="1" x="633"/>
        <item m="1" x="634"/>
        <item m="1" x="635"/>
        <item m="1" x="636"/>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1289"/>
        <item m="1" x="1290"/>
        <item m="1" x="1291"/>
        <item m="1" x="1292"/>
        <item m="1" x="1293"/>
        <item m="1" x="1294"/>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717"/>
        <item m="1" x="1322"/>
        <item m="1" x="1323"/>
        <item m="1" x="1324"/>
        <item m="1" x="1325"/>
        <item m="1" x="1326"/>
        <item m="1" x="1327"/>
        <item m="1" x="1328"/>
        <item m="1" x="1329"/>
        <item m="1" x="1330"/>
        <item m="1" x="1331"/>
        <item m="1" x="1332"/>
        <item m="1" x="718"/>
        <item m="1" x="719"/>
        <item m="1" x="724"/>
        <item m="1" x="725"/>
        <item m="1" x="726"/>
        <item m="1" x="727"/>
        <item m="1" x="728"/>
        <item m="1" x="729"/>
        <item m="1" x="730"/>
        <item m="1" x="737"/>
        <item m="1" x="738"/>
        <item m="1" x="739"/>
        <item m="1" x="740"/>
        <item m="1" x="741"/>
        <item m="1" x="748"/>
        <item m="1" x="749"/>
        <item m="1" x="750"/>
        <item m="1" x="1333"/>
        <item m="1" x="1334"/>
        <item m="1" x="1335"/>
        <item m="1" x="1336"/>
        <item m="1" x="1337"/>
        <item m="1" x="1338"/>
        <item m="1" x="1339"/>
        <item m="1" x="1340"/>
        <item m="1" x="1341"/>
        <item m="1" x="1342"/>
        <item m="1" x="1343"/>
        <item m="1" x="1344"/>
        <item m="1" x="1345"/>
        <item m="1" x="753"/>
        <item m="1" x="757"/>
        <item m="1" x="758"/>
        <item m="1" x="759"/>
        <item m="1" x="873"/>
        <item m="1" x="874"/>
        <item m="1" x="875"/>
        <item m="1" x="877"/>
        <item m="1" x="878"/>
        <item m="1" x="879"/>
        <item m="1" x="880"/>
        <item m="1" x="886"/>
        <item m="1" x="887"/>
        <item m="1" x="888"/>
        <item m="1" x="889"/>
        <item m="1" x="890"/>
        <item m="1" x="1346"/>
        <item m="1" x="1347"/>
        <item m="1" x="1348"/>
        <item m="1" x="1349"/>
        <item m="1" x="1374"/>
        <item m="1" x="1375"/>
        <item m="1" x="1376"/>
        <item m="1" x="1377"/>
        <item m="1" x="1378"/>
        <item m="1" x="1379"/>
        <item m="1" x="1380"/>
        <item m="1" x="1381"/>
        <item m="1" x="1382"/>
        <item m="1" x="1002"/>
        <item m="1" x="1003"/>
        <item m="1" x="1004"/>
        <item m="1" x="1005"/>
        <item m="1" x="1006"/>
        <item m="1" x="1057"/>
        <item m="1" x="1058"/>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1007"/>
        <item m="1" x="1008"/>
        <item m="1" x="1092"/>
        <item m="1" x="956"/>
        <item m="1" x="957"/>
        <item m="1" x="958"/>
        <item m="1" x="1155"/>
        <item m="1" x="1163"/>
        <item m="1" x="1067"/>
        <item m="1" x="1068"/>
        <item m="1" x="1069"/>
        <item m="1" x="4"/>
        <item m="1" x="5"/>
        <item m="1" x="6"/>
        <item m="1" x="7"/>
        <item m="1" x="8"/>
        <item m="1" x="9"/>
        <item m="1" x="12"/>
        <item m="1" x="14"/>
        <item m="1" x="15"/>
        <item m="1" x="1011"/>
        <item m="1" x="1012"/>
        <item m="1" x="39"/>
        <item m="1" x="40"/>
        <item m="1" x="41"/>
        <item m="1" x="1019"/>
        <item m="1" x="1020"/>
        <item m="1" x="1059"/>
        <item m="1" x="1060"/>
        <item m="1" x="1061"/>
        <item m="1" x="53"/>
        <item m="1" x="54"/>
        <item m="1" x="55"/>
        <item m="1" x="57"/>
        <item m="1" x="59"/>
        <item m="1" x="60"/>
        <item m="1" x="61"/>
        <item m="1" x="62"/>
        <item m="1" x="63"/>
        <item m="1" x="72"/>
        <item m="1" x="73"/>
        <item m="1" x="76"/>
        <item m="1" x="77"/>
        <item m="1" x="78"/>
        <item m="1" x="965"/>
        <item m="1" x="966"/>
        <item m="1" x="967"/>
        <item m="1" x="1062"/>
        <item m="1" x="1063"/>
        <item m="1" x="1064"/>
        <item m="1" x="968"/>
        <item m="1" x="969"/>
        <item m="1" x="970"/>
        <item m="1" x="971"/>
        <item m="1" x="100"/>
        <item m="1" x="101"/>
        <item m="1" x="102"/>
        <item m="1" x="939"/>
        <item m="1" x="940"/>
        <item m="1" x="104"/>
        <item m="1" x="105"/>
        <item m="1" x="106"/>
        <item m="1" x="107"/>
        <item m="1" x="108"/>
        <item m="1" x="109"/>
        <item m="1" x="110"/>
        <item m="1" x="975"/>
        <item m="1" x="976"/>
        <item m="1" x="113"/>
        <item m="1" x="114"/>
        <item m="1" x="133"/>
        <item m="1" x="135"/>
        <item m="1" x="136"/>
        <item m="1" x="137"/>
        <item m="1" x="1065"/>
        <item m="1" x="1066"/>
        <item m="1" x="1070"/>
        <item m="1" x="210"/>
        <item m="1" x="212"/>
        <item m="1" x="213"/>
        <item m="1" x="234"/>
        <item m="1" x="235"/>
        <item m="1" x="236"/>
        <item m="1" x="980"/>
        <item m="1" x="981"/>
        <item m="1" x="982"/>
        <item m="1" x="983"/>
        <item m="1" x="369"/>
        <item m="1" x="370"/>
        <item m="1" x="371"/>
        <item m="1" x="372"/>
        <item m="1" x="373"/>
        <item m="1" x="374"/>
        <item m="1" x="375"/>
        <item m="1" x="376"/>
        <item m="1" x="377"/>
        <item m="1" x="382"/>
        <item m="1" x="383"/>
        <item m="1" x="384"/>
        <item m="1" x="385"/>
        <item m="1" x="386"/>
        <item m="1" x="387"/>
        <item m="1" x="388"/>
        <item m="1" x="389"/>
        <item m="1" x="390"/>
        <item m="1" x="391"/>
        <item m="1" x="399"/>
        <item m="1" x="400"/>
        <item m="1" x="401"/>
        <item m="1" x="402"/>
        <item m="1" x="409"/>
        <item m="1" x="410"/>
        <item m="1" x="411"/>
        <item m="1" x="412"/>
        <item m="1" x="413"/>
        <item m="1" x="414"/>
        <item m="1" x="439"/>
        <item m="1" x="440"/>
        <item m="1" x="441"/>
        <item m="1" x="442"/>
        <item m="1" x="443"/>
        <item m="1" x="511"/>
        <item m="1" x="512"/>
        <item m="1" x="513"/>
        <item m="1" x="514"/>
        <item m="1" x="515"/>
        <item m="1" x="516"/>
        <item m="1" x="547"/>
        <item m="1" x="548"/>
        <item m="1" x="549"/>
        <item m="1" x="550"/>
        <item m="1" x="637"/>
        <item m="1" x="638"/>
        <item m="1" x="639"/>
        <item m="1" x="640"/>
        <item m="1" x="641"/>
        <item m="1" x="642"/>
        <item m="1" x="643"/>
        <item m="1" x="720"/>
        <item m="1" x="721"/>
        <item m="1" x="722"/>
        <item m="1" x="723"/>
        <item m="1" x="731"/>
        <item m="1" x="732"/>
        <item m="1" x="733"/>
        <item m="1" x="734"/>
        <item m="1" x="735"/>
        <item m="1" x="736"/>
        <item m="1" x="742"/>
        <item m="1" x="743"/>
        <item m="1" x="744"/>
        <item m="1" x="745"/>
        <item m="1" x="746"/>
        <item m="1" x="747"/>
        <item m="1" x="754"/>
        <item m="1" x="755"/>
        <item m="1" x="756"/>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8"/>
        <item m="1" x="789"/>
        <item m="1" x="792"/>
        <item m="1" x="793"/>
        <item m="1" x="794"/>
        <item m="1" x="795"/>
        <item m="1" x="796"/>
        <item m="1" x="797"/>
        <item m="1" x="798"/>
        <item m="1" x="799"/>
        <item m="1" x="800"/>
        <item m="1" x="801"/>
        <item m="1" x="802"/>
        <item m="1" x="803"/>
        <item m="1" x="804"/>
        <item m="1" x="805"/>
        <item m="1" x="809"/>
        <item m="1" x="810"/>
        <item m="1" x="811"/>
        <item m="1" x="812"/>
        <item m="1" x="813"/>
        <item m="1" x="814"/>
        <item m="1" x="815"/>
        <item m="1" x="816"/>
        <item m="1" x="819"/>
        <item m="1" x="820"/>
        <item m="1" x="821"/>
        <item m="1" x="822"/>
        <item m="1" x="823"/>
        <item m="1" x="824"/>
        <item m="1" x="825"/>
        <item m="1" x="826"/>
        <item m="1" x="827"/>
        <item m="1" x="828"/>
        <item m="1" x="831"/>
        <item m="1" x="832"/>
        <item m="1" x="833"/>
        <item m="1" x="834"/>
        <item m="1" x="835"/>
        <item m="1" x="836"/>
        <item m="1" x="837"/>
        <item m="1" x="838"/>
        <item m="1" x="839"/>
        <item m="1" x="842"/>
        <item m="1" x="843"/>
        <item m="1" x="844"/>
        <item m="1" x="845"/>
        <item m="1" x="846"/>
        <item m="1" x="847"/>
        <item m="1" x="848"/>
        <item m="1" x="849"/>
        <item m="1" x="850"/>
        <item m="1" x="851"/>
        <item m="1" x="852"/>
        <item m="1" x="853"/>
        <item m="1" x="856"/>
        <item m="1" x="857"/>
        <item m="1" x="858"/>
        <item m="1" x="859"/>
        <item m="1" x="860"/>
        <item m="1" x="861"/>
        <item m="1" x="862"/>
        <item m="1" x="863"/>
        <item m="1" x="864"/>
        <item m="1" x="865"/>
        <item m="1" x="866"/>
        <item m="1" x="867"/>
        <item m="1" x="868"/>
        <item m="1" x="869"/>
        <item m="1" x="870"/>
        <item m="1" x="876"/>
        <item m="1" x="993"/>
        <item m="1" x="994"/>
        <item m="1" x="995"/>
        <item m="1" x="908"/>
        <item m="1" x="909"/>
        <item m="1" x="910"/>
        <item m="1" x="1000"/>
        <item m="1" x="1001"/>
        <item m="1" x="950"/>
        <item m="1" x="951"/>
        <item m="1" x="16"/>
        <item m="1" x="17"/>
        <item m="1" x="18"/>
        <item m="1" x="19"/>
        <item m="1" x="20"/>
        <item m="1" x="21"/>
        <item m="1" x="959"/>
        <item m="1" x="960"/>
        <item m="1" x="961"/>
        <item m="1" x="42"/>
        <item m="1" x="43"/>
        <item m="1" x="44"/>
        <item m="1" x="1027"/>
        <item m="1" x="1028"/>
        <item m="1" x="1029"/>
        <item m="1" x="79"/>
        <item m="1" x="1034"/>
        <item m="1" x="1035"/>
        <item m="1" x="1036"/>
        <item m="1" x="1037"/>
        <item m="1" x="1038"/>
        <item m="1" x="1039"/>
        <item m="1" x="1040"/>
        <item m="1" x="1041"/>
        <item m="1" x="1042"/>
        <item m="1" x="1043"/>
        <item m="1" x="1044"/>
        <item m="1" x="1045"/>
        <item m="1" x="87"/>
        <item m="1" x="88"/>
        <item m="1" x="89"/>
        <item m="1" x="103"/>
        <item m="1" x="134"/>
        <item m="1" x="144"/>
        <item m="1" x="977"/>
        <item m="1" x="978"/>
        <item m="1" x="979"/>
        <item m="1" x="583"/>
        <item m="1" x="584"/>
        <item m="1" x="585"/>
        <item m="1" x="883"/>
        <item m="1" x="884"/>
        <item m="1" x="885"/>
        <item m="1" x="996"/>
        <item m="1" x="997"/>
        <item m="1" x="998"/>
        <item m="1" x="999"/>
        <item m="1" x="13"/>
        <item m="1" x="1009"/>
        <item m="1" x="1010"/>
        <item m="1" x="37"/>
        <item m="1" x="38"/>
        <item m="1" x="972"/>
        <item m="1" x="973"/>
        <item m="1" x="974"/>
        <item m="1" x="211"/>
        <item m="1" x="215"/>
        <item m="1" x="216"/>
        <item m="1" x="230"/>
        <item m="1" x="231"/>
        <item m="1" x="232"/>
        <item m="1" x="233"/>
        <item m="1" x="237"/>
        <item m="1" x="238"/>
        <item m="1" x="242"/>
        <item m="1" x="243"/>
        <item m="1" x="244"/>
        <item m="1" x="245"/>
        <item m="1" x="246"/>
        <item m="1" x="247"/>
        <item m="1" x="269"/>
        <item m="1" x="270"/>
        <item m="1" x="751"/>
        <item m="1" x="752"/>
        <item m="1" x="786"/>
        <item m="1" x="787"/>
        <item m="1" x="790"/>
        <item m="1" x="791"/>
        <item m="1" x="806"/>
        <item m="1" x="807"/>
        <item m="1" x="808"/>
        <item m="1" x="817"/>
        <item m="1" x="818"/>
        <item m="1" x="829"/>
        <item m="1" x="830"/>
        <item m="1" x="840"/>
        <item m="1" x="841"/>
        <item m="1" x="854"/>
        <item m="1" x="855"/>
        <item m="1" x="22"/>
        <item m="1" x="48"/>
        <item m="1" x="49"/>
        <item m="1" x="34"/>
        <item m="1" x="45"/>
        <item m="1" x="46"/>
        <item m="1" x="47"/>
        <item m="1" x="81"/>
        <item m="1" x="82"/>
        <item m="1" x="83"/>
        <item m="1" x="84"/>
        <item m="1" x="85"/>
        <item m="1" x="86"/>
        <item m="1" x="90"/>
        <item m="1" x="91"/>
        <item m="1" x="92"/>
        <item m="1" x="93"/>
        <item m="1" x="94"/>
        <item m="1" x="95"/>
        <item m="1" x="117"/>
        <item m="1" x="118"/>
        <item m="1" x="119"/>
        <item m="1" x="120"/>
        <item m="1" x="146"/>
        <item m="1" x="147"/>
        <item m="1" x="148"/>
        <item m="1" x="149"/>
        <item m="1" x="150"/>
        <item m="1" x="151"/>
        <item m="1" x="152"/>
        <item m="1" x="158"/>
        <item m="1" x="159"/>
        <item m="1" x="184"/>
        <item m="1" x="185"/>
        <item m="1" x="214"/>
        <item m="1" x="357"/>
        <item m="1" x="358"/>
        <item m="1" x="359"/>
        <item m="1" x="360"/>
        <item m="1" x="361"/>
        <item m="1" x="362"/>
        <item m="1" x="363"/>
        <item m="1" x="378"/>
        <item m="1" x="379"/>
        <item m="1" x="380"/>
        <item m="1" x="381"/>
        <item m="1" x="392"/>
        <item m="1" x="393"/>
        <item m="1" x="394"/>
        <item m="1" x="395"/>
        <item m="1" x="396"/>
        <item m="1" x="397"/>
        <item m="1" x="398"/>
        <item m="1" x="871"/>
        <item m="1" x="872"/>
        <item m="1" x="881"/>
        <item m="1" x="882"/>
        <item m="1" x="891"/>
        <item m="1" x="892"/>
        <item m="1" x="893"/>
        <item m="1" x="894"/>
        <item m="1" x="895"/>
        <item m="1" x="896"/>
        <item m="1" x="897"/>
        <item m="1" x="898"/>
        <item m="1" x="899"/>
        <item m="1" x="900"/>
        <item m="1" x="901"/>
        <item m="1" x="902"/>
        <item m="1" x="903"/>
        <item m="1" x="904"/>
        <item m="1" x="905"/>
        <item m="1" x="906"/>
        <item m="1" x="907"/>
        <item m="1" x="937"/>
        <item m="1" x="938"/>
        <item m="1" x="98"/>
        <item m="1" x="99"/>
        <item t="default"/>
      </items>
    </pivotField>
    <pivotField axis="axisRow" compact="0" outline="0" showAll="0" defaultSubtotal="0">
      <items count="33">
        <item x="7"/>
        <item x="8"/>
        <item m="1" x="30"/>
        <item m="1" x="32"/>
        <item m="1" x="31"/>
        <item x="6"/>
        <item m="1" x="11"/>
        <item x="1"/>
        <item m="1" x="29"/>
        <item x="3"/>
        <item x="9"/>
        <item x="0"/>
        <item m="1" x="26"/>
        <item m="1" x="10"/>
        <item x="5"/>
        <item x="2"/>
        <item m="1" x="28"/>
        <item m="1" x="13"/>
        <item x="4"/>
        <item m="1" x="14"/>
        <item m="1" x="15"/>
        <item m="1" x="17"/>
        <item m="1" x="18"/>
        <item m="1" x="19"/>
        <item m="1" x="20"/>
        <item m="1" x="21"/>
        <item m="1" x="22"/>
        <item m="1" x="12"/>
        <item m="1" x="23"/>
        <item m="1" x="24"/>
        <item m="1" x="25"/>
        <item m="1" x="27"/>
        <item m="1" x="16"/>
      </items>
    </pivotField>
    <pivotField compact="0" numFmtId="164" outline="0" showAll="0"/>
    <pivotField compact="0" outline="0" showAll="0"/>
    <pivotField compact="0" outline="0" showAll="0"/>
    <pivotField compact="0" outline="0" showAll="0"/>
    <pivotField compact="0"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1"/>
        <item sd="0" x="2"/>
        <item sd="0" x="3"/>
        <item sd="0" x="4"/>
        <item x="0"/>
        <item x="5"/>
        <item t="default"/>
      </items>
    </pivotField>
    <pivotField compact="0" outline="0" showAll="0">
      <items count="9">
        <item sd="0" x="1"/>
        <item sd="0" x="2"/>
        <item sd="0" x="3"/>
        <item x="4"/>
        <item x="5"/>
        <item x="6"/>
        <item x="0"/>
        <item x="7"/>
        <item t="default"/>
      </items>
    </pivotField>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4">
        <item x="1"/>
        <item x="0"/>
        <item x="2"/>
        <item t="default"/>
      </items>
    </pivotField>
  </pivotFields>
  <rowFields count="6">
    <field x="12"/>
    <field x="1"/>
    <field x="0"/>
    <field x="6"/>
    <field x="4"/>
    <field x="22"/>
  </rowFields>
  <rowItems count="9">
    <i>
      <x/>
      <x v="10"/>
      <x v="25"/>
      <x v="9"/>
      <x v="11"/>
      <x v="14"/>
    </i>
    <i r="2">
      <x v="27"/>
      <x v="9"/>
      <x v="13"/>
      <x v="14"/>
    </i>
    <i r="1">
      <x v="11"/>
      <x v="34"/>
      <x v="6"/>
      <x v="2"/>
      <x v="11"/>
    </i>
    <i r="2">
      <x v="93"/>
      <x v="7"/>
      <x v="10"/>
      <x v="11"/>
    </i>
    <i r="1">
      <x v="12"/>
      <x v="67"/>
      <x v="9"/>
      <x v="15"/>
      <x v="18"/>
    </i>
    <i r="2">
      <x v="79"/>
      <x v="9"/>
      <x v="10"/>
      <x v="11"/>
    </i>
    <i>
      <x v="1"/>
      <x v="12"/>
      <x v="83"/>
      <x v="12"/>
      <x v="15"/>
      <x v="10"/>
    </i>
    <i>
      <x v="5"/>
      <x v="11"/>
      <x v="46"/>
      <x v="8"/>
      <x v="1"/>
      <x v="9"/>
    </i>
    <i t="grand">
      <x/>
    </i>
  </rowItems>
  <colItems count="1">
    <i/>
  </colItems>
  <pageFields count="2">
    <pageField fld="21" item="0" hier="-1"/>
    <pageField fld="11" hier="-1"/>
  </pageFields>
  <dataFields count="1">
    <dataField name="Value $" fld="3" baseField="1" baseItem="5" numFmtId="42"/>
  </dataFields>
  <formats count="23">
    <format dxfId="382">
      <pivotArea outline="0" collapsedLevelsAreSubtotals="1" fieldPosition="0"/>
    </format>
    <format dxfId="381">
      <pivotArea outline="0" fieldPosition="0">
        <references count="1">
          <reference field="4294967294" count="1">
            <x v="0"/>
          </reference>
        </references>
      </pivotArea>
    </format>
    <format dxfId="380">
      <pivotArea field="12" type="button" dataOnly="0" labelOnly="1" outline="0" axis="axisRow" fieldPosition="0"/>
    </format>
    <format dxfId="379">
      <pivotArea field="-2" type="button" dataOnly="0" labelOnly="1" outline="0" axis="axisValues" fieldPosition="0"/>
    </format>
    <format dxfId="378">
      <pivotArea type="topRight" dataOnly="0" labelOnly="1" outline="0" fieldPosition="0"/>
    </format>
    <format dxfId="377">
      <pivotArea field="12" dataOnly="0" labelOnly="1" outline="0" axis="axisRow" fieldPosition="0">
        <references count="1">
          <reference field="4294967294" count="1" selected="0">
            <x v="0"/>
          </reference>
        </references>
      </pivotArea>
    </format>
    <format dxfId="376">
      <pivotArea dataOnly="0" outline="0" fieldPosition="0">
        <references count="2">
          <reference field="4294967294" count="1">
            <x v="0"/>
          </reference>
          <reference field="21" count="1" selected="0">
            <x v="0"/>
          </reference>
        </references>
      </pivotArea>
    </format>
    <format dxfId="375">
      <pivotArea outline="0" collapsedLevelsAreSubtotals="1" fieldPosition="0"/>
    </format>
    <format dxfId="374">
      <pivotArea field="6" dataOnly="0" labelOnly="1" grandRow="1" outline="0" axis="axisRow" fieldPosition="3">
        <references count="1">
          <reference field="4294967294" count="1" selected="0">
            <x v="0"/>
          </reference>
        </references>
      </pivotArea>
    </format>
    <format dxfId="373">
      <pivotArea dataOnly="0" labelOnly="1" outline="0" fieldPosition="0">
        <references count="2">
          <reference field="4294967294" count="1">
            <x v="0"/>
          </reference>
          <reference field="6" count="1" selected="0">
            <x v="6"/>
          </reference>
        </references>
      </pivotArea>
    </format>
    <format dxfId="372">
      <pivotArea dataOnly="0" labelOnly="1" outline="0" fieldPosition="0">
        <references count="2">
          <reference field="4294967294" count="1">
            <x v="0"/>
          </reference>
          <reference field="6" count="1" selected="0">
            <x v="9"/>
          </reference>
        </references>
      </pivotArea>
    </format>
    <format dxfId="371">
      <pivotArea dataOnly="0" labelOnly="1" outline="0" fieldPosition="0">
        <references count="2">
          <reference field="4294967294" count="1">
            <x v="0"/>
          </reference>
          <reference field="6" count="1" selected="0">
            <x v="10"/>
          </reference>
        </references>
      </pivotArea>
    </format>
    <format dxfId="370">
      <pivotArea outline="0" collapsedLevelsAreSubtotals="1" fieldPosition="0"/>
    </format>
    <format dxfId="369">
      <pivotArea field="6" dataOnly="0" labelOnly="1" grandRow="1" outline="0" axis="axisRow" fieldPosition="3">
        <references count="1">
          <reference field="4294967294" count="1" selected="0">
            <x v="0"/>
          </reference>
        </references>
      </pivotArea>
    </format>
    <format dxfId="368">
      <pivotArea dataOnly="0" labelOnly="1" outline="0" fieldPosition="0">
        <references count="2">
          <reference field="4294967294" count="1">
            <x v="0"/>
          </reference>
          <reference field="6" count="1" selected="0">
            <x v="6"/>
          </reference>
        </references>
      </pivotArea>
    </format>
    <format dxfId="367">
      <pivotArea dataOnly="0" labelOnly="1" outline="0" fieldPosition="0">
        <references count="2">
          <reference field="4294967294" count="1">
            <x v="0"/>
          </reference>
          <reference field="6" count="1" selected="0">
            <x v="9"/>
          </reference>
        </references>
      </pivotArea>
    </format>
    <format dxfId="366">
      <pivotArea dataOnly="0" labelOnly="1" outline="0" fieldPosition="0">
        <references count="2">
          <reference field="4294967294" count="1">
            <x v="0"/>
          </reference>
          <reference field="6" count="1" selected="0">
            <x v="10"/>
          </reference>
        </references>
      </pivotArea>
    </format>
    <format dxfId="365">
      <pivotArea dataOnly="0" labelOnly="1" outline="0" fieldPosition="0">
        <references count="1">
          <reference field="4" count="0"/>
        </references>
      </pivotArea>
    </format>
    <format dxfId="364">
      <pivotArea dataOnly="0" labelOnly="1" outline="0" fieldPosition="0">
        <references count="1">
          <reference field="4" count="0"/>
        </references>
      </pivotArea>
    </format>
    <format dxfId="363">
      <pivotArea dataOnly="0" labelOnly="1" outline="0" fieldPosition="0">
        <references count="4">
          <reference field="0" count="1" selected="0">
            <x v="0"/>
          </reference>
          <reference field="1" count="1" selected="0">
            <x v="13"/>
          </reference>
          <reference field="4" count="1">
            <x v="15"/>
          </reference>
          <reference field="6" count="1" selected="0">
            <x v="9"/>
          </reference>
        </references>
      </pivotArea>
    </format>
    <format dxfId="362">
      <pivotArea dataOnly="0" labelOnly="1" outline="0" fieldPosition="0">
        <references count="4">
          <reference field="0" count="1" selected="0">
            <x v="4"/>
          </reference>
          <reference field="1" count="1" selected="0">
            <x v="13"/>
          </reference>
          <reference field="4" count="1">
            <x v="15"/>
          </reference>
          <reference field="6" count="1" selected="0">
            <x v="9"/>
          </reference>
        </references>
      </pivotArea>
    </format>
    <format dxfId="361">
      <pivotArea field="4" type="button" dataOnly="0" labelOnly="1" outline="0" axis="axisRow" fieldPosition="4"/>
    </format>
    <format dxfId="360">
      <pivotArea field="22" type="button" dataOnly="0" labelOnly="1" outline="0" axis="axisRow" fieldPosition="5"/>
    </format>
  </formats>
  <pivotTableStyleInfo name="PivotStyleMedium9"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00000000-0016-0000-0C00-000001000000}" autoFormatId="16" applyNumberFormats="0" applyBorderFormats="0" applyFontFormats="0" applyPatternFormats="0" applyAlignmentFormats="0" applyWidthHeightFormats="0">
  <queryTableRefresh nextId="19" unboundColumnsRight="3">
    <queryTableFields count="18">
      <queryTableField id="1" name="Opportunity Name" tableColumnId="1"/>
      <queryTableField id="2" name="Status" tableColumnId="2"/>
      <queryTableField id="3" name="July" tableColumnId="3"/>
      <queryTableField id="4" name="August" tableColumnId="4"/>
      <queryTableField id="5" name="September" tableColumnId="5"/>
      <queryTableField id="6" name="October" tableColumnId="6"/>
      <queryTableField id="7" name="November" tableColumnId="7"/>
      <queryTableField id="8" name="December" tableColumnId="8"/>
      <queryTableField id="9" name="January" tableColumnId="9"/>
      <queryTableField id="10" name="February" tableColumnId="10"/>
      <queryTableField id="11" name="March" tableColumnId="11"/>
      <queryTableField id="12" name="April" tableColumnId="12"/>
      <queryTableField id="13" name="May" tableColumnId="13"/>
      <queryTableField id="14" name="June" tableColumnId="14"/>
      <queryTableField id="15" name="VAT" tableColumnId="15"/>
      <queryTableField id="16" dataBound="0" tableColumnId="16"/>
      <queryTableField id="17" dataBound="0" tableColumnId="17"/>
      <queryTableField id="18" dataBound="0"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adjustColumnWidth="0" connectionId="7" xr16:uid="{00000000-0016-0000-0E00-000003000000}" autoFormatId="16" applyNumberFormats="0" applyBorderFormats="0" applyFontFormats="0" applyPatternFormats="0" applyAlignmentFormats="0" applyWidthHeightFormats="0">
  <queryTableRefresh nextId="43" unboundColumnsRight="4">
    <queryTableFields count="20">
      <queryTableField id="1" name="Project" tableColumnId="1"/>
      <queryTableField id="2" name="Status" tableColumnId="2"/>
      <queryTableField id="3" name="VAT" tableColumnId="3"/>
      <queryTableField id="26" name="July" tableColumnId="26"/>
      <queryTableField id="27" name="August" tableColumnId="27"/>
      <queryTableField id="28" name="September" tableColumnId="28"/>
      <queryTableField id="29" name="October" tableColumnId="29"/>
      <queryTableField id="30" name="November" tableColumnId="30"/>
      <queryTableField id="31" name="December" tableColumnId="31"/>
      <queryTableField id="32" name="January" tableColumnId="32"/>
      <queryTableField id="33" name="February" tableColumnId="33"/>
      <queryTableField id="34" name="March" tableColumnId="34"/>
      <queryTableField id="35" name="April" tableColumnId="35"/>
      <queryTableField id="36" name="May" tableColumnId="36"/>
      <queryTableField id="37" name="June" tableColumnId="37"/>
      <queryTableField id="42" name="Phase" tableColumnId="7"/>
      <queryTableField id="38" dataBound="0" tableColumnId="38"/>
      <queryTableField id="39" dataBound="0" tableColumnId="4"/>
      <queryTableField id="40" dataBound="0" tableColumnId="5"/>
      <queryTableField id="41" dataBound="0" tableColumnId="6"/>
    </queryTableFields>
    <queryTableDeletedFields count="1">
      <deletedField name="Valu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4" xr16:uid="{00000000-0016-0000-0B00-000000000000}" autoFormatId="16" applyNumberFormats="0" applyBorderFormats="0" applyFontFormats="0" applyPatternFormats="0" applyAlignmentFormats="0" applyWidthHeightFormats="0">
  <queryTableRefresh nextId="88">
    <queryTableFields count="79">
      <queryTableField id="1" name="A/D" tableColumnId="1"/>
      <queryTableField id="80" name="VAT" tableColumnId="80"/>
      <queryTableField id="2" name="Client" tableColumnId="2"/>
      <queryTableField id="3" name="Project" tableColumnId="3"/>
      <queryTableField id="4" name="Client Manager" tableColumnId="4"/>
      <queryTableField id="5" name="Engagement Manager" tableColumnId="5"/>
      <queryTableField id="6" name="Engagement Support" tableColumnId="6"/>
      <queryTableField id="7" name="Start date" tableColumnId="7"/>
      <queryTableField id="8" name="End date" tableColumnId="8"/>
      <queryTableField id="9" name="Billing Category" tableColumnId="9"/>
      <queryTableField id="10" name="Work Type" tableColumnId="10"/>
      <queryTableField id="11" name="Panel" tableColumnId="11"/>
      <queryTableField id="12" name="Recurring" tableColumnId="12"/>
      <queryTableField id="13" name="Work Order Amount" tableColumnId="13"/>
      <queryTableField id="14" name="Budget" tableColumnId="14"/>
      <queryTableField id="15" name="Actual" tableColumnId="15"/>
      <queryTableField id="16" name="Balance" tableColumnId="16"/>
      <queryTableField id="17" name="Forecast" tableColumnId="17"/>
      <queryTableField id="18" name="Forecasted Revenue" tableColumnId="18"/>
      <queryTableField id="82" name="Variance @ Completion" tableColumnId="19"/>
      <queryTableField id="20" name="Variance %" tableColumnId="20"/>
      <queryTableField id="21" name="Variance to Contract %" tableColumnId="21"/>
      <queryTableField id="22" name="Write-Off" tableColumnId="22"/>
      <queryTableField id="83" name="Ops commentary" tableColumnId="34"/>
      <queryTableField id="23" name="Revenue Q1" tableColumnId="23"/>
      <queryTableField id="24" name="Revenue Q2" tableColumnId="24"/>
      <queryTableField id="25" name="Revenue Q3" tableColumnId="25"/>
      <queryTableField id="26" name="Revenue Q4" tableColumnId="26"/>
      <queryTableField id="27" name="Gross Cost" tableColumnId="27"/>
      <queryTableField id="28" name="Forecasted Gross Cost" tableColumnId="28"/>
      <queryTableField id="29" name="To Date Gross Profit" tableColumnId="29"/>
      <queryTableField id="30" name="Sold GM (%)" tableColumnId="30"/>
      <queryTableField id="31" name="TD GM(%)" tableColumnId="31"/>
      <queryTableField id="32" name="GP at completion" tableColumnId="32"/>
      <queryTableField id="86" name="Forecast GM @ completion (%)" tableColumnId="33"/>
      <queryTableField id="36" name="R1" tableColumnId="36"/>
      <queryTableField id="37" name="R2" tableColumnId="37"/>
      <queryTableField id="38" name="R3" tableColumnId="38"/>
      <queryTableField id="39" name="R4" tableColumnId="39"/>
      <queryTableField id="40" name="R5" tableColumnId="40"/>
      <queryTableField id="41" name="R6" tableColumnId="41"/>
      <queryTableField id="42" name="R7" tableColumnId="42"/>
      <queryTableField id="43" name="R8" tableColumnId="43"/>
      <queryTableField id="44" name="R9" tableColumnId="44"/>
      <queryTableField id="45" name="R10" tableColumnId="45"/>
      <queryTableField id="46" name="R11" tableColumnId="46"/>
      <queryTableField id="47" name="R12" tableColumnId="47"/>
      <queryTableField id="48" name="C1" tableColumnId="48"/>
      <queryTableField id="49" name="C2" tableColumnId="49"/>
      <queryTableField id="50" name="C3" tableColumnId="50"/>
      <queryTableField id="51" name="C4" tableColumnId="51"/>
      <queryTableField id="52" name="C5" tableColumnId="52"/>
      <queryTableField id="53" name="C6" tableColumnId="53"/>
      <queryTableField id="54" name="C7" tableColumnId="54"/>
      <queryTableField id="55" name="C8" tableColumnId="55"/>
      <queryTableField id="56" name="C9" tableColumnId="56"/>
      <queryTableField id="57" name="C10" tableColumnId="57"/>
      <queryTableField id="58" name="C11" tableColumnId="58"/>
      <queryTableField id="59" name="C12" tableColumnId="59"/>
      <queryTableField id="60" name="P1" tableColumnId="60"/>
      <queryTableField id="61" name="P2" tableColumnId="61"/>
      <queryTableField id="62" name="P3" tableColumnId="62"/>
      <queryTableField id="63" name="P4" tableColumnId="63"/>
      <queryTableField id="64" name="P5" tableColumnId="64"/>
      <queryTableField id="65" name="P6" tableColumnId="65"/>
      <queryTableField id="66" name="P7" tableColumnId="66"/>
      <queryTableField id="67" name="P8" tableColumnId="67"/>
      <queryTableField id="68" name="P9" tableColumnId="68"/>
      <queryTableField id="69" name="P10" tableColumnId="69"/>
      <queryTableField id="70" name="P11" tableColumnId="70"/>
      <queryTableField id="71" name="P12" tableColumnId="71"/>
      <queryTableField id="72" name="Gross Profit Q1" tableColumnId="72"/>
      <queryTableField id="73" name="Gross Profit Q2" tableColumnId="73"/>
      <queryTableField id="74" name="Gross Profit Q3" tableColumnId="74"/>
      <queryTableField id="75" name="Gross Profit Q4" tableColumnId="75"/>
      <queryTableField id="76" name="Gross Margin Q1" tableColumnId="76"/>
      <queryTableField id="77" name="Gross Margin Q2" tableColumnId="77"/>
      <queryTableField id="78" name="Gross Margin Q3" tableColumnId="78"/>
      <queryTableField id="79" name="Gross Margin Q4" tableColumnId="7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query" backgroundRefresh="0" connectionId="1" xr16:uid="{00000000-0016-0000-0D00-000002000000}" autoFormatId="16" applyNumberFormats="0" applyBorderFormats="0" applyFontFormats="0" applyPatternFormats="0" applyAlignmentFormats="0" applyWidthHeightFormats="0">
  <queryTableRefresh nextId="31" unboundColumnsRight="6">
    <queryTableFields count="29">
      <queryTableField id="23" name="Name" tableColumnId="1"/>
      <queryTableField id="2" name="Phase" tableColumnId="2"/>
      <queryTableField id="3" name="Due" tableColumnId="3"/>
      <queryTableField id="6" name="Value $ ex GST" tableColumnId="4"/>
      <queryTableField id="18" name="Margin" tableColumnId="5"/>
      <queryTableField id="13" name="Status" tableColumnId="6"/>
      <queryTableField id="9" name="VAT" tableColumnId="7"/>
      <queryTableField id="10" name="CAS Lead" tableColumnId="8"/>
      <queryTableField id="8" name="CSD Lead" tableColumnId="9"/>
      <queryTableField id="4" name="Client contact" tableColumnId="10"/>
      <queryTableField id="15" name="Comment" tableColumnId="12"/>
      <queryTableField id="5" name="Category" tableColumnId="13"/>
      <queryTableField id="14" name="Work Type" tableColumnId="14"/>
      <queryTableField id="19" name="Start Date" tableColumnId="15"/>
      <queryTableField id="12" name="Expiry Date" tableColumnId="16"/>
      <queryTableField id="16" name="CC" tableColumnId="17"/>
      <queryTableField id="1" name="Modified" tableColumnId="18"/>
      <queryTableField id="7" name="Modified By" tableColumnId="19"/>
      <queryTableField id="20" name="Created" tableColumnId="20"/>
      <queryTableField id="17" name="Created By" tableColumnId="21"/>
      <queryTableField id="22" name="Item Type" tableColumnId="22"/>
      <queryTableField id="21" name="Path" tableColumnId="23"/>
      <queryTableField id="30" name="Partner" tableColumnId="11"/>
      <queryTableField id="24" dataBound="0" tableColumnId="24"/>
      <queryTableField id="25" dataBound="0" tableColumnId="25"/>
      <queryTableField id="26" dataBound="0" tableColumnId="26"/>
      <queryTableField id="27" dataBound="0" tableColumnId="27"/>
      <queryTableField id="28" dataBound="0" tableColumnId="28"/>
      <queryTableField id="29" dataBound="0" tableColumnId="2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T" xr10:uid="{09C367CD-B97A-457B-B811-1F07D108ADDD}" sourceName="VAT">
  <pivotTables>
    <pivotTable tabId="18" name="PivotTable1"/>
  </pivotTables>
  <data>
    <tabular pivotCacheId="2077755557">
      <items count="15">
        <i x="3" s="1"/>
        <i x="4" s="1"/>
        <i x="1" s="1"/>
        <i x="0" s="1"/>
        <i x="6" s="1"/>
        <i x="2" s="1"/>
        <i x="9" s="1" nd="1"/>
        <i x="12" s="1" nd="1"/>
        <i x="8" s="1" nd="1"/>
        <i x="11" s="1" nd="1"/>
        <i x="13" s="1" nd="1"/>
        <i x="7" s="1" nd="1"/>
        <i x="10" s="1" nd="1"/>
        <i x="14"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T1" xr10:uid="{2C9D3973-BDE0-45DF-B0C3-9511F0E72119}" sourceName="VAT">
  <data>
    <tabular pivotCacheId="1377279119">
      <items count="6">
        <i x="4" s="1"/>
        <i x="1" s="1"/>
        <i x="0" s="1"/>
        <i x="2"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E4A83357-65E6-4735-ADAE-F6F543E7197C}" sourceName="Status">
  <pivotTables>
    <pivotTable tabId="2" name="PivotTable1"/>
  </pivotTables>
  <data>
    <tabular pivotCacheId="2077755557">
      <items count="4">
        <i x="2" s="1"/>
        <i x="3" s="1"/>
        <i x="0" s="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F04774D8-EBD9-4B3C-B1F8-1E12EEF309C5}" cache="Slicer_Status" caption="Status"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AT 2" xr10:uid="{08534BB6-E70C-47DF-AD81-502EDB652F99}" cache="Slicer_VAT" caption="VAT" columnCount="6" rowHeight="18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AT 1" xr10:uid="{E82DD1FF-938F-4FBD-A997-7CF3497415F5}" cache="Slicer_VAT1" caption="VAT" rowHeight="257175"/>
</slicers>
</file>

<file path=xl/tables/_rels/table5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12C97AE-E27C-4A74-97CE-3A9580F679FE}" name="RevSpreadTable" displayName="RevSpreadTable" ref="P53:AB61" totalsRowShown="0">
  <autoFilter ref="P53:AB61" xr:uid="{E12C97AE-E27C-4A74-97CE-3A9580F679FE}"/>
  <tableColumns count="13">
    <tableColumn id="1" xr3:uid="{578530F4-16DA-4035-8047-8C50BEEFE13C}" name="STATUS"/>
    <tableColumn id="2" xr3:uid="{008FCE41-6CE3-4D1D-9345-688011CF5952}" name="July" dataDxfId="1247" dataCellStyle="Currency">
      <calculatedColumnFormula>SUMIF(Job_Status[VAT],#REF!,Job_Status[R1])</calculatedColumnFormula>
    </tableColumn>
    <tableColumn id="3" xr3:uid="{C262B427-A885-49DC-8F76-D4FA93CD125E}" name="August" dataDxfId="1246" dataCellStyle="Currency">
      <calculatedColumnFormula>SUMIF(Job_Status[VAT],#REF!,Job_Status[R2])</calculatedColumnFormula>
    </tableColumn>
    <tableColumn id="4" xr3:uid="{460DB156-ACE2-445D-B4E2-9E2DE175BA73}" name="September" dataDxfId="1245" dataCellStyle="Currency">
      <calculatedColumnFormula>SUMIF(Job_Status[VAT],#REF!,Job_Status[R3])</calculatedColumnFormula>
    </tableColumn>
    <tableColumn id="5" xr3:uid="{D8437D01-BD39-4BC1-920D-5BF390121E0F}" name="October" dataDxfId="1244" dataCellStyle="Currency">
      <calculatedColumnFormula>SUMIF(Job_Status[VAT],#REF!,Job_Status[R4])</calculatedColumnFormula>
    </tableColumn>
    <tableColumn id="6" xr3:uid="{1BC2CD89-FAF5-4399-94DA-B09A32CC3A94}" name="November" dataDxfId="1243" dataCellStyle="Currency">
      <calculatedColumnFormula>SUMIF(Job_Status[VAT],#REF!,Job_Status[R5])</calculatedColumnFormula>
    </tableColumn>
    <tableColumn id="7" xr3:uid="{B5B6DBD9-73B6-437D-A220-7F15B0460B69}" name="December" dataDxfId="1242" dataCellStyle="Currency">
      <calculatedColumnFormula>SUMIF(Job_Status[VAT],#REF!,Job_Status[R6])</calculatedColumnFormula>
    </tableColumn>
    <tableColumn id="8" xr3:uid="{4AF4FD74-C3B4-4674-B763-A221B3B81AB6}" name="January" dataDxfId="1241" dataCellStyle="Currency">
      <calculatedColumnFormula>SUMIF(Job_Status[VAT],#REF!,Job_Status[R7])</calculatedColumnFormula>
    </tableColumn>
    <tableColumn id="9" xr3:uid="{31FBBE55-74D7-47B4-A83C-EB299ECC1498}" name="February" dataDxfId="1240" dataCellStyle="Currency">
      <calculatedColumnFormula>SUMIF(Job_Status[VAT],#REF!,Job_Status[R8])</calculatedColumnFormula>
    </tableColumn>
    <tableColumn id="10" xr3:uid="{0CB44F8C-5481-45E2-B746-8FF4B152E9E2}" name="March" dataDxfId="1239" dataCellStyle="Currency">
      <calculatedColumnFormula>SUMIF(Job_Status[VAT],#REF!,Job_Status[R9])</calculatedColumnFormula>
    </tableColumn>
    <tableColumn id="11" xr3:uid="{D57E1607-F6A6-4FAC-B2A3-63AFA5524E9F}" name="April" dataDxfId="1238" dataCellStyle="Currency">
      <calculatedColumnFormula>SUMIF(Job_Status[VAT],#REF!,Job_Status[R10])</calculatedColumnFormula>
    </tableColumn>
    <tableColumn id="12" xr3:uid="{16DC223F-17E5-42A0-9A49-DFE654F95375}" name="May" dataDxfId="1237" dataCellStyle="Currency">
      <calculatedColumnFormula>SUMIF(Job_Status[VAT],#REF!,Job_Status[R11])</calculatedColumnFormula>
    </tableColumn>
    <tableColumn id="13" xr3:uid="{0DBA87BE-02D0-484F-95BA-B15B5C505B00}" name="June" dataDxfId="1236" dataCellStyle="Currency">
      <calculatedColumnFormula>SUMIF(Job_Status[VAT],#REF!,Job_Status[R12])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9545DE3-E33E-4427-8E41-D45B5A5C5CF4}" name="RevCumulativeSpreadTable" displayName="RevCumulativeSpreadTable" ref="P42:AB50" totalsRowShown="0" headerRowDxfId="1235" dataDxfId="1234" headerRowCellStyle="Currency" dataCellStyle="Currency">
  <autoFilter ref="P42:AB50" xr:uid="{B9545DE3-E33E-4427-8E41-D45B5A5C5CF4}"/>
  <tableColumns count="13">
    <tableColumn id="1" xr3:uid="{1FB7C280-627B-407D-AC0A-5E13881DCC25}" name="STATUS" dataDxfId="1233" dataCellStyle="Currency"/>
    <tableColumn id="2" xr3:uid="{66A6DCC2-B462-4E08-92C7-A61E7B320214}" name="July" dataDxfId="1232" dataCellStyle="Currency">
      <calculatedColumnFormula>Q54</calculatedColumnFormula>
    </tableColumn>
    <tableColumn id="3" xr3:uid="{79245BFD-32F3-43BD-98D0-32525C16A518}" name="August" dataDxfId="1231" dataCellStyle="Currency">
      <calculatedColumnFormula>SUM($Q54:R54)</calculatedColumnFormula>
    </tableColumn>
    <tableColumn id="4" xr3:uid="{28C6981A-9AA2-4A09-843C-31C4BF93D3C4}" name="September" dataDxfId="1230" dataCellStyle="Currency">
      <calculatedColumnFormula>SUM($Q54:S54)</calculatedColumnFormula>
    </tableColumn>
    <tableColumn id="5" xr3:uid="{D3CAFEB9-15D5-4F9F-93DF-D4F9AB077DF3}" name="October" dataDxfId="1229" dataCellStyle="Currency">
      <calculatedColumnFormula>SUM($Q54:T54)</calculatedColumnFormula>
    </tableColumn>
    <tableColumn id="6" xr3:uid="{2C43C71D-0DE9-4E2D-99FB-04ADF3BCD802}" name="November" dataDxfId="1228" dataCellStyle="Currency">
      <calculatedColumnFormula>SUM($Q54:U54)</calculatedColumnFormula>
    </tableColumn>
    <tableColumn id="7" xr3:uid="{0BBB6BEE-B078-4E81-A6BD-B95BB1918314}" name="December" dataDxfId="1227" dataCellStyle="Currency">
      <calculatedColumnFormula>SUM($Q54:V54)</calculatedColumnFormula>
    </tableColumn>
    <tableColumn id="8" xr3:uid="{3A6B5DAF-1381-48B4-8E45-F35FE82BAD98}" name="January" dataDxfId="1226" dataCellStyle="Currency">
      <calculatedColumnFormula>SUM($Q54:W54)</calculatedColumnFormula>
    </tableColumn>
    <tableColumn id="9" xr3:uid="{87982D3F-94E8-4867-8025-4C8772AFE34A}" name="February" dataDxfId="1225" dataCellStyle="Currency">
      <calculatedColumnFormula>SUM($Q54:X54)</calculatedColumnFormula>
    </tableColumn>
    <tableColumn id="10" xr3:uid="{5CFE4A99-2B88-4888-9574-A6BAD4141623}" name="March" dataDxfId="1224" dataCellStyle="Currency">
      <calculatedColumnFormula>SUM($Q54:Y54)</calculatedColumnFormula>
    </tableColumn>
    <tableColumn id="11" xr3:uid="{35461F74-B5F8-4D88-B911-D063DA379AAA}" name="April" dataDxfId="1223" dataCellStyle="Currency">
      <calculatedColumnFormula>SUM($Q54:Z54)</calculatedColumnFormula>
    </tableColumn>
    <tableColumn id="12" xr3:uid="{BCC8B0B1-DFA8-4164-900C-8BCAFFA9FAD9}" name="May" dataDxfId="1222" dataCellStyle="Currency">
      <calculatedColumnFormula>SUM($Q54:AA54)</calculatedColumnFormula>
    </tableColumn>
    <tableColumn id="13" xr3:uid="{12167CC1-51FB-4744-9F11-C6F966DC9471}" name="June" dataDxfId="1221" dataCellStyle="Currency">
      <calculatedColumnFormula>SUM($Q54:AB54)</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5DD0B00-ED6B-4DB5-9441-9521D84B0E6F}" name="GMConSpreadTable" displayName="GMConSpreadTable" ref="B53:N61" totalsRowShown="0" headerRowDxfId="1220" headerRowBorderDxfId="1219" tableBorderDxfId="1218">
  <autoFilter ref="B53:N61" xr:uid="{55DD0B00-ED6B-4DB5-9441-9521D84B0E6F}"/>
  <tableColumns count="13">
    <tableColumn id="1" xr3:uid="{7A6FBA91-7722-4CC3-B06A-06B662A4FBB4}" name="STATUS" dataDxfId="1217"/>
    <tableColumn id="2" xr3:uid="{AABA041D-AE9C-48B7-AF98-E77762C8425E}" name="July"/>
    <tableColumn id="3" xr3:uid="{513FFCE5-CC24-4335-899A-1FFB5C066AFE}" name="August"/>
    <tableColumn id="4" xr3:uid="{EAB8C141-A642-4896-9031-AC4BEAB5831C}" name="September"/>
    <tableColumn id="5" xr3:uid="{469E4C92-5DF4-4559-95F3-AAF071044029}" name="October"/>
    <tableColumn id="6" xr3:uid="{0202D612-5781-47F5-8C77-4D2464DA5692}" name="November"/>
    <tableColumn id="7" xr3:uid="{A11F47E5-E6B4-4D31-A2E1-605E8DA8E577}" name="December"/>
    <tableColumn id="8" xr3:uid="{98D21CBE-3A26-4706-A114-9D77CB49E2CA}" name="January"/>
    <tableColumn id="9" xr3:uid="{B1257767-FED6-47CA-9080-E10E56512A1E}" name="February"/>
    <tableColumn id="10" xr3:uid="{A25E9761-AFD7-4130-A437-21B97B2E0140}" name="March"/>
    <tableColumn id="11" xr3:uid="{370B7688-B474-4314-A9B2-09747B467B2A}" name="April"/>
    <tableColumn id="12" xr3:uid="{CC4C3D86-61E9-460C-B0BF-B299CBF19A01}" name="May"/>
    <tableColumn id="13" xr3:uid="{D6032091-8858-4F98-8694-094F84F3CCA7}" name="Jun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F0510B9-B855-4CB8-8DB0-CA873566B36E}" name="GMConCumulativeSpreadTable" displayName="GMConCumulativeSpreadTable" ref="B42:N50" totalsRowShown="0" headerRowDxfId="1216" dataDxfId="1215" headerRowCellStyle="Currency" dataCellStyle="Currency">
  <autoFilter ref="B42:N50" xr:uid="{0F0510B9-B855-4CB8-8DB0-CA873566B36E}"/>
  <tableColumns count="13">
    <tableColumn id="1" xr3:uid="{E767F73F-6F45-485A-B427-ED0D0F7C14F4}" name="STATUS" dataDxfId="1214" dataCellStyle="Currency"/>
    <tableColumn id="2" xr3:uid="{0D66D7EF-EC4E-4B99-86ED-693310A1C717}" name="July" dataDxfId="1213" dataCellStyle="Currency">
      <calculatedColumnFormula>C54</calculatedColumnFormula>
    </tableColumn>
    <tableColumn id="3" xr3:uid="{92A8AA67-2DEB-4E15-81B4-5CC111212F46}" name="August" dataDxfId="1212" dataCellStyle="Currency">
      <calculatedColumnFormula>SUM($C54:D54)</calculatedColumnFormula>
    </tableColumn>
    <tableColumn id="4" xr3:uid="{B1E4F2F4-699B-4C95-B102-3580072E3A85}" name="September" dataDxfId="1211" dataCellStyle="Currency">
      <calculatedColumnFormula>SUM($C54:E54)</calculatedColumnFormula>
    </tableColumn>
    <tableColumn id="5" xr3:uid="{AA629F7F-6F07-42C7-B109-62893EF1EB3C}" name="October" dataDxfId="1210" dataCellStyle="Currency">
      <calculatedColumnFormula>SUM($C54:F54)</calculatedColumnFormula>
    </tableColumn>
    <tableColumn id="6" xr3:uid="{3C3AA00D-B298-42F0-841E-971007EEEC51}" name="November" dataDxfId="1209" dataCellStyle="Currency">
      <calculatedColumnFormula>SUM($C54:G54)</calculatedColumnFormula>
    </tableColumn>
    <tableColumn id="7" xr3:uid="{276783DA-731D-4D69-A1A4-75728CBE7C05}" name="December" dataDxfId="1208" dataCellStyle="Currency">
      <calculatedColumnFormula>SUM($C54:H54)</calculatedColumnFormula>
    </tableColumn>
    <tableColumn id="8" xr3:uid="{79FAED24-4A4C-4179-896F-DDA2D994C445}" name="January" dataDxfId="1207" dataCellStyle="Currency">
      <calculatedColumnFormula>SUM($C54:I54)</calculatedColumnFormula>
    </tableColumn>
    <tableColumn id="9" xr3:uid="{36B320C9-D2C7-4B5F-AFFA-43E4CAACA43B}" name="February" dataDxfId="1206" dataCellStyle="Currency">
      <calculatedColumnFormula>SUM($C54:J54)</calculatedColumnFormula>
    </tableColumn>
    <tableColumn id="10" xr3:uid="{A6ECD487-E061-4463-92E1-BFEE8B1CEBA4}" name="March" dataDxfId="1205" dataCellStyle="Currency">
      <calculatedColumnFormula>SUM($C54:K54)</calculatedColumnFormula>
    </tableColumn>
    <tableColumn id="11" xr3:uid="{A06A4306-9E71-4CD9-9D81-548476A55220}" name="April" dataDxfId="1204" dataCellStyle="Currency">
      <calculatedColumnFormula>SUM($C54:L54)</calculatedColumnFormula>
    </tableColumn>
    <tableColumn id="12" xr3:uid="{44C0C12E-F059-4744-AB68-25B3A3F2A1EB}" name="May" dataDxfId="1203" dataCellStyle="Currency">
      <calculatedColumnFormula>SUM($C54:M54)</calculatedColumnFormula>
    </tableColumn>
    <tableColumn id="13" xr3:uid="{331E2424-94B0-43B2-923A-DC89100E7D81}" name="June" dataDxfId="1202" dataCellStyle="Currency">
      <calculatedColumnFormula>SUM($C54:N54)</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9832FF5-DFEC-4F31-844F-50280550CA6E}" name="RevSpreadTable5" displayName="RevSpreadTable5" ref="T37:AF45" totalsRowShown="0">
  <autoFilter ref="T37:AF45" xr:uid="{E12C97AE-E27C-4A74-97CE-3A9580F679FE}"/>
  <tableColumns count="13">
    <tableColumn id="1" xr3:uid="{C9EAF0F6-7231-4F3A-83FF-31FCF3D579AC}" name="STATUS"/>
    <tableColumn id="2" xr3:uid="{942816D9-65E8-4830-992A-F2F766517354}" name="July" dataDxfId="1131" dataCellStyle="Currency">
      <calculatedColumnFormula>SUMIF(Job_Status[VAT],#REF!,Job_Status[R1])</calculatedColumnFormula>
    </tableColumn>
    <tableColumn id="3" xr3:uid="{D885D18F-A186-4D86-92D9-72AE0220ABDE}" name="August" dataDxfId="1130" dataCellStyle="Currency">
      <calculatedColumnFormula>SUMIF(Job_Status[VAT],#REF!,Job_Status[R2])</calculatedColumnFormula>
    </tableColumn>
    <tableColumn id="4" xr3:uid="{CD2F12BA-23FA-4A04-AF87-2CFB9294680E}" name="September" dataDxfId="1129" dataCellStyle="Currency">
      <calculatedColumnFormula>SUMIF(Job_Status[VAT],#REF!,Job_Status[R3])</calculatedColumnFormula>
    </tableColumn>
    <tableColumn id="5" xr3:uid="{542826E7-1C5A-41FA-BB4B-C755A47E8067}" name="October" dataDxfId="1128" dataCellStyle="Currency">
      <calculatedColumnFormula>SUMIF(Job_Status[VAT],#REF!,Job_Status[R4])</calculatedColumnFormula>
    </tableColumn>
    <tableColumn id="6" xr3:uid="{F4918247-7879-4992-9265-DFDFCABAF73B}" name="November" dataDxfId="1127" dataCellStyle="Currency">
      <calculatedColumnFormula>SUMIF(Job_Status[VAT],#REF!,Job_Status[R5])</calculatedColumnFormula>
    </tableColumn>
    <tableColumn id="7" xr3:uid="{EFC3CBA3-0EEF-46A8-921D-F8AC488941FC}" name="December" dataDxfId="1126" dataCellStyle="Currency">
      <calculatedColumnFormula>SUMIF(Job_Status[VAT],#REF!,Job_Status[R6])</calculatedColumnFormula>
    </tableColumn>
    <tableColumn id="8" xr3:uid="{DB24F407-B98C-476E-85E7-5C6D98855115}" name="January" dataDxfId="1125" dataCellStyle="Currency">
      <calculatedColumnFormula>SUMIF(Job_Status[VAT],#REF!,Job_Status[R7])</calculatedColumnFormula>
    </tableColumn>
    <tableColumn id="9" xr3:uid="{62A0ADCA-4BD2-4BA1-AA85-06ED77DF3AFC}" name="February" dataDxfId="1124" dataCellStyle="Currency">
      <calculatedColumnFormula>SUMIF(Job_Status[VAT],#REF!,Job_Status[R8])</calculatedColumnFormula>
    </tableColumn>
    <tableColumn id="10" xr3:uid="{1C433547-1FA9-4433-AC6B-F9C953924190}" name="March" dataDxfId="1123" dataCellStyle="Currency">
      <calculatedColumnFormula>SUMIF(Job_Status[VAT],#REF!,Job_Status[R9])</calculatedColumnFormula>
    </tableColumn>
    <tableColumn id="11" xr3:uid="{DADDB053-EFBE-44F2-B204-6318DB1CC245}" name="April" dataDxfId="1122" dataCellStyle="Currency">
      <calculatedColumnFormula>SUMIF(Job_Status[VAT],#REF!,Job_Status[R10])</calculatedColumnFormula>
    </tableColumn>
    <tableColumn id="12" xr3:uid="{421F9BF4-68FE-47DA-AB5E-3C7BEEBB12DA}" name="May" dataDxfId="1121" dataCellStyle="Currency">
      <calculatedColumnFormula>SUMIF(Job_Status[VAT],#REF!,Job_Status[R11])</calculatedColumnFormula>
    </tableColumn>
    <tableColumn id="13" xr3:uid="{B3A48905-0F28-466C-86FB-47DD47FCF161}" name="June" dataDxfId="1120" dataCellStyle="Currency">
      <calculatedColumnFormula>SUMIF(Job_Status[VAT],#REF!,Job_Status[R12])</calculatedColumnFormula>
    </tableColumn>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0F492DA-BDA2-465D-BB59-A5CDAD408599}" name="RevCumulativeSpreadTable6" displayName="RevCumulativeSpreadTable6" ref="T26:AF34" totalsRowShown="0" headerRowDxfId="1119" dataDxfId="1118" headerRowCellStyle="Currency" dataCellStyle="Currency">
  <autoFilter ref="T26:AF34" xr:uid="{B9545DE3-E33E-4427-8E41-D45B5A5C5CF4}"/>
  <tableColumns count="13">
    <tableColumn id="1" xr3:uid="{DEE54F8F-7B50-4F33-A1DE-568ABF1E81DF}" name="STATUS" dataDxfId="1117" dataCellStyle="Currency"/>
    <tableColumn id="2" xr3:uid="{DC5223F2-E656-42EB-B41E-F0044B1A1F50}" name="July" dataDxfId="1116" dataCellStyle="Currency">
      <calculatedColumnFormula>U38</calculatedColumnFormula>
    </tableColumn>
    <tableColumn id="3" xr3:uid="{EAA8713C-8DC9-4817-B5E2-A32455523459}" name="August" dataDxfId="1115" dataCellStyle="Currency">
      <calculatedColumnFormula>SUM($U38:V38)</calculatedColumnFormula>
    </tableColumn>
    <tableColumn id="4" xr3:uid="{4E17BC98-0BE4-441E-821C-78B9A4EF8743}" name="September" dataDxfId="1114" dataCellStyle="Currency">
      <calculatedColumnFormula>SUM($U38:W38)</calculatedColumnFormula>
    </tableColumn>
    <tableColumn id="5" xr3:uid="{5A51A89C-0BF4-40E8-9661-E855245DF449}" name="October" dataDxfId="1113" dataCellStyle="Currency">
      <calculatedColumnFormula>SUM($U38:X38)</calculatedColumnFormula>
    </tableColumn>
    <tableColumn id="6" xr3:uid="{F022BAD0-B051-439B-8B2C-B7637EA825BB}" name="November" dataDxfId="1112" dataCellStyle="Currency">
      <calculatedColumnFormula>SUM($U38:Y38)</calculatedColumnFormula>
    </tableColumn>
    <tableColumn id="7" xr3:uid="{38580C15-0FB0-4093-92FC-03BAB013F910}" name="December" dataDxfId="1111" dataCellStyle="Currency">
      <calculatedColumnFormula>SUM($U38:Z38)</calculatedColumnFormula>
    </tableColumn>
    <tableColumn id="8" xr3:uid="{93C7B4D8-6BC2-4452-8572-8FC430702206}" name="January" dataDxfId="1110" dataCellStyle="Currency">
      <calculatedColumnFormula>SUM($U38:AA38)</calculatedColumnFormula>
    </tableColumn>
    <tableColumn id="9" xr3:uid="{B2E634C3-171F-47A8-94AE-FF5A2B71910B}" name="February" dataDxfId="1109" dataCellStyle="Currency">
      <calculatedColumnFormula>SUM($U38:AB38)</calculatedColumnFormula>
    </tableColumn>
    <tableColumn id="10" xr3:uid="{630BB669-BF03-40B6-89FB-49EC9812C3A9}" name="March" dataDxfId="1108" dataCellStyle="Currency">
      <calculatedColumnFormula>SUM($U38:AC38)</calculatedColumnFormula>
    </tableColumn>
    <tableColumn id="11" xr3:uid="{B9F57755-2363-4946-94BD-40308BF573D9}" name="April" dataDxfId="1107" dataCellStyle="Currency">
      <calculatedColumnFormula>SUM($U38:AD38)</calculatedColumnFormula>
    </tableColumn>
    <tableColumn id="12" xr3:uid="{7AA00CFD-223E-47D1-B224-5DEEDA72D5A4}" name="May" dataDxfId="1106" dataCellStyle="Currency">
      <calculatedColumnFormula>SUM($U38:AE38)</calculatedColumnFormula>
    </tableColumn>
    <tableColumn id="13" xr3:uid="{419463A8-9A42-4E66-86A7-EF66C249CB35}" name="June" dataDxfId="1105" dataCellStyle="Currency">
      <calculatedColumnFormula>SUM($U38:AF38)</calculatedColumnFormula>
    </tableColumn>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B2F2528-DEFE-486E-97F5-C7E19B8077F6}" name="GMConSpreadTable8" displayName="GMConSpreadTable8" ref="T15:AF23" totalsRowShown="0" headerRowDxfId="1104" dataDxfId="1103" dataCellStyle="Currency">
  <autoFilter ref="T15:AF23" xr:uid="{55DD0B00-ED6B-4DB5-9441-9521D84B0E6F}"/>
  <tableColumns count="13">
    <tableColumn id="1" xr3:uid="{FE13308D-EC12-4234-AA50-6D057EC33A71}" name="STATUS" dataDxfId="1102"/>
    <tableColumn id="2" xr3:uid="{3576FDF5-90B0-41B2-BFEC-10C58353A116}" name="July" dataDxfId="1101" dataCellStyle="Currency"/>
    <tableColumn id="3" xr3:uid="{D5E9329E-695C-4D4E-9EB0-8A9CA8CE6D43}" name="August" dataDxfId="1100" dataCellStyle="Currency"/>
    <tableColumn id="4" xr3:uid="{8D572B7B-451B-4850-96AD-D6BD7C5F05AE}" name="September" dataDxfId="1099" dataCellStyle="Currency"/>
    <tableColumn id="5" xr3:uid="{ED5E4467-B42C-46D7-82F2-405870649A3B}" name="October" dataDxfId="1098" dataCellStyle="Currency"/>
    <tableColumn id="6" xr3:uid="{7060FBA5-AD12-490A-9A6A-A94497029E27}" name="November" dataDxfId="1097" dataCellStyle="Currency"/>
    <tableColumn id="7" xr3:uid="{C831172B-773B-42DD-99F2-6601161C4CE7}" name="December" dataDxfId="1096" dataCellStyle="Currency"/>
    <tableColumn id="8" xr3:uid="{64119A1E-1867-4232-B171-3E66AFB20993}" name="January" dataDxfId="1095" dataCellStyle="Currency"/>
    <tableColumn id="9" xr3:uid="{EA5C141C-1D6C-42CB-8FBB-15473D0D2FD8}" name="February" dataDxfId="1094" dataCellStyle="Currency"/>
    <tableColumn id="10" xr3:uid="{D9980BE6-3EC8-4A78-B69E-4A4B862D716D}" name="March" dataDxfId="1093" dataCellStyle="Currency"/>
    <tableColumn id="11" xr3:uid="{A7903000-B54F-4201-A904-203B8579A536}" name="April" dataDxfId="1092" dataCellStyle="Currency"/>
    <tableColumn id="12" xr3:uid="{6FBDC48B-A07B-4713-B730-E1C78F0453A1}" name="May" dataDxfId="1091" dataCellStyle="Currency"/>
    <tableColumn id="13" xr3:uid="{65BE0823-E57B-4055-B0C0-DC3ABF268281}" name="June" dataDxfId="1090" dataCellStyle="Currency"/>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CE84A72-AB57-454D-875D-574A7392D318}" name="GMConCumulativeSpreadTable10" displayName="GMConCumulativeSpreadTable10" ref="T4:AF12" totalsRowShown="0" headerRowDxfId="1089" dataDxfId="1088" headerRowCellStyle="Currency" dataCellStyle="Currency">
  <autoFilter ref="T4:AF12" xr:uid="{0F0510B9-B855-4CB8-8DB0-CA873566B36E}"/>
  <tableColumns count="13">
    <tableColumn id="1" xr3:uid="{68BE771F-0941-4D03-A46A-D92CC6A67E2B}" name="STATUS" dataDxfId="1087" dataCellStyle="Currency"/>
    <tableColumn id="2" xr3:uid="{0192CBDE-95DF-4AB3-A0B1-D61D871F7487}" name="July" dataDxfId="1086" dataCellStyle="Currency">
      <calculatedColumnFormula>U16</calculatedColumnFormula>
    </tableColumn>
    <tableColumn id="3" xr3:uid="{425EF4ED-C057-48F5-B28A-5E8C3C22600F}" name="August" dataDxfId="1085" dataCellStyle="Currency">
      <calculatedColumnFormula>SUM($U16:V16)</calculatedColumnFormula>
    </tableColumn>
    <tableColumn id="4" xr3:uid="{8B2FD7A7-D9A2-42C1-A26D-3185C432CDCD}" name="September" dataDxfId="1084" dataCellStyle="Currency">
      <calculatedColumnFormula>SUM($U16:W16)</calculatedColumnFormula>
    </tableColumn>
    <tableColumn id="5" xr3:uid="{21642019-1660-4E65-83B8-6317CE0A4F66}" name="October" dataDxfId="1083" dataCellStyle="Currency">
      <calculatedColumnFormula>SUM($U16:X16)</calculatedColumnFormula>
    </tableColumn>
    <tableColumn id="6" xr3:uid="{4C162C3B-8490-406C-8E41-40D034189BA6}" name="November" dataDxfId="1082" dataCellStyle="Currency">
      <calculatedColumnFormula>SUM($U16:Y16)</calculatedColumnFormula>
    </tableColumn>
    <tableColumn id="7" xr3:uid="{6910244F-8F4A-4BF7-A1E0-5BD68E52E195}" name="December" dataDxfId="1081" dataCellStyle="Currency">
      <calculatedColumnFormula>SUM($U16:Z16)</calculatedColumnFormula>
    </tableColumn>
    <tableColumn id="8" xr3:uid="{E810A3D2-01F5-48A0-A786-5F177079CCB2}" name="January" dataDxfId="1080" dataCellStyle="Currency">
      <calculatedColumnFormula>SUM($U16:AA16)</calculatedColumnFormula>
    </tableColumn>
    <tableColumn id="9" xr3:uid="{42AC69B8-74F4-409B-B028-9977341BD782}" name="February" dataDxfId="1079" dataCellStyle="Currency">
      <calculatedColumnFormula>SUM($U16:AB16)</calculatedColumnFormula>
    </tableColumn>
    <tableColumn id="10" xr3:uid="{51712AA1-5FEE-4A8C-B6EA-2D62DF289885}" name="March" dataDxfId="1078" dataCellStyle="Currency">
      <calculatedColumnFormula>SUM($U16:AC16)</calculatedColumnFormula>
    </tableColumn>
    <tableColumn id="11" xr3:uid="{942C688B-6F73-4043-A08A-085498D0AFDB}" name="April" dataDxfId="1077" dataCellStyle="Currency">
      <calculatedColumnFormula>SUM($U16:AD16)</calculatedColumnFormula>
    </tableColumn>
    <tableColumn id="12" xr3:uid="{A90E7710-D18D-4858-BE59-6F98B69C0EE5}" name="May" dataDxfId="1076" dataCellStyle="Currency">
      <calculatedColumnFormula>SUM($U16:AE16)</calculatedColumnFormula>
    </tableColumn>
    <tableColumn id="13" xr3:uid="{37BB75E9-8DF6-43E9-B78E-60C9857A54D0}" name="June" dataDxfId="1075" dataCellStyle="Currency">
      <calculatedColumnFormula>SUM($U16:AF16)</calculatedColumnFormula>
    </tableColumn>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33B3DF5-8487-4C0B-9327-4EDD2BD482F0}" name="Table14" displayName="Table14" ref="K43:Q48" totalsRowCount="1" headerRowDxfId="1074" dataDxfId="1072" totalsRowDxfId="1070" headerRowBorderDxfId="1073" tableBorderDxfId="1071" totalsRowBorderDxfId="1069">
  <autoFilter ref="K43:Q47" xr:uid="{D33B3DF5-8487-4C0B-9327-4EDD2BD482F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88C8CC0-E01D-4782-9ECC-EF0FB6060A64}" name="WORK" totalsRowLabel="Total" dataDxfId="1068" totalsRowDxfId="1067"/>
    <tableColumn id="2" xr3:uid="{8A0EF20F-5E7D-43D6-AD8B-7C3C6C14205D}" name="Earned to Date" totalsRowFunction="sum" dataDxfId="1066" totalsRowDxfId="1065" dataCellStyle="Currency">
      <calculatedColumnFormula>SUMIFS(Job_Status[To Date Gross Profit],Job_Status[Work Type],K44,Job_Status[VAT],"DAFF")</calculatedColumnFormula>
    </tableColumn>
    <tableColumn id="3" xr3:uid="{78EA91C3-DAF8-477F-BB7A-BB556C114B6A}" name="@Completion" totalsRowFunction="sum" dataDxfId="1064" totalsRowDxfId="1063" dataCellStyle="Currency">
      <calculatedColumnFormula>SUMIFS(Job_Status[GP at completion],Job_Status[Work Type],K44,Job_Status[VAT],"DAFF")</calculatedColumnFormula>
    </tableColumn>
    <tableColumn id="4" xr3:uid="{9C783C77-0BDD-4373-9550-5FC08F7A9D4E}" name="Earned to Date " totalsRowFunction="custom" dataDxfId="1062" totalsRowDxfId="1061">
      <calculatedColumnFormula>IFERROR(L44/P44,"")</calculatedColumnFormula>
      <totalsRowFormula>Table14[[#Totals],[Earned to Date]]/Table14[[#Totals],[Earned to Date  ]]</totalsRowFormula>
    </tableColumn>
    <tableColumn id="5" xr3:uid="{9D59D681-50E1-412B-9757-1F2A0148A7D7}" name="@ Completion " totalsRowFunction="custom" dataDxfId="1060" totalsRowDxfId="1059">
      <calculatedColumnFormula>IFERROR(M44/Q44,"")</calculatedColumnFormula>
      <totalsRowFormula>Table14[[#Totals],[@Completion]]/Table14[[#Totals],[@ Completion  ]]</totalsRowFormula>
    </tableColumn>
    <tableColumn id="6" xr3:uid="{664EF6C6-F032-47E3-A9D9-22F7EA9D7C1B}" name="Earned to Date  " totalsRowFunction="sum" dataDxfId="1058" totalsRowDxfId="1057" dataCellStyle="Currency">
      <calculatedColumnFormula>SUMIFS(Job_Status[Actual], Job_Status[Work Type],K44,Job_Status[VAT],"DAFF")</calculatedColumnFormula>
    </tableColumn>
    <tableColumn id="7" xr3:uid="{3775D6EC-C104-4F8E-A0AD-FE20777E2900}" name="@ Completion  " totalsRowFunction="sum" dataDxfId="1056" totalsRowDxfId="1055" dataCellStyle="Currency">
      <calculatedColumnFormula>SUMIFS(Job_Status[Forecasted Revenue], Job_Status[Work Type],K44,Job_Status[VAT],"DAFF")</calculatedColumnFormula>
    </tableColumn>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5A611C5-C416-457D-B482-CABB8DB3E591}" name="Table15" displayName="Table15" ref="K5:P15" totalsRowShown="0" headerRowDxfId="1054" dataDxfId="1052" headerRowBorderDxfId="1053" tableBorderDxfId="1051" totalsRowBorderDxfId="1050">
  <autoFilter ref="K5:P15" xr:uid="{E5A611C5-C416-457D-B482-CABB8DB3E591}">
    <filterColumn colId="0" hiddenButton="1"/>
    <filterColumn colId="1" hiddenButton="1"/>
    <filterColumn colId="2" hiddenButton="1"/>
    <filterColumn colId="3" hiddenButton="1"/>
    <filterColumn colId="4" hiddenButton="1"/>
    <filterColumn colId="5" hiddenButton="1"/>
  </autoFilter>
  <tableColumns count="6">
    <tableColumn id="1" xr3:uid="{68E91DE0-A022-4DC4-BE5D-8F31DC24E499}" name="GROSS MARGIN CONTRIBUTION SUMMARY" dataDxfId="1049"/>
    <tableColumn id="2" xr3:uid="{9AAABDD6-BE9D-4CA2-BE43-2D555ABBE9CA}" name="Q1" dataDxfId="1048"/>
    <tableColumn id="3" xr3:uid="{4395A34D-7576-4B94-9544-ED8A8F1DBC69}" name="Q2" dataDxfId="1047"/>
    <tableColumn id="4" xr3:uid="{C4E2BBC4-003B-4FAC-AF37-BACB71E872A8}" name="Q3" dataDxfId="1046"/>
    <tableColumn id="5" xr3:uid="{CAFCABF1-2A10-4C58-A075-A708FDBD5C21}" name="Q4" dataDxfId="1045"/>
    <tableColumn id="6" xr3:uid="{44895D3A-2624-452C-A055-566EFCFA29B3}" name="TOTAL" dataDxfId="1044"/>
  </tableColumns>
  <tableStyleInfo name="TableStyleMedium1"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0D6D6AA-731F-4666-8A95-925FD639E269}" name="Table34" displayName="Table34" ref="K17:P27" totalsRowShown="0" headerRowDxfId="1043" dataDxfId="1041" headerRowBorderDxfId="1042" tableBorderDxfId="1040">
  <autoFilter ref="K17:P27" xr:uid="{80D6D6AA-731F-4666-8A95-925FD639E269}">
    <filterColumn colId="0" hiddenButton="1"/>
    <filterColumn colId="1" hiddenButton="1"/>
    <filterColumn colId="2" hiddenButton="1"/>
    <filterColumn colId="3" hiddenButton="1"/>
    <filterColumn colId="4" hiddenButton="1"/>
    <filterColumn colId="5" hiddenButton="1"/>
  </autoFilter>
  <tableColumns count="6">
    <tableColumn id="1" xr3:uid="{C9AC9BC2-6B1F-45CF-8A91-1CCABCA0307A}" name="REVENUE SUMMARY" dataDxfId="1039"/>
    <tableColumn id="2" xr3:uid="{69FDFE81-E08F-4B2E-8E38-F6E03B923BF5}" name="Q1" dataDxfId="1038"/>
    <tableColumn id="3" xr3:uid="{D9DC0902-368A-4312-BCE3-A4C7FC994863}" name="Q2" dataDxfId="1037"/>
    <tableColumn id="4" xr3:uid="{31E84FC7-D68B-4F03-81CA-BE2190EE5F57}" name="Q3" dataDxfId="1036"/>
    <tableColumn id="5" xr3:uid="{DDA63093-9506-4619-92CD-A578340A1784}" name="Q4" dataDxfId="1035"/>
    <tableColumn id="6" xr3:uid="{E924D7B0-69DD-44B4-8F60-05BFABB3BC37}" name="TOTAL" dataDxfId="1034" dataCellStyle="Currency">
      <calculatedColumnFormula>SUM(Table34[[#This Row],[Q1]:[Q4]])</calculatedColumnFormula>
    </tableColumn>
  </tableColumns>
  <tableStyleInfo name="TableStyleMedium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DB4BD60-E50C-464B-857E-2B7BBC31A6ED}" name="Table35" displayName="Table35" ref="K29:P39" totalsRowShown="0" headerRowDxfId="1033" dataDxfId="1031" headerRowBorderDxfId="1032" tableBorderDxfId="1030" totalsRowBorderDxfId="1029">
  <autoFilter ref="K29:P39" xr:uid="{ADB4BD60-E50C-464B-857E-2B7BBC31A6ED}">
    <filterColumn colId="0" hiddenButton="1"/>
    <filterColumn colId="1" hiddenButton="1"/>
    <filterColumn colId="2" hiddenButton="1"/>
    <filterColumn colId="3" hiddenButton="1"/>
    <filterColumn colId="4" hiddenButton="1"/>
    <filterColumn colId="5" hiddenButton="1"/>
  </autoFilter>
  <tableColumns count="6">
    <tableColumn id="1" xr3:uid="{36F32443-8118-477A-9E6A-21E15D5B7C36}" name="GROSS MARGIN % SUMMARY" dataDxfId="1028"/>
    <tableColumn id="2" xr3:uid="{5D9C12C3-E11F-42FF-8572-E16DBAAB6FA1}" name="Q1" dataDxfId="1027"/>
    <tableColumn id="3" xr3:uid="{110B0CDA-64CA-4330-BAF2-333C62BD01C9}" name="Q2" dataDxfId="1026"/>
    <tableColumn id="4" xr3:uid="{53C013E2-5096-4AB6-8C80-1237A947FB3B}" name="Q3" dataDxfId="1025"/>
    <tableColumn id="5" xr3:uid="{E809BC68-8139-42E4-928E-8397B107225E}" name="Q4" dataDxfId="1024"/>
    <tableColumn id="6" xr3:uid="{E3F24121-8BF4-476F-AFD7-211207AF0FE1}" name="TOTAL" dataDxfId="1023"/>
  </tableColumns>
  <tableStyleInfo name="TableStyleMedium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96B453B-25ED-4C8E-BC42-DA6B17CADA92}" name="RevSpreadTable517" displayName="RevSpreadTable517" ref="T37:AF45" totalsRowShown="0">
  <autoFilter ref="T37:AF45" xr:uid="{E12C97AE-E27C-4A74-97CE-3A9580F679FE}"/>
  <tableColumns count="13">
    <tableColumn id="1" xr3:uid="{CB27138A-E9AD-4368-BE08-8653FC507D9D}" name="STATUS" dataDxfId="1001" dataCellStyle="Currency"/>
    <tableColumn id="2" xr3:uid="{32482657-7B62-4340-AE2F-ADD60F7C5892}" name="July" dataDxfId="1000" dataCellStyle="Currency">
      <calculatedColumnFormula>SUMIF(Job_Status[VAT],#REF!,Job_Status[R1])</calculatedColumnFormula>
    </tableColumn>
    <tableColumn id="3" xr3:uid="{6A4A6B48-3140-4AFB-A16D-FE741DC593F6}" name="August" dataDxfId="999" dataCellStyle="Currency">
      <calculatedColumnFormula>SUMIF(Job_Status[VAT],#REF!,Job_Status[R2])</calculatedColumnFormula>
    </tableColumn>
    <tableColumn id="4" xr3:uid="{CEBB1771-01DF-453A-A664-C3DF98A02F0D}" name="September" dataDxfId="998" dataCellStyle="Currency">
      <calculatedColumnFormula>SUMIF(Job_Status[VAT],#REF!,Job_Status[R3])</calculatedColumnFormula>
    </tableColumn>
    <tableColumn id="5" xr3:uid="{910EF9AB-8B27-49CB-8BA8-833A6AB86958}" name="October" dataDxfId="997" dataCellStyle="Currency">
      <calculatedColumnFormula>SUMIF(Job_Status[VAT],#REF!,Job_Status[R4])</calculatedColumnFormula>
    </tableColumn>
    <tableColumn id="6" xr3:uid="{50C90036-CCF7-438D-9362-B8BB29437C2B}" name="November" dataDxfId="996" dataCellStyle="Currency">
      <calculatedColumnFormula>SUMIF(Job_Status[VAT],#REF!,Job_Status[R5])</calculatedColumnFormula>
    </tableColumn>
    <tableColumn id="7" xr3:uid="{6DBE577D-A4CD-4B83-95DE-1CFCBE4E878A}" name="December" dataDxfId="995" dataCellStyle="Currency">
      <calculatedColumnFormula>SUMIF(Job_Status[VAT],#REF!,Job_Status[R6])</calculatedColumnFormula>
    </tableColumn>
    <tableColumn id="8" xr3:uid="{493505CA-CD77-4223-BD3A-86010DE43C28}" name="January" dataDxfId="994" dataCellStyle="Currency">
      <calculatedColumnFormula>SUMIF(Job_Status[VAT],#REF!,Job_Status[R7])</calculatedColumnFormula>
    </tableColumn>
    <tableColumn id="9" xr3:uid="{6CFC0F85-999F-4BA7-A713-942F2D3F5086}" name="February" dataDxfId="993" dataCellStyle="Currency">
      <calculatedColumnFormula>SUMIF(Job_Status[VAT],#REF!,Job_Status[R8])</calculatedColumnFormula>
    </tableColumn>
    <tableColumn id="10" xr3:uid="{B4FD8143-CFD9-402C-AA5C-519DBF254A4F}" name="March" dataDxfId="992" dataCellStyle="Currency">
      <calculatedColumnFormula>SUMIF(Job_Status[VAT],#REF!,Job_Status[R9])</calculatedColumnFormula>
    </tableColumn>
    <tableColumn id="11" xr3:uid="{EB43E553-9A15-492A-868F-3C92C8FAAD81}" name="April" dataDxfId="991" dataCellStyle="Currency">
      <calculatedColumnFormula>SUMIF(Job_Status[VAT],#REF!,Job_Status[R10])</calculatedColumnFormula>
    </tableColumn>
    <tableColumn id="12" xr3:uid="{DF269A36-4A54-44F4-8CD1-92494259D044}" name="May" dataDxfId="990" dataCellStyle="Currency">
      <calculatedColumnFormula>SUMIF(Job_Status[VAT],#REF!,Job_Status[R11])</calculatedColumnFormula>
    </tableColumn>
    <tableColumn id="13" xr3:uid="{BB1953A3-1D95-4378-8CCD-EF6EC05F635A}" name="June" dataDxfId="989" dataCellStyle="Currency">
      <calculatedColumnFormula>SUMIF(Job_Status[VAT],#REF!,Job_Status[R12])</calculatedColumnFormula>
    </tableColumn>
  </tableColumns>
  <tableStyleInfo name="TableStyleMedium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CBA9EEE-0E24-4DC7-8F73-012FDB7154DA}" name="RevCumulativeSpreadTable618" displayName="RevCumulativeSpreadTable618" ref="T26:AF34" totalsRowShown="0" headerRowDxfId="988" dataDxfId="987" headerRowCellStyle="Currency" dataCellStyle="Currency">
  <autoFilter ref="T26:AF34" xr:uid="{B9545DE3-E33E-4427-8E41-D45B5A5C5CF4}"/>
  <tableColumns count="13">
    <tableColumn id="1" xr3:uid="{9C901351-06DE-4A32-B202-FED72B68A94A}" name="STATUS" dataDxfId="986" dataCellStyle="Currency"/>
    <tableColumn id="2" xr3:uid="{A5629754-7DE5-42F6-8515-3834CC954AE4}" name="July" dataDxfId="985" dataCellStyle="Currency">
      <calculatedColumnFormula>U38</calculatedColumnFormula>
    </tableColumn>
    <tableColumn id="3" xr3:uid="{3E1C141C-D423-409C-B7B2-4724E6000265}" name="August" dataDxfId="984" dataCellStyle="Currency">
      <calculatedColumnFormula>SUM($U38:V38)</calculatedColumnFormula>
    </tableColumn>
    <tableColumn id="4" xr3:uid="{F9703C7A-C7CF-4DDF-A1CE-2FCBE613512F}" name="September" dataDxfId="983" dataCellStyle="Currency">
      <calculatedColumnFormula>SUM($U38:W38)</calculatedColumnFormula>
    </tableColumn>
    <tableColumn id="5" xr3:uid="{A29588FD-531D-4D07-ABA1-E86DA6AC3E15}" name="October" dataDxfId="982" dataCellStyle="Currency">
      <calculatedColumnFormula>SUM($U38:X38)</calculatedColumnFormula>
    </tableColumn>
    <tableColumn id="6" xr3:uid="{564C25E5-44A3-4D27-8E42-56574D328F19}" name="November" dataDxfId="981" dataCellStyle="Currency">
      <calculatedColumnFormula>SUM($U38:Y38)</calculatedColumnFormula>
    </tableColumn>
    <tableColumn id="7" xr3:uid="{2CDC22F8-DAFC-4CFC-92E7-2AB9DA1E7CF9}" name="December" dataDxfId="980" dataCellStyle="Currency">
      <calculatedColumnFormula>SUM($U38:Z38)</calculatedColumnFormula>
    </tableColumn>
    <tableColumn id="8" xr3:uid="{D03A5955-33ED-4BB0-B9BE-2799F1191C78}" name="January" dataDxfId="979" dataCellStyle="Currency">
      <calculatedColumnFormula>SUM($U38:AA38)</calculatedColumnFormula>
    </tableColumn>
    <tableColumn id="9" xr3:uid="{51C088FB-30A5-400A-9FA6-59A5DB3DE08B}" name="February" dataDxfId="978" dataCellStyle="Currency">
      <calculatedColumnFormula>SUM($U38:AB38)</calculatedColumnFormula>
    </tableColumn>
    <tableColumn id="10" xr3:uid="{751B6853-9DBE-442E-A4F3-F99A93CD9881}" name="March" dataDxfId="977" dataCellStyle="Currency">
      <calculatedColumnFormula>SUM($U38:AC38)</calculatedColumnFormula>
    </tableColumn>
    <tableColumn id="11" xr3:uid="{6341EE26-20BF-4DA5-B850-26B5FF8DAE72}" name="April" dataDxfId="976" dataCellStyle="Currency">
      <calculatedColumnFormula>SUM($U38:AD38)</calculatedColumnFormula>
    </tableColumn>
    <tableColumn id="12" xr3:uid="{D145B61B-B718-4F29-8F36-B585917AEE44}" name="May" dataDxfId="975" dataCellStyle="Currency">
      <calculatedColumnFormula>SUM($U38:AE38)</calculatedColumnFormula>
    </tableColumn>
    <tableColumn id="13" xr3:uid="{105942B3-EBF9-4D78-8BB2-F1893A0FD7A2}" name="June" dataDxfId="974" dataCellStyle="Currency">
      <calculatedColumnFormula>SUM($U38:AF38)</calculatedColumnFormula>
    </tableColumn>
  </tableColumns>
  <tableStyleInfo name="TableStyleMedium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87D444C-F876-4367-9FC2-F9E91617E260}" name="GMConSpreadTable819" displayName="GMConSpreadTable819" ref="T15:AF23" totalsRowShown="0" headerRowDxfId="973" dataDxfId="972" dataCellStyle="Currency">
  <autoFilter ref="T15:AF23" xr:uid="{55DD0B00-ED6B-4DB5-9441-9521D84B0E6F}"/>
  <tableColumns count="13">
    <tableColumn id="1" xr3:uid="{700AD544-A409-44E7-92C7-B870DC7CD4D7}" name="STATUS" dataDxfId="971" dataCellStyle="Currency"/>
    <tableColumn id="2" xr3:uid="{51ADF27B-BF7C-409F-9844-F31CC3BBDE6A}" name="July" dataDxfId="970" dataCellStyle="Currency"/>
    <tableColumn id="3" xr3:uid="{FB5A51A7-09D5-474F-9413-FB7610436838}" name="August" dataDxfId="969" dataCellStyle="Currency"/>
    <tableColumn id="4" xr3:uid="{283822FF-C1E6-4400-8DD5-CD4C7650D83D}" name="September" dataDxfId="968" dataCellStyle="Currency"/>
    <tableColumn id="5" xr3:uid="{D3C77D8D-48CA-401A-A1DB-80A9A6892513}" name="October" dataDxfId="967" dataCellStyle="Currency"/>
    <tableColumn id="6" xr3:uid="{D3F3C52E-8C83-4DA8-9D58-56D87860350A}" name="November" dataDxfId="966" dataCellStyle="Currency"/>
    <tableColumn id="7" xr3:uid="{E19A29DF-9648-4810-9083-46A43E265B9B}" name="December" dataDxfId="965" dataCellStyle="Currency"/>
    <tableColumn id="8" xr3:uid="{426B2CCF-7D4A-4E81-9FA2-5B2B55FA7D43}" name="January" dataDxfId="964" dataCellStyle="Currency"/>
    <tableColumn id="9" xr3:uid="{8109AC32-7197-4958-B73F-9F434E5ACAF0}" name="February" dataDxfId="963" dataCellStyle="Currency"/>
    <tableColumn id="10" xr3:uid="{241E1942-D6EF-4794-95F1-EBA5E0EB87BF}" name="March" dataDxfId="962" dataCellStyle="Currency"/>
    <tableColumn id="11" xr3:uid="{BED35254-DE4C-4A5F-AA9C-9A636317F168}" name="April" dataDxfId="961" dataCellStyle="Currency"/>
    <tableColumn id="12" xr3:uid="{288242A5-44A0-47D4-9810-5E0640876965}" name="May" dataDxfId="960" dataCellStyle="Currency"/>
    <tableColumn id="13" xr3:uid="{D282FB59-10D4-4CF2-9858-CEAFF70A917B}" name="June" dataDxfId="959" dataCellStyle="Currency"/>
  </tableColumns>
  <tableStyleInfo name="TableStyleMedium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C124A27-922F-4495-9C62-DBFB26F33EF0}" name="GMConCumulativeSpreadTable1020" displayName="GMConCumulativeSpreadTable1020" ref="T4:AF12" totalsRowShown="0" headerRowDxfId="958" dataDxfId="957" headerRowCellStyle="Currency" dataCellStyle="Currency">
  <autoFilter ref="T4:AF12" xr:uid="{0F0510B9-B855-4CB8-8DB0-CA873566B36E}"/>
  <tableColumns count="13">
    <tableColumn id="1" xr3:uid="{FF577D13-AA2C-4CEA-9DF3-741A7F4414C1}" name="STATUS" dataDxfId="956" dataCellStyle="Currency"/>
    <tableColumn id="2" xr3:uid="{63EFE8A9-4996-456E-B9CD-411187DE9B9B}" name="July" dataDxfId="955" dataCellStyle="Currency">
      <calculatedColumnFormula>U16</calculatedColumnFormula>
    </tableColumn>
    <tableColumn id="3" xr3:uid="{234E87E7-550B-436B-8BB9-45B9480BD35D}" name="August" dataDxfId="954" dataCellStyle="Currency">
      <calculatedColumnFormula>SUM($U16:V16)</calculatedColumnFormula>
    </tableColumn>
    <tableColumn id="4" xr3:uid="{DB18533C-E145-4E8B-9A83-4AA3AFA9013B}" name="September" dataDxfId="953" dataCellStyle="Currency">
      <calculatedColumnFormula>SUM($U16:W16)</calculatedColumnFormula>
    </tableColumn>
    <tableColumn id="5" xr3:uid="{FA96D2C4-4099-4E76-BE1C-4E6178A0E3E2}" name="October" dataDxfId="952" dataCellStyle="Currency">
      <calculatedColumnFormula>SUM($U16:X16)</calculatedColumnFormula>
    </tableColumn>
    <tableColumn id="6" xr3:uid="{B61EE8F6-8BE8-4930-934D-94A5C8E702CF}" name="November" dataDxfId="951" dataCellStyle="Currency">
      <calculatedColumnFormula>SUM($U16:Y16)</calculatedColumnFormula>
    </tableColumn>
    <tableColumn id="7" xr3:uid="{C9CE2BCF-A7BD-4F81-8109-1F7125387818}" name="December" dataDxfId="950" dataCellStyle="Currency">
      <calculatedColumnFormula>SUM($U16:Z16)</calculatedColumnFormula>
    </tableColumn>
    <tableColumn id="8" xr3:uid="{5715B1E0-F985-4029-9651-612D0F6576D1}" name="January" dataDxfId="949" dataCellStyle="Currency">
      <calculatedColumnFormula>SUM($U16:AA16)</calculatedColumnFormula>
    </tableColumn>
    <tableColumn id="9" xr3:uid="{06723947-420C-423E-B7C8-16676A155C84}" name="February" dataDxfId="948" dataCellStyle="Currency">
      <calculatedColumnFormula>SUM($U16:AB16)</calculatedColumnFormula>
    </tableColumn>
    <tableColumn id="10" xr3:uid="{354B1D0F-BC25-4F5A-9133-53DFFBD04A6F}" name="March" dataDxfId="947" dataCellStyle="Currency">
      <calculatedColumnFormula>SUM($U16:AC16)</calculatedColumnFormula>
    </tableColumn>
    <tableColumn id="11" xr3:uid="{DC49B7DB-DCF3-428A-8C81-7E93AA949AC8}" name="April" dataDxfId="946" dataCellStyle="Currency">
      <calculatedColumnFormula>SUM($U16:AD16)</calculatedColumnFormula>
    </tableColumn>
    <tableColumn id="12" xr3:uid="{BDBCA89A-53AE-4111-B97E-2F972A3C5CD9}" name="May" dataDxfId="945" dataCellStyle="Currency">
      <calculatedColumnFormula>SUM($U16:AE16)</calculatedColumnFormula>
    </tableColumn>
    <tableColumn id="13" xr3:uid="{ED0B177D-C210-42E5-867F-3614ED56C0B2}" name="June" dataDxfId="944" dataCellStyle="Currency">
      <calculatedColumnFormula>SUM($U16:AF16)</calculatedColumnFormula>
    </tableColumn>
  </tableColumns>
  <tableStyleInfo name="TableStyleMedium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87525A11-0BC9-4017-B448-20AC6CD895D0}" name="Table1421" displayName="Table1421" ref="K42:Q47" totalsRowCount="1" headerRowDxfId="943" dataDxfId="941" totalsRowDxfId="939" headerRowBorderDxfId="942" tableBorderDxfId="940" totalsRowBorderDxfId="938">
  <autoFilter ref="K42:Q46" xr:uid="{D33B3DF5-8487-4C0B-9327-4EDD2BD482F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0A4F6DB-6040-4741-AC3C-B33D019949BB}" name="WORK" totalsRowLabel="Total" dataDxfId="937" totalsRowDxfId="936"/>
    <tableColumn id="2" xr3:uid="{8448CBE0-AB0A-4740-AF92-958D3B53AC32}" name="Earned to Date" totalsRowFunction="sum" dataDxfId="935" totalsRowDxfId="934" dataCellStyle="Currency">
      <calculatedColumnFormula>SUMIFS(Job_Status[To Date Gross Profit],Job_Status[Work Type],K43,Job_Status[VAT],"SAU")</calculatedColumnFormula>
    </tableColumn>
    <tableColumn id="3" xr3:uid="{212AAA59-1CE3-4B88-ADDB-851906A9C574}" name="@Completion" totalsRowFunction="sum" dataDxfId="933" totalsRowDxfId="932" dataCellStyle="Currency">
      <calculatedColumnFormula>SUMIFS(Job_Status[GP at completion],Job_Status[Work Type],K43,Job_Status[VAT],"SAU")</calculatedColumnFormula>
    </tableColumn>
    <tableColumn id="4" xr3:uid="{3436AF5F-37D1-433E-9A23-5528E055934C}" name="Earned to Date " totalsRowFunction="custom" dataDxfId="931" totalsRowDxfId="930">
      <calculatedColumnFormula>IFERROR(L43/P43,"")</calculatedColumnFormula>
      <totalsRowFormula>Table1421[[#Totals],[Earned to Date]]/Table1421[[#Totals],[Earned to Date  ]]</totalsRowFormula>
    </tableColumn>
    <tableColumn id="5" xr3:uid="{7583239A-E14D-4998-85C8-F28B7EF4175A}" name="@ Completion " totalsRowFunction="custom" dataDxfId="929" totalsRowDxfId="928">
      <calculatedColumnFormula>IFERROR(M43/Q43,"")</calculatedColumnFormula>
      <totalsRowFormula>Table1421[[#Totals],[@Completion]]/Table1421[[#Totals],[@ Completion  ]]</totalsRowFormula>
    </tableColumn>
    <tableColumn id="6" xr3:uid="{FAFEB673-7C80-418F-BDC6-3637845FA084}" name="Earned to Date  " totalsRowFunction="sum" dataDxfId="927" totalsRowDxfId="926" dataCellStyle="Currency">
      <calculatedColumnFormula>SUMIFS(Job_Status[Actual], Job_Status[Work Type],K43,Job_Status[VAT],"SAU")</calculatedColumnFormula>
    </tableColumn>
    <tableColumn id="7" xr3:uid="{02A03DB2-D751-4D22-B5F9-36D12F5342D2}" name="@ Completion  " totalsRowFunction="sum" dataDxfId="925" totalsRowDxfId="924" dataCellStyle="Currency">
      <calculatedColumnFormula>SUMIFS(Job_Status[Forecasted Revenue], Job_Status[Work Type],K43,Job_Status[VAT],"SAU")</calculatedColumnFormula>
    </tableColumn>
  </tableColumns>
  <tableStyleInfo name="TableStyleMedium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1BB6E95-C983-48AF-9E60-DE336C620BCE}" name="Table1522" displayName="Table1522" ref="K5:P15" totalsRowShown="0" headerRowDxfId="923" dataDxfId="921" headerRowBorderDxfId="922" tableBorderDxfId="920" totalsRowBorderDxfId="919">
  <autoFilter ref="K5:P15" xr:uid="{E5A611C5-C416-457D-B482-CABB8DB3E591}">
    <filterColumn colId="0" hiddenButton="1"/>
    <filterColumn colId="1" hiddenButton="1"/>
    <filterColumn colId="2" hiddenButton="1"/>
    <filterColumn colId="3" hiddenButton="1"/>
    <filterColumn colId="4" hiddenButton="1"/>
    <filterColumn colId="5" hiddenButton="1"/>
  </autoFilter>
  <tableColumns count="6">
    <tableColumn id="1" xr3:uid="{855355F7-B90B-4CF7-90CD-5E77FB51DCD3}" name="GROSS MARGIN CONTRIBUTION SUMMARY" dataDxfId="918"/>
    <tableColumn id="2" xr3:uid="{09689FAA-79D1-474B-BBFD-AC37F1644550}" name="Q1" dataDxfId="917"/>
    <tableColumn id="3" xr3:uid="{74653762-F08E-4593-AFD2-3FCDB9F0D619}" name="Q2" dataDxfId="916"/>
    <tableColumn id="4" xr3:uid="{F32BBD6A-970C-4DC8-B8AB-0832AFAFA640}" name="Q3" dataDxfId="915"/>
    <tableColumn id="5" xr3:uid="{C3D34A9D-4826-4C38-8776-25FEE73F26B8}" name="Q4" dataDxfId="914"/>
    <tableColumn id="6" xr3:uid="{BB848364-14B4-44F9-9D9A-1A79A9481195}" name="TOTAL" dataDxfId="913" dataCellStyle="Currency"/>
  </tableColumns>
  <tableStyleInfo name="TableStyleMedium1"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9A29407-930F-4B89-B5B4-6CD4DA22A43C}" name="Table36" displayName="Table36" ref="K17:P27" totalsRowShown="0" headerRowDxfId="912" dataDxfId="910" headerRowBorderDxfId="911" tableBorderDxfId="909" totalsRowBorderDxfId="908">
  <autoFilter ref="K17:P27" xr:uid="{F9A29407-930F-4B89-B5B4-6CD4DA22A43C}">
    <filterColumn colId="0" hiddenButton="1"/>
    <filterColumn colId="1" hiddenButton="1"/>
    <filterColumn colId="2" hiddenButton="1"/>
    <filterColumn colId="3" hiddenButton="1"/>
    <filterColumn colId="4" hiddenButton="1"/>
    <filterColumn colId="5" hiddenButton="1"/>
  </autoFilter>
  <tableColumns count="6">
    <tableColumn id="1" xr3:uid="{5E40BF50-27B0-4510-A6F9-00BE69CCA817}" name="REVENUE SUMMARY" dataDxfId="907"/>
    <tableColumn id="2" xr3:uid="{671DF831-3A9A-4314-9983-D0CA6CC2462D}" name="Q1" dataDxfId="906"/>
    <tableColumn id="3" xr3:uid="{2E55293B-D4CB-4185-8FE0-28FD5BACBDD7}" name="Q2" dataDxfId="905"/>
    <tableColumn id="4" xr3:uid="{B518E83E-0EC2-4741-BA51-23E51BE3EDF7}" name="Q3" dataDxfId="904"/>
    <tableColumn id="5" xr3:uid="{FD62CB47-4CBC-4005-83DA-3DFBE67C812B}" name="Q4" dataDxfId="903"/>
    <tableColumn id="6" xr3:uid="{F9947328-A4FF-404B-BE2B-1B26FEB4B631}" name="TOTAL" dataDxfId="902" dataCellStyle="Currency">
      <calculatedColumnFormula>SUM(Table36[[#This Row],[Q1]:[Q4]])</calculatedColumnFormula>
    </tableColumn>
  </tableColumns>
  <tableStyleInfo name="TableStyleMedium1"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5907DC60-6898-47D5-829A-7ECDF14BE2D1}" name="Table37" displayName="Table37" ref="K29:P39" totalsRowShown="0" headerRowDxfId="901" dataDxfId="899" headerRowBorderDxfId="900" tableBorderDxfId="898" totalsRowBorderDxfId="897">
  <autoFilter ref="K29:P39" xr:uid="{5907DC60-6898-47D5-829A-7ECDF14BE2D1}">
    <filterColumn colId="0" hiddenButton="1"/>
    <filterColumn colId="1" hiddenButton="1"/>
    <filterColumn colId="2" hiddenButton="1"/>
    <filterColumn colId="3" hiddenButton="1"/>
    <filterColumn colId="4" hiddenButton="1"/>
    <filterColumn colId="5" hiddenButton="1"/>
  </autoFilter>
  <tableColumns count="6">
    <tableColumn id="1" xr3:uid="{E646CDEE-7601-456B-B800-25CE632932D2}" name="GROSS MARGIN % SUMMARY" dataDxfId="896"/>
    <tableColumn id="2" xr3:uid="{BCE708AA-DE84-4A8D-ABB9-7DF04CA0EBC1}" name="Q1" dataDxfId="895"/>
    <tableColumn id="3" xr3:uid="{4AD75BA5-2AA7-478A-9257-60E06B9E1C3E}" name="Q2" dataDxfId="894"/>
    <tableColumn id="4" xr3:uid="{D06EE3F0-5CAB-4D84-8538-A105C857B82D}" name="Q3" dataDxfId="893"/>
    <tableColumn id="5" xr3:uid="{001A0628-EF5A-4800-9FDA-6517533FA235}" name="Q4" dataDxfId="892"/>
    <tableColumn id="6" xr3:uid="{79E7610F-91C3-451D-8A7C-2BC89D55D952}" name="TOTAL" dataDxfId="891"/>
  </tableColumns>
  <tableStyleInfo name="TableStyleMedium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EAA399F-DA1A-4475-8113-44EE21928521}" name="RevSpreadTable51723" displayName="RevSpreadTable51723" ref="T37:AF45" totalsRowShown="0">
  <autoFilter ref="T37:AF45" xr:uid="{E12C97AE-E27C-4A74-97CE-3A9580F679FE}"/>
  <tableColumns count="13">
    <tableColumn id="1" xr3:uid="{3CA66E8D-348D-4FBF-9CB3-83B46CDA90F7}" name="STATUS"/>
    <tableColumn id="2" xr3:uid="{6E4155D5-9468-4801-9E21-F4FDA27084C0}" name="July" dataDxfId="868" dataCellStyle="Currency">
      <calculatedColumnFormula>SUMIF(Job_Status[VAT],#REF!,Job_Status[R1])</calculatedColumnFormula>
    </tableColumn>
    <tableColumn id="3" xr3:uid="{CB139A73-9563-4C70-AB13-D3144336D048}" name="August" dataDxfId="867" dataCellStyle="Currency">
      <calculatedColumnFormula>SUMIF(Job_Status[VAT],#REF!,Job_Status[R2])</calculatedColumnFormula>
    </tableColumn>
    <tableColumn id="4" xr3:uid="{1AA399B7-B01A-468D-BFB2-655026C08634}" name="September" dataDxfId="866" dataCellStyle="Currency">
      <calculatedColumnFormula>SUMIF(Job_Status[VAT],#REF!,Job_Status[R3])</calculatedColumnFormula>
    </tableColumn>
    <tableColumn id="5" xr3:uid="{0314A63B-6C3F-4BDC-B783-F267EE3E5ACE}" name="October" dataDxfId="865" dataCellStyle="Currency">
      <calculatedColumnFormula>SUMIF(Job_Status[VAT],#REF!,Job_Status[R4])</calculatedColumnFormula>
    </tableColumn>
    <tableColumn id="6" xr3:uid="{B2620BD1-A9E5-452D-A1EC-2C9538A713AA}" name="November" dataDxfId="864" dataCellStyle="Currency">
      <calculatedColumnFormula>SUMIF(Job_Status[VAT],#REF!,Job_Status[R5])</calculatedColumnFormula>
    </tableColumn>
    <tableColumn id="7" xr3:uid="{CD21CEAF-53A4-406D-997D-966BEA67A6A2}" name="December" dataDxfId="863" dataCellStyle="Currency">
      <calculatedColumnFormula>SUMIF(Job_Status[VAT],#REF!,Job_Status[R6])</calculatedColumnFormula>
    </tableColumn>
    <tableColumn id="8" xr3:uid="{5FBB7305-200C-48E0-B0ED-6332BB415821}" name="January" dataDxfId="862" dataCellStyle="Currency">
      <calculatedColumnFormula>SUMIF(Job_Status[VAT],#REF!,Job_Status[R7])</calculatedColumnFormula>
    </tableColumn>
    <tableColumn id="9" xr3:uid="{28FE6EB9-345A-48EF-A9C9-E2B48FF2D5DA}" name="February" dataDxfId="861" dataCellStyle="Currency">
      <calculatedColumnFormula>SUMIF(Job_Status[VAT],#REF!,Job_Status[R8])</calculatedColumnFormula>
    </tableColumn>
    <tableColumn id="10" xr3:uid="{13326401-DB8F-476C-9DCB-49591733EBC3}" name="March" dataDxfId="860" dataCellStyle="Currency">
      <calculatedColumnFormula>SUMIF(Job_Status[VAT],#REF!,Job_Status[R9])</calculatedColumnFormula>
    </tableColumn>
    <tableColumn id="11" xr3:uid="{E9091DFB-4997-475D-8059-1C1B4047E429}" name="April" dataDxfId="859" dataCellStyle="Currency">
      <calculatedColumnFormula>SUMIF(Job_Status[VAT],#REF!,Job_Status[R10])</calculatedColumnFormula>
    </tableColumn>
    <tableColumn id="12" xr3:uid="{83EB97D7-B717-43B6-BCF6-500E69574A5F}" name="May" dataDxfId="858" dataCellStyle="Currency">
      <calculatedColumnFormula>SUMIF(Job_Status[VAT],#REF!,Job_Status[R11])</calculatedColumnFormula>
    </tableColumn>
    <tableColumn id="13" xr3:uid="{1FD22935-D13B-4B08-AF07-0AC84381AD55}" name="June" dataDxfId="857" dataCellStyle="Currency">
      <calculatedColumnFormula>SUMIF(Job_Status[VAT],#REF!,Job_Status[R12])</calculatedColumnFormula>
    </tableColumn>
  </tableColumns>
  <tableStyleInfo name="TableStyleMedium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4218A432-4FDD-44E4-825E-67DB56683D5D}" name="RevCumulativeSpreadTable61824" displayName="RevCumulativeSpreadTable61824" ref="T26:AF34" totalsRowShown="0" headerRowDxfId="856" dataDxfId="855" headerRowCellStyle="Currency" dataCellStyle="Currency">
  <autoFilter ref="T26:AF34" xr:uid="{B9545DE3-E33E-4427-8E41-D45B5A5C5CF4}"/>
  <tableColumns count="13">
    <tableColumn id="1" xr3:uid="{F7C1B31A-2E97-4151-9A4D-8127600B8026}" name="STATUS" dataDxfId="854" dataCellStyle="Currency"/>
    <tableColumn id="2" xr3:uid="{0A24CE6F-BCA2-4C01-8DE2-3D7D8EE2BBCA}" name="July" dataDxfId="853" dataCellStyle="Currency">
      <calculatedColumnFormula>U38</calculatedColumnFormula>
    </tableColumn>
    <tableColumn id="3" xr3:uid="{AF8C61B1-705D-4231-8EEB-A05018598398}" name="August" dataDxfId="852" dataCellStyle="Currency">
      <calculatedColumnFormula>SUM($U38:V38)</calculatedColumnFormula>
    </tableColumn>
    <tableColumn id="4" xr3:uid="{22ED0AAD-D64F-419E-9027-5476645E7899}" name="September" dataDxfId="851" dataCellStyle="Currency">
      <calculatedColumnFormula>SUM($U38:W38)</calculatedColumnFormula>
    </tableColumn>
    <tableColumn id="5" xr3:uid="{9CAB01DD-0614-46EB-AA81-8A123B571173}" name="October" dataDxfId="850" dataCellStyle="Currency">
      <calculatedColumnFormula>SUM($U38:X38)</calculatedColumnFormula>
    </tableColumn>
    <tableColumn id="6" xr3:uid="{42FAB840-0396-434F-95ED-05A709DBECB6}" name="November" dataDxfId="849" dataCellStyle="Currency">
      <calculatedColumnFormula>SUM($U38:Y38)</calculatedColumnFormula>
    </tableColumn>
    <tableColumn id="7" xr3:uid="{679CEFD6-67B5-4E84-9061-A33B083B896C}" name="December" dataDxfId="848" dataCellStyle="Currency">
      <calculatedColumnFormula>SUM($U38:Z38)</calculatedColumnFormula>
    </tableColumn>
    <tableColumn id="8" xr3:uid="{40DB9C7C-D284-4A0D-9495-C685CA1C3160}" name="January" dataDxfId="847" dataCellStyle="Currency">
      <calculatedColumnFormula>SUM($U38:AA38)</calculatedColumnFormula>
    </tableColumn>
    <tableColumn id="9" xr3:uid="{878E396C-C740-4C5D-9DAA-3D32A4C98DEF}" name="February" dataDxfId="846" dataCellStyle="Currency">
      <calculatedColumnFormula>SUM($U38:AB38)</calculatedColumnFormula>
    </tableColumn>
    <tableColumn id="10" xr3:uid="{7D9E4739-A020-4635-A894-DF1D012605FF}" name="March" dataDxfId="845" dataCellStyle="Currency">
      <calculatedColumnFormula>SUM($U38:AC38)</calculatedColumnFormula>
    </tableColumn>
    <tableColumn id="11" xr3:uid="{B8733FDC-E39D-4B45-A3CE-20DBE41ED1F9}" name="April" dataDxfId="844" dataCellStyle="Currency">
      <calculatedColumnFormula>SUM($U38:AD38)</calculatedColumnFormula>
    </tableColumn>
    <tableColumn id="12" xr3:uid="{69D38A94-6057-4912-8600-4A40C6674E4A}" name="May" dataDxfId="843" dataCellStyle="Currency">
      <calculatedColumnFormula>SUM($U38:AE38)</calculatedColumnFormula>
    </tableColumn>
    <tableColumn id="13" xr3:uid="{4AF8B575-C0A7-4445-97EA-C99C4A98B41B}" name="June" dataDxfId="842" dataCellStyle="Currency">
      <calculatedColumnFormula>SUM($U38:AF38)</calculatedColumnFormula>
    </tableColumn>
  </tableColumns>
  <tableStyleInfo name="TableStyleMedium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C322161-4ECF-4F2C-8748-1FBADE6A1228}" name="GMConSpreadTable81925" displayName="GMConSpreadTable81925" ref="T15:AF23" totalsRowShown="0" headerRowDxfId="841" dataDxfId="840" dataCellStyle="Currency">
  <autoFilter ref="T15:AF23" xr:uid="{55DD0B00-ED6B-4DB5-9441-9521D84B0E6F}"/>
  <tableColumns count="13">
    <tableColumn id="1" xr3:uid="{063DD32E-0D54-45DA-BEBC-15289B6651E3}" name="STATUS" dataDxfId="839" dataCellStyle="Currency"/>
    <tableColumn id="2" xr3:uid="{31A0E30B-0588-4416-90A6-E8D51968F7EA}" name="July" dataDxfId="838" dataCellStyle="Currency"/>
    <tableColumn id="3" xr3:uid="{18644A42-0D2C-49F0-957C-A258FD5DBAE0}" name="August" dataDxfId="837" dataCellStyle="Currency"/>
    <tableColumn id="4" xr3:uid="{0254FB80-56F6-49D0-B671-8C824FFD73FA}" name="September" dataDxfId="836" dataCellStyle="Currency"/>
    <tableColumn id="5" xr3:uid="{51ABDCC7-A22F-4BEA-BC4C-06691200855D}" name="October" dataDxfId="835" dataCellStyle="Currency"/>
    <tableColumn id="6" xr3:uid="{9C9FF8AA-ABBB-44B9-B217-D07C68CB6DF9}" name="November" dataDxfId="834" dataCellStyle="Currency"/>
    <tableColumn id="7" xr3:uid="{8444675A-853D-4A87-A117-0FCA46333C79}" name="December" dataDxfId="833" dataCellStyle="Currency"/>
    <tableColumn id="8" xr3:uid="{38BAE5C8-6952-4234-A158-0406857C2853}" name="January" dataDxfId="832" dataCellStyle="Currency"/>
    <tableColumn id="9" xr3:uid="{D77FCD4D-B2E2-4D97-8650-9251CB1568CB}" name="February" dataDxfId="831" dataCellStyle="Currency"/>
    <tableColumn id="10" xr3:uid="{594A91C4-C849-46A9-BAA4-2983763E4FB3}" name="March" dataDxfId="830" dataCellStyle="Currency"/>
    <tableColumn id="11" xr3:uid="{C9653FB6-3DF6-4C5E-AC2F-40A71E61105E}" name="April" dataDxfId="829" dataCellStyle="Currency"/>
    <tableColumn id="12" xr3:uid="{9F44DB7F-3AA1-4095-8C09-EB72558BC994}" name="May" dataDxfId="828" dataCellStyle="Currency"/>
    <tableColumn id="13" xr3:uid="{C68B3144-0EE0-4634-AB2B-6EC319118DB3}" name="June" dataDxfId="827" dataCellStyle="Currency"/>
  </tableColumns>
  <tableStyleInfo name="TableStyleMedium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4ADEF8D-DD4D-4AAB-AFB7-627618C510C8}" name="GMConCumulativeSpreadTable102026" displayName="GMConCumulativeSpreadTable102026" ref="T4:AF12" totalsRowShown="0" headerRowDxfId="826" dataDxfId="825" headerRowCellStyle="Currency" dataCellStyle="Currency">
  <autoFilter ref="T4:AF12" xr:uid="{0F0510B9-B855-4CB8-8DB0-CA873566B36E}"/>
  <tableColumns count="13">
    <tableColumn id="1" xr3:uid="{07929FA6-D8D9-41B7-97B9-72CFA85CC26F}" name="STATUS" dataDxfId="824" dataCellStyle="Currency"/>
    <tableColumn id="2" xr3:uid="{25CC13CE-2766-4F4D-9F2F-FF37C80D76C9}" name="July" dataDxfId="823" dataCellStyle="Currency">
      <calculatedColumnFormula>U16</calculatedColumnFormula>
    </tableColumn>
    <tableColumn id="3" xr3:uid="{FBCF4FA6-73F2-434F-9565-8D1866EF08C5}" name="August" dataDxfId="822" dataCellStyle="Currency">
      <calculatedColumnFormula>SUM($U16:V16)</calculatedColumnFormula>
    </tableColumn>
    <tableColumn id="4" xr3:uid="{77308B09-839C-4DFB-B2C9-0D4376EB4197}" name="September" dataDxfId="821" dataCellStyle="Currency">
      <calculatedColumnFormula>SUM($U16:W16)</calculatedColumnFormula>
    </tableColumn>
    <tableColumn id="5" xr3:uid="{8370DC2F-711C-49D5-BE9C-12F2F28DF503}" name="October" dataDxfId="820" dataCellStyle="Currency">
      <calculatedColumnFormula>SUM($U16:X16)</calculatedColumnFormula>
    </tableColumn>
    <tableColumn id="6" xr3:uid="{538C46F7-7885-414A-8553-1C44A10B1B18}" name="November" dataDxfId="819" dataCellStyle="Currency">
      <calculatedColumnFormula>SUM($U16:Y16)</calculatedColumnFormula>
    </tableColumn>
    <tableColumn id="7" xr3:uid="{E65287E7-17C1-451B-ACBD-A8A53D22F951}" name="December" dataDxfId="818" dataCellStyle="Currency">
      <calculatedColumnFormula>SUM($U16:Z16)</calculatedColumnFormula>
    </tableColumn>
    <tableColumn id="8" xr3:uid="{BC0B874E-07B3-4E64-94AD-138EAC0C0EAD}" name="January" dataDxfId="817" dataCellStyle="Currency">
      <calculatedColumnFormula>SUM($U16:AA16)</calculatedColumnFormula>
    </tableColumn>
    <tableColumn id="9" xr3:uid="{CE85AFC0-ADD6-4525-AB3A-C185A472FA27}" name="February" dataDxfId="816" dataCellStyle="Currency">
      <calculatedColumnFormula>SUM($U16:AB16)</calculatedColumnFormula>
    </tableColumn>
    <tableColumn id="10" xr3:uid="{93A2E2C5-F0B8-4213-9751-D3781B109659}" name="March" dataDxfId="815" dataCellStyle="Currency">
      <calculatedColumnFormula>SUM($U16:AC16)</calculatedColumnFormula>
    </tableColumn>
    <tableColumn id="11" xr3:uid="{B7DD1DEA-1DEF-4146-A406-BC764BBFF1AB}" name="April" dataDxfId="814" dataCellStyle="Currency">
      <calculatedColumnFormula>SUM($U16:AD16)</calculatedColumnFormula>
    </tableColumn>
    <tableColumn id="12" xr3:uid="{EBAA1656-BA2F-43BD-9365-9ECBACC3D10C}" name="May" dataDxfId="813" dataCellStyle="Currency">
      <calculatedColumnFormula>SUM($U16:AE16)</calculatedColumnFormula>
    </tableColumn>
    <tableColumn id="13" xr3:uid="{7B2F2FB0-9D19-4533-8D84-242197AE5730}" name="June" dataDxfId="812" dataCellStyle="Currency">
      <calculatedColumnFormula>SUM($U16:AF16)</calculatedColumnFormula>
    </tableColumn>
  </tableColumns>
  <tableStyleInfo name="TableStyleMedium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7EFE19-E9A3-420C-9A27-38933A8C48F5}" name="Table142127" displayName="Table142127" ref="K42:Q47" totalsRowCount="1" headerRowDxfId="811" dataDxfId="809" totalsRowDxfId="807" headerRowBorderDxfId="810" tableBorderDxfId="808" totalsRowBorderDxfId="806">
  <autoFilter ref="K42:Q46" xr:uid="{D33B3DF5-8487-4C0B-9327-4EDD2BD482F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1A31CD1-827F-494E-AFFA-1C1D44DBE9C5}" name="WORK" totalsRowLabel="Total" dataDxfId="805" totalsRowDxfId="804"/>
    <tableColumn id="2" xr3:uid="{7FCEF70F-0C01-4B08-B2AA-7E434CEA3030}" name="Earned to Date" totalsRowFunction="sum" dataDxfId="803" totalsRowDxfId="802" dataCellStyle="Currency">
      <calculatedColumnFormula>SUMIFS(Job_Status[To Date Gross Profit],Job_Status[Work Type],K43,Job_Status[VAT],"VIC")</calculatedColumnFormula>
    </tableColumn>
    <tableColumn id="3" xr3:uid="{3A00F3FC-3DE8-48D7-9FED-69D39DE14A94}" name="@Completion" totalsRowFunction="sum" dataDxfId="801" totalsRowDxfId="800" dataCellStyle="Currency">
      <calculatedColumnFormula>SUMIFS(Job_Status[GP at completion],Job_Status[Work Type],K43,Job_Status[VAT],"VIC")</calculatedColumnFormula>
    </tableColumn>
    <tableColumn id="4" xr3:uid="{96341862-135E-4C8A-AAD5-664879A69E7E}" name="Earned to Date " totalsRowFunction="custom" dataDxfId="799" totalsRowDxfId="798">
      <calculatedColumnFormula>IFERROR(L43/P43,"")</calculatedColumnFormula>
      <totalsRowFormula>Table142127[[#Totals],[Earned to Date]]/Table142127[[#Totals],[Earned to Date  ]]</totalsRowFormula>
    </tableColumn>
    <tableColumn id="5" xr3:uid="{25D62E1C-F43C-4940-893C-203B855EA28C}" name="@ Completion " totalsRowFunction="custom" dataDxfId="797" totalsRowDxfId="796">
      <calculatedColumnFormula>IFERROR(M43/Q43,"")</calculatedColumnFormula>
      <totalsRowFormula>Table142127[[#Totals],[@Completion]]/Table142127[[#Totals],[@ Completion  ]]</totalsRowFormula>
    </tableColumn>
    <tableColumn id="6" xr3:uid="{542685DD-EF0A-4D4E-B228-EC13381E45EC}" name="Earned to Date  " totalsRowFunction="sum" dataDxfId="795" totalsRowDxfId="794" dataCellStyle="Currency">
      <calculatedColumnFormula>SUMIFS(Job_Status[Actual], Job_Status[Work Type],K43,Job_Status[VAT],"VIC")</calculatedColumnFormula>
    </tableColumn>
    <tableColumn id="7" xr3:uid="{DE659D82-5D4A-43D6-AA1D-93A8C92DAAFB}" name="@ Completion  " totalsRowFunction="sum" dataDxfId="793" totalsRowDxfId="792" dataCellStyle="Currency">
      <calculatedColumnFormula>SUMIFS(Job_Status[Forecasted Revenue], Job_Status[Work Type],K43,Job_Status[VAT],"VIC")</calculatedColumnFormula>
    </tableColumn>
  </tableColumns>
  <tableStyleInfo name="TableStyleMedium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2F42A1EF-3AC3-4A0A-A6EA-D19D0F936B66}" name="Table152228" displayName="Table152228" ref="K5:P15" totalsRowShown="0" headerRowDxfId="791" dataDxfId="789" headerRowBorderDxfId="790" tableBorderDxfId="788" totalsRowBorderDxfId="787">
  <autoFilter ref="K5:P15" xr:uid="{E5A611C5-C416-457D-B482-CABB8DB3E591}">
    <filterColumn colId="0" hiddenButton="1"/>
    <filterColumn colId="1" hiddenButton="1"/>
    <filterColumn colId="2" hiddenButton="1"/>
    <filterColumn colId="3" hiddenButton="1"/>
    <filterColumn colId="4" hiddenButton="1"/>
    <filterColumn colId="5" hiddenButton="1"/>
  </autoFilter>
  <tableColumns count="6">
    <tableColumn id="1" xr3:uid="{ADC30AF3-E2DD-4D83-9E0D-AE6FD557FAD6}" name="GROSS MARGIN CONTRIBUTION SUMMARY" dataDxfId="786"/>
    <tableColumn id="2" xr3:uid="{1119979F-26F3-4648-9AD7-01ED26569DEB}" name="Q1" dataDxfId="785"/>
    <tableColumn id="3" xr3:uid="{750828BD-66CB-4BD2-BB95-54476C8AB061}" name="Q2" dataDxfId="784"/>
    <tableColumn id="4" xr3:uid="{B4FB1286-7F9B-4EBD-8C98-A3D8FFE593DF}" name="Q3" dataDxfId="783"/>
    <tableColumn id="5" xr3:uid="{F8309FD7-0E8A-434E-973D-025E1379E03D}" name="Q4" dataDxfId="782"/>
    <tableColumn id="6" xr3:uid="{9B416BC1-0638-42F3-B505-250A92C91C98}" name="TOTAL" dataDxfId="781">
      <calculatedColumnFormula>SUM(Table152228[[#This Row],[Q1]:[Q4]])</calculatedColumnFormula>
    </tableColumn>
  </tableColumns>
  <tableStyleInfo name="TableStyleMedium1"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EF36178E-E136-4249-B466-AA47453373F4}" name="Table38" displayName="Table38" ref="K17:P27" totalsRowShown="0" headerRowDxfId="780" dataDxfId="778" headerRowBorderDxfId="779">
  <autoFilter ref="K17:P27" xr:uid="{EF36178E-E136-4249-B466-AA47453373F4}">
    <filterColumn colId="0" hiddenButton="1"/>
    <filterColumn colId="1" hiddenButton="1"/>
    <filterColumn colId="2" hiddenButton="1"/>
    <filterColumn colId="3" hiddenButton="1"/>
    <filterColumn colId="4" hiddenButton="1"/>
    <filterColumn colId="5" hiddenButton="1"/>
  </autoFilter>
  <tableColumns count="6">
    <tableColumn id="1" xr3:uid="{B9E10D3D-09CA-4E8E-B78B-53163BE84F65}" name="REVENUE SUMMARY" dataDxfId="777"/>
    <tableColumn id="2" xr3:uid="{5211F872-650B-4CD6-A8AE-123F004E2ECC}" name="Q1" dataDxfId="776"/>
    <tableColumn id="3" xr3:uid="{BBA8A841-E186-43F7-8ADD-200E2C9F1795}" name="Q2" dataDxfId="775"/>
    <tableColumn id="4" xr3:uid="{A28951E5-3CAA-4431-80E5-138151B00372}" name="Q3" dataDxfId="774"/>
    <tableColumn id="5" xr3:uid="{79470A03-A3D5-434F-A439-9E65AFBD42CC}" name="Q4" dataDxfId="773"/>
    <tableColumn id="6" xr3:uid="{63ADF654-50F6-4CE7-A77E-C3FFA5D86482}" name="TOTAL" dataDxfId="772">
      <calculatedColumnFormula>SUM(Table38[[#This Row],[Q1]:[Q4]])</calculatedColumnFormula>
    </tableColumn>
  </tableColumns>
  <tableStyleInfo name="TableStyleMedium1"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C9D3667F-7D6F-4EC1-8261-2BDD9F6DCB05}" name="Table39" displayName="Table39" ref="K29:P39" totalsRowShown="0" headerRowDxfId="771" headerRowBorderDxfId="770">
  <autoFilter ref="K29:P39" xr:uid="{C9D3667F-7D6F-4EC1-8261-2BDD9F6DCB05}">
    <filterColumn colId="0" hiddenButton="1"/>
    <filterColumn colId="1" hiddenButton="1"/>
    <filterColumn colId="2" hiddenButton="1"/>
    <filterColumn colId="3" hiddenButton="1"/>
    <filterColumn colId="4" hiddenButton="1"/>
    <filterColumn colId="5" hiddenButton="1"/>
  </autoFilter>
  <tableColumns count="6">
    <tableColumn id="1" xr3:uid="{E9D8927E-F16F-418E-94D7-062A3DCDD8A8}" name="GROSS MARGIN % SUMMARY" dataDxfId="769"/>
    <tableColumn id="2" xr3:uid="{16BDF352-E70B-4FE8-98E1-5E23085624FB}" name="Q1"/>
    <tableColumn id="3" xr3:uid="{87651519-F7F1-4DB8-8DA9-AE2DA06201F4}" name="Q2"/>
    <tableColumn id="4" xr3:uid="{57B8FC75-99E5-45F3-8497-7DA6B0E6F272}" name="Q3"/>
    <tableColumn id="5" xr3:uid="{5AB0FD39-39AA-4DBC-A199-BC7C1B1759AA}" name="Q4"/>
    <tableColumn id="6" xr3:uid="{46D646D4-1E69-4116-A7CA-AF400117961C}" name="TOTAL"/>
  </tableColumns>
  <tableStyleInfo name="TableStyleMedium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A9BADD51-8ADA-4CE0-ABAA-547379B1847D}" name="RevSpreadTable51743" displayName="RevSpreadTable51743" ref="T37:AF45" totalsRowShown="0">
  <autoFilter ref="T37:AF45" xr:uid="{E12C97AE-E27C-4A74-97CE-3A9580F679FE}"/>
  <tableColumns count="13">
    <tableColumn id="1" xr3:uid="{0F0B26BB-5EF4-4162-ACC4-B3CAA20875A1}" name="STATUS" dataDxfId="747" dataCellStyle="Currency"/>
    <tableColumn id="2" xr3:uid="{865A51AB-13FD-4B5D-A895-4DC8E901D514}" name="July" dataDxfId="746" dataCellStyle="Currency">
      <calculatedColumnFormula>SUMIF(Job_Status[VAT],#REF!,Job_Status[R1])</calculatedColumnFormula>
    </tableColumn>
    <tableColumn id="3" xr3:uid="{141A78E1-9D30-4CF9-AF96-D44450C977A7}" name="August" dataDxfId="745" dataCellStyle="Currency">
      <calculatedColumnFormula>SUMIF(Job_Status[VAT],#REF!,Job_Status[R2])</calculatedColumnFormula>
    </tableColumn>
    <tableColumn id="4" xr3:uid="{F95C8D5D-6BE1-4437-8A03-34E29037A7FA}" name="September" dataDxfId="744" dataCellStyle="Currency">
      <calculatedColumnFormula>SUMIF(Job_Status[VAT],#REF!,Job_Status[R3])</calculatedColumnFormula>
    </tableColumn>
    <tableColumn id="5" xr3:uid="{1BD836C4-8B30-436E-B07A-CC467C5FBF13}" name="October" dataDxfId="743" dataCellStyle="Currency">
      <calculatedColumnFormula>SUMIF(Job_Status[VAT],#REF!,Job_Status[R4])</calculatedColumnFormula>
    </tableColumn>
    <tableColumn id="6" xr3:uid="{FA761CD2-454A-418B-BDE2-0E905430FFF3}" name="November" dataDxfId="742" dataCellStyle="Currency">
      <calculatedColumnFormula>SUMIF(Job_Status[VAT],#REF!,Job_Status[R5])</calculatedColumnFormula>
    </tableColumn>
    <tableColumn id="7" xr3:uid="{66CBBCB0-D0D0-4789-84F0-8D3508F42A28}" name="December" dataDxfId="741" dataCellStyle="Currency">
      <calculatedColumnFormula>SUMIF(Job_Status[VAT],#REF!,Job_Status[R6])</calculatedColumnFormula>
    </tableColumn>
    <tableColumn id="8" xr3:uid="{59782F1D-3D6C-4703-AD47-83529A0C7D0C}" name="January" dataDxfId="740" dataCellStyle="Currency">
      <calculatedColumnFormula>SUMIF(Job_Status[VAT],#REF!,Job_Status[R7])</calculatedColumnFormula>
    </tableColumn>
    <tableColumn id="9" xr3:uid="{846D714E-28B2-4FF7-84F4-1F2494DEF1D4}" name="February" dataDxfId="739" dataCellStyle="Currency">
      <calculatedColumnFormula>SUMIF(Job_Status[VAT],#REF!,Job_Status[R8])</calculatedColumnFormula>
    </tableColumn>
    <tableColumn id="10" xr3:uid="{A260CA14-0CAB-4215-8B3F-1911447E50EF}" name="March" dataDxfId="738" dataCellStyle="Currency">
      <calculatedColumnFormula>SUMIF(Job_Status[VAT],#REF!,Job_Status[R9])</calculatedColumnFormula>
    </tableColumn>
    <tableColumn id="11" xr3:uid="{03C30174-551A-4129-A925-CCE8A57F2BCE}" name="April" dataDxfId="737" dataCellStyle="Currency">
      <calculatedColumnFormula>SUMIF(Job_Status[VAT],#REF!,Job_Status[R10])</calculatedColumnFormula>
    </tableColumn>
    <tableColumn id="12" xr3:uid="{9FEC9A5B-374B-4DD4-BCA9-659CD3CE32A5}" name="May" dataDxfId="736" dataCellStyle="Currency">
      <calculatedColumnFormula>SUMIF(Job_Status[VAT],#REF!,Job_Status[R11])</calculatedColumnFormula>
    </tableColumn>
    <tableColumn id="13" xr3:uid="{24112167-1F4D-4FBC-9418-4A5A5E0203F8}" name="June" dataDxfId="735" dataCellStyle="Currency">
      <calculatedColumnFormula>SUMIF(Job_Status[VAT],#REF!,Job_Status[R12])</calculatedColumnFormula>
    </tableColumn>
  </tableColumns>
  <tableStyleInfo name="TableStyleMedium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3B923707-E1A5-4565-BF93-CBA822482D07}" name="RevCumulativeSpreadTable61844" displayName="RevCumulativeSpreadTable61844" ref="T26:AF34" totalsRowShown="0" headerRowDxfId="734" dataDxfId="733" headerRowCellStyle="Currency" dataCellStyle="Currency">
  <autoFilter ref="T26:AF34" xr:uid="{B9545DE3-E33E-4427-8E41-D45B5A5C5CF4}"/>
  <tableColumns count="13">
    <tableColumn id="1" xr3:uid="{B254313F-785A-45D1-95C7-6B3BB280984C}" name="STATUS" dataDxfId="732" dataCellStyle="Currency"/>
    <tableColumn id="2" xr3:uid="{C44D70B8-B15D-4F48-9F0E-58969C1DA291}" name="July" dataDxfId="731" dataCellStyle="Currency">
      <calculatedColumnFormula>U38</calculatedColumnFormula>
    </tableColumn>
    <tableColumn id="3" xr3:uid="{8278F1B5-C064-4506-9082-DC0C992F5300}" name="August" dataDxfId="730" dataCellStyle="Currency">
      <calculatedColumnFormula>SUM($U38:V38)</calculatedColumnFormula>
    </tableColumn>
    <tableColumn id="4" xr3:uid="{89941D7F-F5F6-4DBF-9096-EFB878D68D42}" name="September" dataDxfId="729" dataCellStyle="Currency">
      <calculatedColumnFormula>SUM($U38:W38)</calculatedColumnFormula>
    </tableColumn>
    <tableColumn id="5" xr3:uid="{CAF6F9FB-F9CF-44FA-B3E2-20EBAA3805BB}" name="October" dataDxfId="728" dataCellStyle="Currency">
      <calculatedColumnFormula>SUM($U38:X38)</calculatedColumnFormula>
    </tableColumn>
    <tableColumn id="6" xr3:uid="{06A226D8-09A9-4F40-A567-C73AF3D5164B}" name="November" dataDxfId="727" dataCellStyle="Currency">
      <calculatedColumnFormula>SUM($U38:Y38)</calculatedColumnFormula>
    </tableColumn>
    <tableColumn id="7" xr3:uid="{07270853-B082-4749-93AC-9B32E5067C76}" name="December" dataDxfId="726" dataCellStyle="Currency">
      <calculatedColumnFormula>SUM($U38:Z38)</calculatedColumnFormula>
    </tableColumn>
    <tableColumn id="8" xr3:uid="{D183F560-C061-4C0E-A3A1-CFF2E26ED33B}" name="January" dataDxfId="725" dataCellStyle="Currency">
      <calculatedColumnFormula>SUM($U38:AA38)</calculatedColumnFormula>
    </tableColumn>
    <tableColumn id="9" xr3:uid="{537954A1-ACC0-4EEB-8578-FC68D49D5A40}" name="February" dataDxfId="724" dataCellStyle="Currency">
      <calculatedColumnFormula>SUM($U38:AB38)</calculatedColumnFormula>
    </tableColumn>
    <tableColumn id="10" xr3:uid="{13DD3165-C408-44E9-81E2-2D0537C7FCCF}" name="March" dataDxfId="723" dataCellStyle="Currency">
      <calculatedColumnFormula>SUM($U38:AC38)</calculatedColumnFormula>
    </tableColumn>
    <tableColumn id="11" xr3:uid="{78543D79-D677-41CA-8CAA-550F0E3D2141}" name="April" dataDxfId="722" dataCellStyle="Currency">
      <calculatedColumnFormula>SUM($U38:AD38)</calculatedColumnFormula>
    </tableColumn>
    <tableColumn id="12" xr3:uid="{452BC4C1-8798-41AC-AB95-ADFB74136227}" name="May" dataDxfId="721" dataCellStyle="Currency">
      <calculatedColumnFormula>SUM($U38:AE38)</calculatedColumnFormula>
    </tableColumn>
    <tableColumn id="13" xr3:uid="{1C31CCEA-9E21-4777-9EF6-EF1F3E79D539}" name="June" dataDxfId="720" dataCellStyle="Currency">
      <calculatedColumnFormula>SUM($U38:AF38)</calculatedColumnFormula>
    </tableColumn>
  </tableColumns>
  <tableStyleInfo name="TableStyleMedium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E2081C12-7F99-4555-AABE-ABBB49E160D9}" name="GMConSpreadTable81945" displayName="GMConSpreadTable81945" ref="T15:AF23" totalsRowShown="0" headerRowDxfId="719" dataDxfId="718" dataCellStyle="Currency">
  <autoFilter ref="T15:AF23" xr:uid="{55DD0B00-ED6B-4DB5-9441-9521D84B0E6F}"/>
  <tableColumns count="13">
    <tableColumn id="1" xr3:uid="{369D3B1D-1D9F-45FB-9FB0-5408D15EF8BF}" name="STATUS" dataDxfId="717" dataCellStyle="Currency"/>
    <tableColumn id="2" xr3:uid="{14C6E58F-2FE0-496F-B7BA-D881C6C4259F}" name="July" dataDxfId="716" dataCellStyle="Currency"/>
    <tableColumn id="3" xr3:uid="{3270A6FA-D345-4464-92B3-FBE34E79DD63}" name="August" dataDxfId="715" dataCellStyle="Currency"/>
    <tableColumn id="4" xr3:uid="{C6F74B64-30CB-4EEF-98DB-1DBAFBF580C1}" name="September" dataDxfId="714" dataCellStyle="Currency"/>
    <tableColumn id="5" xr3:uid="{D4A584EC-1FF6-4773-BA29-7BCAF3FD1679}" name="October" dataDxfId="713" dataCellStyle="Currency"/>
    <tableColumn id="6" xr3:uid="{E1299F27-D469-42F9-AAF4-6C4BD95E8306}" name="November" dataDxfId="712" dataCellStyle="Currency"/>
    <tableColumn id="7" xr3:uid="{7A56B564-E9B2-45E5-9414-A33DF8E99ED0}" name="December" dataDxfId="711" dataCellStyle="Currency"/>
    <tableColumn id="8" xr3:uid="{8038B84B-ED27-49B1-80BA-CEEDFFEDFBC4}" name="January" dataDxfId="710" dataCellStyle="Currency"/>
    <tableColumn id="9" xr3:uid="{F786FD14-74F8-4CCA-8B46-8134FA993EFA}" name="February" dataDxfId="709" dataCellStyle="Currency"/>
    <tableColumn id="10" xr3:uid="{30664652-78B5-4921-AA37-CF94F34EB334}" name="March" dataDxfId="708" dataCellStyle="Currency"/>
    <tableColumn id="11" xr3:uid="{70F2653B-B617-4306-99FD-FA8B217F1895}" name="April" dataDxfId="707" dataCellStyle="Currency"/>
    <tableColumn id="12" xr3:uid="{37D2BC13-331E-4EA2-91C6-22D916FC3A2D}" name="May" dataDxfId="706" dataCellStyle="Currency"/>
    <tableColumn id="13" xr3:uid="{FB048E20-C64C-44B5-9A11-4B0E1CA54A2D}" name="June" dataDxfId="705" dataCellStyle="Currency"/>
  </tableColumns>
  <tableStyleInfo name="TableStyleMedium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A5788877-72A1-4796-A388-35559C903225}" name="GMConCumulativeSpreadTable102046" displayName="GMConCumulativeSpreadTable102046" ref="T4:AF12" totalsRowShown="0" headerRowDxfId="704" dataDxfId="703" headerRowCellStyle="Currency" dataCellStyle="Currency">
  <autoFilter ref="T4:AF12" xr:uid="{0F0510B9-B855-4CB8-8DB0-CA873566B36E}"/>
  <tableColumns count="13">
    <tableColumn id="1" xr3:uid="{7DF2848F-6B61-4500-90A9-4B35BC0D2CC0}" name="STATUS" dataDxfId="702" dataCellStyle="Currency"/>
    <tableColumn id="2" xr3:uid="{A7429128-90CB-4A9C-9C97-F457ED8B96F5}" name="July" dataDxfId="701" dataCellStyle="Currency">
      <calculatedColumnFormula>U16</calculatedColumnFormula>
    </tableColumn>
    <tableColumn id="3" xr3:uid="{C3C50A47-8541-4AD1-B0D9-466E40E4A42E}" name="August" dataDxfId="700" dataCellStyle="Currency">
      <calculatedColumnFormula>SUM($U16:V16)</calculatedColumnFormula>
    </tableColumn>
    <tableColumn id="4" xr3:uid="{2A63B96E-B885-46FE-9D3C-EBB1603335B5}" name="September" dataDxfId="699" dataCellStyle="Currency">
      <calculatedColumnFormula>SUM($U16:W16)</calculatedColumnFormula>
    </tableColumn>
    <tableColumn id="5" xr3:uid="{23048E9E-702F-47D6-981A-419CDB0B0EB3}" name="October" dataDxfId="698" dataCellStyle="Currency">
      <calculatedColumnFormula>SUM($U16:X16)</calculatedColumnFormula>
    </tableColumn>
    <tableColumn id="6" xr3:uid="{3E03064B-A090-45FC-B538-E77CFBB1D2FB}" name="November" dataDxfId="697" dataCellStyle="Currency">
      <calculatedColumnFormula>SUM($U16:Y16)</calculatedColumnFormula>
    </tableColumn>
    <tableColumn id="7" xr3:uid="{3C83209E-920A-4411-913C-5DE7B574279B}" name="December" dataDxfId="696" dataCellStyle="Currency">
      <calculatedColumnFormula>SUM($U16:Z16)</calculatedColumnFormula>
    </tableColumn>
    <tableColumn id="8" xr3:uid="{5F2EC17F-36DF-40FA-BB69-2AAF97468F57}" name="January" dataDxfId="695" dataCellStyle="Currency">
      <calculatedColumnFormula>SUM($U16:AA16)</calculatedColumnFormula>
    </tableColumn>
    <tableColumn id="9" xr3:uid="{98434A05-C698-40B9-B2FF-5ED5D8DBB69E}" name="February" dataDxfId="694" dataCellStyle="Currency">
      <calculatedColumnFormula>SUM($U16:AB16)</calculatedColumnFormula>
    </tableColumn>
    <tableColumn id="10" xr3:uid="{476E41DD-D0BD-46DC-B890-228D1F64D7E0}" name="March" dataDxfId="693" dataCellStyle="Currency">
      <calculatedColumnFormula>SUM($U16:AC16)</calculatedColumnFormula>
    </tableColumn>
    <tableColumn id="11" xr3:uid="{817146C0-E7DD-467B-852A-3AE220CFC893}" name="April" dataDxfId="692" dataCellStyle="Currency">
      <calculatedColumnFormula>SUM($U16:AD16)</calculatedColumnFormula>
    </tableColumn>
    <tableColumn id="12" xr3:uid="{EBF50A65-580D-4890-8151-AD5D9ABE7DE0}" name="May" dataDxfId="691" dataCellStyle="Currency">
      <calculatedColumnFormula>SUM($U16:AE16)</calculatedColumnFormula>
    </tableColumn>
    <tableColumn id="13" xr3:uid="{4BE7EC4B-9539-4642-AD4B-368176B5E4CA}" name="June" dataDxfId="690" dataCellStyle="Currency">
      <calculatedColumnFormula>SUM($U16:AF16)</calculatedColumnFormula>
    </tableColumn>
  </tableColumns>
  <tableStyleInfo name="TableStyleMedium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9EC9C34E-BAAB-477A-9352-4BBD172714A7}" name="Table142147" displayName="Table142147" ref="K42:Q47" totalsRowCount="1" headerRowDxfId="689" dataDxfId="687" totalsRowDxfId="685" headerRowBorderDxfId="688" tableBorderDxfId="686" totalsRowBorderDxfId="684">
  <autoFilter ref="K42:Q46" xr:uid="{D33B3DF5-8487-4C0B-9327-4EDD2BD482F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54F4951-62FE-4AE8-99DD-95C5244DD815}" name="WORK" totalsRowLabel="Total" dataDxfId="683" totalsRowDxfId="682"/>
    <tableColumn id="2" xr3:uid="{BD34E959-1689-404C-BDB6-953074688192}" name="Earned to Date" totalsRowFunction="sum" dataDxfId="681" totalsRowDxfId="680" dataCellStyle="Currency">
      <calculatedColumnFormula>SUMIFS(Job_Status[To Date Gross Profit],Job_Status[Work Type],K43,Job_Status[VAT],"SAU")</calculatedColumnFormula>
    </tableColumn>
    <tableColumn id="3" xr3:uid="{ABD3D3A6-B4A9-46C8-B2A0-8407945CE04F}" name="@Completion" totalsRowFunction="sum" dataDxfId="679" totalsRowDxfId="678" dataCellStyle="Currency">
      <calculatedColumnFormula>SUMIFS(Job_Status[GP at completion],Job_Status[Work Type],K43,Job_Status[VAT],"SAU")</calculatedColumnFormula>
    </tableColumn>
    <tableColumn id="4" xr3:uid="{55BD30D0-37D4-4744-B433-36C889D07540}" name="Earned to Date " totalsRowFunction="custom" dataDxfId="677" totalsRowDxfId="676">
      <calculatedColumnFormula>IFERROR(L43/P43,"")</calculatedColumnFormula>
      <totalsRowFormula>Table142147[[#Totals],[Earned to Date]]/Table142147[[#Totals],[Earned to Date  ]]</totalsRowFormula>
    </tableColumn>
    <tableColumn id="5" xr3:uid="{DBCD6AC3-DF88-44CF-BC5B-978287A75FB2}" name="@ Completion " totalsRowFunction="custom" dataDxfId="675" totalsRowDxfId="674">
      <calculatedColumnFormula>IFERROR(M43/Q43,"")</calculatedColumnFormula>
      <totalsRowFormula>Table142147[[#Totals],[@Completion]]/Table142147[[#Totals],[@ Completion  ]]</totalsRowFormula>
    </tableColumn>
    <tableColumn id="6" xr3:uid="{67440BB3-A0B2-48EC-BB25-A6E0D600BC36}" name="Earned to Date  " totalsRowFunction="sum" dataDxfId="673" totalsRowDxfId="672" dataCellStyle="Currency">
      <calculatedColumnFormula>SUMIFS(Job_Status[Actual], Job_Status[Work Type],K43,Job_Status[VAT],"SAU")</calculatedColumnFormula>
    </tableColumn>
    <tableColumn id="7" xr3:uid="{9DAE98CD-8AC8-49EB-9E14-28AB559F7939}" name="@ Completion  " totalsRowFunction="sum" dataDxfId="671" totalsRowDxfId="670" dataCellStyle="Currency">
      <calculatedColumnFormula>SUMIFS(Job_Status[Forecasted Revenue], Job_Status[Work Type],K43,Job_Status[VAT],"SAU")</calculatedColumnFormula>
    </tableColumn>
  </tableColumns>
  <tableStyleInfo name="TableStyleMedium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643A787C-1B1B-4DF1-B4DE-DE95FF3497D7}" name="Table152248" displayName="Table152248" ref="K5:P15" totalsRowShown="0" headerRowDxfId="669" dataDxfId="667" headerRowBorderDxfId="668" tableBorderDxfId="666" totalsRowBorderDxfId="665">
  <autoFilter ref="K5:P15" xr:uid="{E5A611C5-C416-457D-B482-CABB8DB3E591}">
    <filterColumn colId="0" hiddenButton="1"/>
    <filterColumn colId="1" hiddenButton="1"/>
    <filterColumn colId="2" hiddenButton="1"/>
    <filterColumn colId="3" hiddenButton="1"/>
    <filterColumn colId="4" hiddenButton="1"/>
    <filterColumn colId="5" hiddenButton="1"/>
  </autoFilter>
  <tableColumns count="6">
    <tableColumn id="1" xr3:uid="{4F4A98DF-C1BE-4F58-9B9F-052B0B384569}" name="GROSS MARGIN CONTRIBUTION SUMMARY" dataDxfId="664"/>
    <tableColumn id="2" xr3:uid="{99E5B0AC-5906-46A9-AFFF-1597399E2D8B}" name="Q1" dataDxfId="663"/>
    <tableColumn id="3" xr3:uid="{224397D3-1D9E-46F7-8435-08CC2EBFF049}" name="Q2" dataDxfId="662"/>
    <tableColumn id="4" xr3:uid="{0D6B3E35-8954-414D-AAD9-6B0CF61064FD}" name="Q3" dataDxfId="661"/>
    <tableColumn id="5" xr3:uid="{74DB35FA-18B3-4290-9387-2A229380E8F6}" name="Q4" dataDxfId="660"/>
    <tableColumn id="6" xr3:uid="{D4CD0FDB-777D-43B5-93BE-3AF90ABF5CBB}" name="TOTAL" dataDxfId="659" dataCellStyle="Currency"/>
  </tableColumns>
  <tableStyleInfo name="TableStyleMedium1" showFirstColumn="0"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05F67D1-BEC7-4F1B-81DB-04A1BA290F43}" name="Table3649" displayName="Table3649" ref="K17:P27" totalsRowShown="0" headerRowDxfId="658" dataDxfId="656" headerRowBorderDxfId="657" tableBorderDxfId="655" totalsRowBorderDxfId="654">
  <autoFilter ref="K17:P27" xr:uid="{F9A29407-930F-4B89-B5B4-6CD4DA22A43C}">
    <filterColumn colId="0" hiddenButton="1"/>
    <filterColumn colId="1" hiddenButton="1"/>
    <filterColumn colId="2" hiddenButton="1"/>
    <filterColumn colId="3" hiddenButton="1"/>
    <filterColumn colId="4" hiddenButton="1"/>
    <filterColumn colId="5" hiddenButton="1"/>
  </autoFilter>
  <tableColumns count="6">
    <tableColumn id="1" xr3:uid="{0A11397F-3021-4EFD-A6D0-ABEE391D6982}" name="REVENUE SUMMARY" dataDxfId="653"/>
    <tableColumn id="2" xr3:uid="{AB7DA14B-2675-4B00-A659-FB750550AF91}" name="Q1" dataDxfId="652"/>
    <tableColumn id="3" xr3:uid="{FFC2586A-4E24-4F7F-A084-3C5E85292F6F}" name="Q2" dataDxfId="651"/>
    <tableColumn id="4" xr3:uid="{3612FEC9-1A12-421C-AFED-84F45EC456E1}" name="Q3" dataDxfId="650"/>
    <tableColumn id="5" xr3:uid="{E38B0698-4138-43F5-80C5-B072EC7CF9CC}" name="Q4" dataDxfId="649"/>
    <tableColumn id="6" xr3:uid="{3F28CF38-D42F-44E5-B8BB-FAD7C174889B}" name="TOTAL" dataDxfId="648" dataCellStyle="Currency">
      <calculatedColumnFormula>SUM(Table3649[[#This Row],[Q1]:[Q4]])</calculatedColumnFormula>
    </tableColumn>
  </tableColumns>
  <tableStyleInfo name="TableStyleMedium1" showFirstColumn="0" showLastColumn="0" showRowStripes="0"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B7DB33C5-3E0D-4477-B1B4-97A9029673F9}" name="Table3750" displayName="Table3750" ref="K29:P39" totalsRowShown="0" headerRowDxfId="647" dataDxfId="645" headerRowBorderDxfId="646" tableBorderDxfId="644" totalsRowBorderDxfId="643">
  <autoFilter ref="K29:P39" xr:uid="{5907DC60-6898-47D5-829A-7ECDF14BE2D1}">
    <filterColumn colId="0" hiddenButton="1"/>
    <filterColumn colId="1" hiddenButton="1"/>
    <filterColumn colId="2" hiddenButton="1"/>
    <filterColumn colId="3" hiddenButton="1"/>
    <filterColumn colId="4" hiddenButton="1"/>
    <filterColumn colId="5" hiddenButton="1"/>
  </autoFilter>
  <tableColumns count="6">
    <tableColumn id="1" xr3:uid="{4B21C50E-4624-4F9C-8EED-C90C960C5F2A}" name="GROSS MARGIN % SUMMARY" dataDxfId="642"/>
    <tableColumn id="2" xr3:uid="{C9F1460E-24F1-49EC-8418-8C8274984C5A}" name="Q1" dataDxfId="641"/>
    <tableColumn id="3" xr3:uid="{FA9019C9-A41E-43B3-B80C-4C623BB9B82A}" name="Q2" dataDxfId="640"/>
    <tableColumn id="4" xr3:uid="{B552F718-601A-47B5-93C5-073DC846BBC8}" name="Q3" dataDxfId="639"/>
    <tableColumn id="5" xr3:uid="{7E7C8CFC-2855-4736-B14C-22796677BF81}" name="Q4" dataDxfId="638"/>
    <tableColumn id="6" xr3:uid="{3ACA2593-B07F-4D24-83A3-BECBA07D9A72}" name="TOTAL" dataDxfId="637"/>
  </tableColumns>
  <tableStyleInfo name="TableStyleMedium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68EB58D-A753-4ACC-81C3-11822BEF2384}" name="RevSpreadTable5174351" displayName="RevSpreadTable5174351" ref="T37:AF45" totalsRowShown="0">
  <autoFilter ref="T37:AF45" xr:uid="{E12C97AE-E27C-4A74-97CE-3A9580F679FE}"/>
  <tableColumns count="13">
    <tableColumn id="1" xr3:uid="{60CB8914-2840-4930-846C-DE4F7E3FF872}" name="STATUS" dataDxfId="615" dataCellStyle="Currency"/>
    <tableColumn id="2" xr3:uid="{0E4FA14D-9CBC-4262-9980-614B47C5DF58}" name="July" dataDxfId="614" dataCellStyle="Currency">
      <calculatedColumnFormula>SUMIF(Job_Status[VAT],#REF!,Job_Status[R1])</calculatedColumnFormula>
    </tableColumn>
    <tableColumn id="3" xr3:uid="{A7FAFC5C-8CAD-477F-8CEB-8D300F5136D3}" name="August" dataDxfId="613" dataCellStyle="Currency">
      <calculatedColumnFormula>SUMIF(Job_Status[VAT],#REF!,Job_Status[R2])</calculatedColumnFormula>
    </tableColumn>
    <tableColumn id="4" xr3:uid="{51474695-61D1-44E0-8431-40F7FB2814F2}" name="September" dataDxfId="612" dataCellStyle="Currency">
      <calculatedColumnFormula>SUMIF(Job_Status[VAT],#REF!,Job_Status[R3])</calculatedColumnFormula>
    </tableColumn>
    <tableColumn id="5" xr3:uid="{33080C7F-F59A-4C47-A81F-91E4318BC6F6}" name="October" dataDxfId="611" dataCellStyle="Currency">
      <calculatedColumnFormula>SUMIF(Job_Status[VAT],#REF!,Job_Status[R4])</calculatedColumnFormula>
    </tableColumn>
    <tableColumn id="6" xr3:uid="{9BE94105-8EE8-42A8-95D7-12EA00887129}" name="November" dataDxfId="610" dataCellStyle="Currency">
      <calculatedColumnFormula>SUMIF(Job_Status[VAT],#REF!,Job_Status[R5])</calculatedColumnFormula>
    </tableColumn>
    <tableColumn id="7" xr3:uid="{A6DE886B-D859-4245-A3A2-2314917A6443}" name="December" dataDxfId="609" dataCellStyle="Currency">
      <calculatedColumnFormula>SUMIF(Job_Status[VAT],#REF!,Job_Status[R6])</calculatedColumnFormula>
    </tableColumn>
    <tableColumn id="8" xr3:uid="{B4B4E311-2E3C-4108-AFD6-80B849EDF9B7}" name="January" dataDxfId="608" dataCellStyle="Currency">
      <calculatedColumnFormula>SUMIF(Job_Status[VAT],#REF!,Job_Status[R7])</calculatedColumnFormula>
    </tableColumn>
    <tableColumn id="9" xr3:uid="{3069E05C-3292-488A-A895-F221272D404D}" name="February" dataDxfId="607" dataCellStyle="Currency">
      <calculatedColumnFormula>SUMIF(Job_Status[VAT],#REF!,Job_Status[R8])</calculatedColumnFormula>
    </tableColumn>
    <tableColumn id="10" xr3:uid="{B9224A7D-16DB-497D-920D-BCE9537F0887}" name="March" dataDxfId="606" dataCellStyle="Currency">
      <calculatedColumnFormula>SUMIF(Job_Status[VAT],#REF!,Job_Status[R9])</calculatedColumnFormula>
    </tableColumn>
    <tableColumn id="11" xr3:uid="{33003A33-5663-45C7-A4AB-142666373683}" name="April" dataDxfId="605" dataCellStyle="Currency">
      <calculatedColumnFormula>SUMIF(Job_Status[VAT],#REF!,Job_Status[R10])</calculatedColumnFormula>
    </tableColumn>
    <tableColumn id="12" xr3:uid="{D5137619-5BE7-4EDD-830D-BDAC386E1B8A}" name="May" dataDxfId="604" dataCellStyle="Currency">
      <calculatedColumnFormula>SUMIF(Job_Status[VAT],#REF!,Job_Status[R11])</calculatedColumnFormula>
    </tableColumn>
    <tableColumn id="13" xr3:uid="{19704A8A-1540-4FF0-ADC7-DEC41092CDED}" name="June" dataDxfId="603" dataCellStyle="Currency">
      <calculatedColumnFormula>SUMIF(Job_Status[VAT],#REF!,Job_Status[R12])</calculatedColumnFormula>
    </tableColumn>
  </tableColumns>
  <tableStyleInfo name="TableStyleMedium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FC75193-D76B-4329-88BE-6AE4C73CB8E7}" name="RevCumulativeSpreadTable6184452" displayName="RevCumulativeSpreadTable6184452" ref="T26:AF34" totalsRowShown="0" headerRowDxfId="602" dataDxfId="601" headerRowCellStyle="Currency" dataCellStyle="Currency">
  <autoFilter ref="T26:AF34" xr:uid="{B9545DE3-E33E-4427-8E41-D45B5A5C5CF4}"/>
  <tableColumns count="13">
    <tableColumn id="1" xr3:uid="{1C546BE9-B476-4451-88AF-F3884BEF912D}" name="STATUS" dataDxfId="600" dataCellStyle="Currency"/>
    <tableColumn id="2" xr3:uid="{9C2C640C-4DEB-4F2D-B5A7-771028522EB5}" name="July" dataDxfId="599" dataCellStyle="Currency">
      <calculatedColumnFormula>U38</calculatedColumnFormula>
    </tableColumn>
    <tableColumn id="3" xr3:uid="{2B3B6F64-84FA-4C50-9D03-6EE4AE20748F}" name="August" dataDxfId="598" dataCellStyle="Currency">
      <calculatedColumnFormula>SUM($U38:V38)</calculatedColumnFormula>
    </tableColumn>
    <tableColumn id="4" xr3:uid="{DCD5F6D5-2547-4170-934B-6AB116BD12C2}" name="September" dataDxfId="597" dataCellStyle="Currency">
      <calculatedColumnFormula>SUM($U38:W38)</calculatedColumnFormula>
    </tableColumn>
    <tableColumn id="5" xr3:uid="{279AE2ED-3173-4998-9A85-5A124B6650DC}" name="October" dataDxfId="596" dataCellStyle="Currency">
      <calculatedColumnFormula>SUM($U38:X38)</calculatedColumnFormula>
    </tableColumn>
    <tableColumn id="6" xr3:uid="{98B6F615-A6D1-4C33-BB05-A988D7005389}" name="November" dataDxfId="595" dataCellStyle="Currency">
      <calculatedColumnFormula>SUM($U38:Y38)</calculatedColumnFormula>
    </tableColumn>
    <tableColumn id="7" xr3:uid="{36794FF1-EDF2-4B51-8F6C-B8238665B7B5}" name="December" dataDxfId="594" dataCellStyle="Currency">
      <calculatedColumnFormula>SUM($U38:Z38)</calculatedColumnFormula>
    </tableColumn>
    <tableColumn id="8" xr3:uid="{50FE9A95-5526-4065-8123-1B5C109F95C2}" name="January" dataDxfId="593" dataCellStyle="Currency">
      <calculatedColumnFormula>SUM($U38:AA38)</calculatedColumnFormula>
    </tableColumn>
    <tableColumn id="9" xr3:uid="{6BCC36FC-FF1D-44D7-8028-75B6B26E0810}" name="February" dataDxfId="592" dataCellStyle="Currency">
      <calculatedColumnFormula>SUM($U38:AB38)</calculatedColumnFormula>
    </tableColumn>
    <tableColumn id="10" xr3:uid="{A03C481F-888E-4278-BE38-1ABA5560D710}" name="March" dataDxfId="591" dataCellStyle="Currency">
      <calculatedColumnFormula>SUM($U38:AC38)</calculatedColumnFormula>
    </tableColumn>
    <tableColumn id="11" xr3:uid="{8790F668-F146-48CA-B034-A09C81720729}" name="April" dataDxfId="590" dataCellStyle="Currency">
      <calculatedColumnFormula>SUM($U38:AD38)</calculatedColumnFormula>
    </tableColumn>
    <tableColumn id="12" xr3:uid="{547B966C-5E60-41FC-8A19-819BD984062D}" name="May" dataDxfId="589" dataCellStyle="Currency">
      <calculatedColumnFormula>SUM($U38:AE38)</calculatedColumnFormula>
    </tableColumn>
    <tableColumn id="13" xr3:uid="{E60E163C-4126-438F-8AED-06C9E6A532E7}" name="June" dataDxfId="588" dataCellStyle="Currency">
      <calculatedColumnFormula>SUM($U38:AF38)</calculatedColumnFormula>
    </tableColumn>
  </tableColumns>
  <tableStyleInfo name="TableStyleMedium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18B8E58D-517E-4A37-A7AF-942FE78E6A72}" name="GMConSpreadTable8194553" displayName="GMConSpreadTable8194553" ref="T15:AF23" totalsRowShown="0" headerRowDxfId="587" dataDxfId="586" dataCellStyle="Currency">
  <autoFilter ref="T15:AF23" xr:uid="{55DD0B00-ED6B-4DB5-9441-9521D84B0E6F}"/>
  <tableColumns count="13">
    <tableColumn id="1" xr3:uid="{9CC06211-EA05-4EC0-B465-2D04B4CDE08A}" name="STATUS" dataDxfId="585" dataCellStyle="Currency"/>
    <tableColumn id="2" xr3:uid="{7255D12E-239F-4E3D-A9C0-38A2F87880BF}" name="July" dataDxfId="584" dataCellStyle="Currency"/>
    <tableColumn id="3" xr3:uid="{13216587-F9C2-4A2C-A3C7-0CFB0236948E}" name="August" dataDxfId="583" dataCellStyle="Currency"/>
    <tableColumn id="4" xr3:uid="{2C76B883-A171-4434-864C-75478DC71F30}" name="September" dataDxfId="582" dataCellStyle="Currency"/>
    <tableColumn id="5" xr3:uid="{780ACFA3-C311-4AF6-BAF3-EE047BBFC876}" name="October" dataDxfId="581" dataCellStyle="Currency"/>
    <tableColumn id="6" xr3:uid="{22AF0299-F1E0-494A-A1CF-143B53FDA66B}" name="November" dataDxfId="580" dataCellStyle="Currency"/>
    <tableColumn id="7" xr3:uid="{0D84FB27-BFDD-46A8-9D38-874C8E268D20}" name="December" dataDxfId="579" dataCellStyle="Currency"/>
    <tableColumn id="8" xr3:uid="{95CE48A1-E294-4B77-88F3-0720C163D4D0}" name="January" dataDxfId="578" dataCellStyle="Currency"/>
    <tableColumn id="9" xr3:uid="{6DC19418-E213-4A0E-85C6-AD22DC7BFE1A}" name="February" dataDxfId="577" dataCellStyle="Currency"/>
    <tableColumn id="10" xr3:uid="{F1811574-6952-4D5B-90DC-866F449B934C}" name="March" dataDxfId="576" dataCellStyle="Currency"/>
    <tableColumn id="11" xr3:uid="{67130EC2-BAC6-4E6A-A584-1BDC475DC5AA}" name="April" dataDxfId="575" dataCellStyle="Currency"/>
    <tableColumn id="12" xr3:uid="{72AF6DF2-315C-4CF9-939D-E4D1BF04A0B8}" name="May" dataDxfId="574" dataCellStyle="Currency"/>
    <tableColumn id="13" xr3:uid="{2D010E1F-1376-4582-9629-4C4477FF5F29}" name="June" dataDxfId="573" dataCellStyle="Currency"/>
  </tableColumns>
  <tableStyleInfo name="TableStyleMedium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ADB391DF-D3BF-415C-BC95-BB3A52D55DDF}" name="GMConCumulativeSpreadTable10204654" displayName="GMConCumulativeSpreadTable10204654" ref="T4:AF12" totalsRowShown="0" headerRowDxfId="572" dataDxfId="571" headerRowCellStyle="Currency" dataCellStyle="Currency">
  <autoFilter ref="T4:AF12" xr:uid="{0F0510B9-B855-4CB8-8DB0-CA873566B36E}"/>
  <tableColumns count="13">
    <tableColumn id="1" xr3:uid="{900FB8B6-7EE3-493C-ACCA-68A4D30220BF}" name="STATUS" dataDxfId="570" dataCellStyle="Currency"/>
    <tableColumn id="2" xr3:uid="{D566196F-DDEB-4933-9ED1-2ADBEC964453}" name="July" dataDxfId="569" dataCellStyle="Currency">
      <calculatedColumnFormula>U16</calculatedColumnFormula>
    </tableColumn>
    <tableColumn id="3" xr3:uid="{9E0BF6FE-2799-46A6-9624-79EE1EF6FC74}" name="August" dataDxfId="568" dataCellStyle="Currency">
      <calculatedColumnFormula>SUM($U16:V16)</calculatedColumnFormula>
    </tableColumn>
    <tableColumn id="4" xr3:uid="{AD4D5FB7-E22D-4225-9652-8E33C826BA5B}" name="September" dataDxfId="567" dataCellStyle="Currency">
      <calculatedColumnFormula>SUM($U16:W16)</calculatedColumnFormula>
    </tableColumn>
    <tableColumn id="5" xr3:uid="{3698A372-51FC-40DE-AA87-D907B09603C7}" name="October" dataDxfId="566" dataCellStyle="Currency">
      <calculatedColumnFormula>SUM($U16:X16)</calculatedColumnFormula>
    </tableColumn>
    <tableColumn id="6" xr3:uid="{2E1A6FFE-1C4C-4CC9-81C6-4D5ADE87F6B4}" name="November" dataDxfId="565" dataCellStyle="Currency">
      <calculatedColumnFormula>SUM($U16:Y16)</calculatedColumnFormula>
    </tableColumn>
    <tableColumn id="7" xr3:uid="{29A12199-EF78-4E4E-9F90-B5E0201D61DC}" name="December" dataDxfId="564" dataCellStyle="Currency">
      <calculatedColumnFormula>SUM($U16:Z16)</calculatedColumnFormula>
    </tableColumn>
    <tableColumn id="8" xr3:uid="{10898BA6-40B5-4253-8E08-EC80895CA1E2}" name="January" dataDxfId="563" dataCellStyle="Currency">
      <calculatedColumnFormula>SUM($U16:AA16)</calculatedColumnFormula>
    </tableColumn>
    <tableColumn id="9" xr3:uid="{F97FEF00-7DED-40DA-95DB-8DBE3EFA5F73}" name="February" dataDxfId="562" dataCellStyle="Currency">
      <calculatedColumnFormula>SUM($U16:AB16)</calculatedColumnFormula>
    </tableColumn>
    <tableColumn id="10" xr3:uid="{031134BB-B140-4F3D-9150-5953DE53B2B3}" name="March" dataDxfId="561" dataCellStyle="Currency">
      <calculatedColumnFormula>SUM($U16:AC16)</calculatedColumnFormula>
    </tableColumn>
    <tableColumn id="11" xr3:uid="{840DFE11-1F9A-4F31-A2E8-9A1596C9EC25}" name="April" dataDxfId="560" dataCellStyle="Currency">
      <calculatedColumnFormula>SUM($U16:AD16)</calculatedColumnFormula>
    </tableColumn>
    <tableColumn id="12" xr3:uid="{E09ABE88-CB03-468D-BC4C-DBC665F22F95}" name="May" dataDxfId="559" dataCellStyle="Currency">
      <calculatedColumnFormula>SUM($U16:AE16)</calculatedColumnFormula>
    </tableColumn>
    <tableColumn id="13" xr3:uid="{C15F8A30-F65A-45F3-A584-283CB0A634E5}" name="June" dataDxfId="558" dataCellStyle="Currency">
      <calculatedColumnFormula>SUM($U16:AF16)</calculatedColumnFormula>
    </tableColumn>
  </tableColumns>
  <tableStyleInfo name="TableStyleMedium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A08E1EB-F063-4B7D-8580-87C9C54057AD}" name="Table14214755" displayName="Table14214755" ref="K42:Q47" totalsRowCount="1" headerRowDxfId="557" dataDxfId="555" totalsRowDxfId="553" headerRowBorderDxfId="556" tableBorderDxfId="554" totalsRowBorderDxfId="552">
  <autoFilter ref="K42:Q46" xr:uid="{D33B3DF5-8487-4C0B-9327-4EDD2BD482F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33EA603-0BBF-43BC-AA2B-F0075321407D}" name="WORK" totalsRowLabel="Total" dataDxfId="551" totalsRowDxfId="550"/>
    <tableColumn id="2" xr3:uid="{1C73A345-837F-4639-A20B-76C65220ECBB}" name="Earned to Date" totalsRowFunction="sum" dataDxfId="549" totalsRowDxfId="548" dataCellStyle="Currency">
      <calculatedColumnFormula>SUMIFS(Job_Status[To Date Gross Profit],Job_Status[Work Type],K43,Job_Status[VAT],"DISR")</calculatedColumnFormula>
    </tableColumn>
    <tableColumn id="3" xr3:uid="{63048E3C-C9CE-4B69-8CBE-853372A597B8}" name="@Completion" totalsRowFunction="sum" dataDxfId="547" totalsRowDxfId="546" dataCellStyle="Currency">
      <calculatedColumnFormula>SUMIFS(Job_Status[GP at completion],Job_Status[Work Type],K43,Job_Status[VAT],"DISR")</calculatedColumnFormula>
    </tableColumn>
    <tableColumn id="4" xr3:uid="{382433AB-4B71-4192-BB77-1829E14BCBD5}" name="Earned to Date " totalsRowFunction="custom" dataDxfId="545" totalsRowDxfId="544">
      <calculatedColumnFormula>IFERROR(L43/P43,"")</calculatedColumnFormula>
      <totalsRowFormula>Table14214755[[#Totals],[Earned to Date]]/Table14214755[[#Totals],[Earned to Date  ]]</totalsRowFormula>
    </tableColumn>
    <tableColumn id="5" xr3:uid="{4B54349E-E4BB-4174-8391-22F7F06C6C48}" name="@ Completion " totalsRowFunction="custom" dataDxfId="543" totalsRowDxfId="542">
      <calculatedColumnFormula>IFERROR(M43/Q43,"")</calculatedColumnFormula>
      <totalsRowFormula>Table14214755[[#Totals],[@Completion]]/Table14214755[[#Totals],[@ Completion  ]]</totalsRowFormula>
    </tableColumn>
    <tableColumn id="6" xr3:uid="{D7910F89-43A0-4DCC-9493-86563A1AF048}" name="Earned to Date  " totalsRowFunction="sum" dataDxfId="541" totalsRowDxfId="540" dataCellStyle="Currency">
      <calculatedColumnFormula>SUMIFS(Job_Status[Actual], Job_Status[Work Type],K43,Job_Status[VAT],"DISR")</calculatedColumnFormula>
    </tableColumn>
    <tableColumn id="7" xr3:uid="{6E2BA86D-8B73-451F-BD6C-F2163F686AE2}" name="@ Completion  " totalsRowFunction="sum" dataDxfId="539" totalsRowDxfId="538" dataCellStyle="Currency">
      <calculatedColumnFormula>SUMIFS(Job_Status[Forecasted Revenue], Job_Status[Work Type],K43,Job_Status[VAT],"DISR")</calculatedColumnFormula>
    </tableColumn>
  </tableColumns>
  <tableStyleInfo name="TableStyleMedium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AFDF9B95-691A-458C-A048-BAD8B607CC92}" name="Table15224856" displayName="Table15224856" ref="K5:P15" totalsRowShown="0" headerRowDxfId="537" dataDxfId="535" headerRowBorderDxfId="536" tableBorderDxfId="534" totalsRowBorderDxfId="533">
  <autoFilter ref="K5:P15" xr:uid="{E5A611C5-C416-457D-B482-CABB8DB3E591}">
    <filterColumn colId="0" hiddenButton="1"/>
    <filterColumn colId="1" hiddenButton="1"/>
    <filterColumn colId="2" hiddenButton="1"/>
    <filterColumn colId="3" hiddenButton="1"/>
    <filterColumn colId="4" hiddenButton="1"/>
    <filterColumn colId="5" hiddenButton="1"/>
  </autoFilter>
  <tableColumns count="6">
    <tableColumn id="1" xr3:uid="{DD71BF28-D436-47F7-B38C-8C30FB6C1B6E}" name="GROSS MARGIN CONTRIBUTION SUMMARY" dataDxfId="532"/>
    <tableColumn id="2" xr3:uid="{6C2B2F95-E52A-4FE6-AB64-4BF05D7C7645}" name="Q1" dataDxfId="531"/>
    <tableColumn id="3" xr3:uid="{ACA993EF-89C6-4596-BECB-705B6E9BE4AC}" name="Q2" dataDxfId="530"/>
    <tableColumn id="4" xr3:uid="{6B2D846D-231C-48A7-A51B-944EC71E9449}" name="Q3" dataDxfId="529"/>
    <tableColumn id="5" xr3:uid="{058251B2-136B-4DF1-9321-A03E9B05DEA5}" name="Q4" dataDxfId="528"/>
    <tableColumn id="6" xr3:uid="{DBE9A13C-B756-4F38-A3D0-65D5BC6E4E2F}" name="TOTAL" dataDxfId="527" dataCellStyle="Currency"/>
  </tableColumns>
  <tableStyleInfo name="TableStyleMedium1" showFirstColumn="0" showLastColumn="0" showRowStripes="0"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B93B5AF1-B4D6-46C2-A90F-0D85A7FED19B}" name="Table364957" displayName="Table364957" ref="K17:P27" totalsRowShown="0" headerRowDxfId="526" dataDxfId="524" headerRowBorderDxfId="525" tableBorderDxfId="523" totalsRowBorderDxfId="522">
  <autoFilter ref="K17:P27" xr:uid="{F9A29407-930F-4B89-B5B4-6CD4DA22A43C}">
    <filterColumn colId="0" hiddenButton="1"/>
    <filterColumn colId="1" hiddenButton="1"/>
    <filterColumn colId="2" hiddenButton="1"/>
    <filterColumn colId="3" hiddenButton="1"/>
    <filterColumn colId="4" hiddenButton="1"/>
    <filterColumn colId="5" hiddenButton="1"/>
  </autoFilter>
  <tableColumns count="6">
    <tableColumn id="1" xr3:uid="{88B89931-36CB-4222-8311-02B354BCBA87}" name="REVENUE SUMMARY" dataDxfId="521"/>
    <tableColumn id="2" xr3:uid="{C51E92E5-657D-4642-8128-06CEE422E4E9}" name="Q1" dataDxfId="520"/>
    <tableColumn id="3" xr3:uid="{2220C5DC-4B3A-4DFA-9314-D013D0D5CD96}" name="Q2" dataDxfId="519"/>
    <tableColumn id="4" xr3:uid="{33A75DE1-97D9-4868-BDF6-01F0805C3712}" name="Q3" dataDxfId="518"/>
    <tableColumn id="5" xr3:uid="{4BB3DC74-ABF5-4631-A10D-C0C3D6235CDC}" name="Q4" dataDxfId="517"/>
    <tableColumn id="6" xr3:uid="{6F1A81E0-860E-4AC3-B97F-B8A0799DC85D}" name="TOTAL" dataDxfId="516" dataCellStyle="Currency">
      <calculatedColumnFormula>SUM(Table364957[[#This Row],[Q1]:[Q4]])</calculatedColumnFormula>
    </tableColumn>
  </tableColumns>
  <tableStyleInfo name="TableStyleMedium1" showFirstColumn="0" showLastColumn="0" showRowStripes="0"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8646841C-301E-4741-A792-92EBD2E2FB29}" name="Table375058" displayName="Table375058" ref="K29:P39" totalsRowShown="0" headerRowDxfId="515" dataDxfId="513" headerRowBorderDxfId="514" tableBorderDxfId="512" totalsRowBorderDxfId="511">
  <autoFilter ref="K29:P39" xr:uid="{5907DC60-6898-47D5-829A-7ECDF14BE2D1}">
    <filterColumn colId="0" hiddenButton="1"/>
    <filterColumn colId="1" hiddenButton="1"/>
    <filterColumn colId="2" hiddenButton="1"/>
    <filterColumn colId="3" hiddenButton="1"/>
    <filterColumn colId="4" hiddenButton="1"/>
    <filterColumn colId="5" hiddenButton="1"/>
  </autoFilter>
  <tableColumns count="6">
    <tableColumn id="1" xr3:uid="{C5074165-E06C-4D5F-8322-C7BDD0265528}" name="GROSS MARGIN % SUMMARY" dataDxfId="510"/>
    <tableColumn id="2" xr3:uid="{62441F6B-2893-44C9-8813-52114023F048}" name="Q1" dataDxfId="509"/>
    <tableColumn id="3" xr3:uid="{0DA39924-EE43-4AB6-AAEB-10FC90CB0685}" name="Q2" dataDxfId="508"/>
    <tableColumn id="4" xr3:uid="{22A23018-A305-495F-956A-F05C91035CDD}" name="Q3" dataDxfId="507"/>
    <tableColumn id="5" xr3:uid="{0E2A6E5F-CE6D-4CEF-9871-B76CDDD52A84}" name="Q4" dataDxfId="506"/>
    <tableColumn id="6" xr3:uid="{63826EE2-66E8-48A2-9CA7-DE3CD40EED0E}" name="TOTAL" dataDxfId="505"/>
  </tableColumns>
  <tableStyleInfo name="TableStyleMedium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BDCD0E56-526E-460C-A5CD-1C1C717F8451}" name="RevSpreadTable5172329" displayName="RevSpreadTable5172329" ref="T38:AF46" totalsRowShown="0">
  <autoFilter ref="T38:AF46" xr:uid="{E12C97AE-E27C-4A74-97CE-3A9580F679FE}"/>
  <tableColumns count="13">
    <tableColumn id="1" xr3:uid="{5B06E772-BB2A-44E7-AAD0-14ED2C23C9F8}" name="STATUS"/>
    <tableColumn id="2" xr3:uid="{208CFD13-C7CB-44CA-A397-355643872A44}" name="July" dataDxfId="484" dataCellStyle="Currency">
      <calculatedColumnFormula>SUMIF(Job_Status[VAT],#REF!,Job_Status[R1])</calculatedColumnFormula>
    </tableColumn>
    <tableColumn id="3" xr3:uid="{E91783D6-613B-4207-95CE-8D13253D9646}" name="August" dataDxfId="483" dataCellStyle="Currency">
      <calculatedColumnFormula>SUMIF(Job_Status[VAT],#REF!,Job_Status[R2])</calculatedColumnFormula>
    </tableColumn>
    <tableColumn id="4" xr3:uid="{60DEB82F-93EA-4FFB-BB2F-00EF937E58EA}" name="September" dataDxfId="482" dataCellStyle="Currency">
      <calculatedColumnFormula>SUMIF(Job_Status[VAT],#REF!,Job_Status[R3])</calculatedColumnFormula>
    </tableColumn>
    <tableColumn id="5" xr3:uid="{D7D3D7CE-800B-4E20-8B4C-FE7B30097ACE}" name="October" dataDxfId="481" dataCellStyle="Currency">
      <calculatedColumnFormula>SUMIF(Job_Status[VAT],#REF!,Job_Status[R4])</calculatedColumnFormula>
    </tableColumn>
    <tableColumn id="6" xr3:uid="{9E26D3BE-1E09-4A24-80CB-1B25D42B2DFD}" name="November" dataDxfId="480" dataCellStyle="Currency">
      <calculatedColumnFormula>SUMIF(Job_Status[VAT],#REF!,Job_Status[R5])</calculatedColumnFormula>
    </tableColumn>
    <tableColumn id="7" xr3:uid="{D23BA738-3F54-4CE6-A19B-942D603A6F69}" name="December" dataDxfId="479" dataCellStyle="Currency">
      <calculatedColumnFormula>SUMIF(Job_Status[VAT],#REF!,Job_Status[R6])</calculatedColumnFormula>
    </tableColumn>
    <tableColumn id="8" xr3:uid="{92B7DC04-268C-447D-9A8E-9C7E8AAADCD6}" name="January" dataDxfId="478" dataCellStyle="Currency">
      <calculatedColumnFormula>SUMIF(Job_Status[VAT],#REF!,Job_Status[R7])</calculatedColumnFormula>
    </tableColumn>
    <tableColumn id="9" xr3:uid="{BFA45F70-BF5E-46CA-90E2-21B35932B78D}" name="February" dataDxfId="477" dataCellStyle="Currency">
      <calculatedColumnFormula>SUMIF(Job_Status[VAT],#REF!,Job_Status[R8])</calculatedColumnFormula>
    </tableColumn>
    <tableColumn id="10" xr3:uid="{AF85F08C-850F-4B7B-901E-9A37FA311AD2}" name="March" dataDxfId="476" dataCellStyle="Currency">
      <calculatedColumnFormula>SUMIF(Job_Status[VAT],#REF!,Job_Status[R9])</calculatedColumnFormula>
    </tableColumn>
    <tableColumn id="11" xr3:uid="{F2EB173C-2F2B-459F-BC92-71961C914EB3}" name="April" dataDxfId="475" dataCellStyle="Currency">
      <calculatedColumnFormula>SUMIF(Job_Status[VAT],#REF!,Job_Status[R10])</calculatedColumnFormula>
    </tableColumn>
    <tableColumn id="12" xr3:uid="{644BDF78-2E77-46BE-ADEF-C075DCADA203}" name="May" dataDxfId="474" dataCellStyle="Currency">
      <calculatedColumnFormula>SUMIF(Job_Status[VAT],#REF!,Job_Status[R11])</calculatedColumnFormula>
    </tableColumn>
    <tableColumn id="13" xr3:uid="{41D4E288-5704-4C51-ACBC-173BE45583E1}" name="June" dataDxfId="473" dataCellStyle="Currency">
      <calculatedColumnFormula>SUMIF(Job_Status[VAT],#REF!,Job_Status[R12])</calculatedColumnFormula>
    </tableColumn>
  </tableColumns>
  <tableStyleInfo name="TableStyleMedium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A8C06A8-4545-4998-9E46-02FEE52E74BB}" name="RevCumulativeSpreadTable6182430" displayName="RevCumulativeSpreadTable6182430" ref="T27:AF35" totalsRowShown="0" headerRowDxfId="472" dataDxfId="471" headerRowCellStyle="Currency" dataCellStyle="Currency">
  <autoFilter ref="T27:AF35" xr:uid="{B9545DE3-E33E-4427-8E41-D45B5A5C5CF4}"/>
  <tableColumns count="13">
    <tableColumn id="1" xr3:uid="{424EE16A-3E15-45D9-85BF-A6AF21BB33CD}" name="STATUS" dataDxfId="470" dataCellStyle="Currency"/>
    <tableColumn id="2" xr3:uid="{881A24D3-9E7A-44B3-84F7-A6E9B38FAEBE}" name="July" dataDxfId="469" dataCellStyle="Currency">
      <calculatedColumnFormula>U39</calculatedColumnFormula>
    </tableColumn>
    <tableColumn id="3" xr3:uid="{7F9964AA-97F8-48D2-8FAE-E5E86E75E796}" name="August" dataDxfId="468" dataCellStyle="Currency">
      <calculatedColumnFormula>SUM($U39:V39)</calculatedColumnFormula>
    </tableColumn>
    <tableColumn id="4" xr3:uid="{9E985001-9776-444C-AE50-437224427756}" name="September" dataDxfId="467" dataCellStyle="Currency">
      <calculatedColumnFormula>SUM($U39:W39)</calculatedColumnFormula>
    </tableColumn>
    <tableColumn id="5" xr3:uid="{771B8E4A-4189-46E3-96F3-06DC36B44B54}" name="October" dataDxfId="466" dataCellStyle="Currency">
      <calculatedColumnFormula>SUM($U39:X39)</calculatedColumnFormula>
    </tableColumn>
    <tableColumn id="6" xr3:uid="{88411F9C-F9C0-4658-B993-09D755AB21CD}" name="November" dataDxfId="465" dataCellStyle="Currency">
      <calculatedColumnFormula>SUM($U39:Y39)</calculatedColumnFormula>
    </tableColumn>
    <tableColumn id="7" xr3:uid="{197218F2-E1E4-4736-A667-E77BA24240E4}" name="December" dataDxfId="464" dataCellStyle="Currency">
      <calculatedColumnFormula>SUM($U39:Z39)</calculatedColumnFormula>
    </tableColumn>
    <tableColumn id="8" xr3:uid="{B6CEB14B-EFC3-4041-9D4B-1380F1380371}" name="January" dataDxfId="463" dataCellStyle="Currency">
      <calculatedColumnFormula>SUM($U39:AA39)</calculatedColumnFormula>
    </tableColumn>
    <tableColumn id="9" xr3:uid="{8AEFF17E-B82B-4CC1-8549-BA093BCADBE0}" name="February" dataDxfId="462" dataCellStyle="Currency">
      <calculatedColumnFormula>SUM($U39:AB39)</calculatedColumnFormula>
    </tableColumn>
    <tableColumn id="10" xr3:uid="{7BC6AE4D-1EF3-4920-9E4F-63293B9B228F}" name="March" dataDxfId="461" dataCellStyle="Currency">
      <calculatedColumnFormula>SUM($U39:AC39)</calculatedColumnFormula>
    </tableColumn>
    <tableColumn id="11" xr3:uid="{82F4594F-A4CE-473B-9847-FBAC1CA0AA8B}" name="April" dataDxfId="460" dataCellStyle="Currency">
      <calculatedColumnFormula>SUM($U39:AD39)</calculatedColumnFormula>
    </tableColumn>
    <tableColumn id="12" xr3:uid="{E686B067-1E12-4023-B7EC-781526343DFB}" name="May" dataDxfId="459" dataCellStyle="Currency">
      <calculatedColumnFormula>SUM($U39:AE39)</calculatedColumnFormula>
    </tableColumn>
    <tableColumn id="13" xr3:uid="{7012DE16-AC32-4EFB-B114-C2C86EDB5213}" name="June" dataDxfId="458" dataCellStyle="Currency">
      <calculatedColumnFormula>SUM($U39:AF39)</calculatedColumnFormula>
    </tableColumn>
  </tableColumns>
  <tableStyleInfo name="TableStyleMedium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E4B3B450-EB85-4753-8B31-FCC580698621}" name="GMConSpreadTable8192531" displayName="GMConSpreadTable8192531" ref="T16:AF24" totalsRowShown="0" headerRowDxfId="457" dataDxfId="456" dataCellStyle="Currency">
  <autoFilter ref="T16:AF24" xr:uid="{55DD0B00-ED6B-4DB5-9441-9521D84B0E6F}"/>
  <tableColumns count="13">
    <tableColumn id="1" xr3:uid="{A5409CD9-7168-422A-987B-F1FC13773491}" name="STATUS" dataDxfId="455"/>
    <tableColumn id="2" xr3:uid="{8C2CF3BA-0F7F-46F4-A583-B812EEEADDCF}" name="July" dataDxfId="454" dataCellStyle="Currency"/>
    <tableColumn id="3" xr3:uid="{54BD5F6E-818D-4E49-BB50-640BD2A53F79}" name="August" dataDxfId="453" dataCellStyle="Currency"/>
    <tableColumn id="4" xr3:uid="{B9D11EB9-52F3-438B-937C-986A61CAFF53}" name="September" dataDxfId="452" dataCellStyle="Currency"/>
    <tableColumn id="5" xr3:uid="{F70ED445-6923-4F0F-BB02-CEE26B5BB250}" name="October" dataDxfId="451" dataCellStyle="Currency"/>
    <tableColumn id="6" xr3:uid="{9F535390-8E33-43EF-9CA2-83D6F81399F2}" name="November" dataDxfId="450" dataCellStyle="Currency"/>
    <tableColumn id="7" xr3:uid="{61E43B97-53B7-4238-ACB0-EC578539ABDB}" name="December" dataDxfId="449" dataCellStyle="Currency"/>
    <tableColumn id="8" xr3:uid="{F3B064CD-6D60-4591-8780-AFC270A66C14}" name="January" dataDxfId="448" dataCellStyle="Currency"/>
    <tableColumn id="9" xr3:uid="{702D4CC1-E5C8-4B03-996D-020BADEB92C2}" name="February" dataDxfId="447" dataCellStyle="Currency"/>
    <tableColumn id="10" xr3:uid="{792EC699-E7D0-47B3-94E7-E7AF9575AA3B}" name="March" dataDxfId="446" dataCellStyle="Currency"/>
    <tableColumn id="11" xr3:uid="{21AE0387-B52E-479E-9276-6D76983974D4}" name="April" dataDxfId="445" dataCellStyle="Currency"/>
    <tableColumn id="12" xr3:uid="{F41F2415-5AE8-46BC-99E2-3D6F54716DC4}" name="May" dataDxfId="444" dataCellStyle="Currency"/>
    <tableColumn id="13" xr3:uid="{9C743EFB-724A-4847-942B-E4D5E044BB0D}" name="June" dataDxfId="443" dataCellStyle="Currency"/>
  </tableColumns>
  <tableStyleInfo name="TableStyleMedium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DE519316-D228-41E6-9093-86D340C0C3B6}" name="GMConCumulativeSpreadTable10202632" displayName="GMConCumulativeSpreadTable10202632" ref="T5:AF13" totalsRowShown="0" headerRowDxfId="442" dataDxfId="441" headerRowCellStyle="Currency" dataCellStyle="Currency">
  <autoFilter ref="T5:AF13" xr:uid="{0F0510B9-B855-4CB8-8DB0-CA873566B36E}"/>
  <tableColumns count="13">
    <tableColumn id="1" xr3:uid="{05AB966D-F6F3-4C50-99B6-D70AA59C5829}" name="STATUS" dataDxfId="440" dataCellStyle="Currency"/>
    <tableColumn id="2" xr3:uid="{91B1019E-E2BD-4E20-AE7D-D38B0BC329DC}" name="July" dataDxfId="439" dataCellStyle="Currency">
      <calculatedColumnFormula>U17</calculatedColumnFormula>
    </tableColumn>
    <tableColumn id="3" xr3:uid="{AB64A240-07FE-4B9D-B3D8-1C743C3AC210}" name="August" dataDxfId="438" dataCellStyle="Currency">
      <calculatedColumnFormula>SUM($U17:V17)</calculatedColumnFormula>
    </tableColumn>
    <tableColumn id="4" xr3:uid="{19FECC0D-9D9A-4F51-B39F-267393BCD47F}" name="September" dataDxfId="437" dataCellStyle="Currency">
      <calculatedColumnFormula>SUM($U17:W17)</calculatedColumnFormula>
    </tableColumn>
    <tableColumn id="5" xr3:uid="{C99C50FA-DD2C-4BB8-9BAB-D146D1928378}" name="October" dataDxfId="436" dataCellStyle="Currency">
      <calculatedColumnFormula>SUM($U17:X17)</calculatedColumnFormula>
    </tableColumn>
    <tableColumn id="6" xr3:uid="{8EE5C25B-863C-465E-8E3D-01871CCA0D23}" name="November" dataDxfId="435" dataCellStyle="Currency">
      <calculatedColumnFormula>SUM($U17:Y17)</calculatedColumnFormula>
    </tableColumn>
    <tableColumn id="7" xr3:uid="{147FE019-A655-4E3B-B498-996E0D5F2563}" name="December" dataDxfId="434" dataCellStyle="Currency">
      <calculatedColumnFormula>SUM($U17:Z17)</calculatedColumnFormula>
    </tableColumn>
    <tableColumn id="8" xr3:uid="{36E3CA1E-AE9B-4844-8AD1-4B4D10A97F38}" name="January" dataDxfId="433" dataCellStyle="Currency">
      <calculatedColumnFormula>SUM($U17:AA17)</calculatedColumnFormula>
    </tableColumn>
    <tableColumn id="9" xr3:uid="{F3B436FB-5B50-405E-8023-4C256CE469B8}" name="February" dataDxfId="432" dataCellStyle="Currency">
      <calculatedColumnFormula>SUM($U17:AB17)</calculatedColumnFormula>
    </tableColumn>
    <tableColumn id="10" xr3:uid="{6BB8AF0D-5831-4646-810F-2ADF02A898A8}" name="March" dataDxfId="431" dataCellStyle="Currency">
      <calculatedColumnFormula>SUM($U17:AC17)</calculatedColumnFormula>
    </tableColumn>
    <tableColumn id="11" xr3:uid="{A0AA8CCB-C5F6-43A7-8BC7-22D954441D86}" name="April" dataDxfId="430" dataCellStyle="Currency">
      <calculatedColumnFormula>SUM($U17:AD17)</calculatedColumnFormula>
    </tableColumn>
    <tableColumn id="12" xr3:uid="{9C7889CA-F05C-402C-AAEB-72AB09D5E375}" name="May" dataDxfId="429" dataCellStyle="Currency">
      <calculatedColumnFormula>SUM($U17:AE17)</calculatedColumnFormula>
    </tableColumn>
    <tableColumn id="13" xr3:uid="{39EF7590-7AF6-4AB3-BACD-5D440017C1F2}" name="June" dataDxfId="428" dataCellStyle="Currency">
      <calculatedColumnFormula>SUM($U17:AF17)</calculatedColumnFormula>
    </tableColumn>
  </tableColumns>
  <tableStyleInfo name="TableStyleMedium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4A09347-70F6-4A5B-A2B9-4C8D6A527178}" name="Table14212733" displayName="Table14212733" ref="K42:Q47" totalsRowCount="1" headerRowDxfId="427" dataDxfId="425" totalsRowDxfId="423" headerRowBorderDxfId="426" tableBorderDxfId="424" totalsRowBorderDxfId="422">
  <autoFilter ref="K42:Q46" xr:uid="{D33B3DF5-8487-4C0B-9327-4EDD2BD482F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F8C7643-62C2-4165-895F-F2EF8A82818D}" name="WORK" totalsRowLabel="Total" dataDxfId="421" totalsRowDxfId="420"/>
    <tableColumn id="2" xr3:uid="{485363EF-AE85-4C3A-AAFD-CB557B5366B4}" name="Earned to Date" totalsRowFunction="sum" dataDxfId="419" totalsRowDxfId="418" dataCellStyle="Currency">
      <calculatedColumnFormula>SUMIFS(Job_Status[To Date Gross Profit],Job_Status[Work Type],K43,Job_Status[VAT],"GROWTH")</calculatedColumnFormula>
    </tableColumn>
    <tableColumn id="3" xr3:uid="{147A7571-474B-4EFE-ABBA-5A7FFB562DF0}" name="@Completion" totalsRowFunction="sum" dataDxfId="417" totalsRowDxfId="416" dataCellStyle="Currency">
      <calculatedColumnFormula>SUMIFS(Job_Status[GP at completion],Job_Status[Work Type],K43,Job_Status[VAT],"GROWTH")</calculatedColumnFormula>
    </tableColumn>
    <tableColumn id="4" xr3:uid="{25C65D91-7E0E-4989-B284-C3A2C61D5E59}" name="Earned to Date " totalsRowFunction="custom" dataDxfId="415" totalsRowDxfId="414">
      <calculatedColumnFormula>IFERROR(L43/P43,"")</calculatedColumnFormula>
      <totalsRowFormula>Table14212733[[#Totals],[Earned to Date]]/Table14212733[[#Totals],[Earned to Date  ]]</totalsRowFormula>
    </tableColumn>
    <tableColumn id="5" xr3:uid="{2A9A2F26-C984-486C-909E-A36179CCE20E}" name="@ Completion " totalsRowFunction="custom" dataDxfId="413" totalsRowDxfId="412">
      <calculatedColumnFormula>IFERROR(M43/Q43,"")</calculatedColumnFormula>
      <totalsRowFormula>Table14212733[[#Totals],[@Completion]]/Table14212733[[#Totals],[@ Completion  ]]</totalsRowFormula>
    </tableColumn>
    <tableColumn id="6" xr3:uid="{BEA9084A-FC5C-4E47-A3AD-0197AC2A40F2}" name="Earned to Date  " totalsRowFunction="sum" dataDxfId="411" totalsRowDxfId="410" dataCellStyle="Currency">
      <calculatedColumnFormula>SUMIFS(Job_Status[Actual], Job_Status[Work Type],K43,Job_Status[VAT],"GROWTH")</calculatedColumnFormula>
    </tableColumn>
    <tableColumn id="7" xr3:uid="{8226EAC9-2877-4934-A6C6-ACE1F3A1E09F}" name="@ Completion  " totalsRowFunction="sum" dataDxfId="409" totalsRowDxfId="408" dataCellStyle="Currency">
      <calculatedColumnFormula>SUMIFS(Job_Status[Forecasted Revenue], Job_Status[Work Type],K43,Job_Status[VAT],"GROWTH")</calculatedColumnFormula>
    </tableColumn>
  </tableColumns>
  <tableStyleInfo name="TableStyleMedium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E679567-B4C4-4719-92DF-A7D3A1097D25}" name="Table15222834" displayName="Table15222834" ref="K5:P15" totalsRowShown="0" headerRowDxfId="407" dataDxfId="405" headerRowBorderDxfId="406" tableBorderDxfId="404" totalsRowBorderDxfId="403">
  <autoFilter ref="K5:P15" xr:uid="{E5A611C5-C416-457D-B482-CABB8DB3E591}">
    <filterColumn colId="0" hiddenButton="1"/>
    <filterColumn colId="1" hiddenButton="1"/>
    <filterColumn colId="2" hiddenButton="1"/>
    <filterColumn colId="3" hiddenButton="1"/>
    <filterColumn colId="4" hiddenButton="1"/>
    <filterColumn colId="5" hiddenButton="1"/>
  </autoFilter>
  <tableColumns count="6">
    <tableColumn id="1" xr3:uid="{1498D47F-2CEF-4AC8-A1C5-F0A4535BD535}" name="GROSS MARGIN CONTRIBUTION SUMMARY" dataDxfId="402"/>
    <tableColumn id="2" xr3:uid="{5A0DF282-1D39-40AC-9654-46EF10F632AA}" name="Q1" dataDxfId="401"/>
    <tableColumn id="3" xr3:uid="{A72AA165-11C5-46BB-97C5-3370E3095E8C}" name="Q2" dataDxfId="400"/>
    <tableColumn id="4" xr3:uid="{B0D7468D-42ED-4B98-89E4-4FAA2C3E342E}" name="Q3" dataDxfId="399"/>
    <tableColumn id="5" xr3:uid="{FB5052EC-81CE-4A9F-B0D2-F73987E8D523}" name="Q4" dataDxfId="398"/>
    <tableColumn id="6" xr3:uid="{81FC3BED-9F3F-43BB-94C4-A9E262DEF170}" name="TOTAL" dataDxfId="397">
      <calculatedColumnFormula>SUM(Table15222834[[#This Row],[Q1]:[Q4]])</calculatedColumnFormula>
    </tableColumn>
  </tableColumns>
  <tableStyleInfo name="TableStyleMedium1" showFirstColumn="0" showLastColumn="0" showRowStripes="0"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E9E0816F-AB19-4C17-82E5-0CDB56CE7397}" name="Table40" displayName="Table40" ref="K17:P27" totalsRowShown="0" headerRowDxfId="396" dataDxfId="394" headerRowBorderDxfId="395" tableBorderDxfId="393" totalsRowBorderDxfId="392">
  <autoFilter ref="K17:P27" xr:uid="{E9E0816F-AB19-4C17-82E5-0CDB56CE7397}">
    <filterColumn colId="0" hiddenButton="1"/>
    <filterColumn colId="1" hiddenButton="1"/>
    <filterColumn colId="2" hiddenButton="1"/>
    <filterColumn colId="3" hiddenButton="1"/>
    <filterColumn colId="4" hiddenButton="1"/>
    <filterColumn colId="5" hiddenButton="1"/>
  </autoFilter>
  <tableColumns count="6">
    <tableColumn id="1" xr3:uid="{F660B726-F74B-447D-AC92-285781F87BB5}" name="REVENUE SUMMARY" dataDxfId="391"/>
    <tableColumn id="2" xr3:uid="{15AF0B9C-00FA-408C-9FD1-00E827548BA5}" name="Q1" dataDxfId="390"/>
    <tableColumn id="3" xr3:uid="{77F9DAF3-2BD9-4953-99E3-4CE168BE9A0D}" name="Q2" dataDxfId="389"/>
    <tableColumn id="4" xr3:uid="{541C801B-4E5A-4436-9027-74838C53A667}" name="Q3" dataDxfId="388"/>
    <tableColumn id="5" xr3:uid="{1BE69504-149C-4715-97A1-D38AD12FA0E6}" name="Q4" dataDxfId="387"/>
    <tableColumn id="6" xr3:uid="{2361F30B-B029-4164-A876-25620EAFF384}" name="TOTAL" dataDxfId="386">
      <calculatedColumnFormula>SUM(Table40[[#This Row],[Q1]:[Q4]])</calculatedColumnFormula>
    </tableColumn>
  </tableColumns>
  <tableStyleInfo name="TableStyleMedium1" showFirstColumn="0" showLastColumn="0" showRowStripes="0"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86F47C77-076E-4BDC-B47F-81F9DBF654C1}" name="Table41" displayName="Table41" ref="K29:P39" totalsRowShown="0" headerRowDxfId="385" headerRowBorderDxfId="384">
  <autoFilter ref="K29:P39" xr:uid="{86F47C77-076E-4BDC-B47F-81F9DBF654C1}">
    <filterColumn colId="0" hiddenButton="1"/>
    <filterColumn colId="1" hiddenButton="1"/>
    <filterColumn colId="2" hiddenButton="1"/>
    <filterColumn colId="3" hiddenButton="1"/>
    <filterColumn colId="4" hiddenButton="1"/>
    <filterColumn colId="5" hiddenButton="1"/>
  </autoFilter>
  <tableColumns count="6">
    <tableColumn id="1" xr3:uid="{4E7F3737-4768-4630-8652-0003CC303118}" name="GROSS MARGIN % SUMMARY" dataDxfId="383"/>
    <tableColumn id="2" xr3:uid="{D9220829-FBD9-46DE-A39A-FE80CB91CEB1}" name="Q1"/>
    <tableColumn id="3" xr3:uid="{993F4723-3811-4016-8A32-330E516B498B}" name="Q2"/>
    <tableColumn id="4" xr3:uid="{0E2BF1A8-BCC6-4B98-BB48-277DCE3C0378}" name="Q3"/>
    <tableColumn id="5" xr3:uid="{D44E9285-AC03-4A7B-84A6-0BCA6F854FA1}" name="Q4"/>
    <tableColumn id="6" xr3:uid="{38418439-A485-4768-8D86-EE3597E0D921}" name="TOTAL"/>
  </tableColumns>
  <tableStyleInfo name="TableStyleMedium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6DD16D3-2C36-4459-AE35-670F26306A55}" name="OppSpreadData" displayName="OppSpreadData" ref="A1:R139" tableType="queryTable" totalsRowShown="0">
  <autoFilter ref="A1:R139" xr:uid="{C6DD16D3-2C36-4459-AE35-670F26306A55}"/>
  <tableColumns count="18">
    <tableColumn id="1" xr3:uid="{8EC36542-1B77-4A92-9B44-B0D7E306A494}" uniqueName="1" name="Opportunity Name" queryTableFieldId="1" dataDxfId="359"/>
    <tableColumn id="2" xr3:uid="{7FC36769-55E0-480F-A699-CB333A40E037}" uniqueName="2" name="Phase" queryTableFieldId="2" dataDxfId="358"/>
    <tableColumn id="3" xr3:uid="{873B1F7B-3369-4947-87C6-7DDCDC60D6AC}" uniqueName="3" name="July" queryTableFieldId="3"/>
    <tableColumn id="4" xr3:uid="{F70EF49E-B70C-4552-89AE-7EC07F4DB94B}" uniqueName="4" name="August" queryTableFieldId="4"/>
    <tableColumn id="5" xr3:uid="{EE81B2B2-7FE6-4256-855C-782C6E4F879D}" uniqueName="5" name="September" queryTableFieldId="5"/>
    <tableColumn id="6" xr3:uid="{248916E2-A1A0-43A1-AA45-4137D8626F3B}" uniqueName="6" name="October" queryTableFieldId="6"/>
    <tableColumn id="7" xr3:uid="{6313AE9F-7D06-4617-A9ED-B266921E5916}" uniqueName="7" name="November" queryTableFieldId="7"/>
    <tableColumn id="8" xr3:uid="{82A243CF-1BBE-4D30-9DB9-416E10FEE0A4}" uniqueName="8" name="December" queryTableFieldId="8"/>
    <tableColumn id="9" xr3:uid="{5B09FEB5-4B68-4CD3-BD49-4EB6480800D5}" uniqueName="9" name="January" queryTableFieldId="9"/>
    <tableColumn id="10" xr3:uid="{24CFFE32-53AA-4D60-A233-933732592C89}" uniqueName="10" name="February" queryTableFieldId="10"/>
    <tableColumn id="11" xr3:uid="{108C81DA-5631-475A-87BC-0F6781D0274B}" uniqueName="11" name="March" queryTableFieldId="11"/>
    <tableColumn id="12" xr3:uid="{C3F1659D-532F-41A3-874F-B080626DF670}" uniqueName="12" name="April" queryTableFieldId="12"/>
    <tableColumn id="13" xr3:uid="{01016750-27D4-484D-97A1-FC665467B359}" uniqueName="13" name="May" queryTableFieldId="13"/>
    <tableColumn id="14" xr3:uid="{7FFAFA32-133F-4AB1-A698-D01F61D324CD}" uniqueName="14" name="June" queryTableFieldId="14"/>
    <tableColumn id="15" xr3:uid="{3CF390BE-05E0-4763-AD75-F674CC405F9F}" uniqueName="15" name="VAT" queryTableFieldId="15" dataDxfId="357"/>
    <tableColumn id="16" xr3:uid="{B450C58D-6302-48AB-8209-8D991BD91055}" uniqueName="16" name="OppsStatus" queryTableFieldId="16" dataDxfId="356">
      <calculatedColumnFormula>_xlfn.XLOOKUP(OppSpreadData[[#This Row],[Opportunity Name]],Table_query[Name],Table_query[Status])</calculatedColumnFormula>
    </tableColumn>
    <tableColumn id="17" xr3:uid="{4FDB3C4B-4510-4AE8-88EC-97D49E3C6126}" uniqueName="17" name="FY25/26" queryTableFieldId="17" dataDxfId="355">
      <calculatedColumnFormula>SUM(OppSpreadData[[#This Row],[July]:[June]])</calculatedColumnFormula>
    </tableColumn>
    <tableColumn id="18" xr3:uid="{7AFCC43C-521B-4933-8950-B326E5CDA3FB}" uniqueName="18" name="Open Opps Phase" queryTableFieldId="18" dataDxfId="354">
      <calculatedColumnFormula>_xlfn.XLOOKUP(OppSpreadData[[#This Row],[Opportunity Name]],Table_query[Name],Table_query[Phase])</calculatedColumnFormula>
    </tableColumn>
  </tableColumns>
  <tableStyleInfo name="TableStyleMedium7"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3220621-1B90-4585-88A1-E3A087BA6615}" name="TotalGMContribution" displayName="TotalGMContribution" ref="A1:T58" tableType="queryTable" totalsRowShown="0">
  <autoFilter ref="A1:T58" xr:uid="{13220621-1B90-4585-88A1-E3A087BA6615}"/>
  <sortState xmlns:xlrd2="http://schemas.microsoft.com/office/spreadsheetml/2017/richdata2" ref="A2:T58">
    <sortCondition ref="B1:B58"/>
  </sortState>
  <tableColumns count="20">
    <tableColumn id="1" xr3:uid="{26B44B7A-F966-4B31-ADA1-6291E2ED1A91}" uniqueName="1" name="Project" queryTableFieldId="1"/>
    <tableColumn id="2" xr3:uid="{CEBB429F-8354-4B15-ABE7-82B3420B20AE}" uniqueName="2" name="Status" queryTableFieldId="2"/>
    <tableColumn id="3" xr3:uid="{7FDFC1E0-53FE-4640-A6E6-A759CC3EEE6A}" uniqueName="3" name="VAT" queryTableFieldId="3"/>
    <tableColumn id="26" xr3:uid="{8E50FD0C-DE46-4476-9E5B-C85440F3D5A2}" uniqueName="26" name="July" queryTableFieldId="26" dataDxfId="353"/>
    <tableColumn id="27" xr3:uid="{BE5DE74F-B570-4865-AF96-E18E6CFBA7E3}" uniqueName="27" name="August" queryTableFieldId="27" dataDxfId="352"/>
    <tableColumn id="28" xr3:uid="{C00B5896-52D9-4F99-9176-066FC6AD5659}" uniqueName="28" name="September" queryTableFieldId="28" dataDxfId="351"/>
    <tableColumn id="29" xr3:uid="{DF0BF45D-6C80-4069-84F3-89CB12CCB95C}" uniqueName="29" name="October" queryTableFieldId="29" dataDxfId="350"/>
    <tableColumn id="30" xr3:uid="{92064BC5-B35D-4698-817C-08385AE5E861}" uniqueName="30" name="November" queryTableFieldId="30" dataDxfId="349"/>
    <tableColumn id="31" xr3:uid="{2E0F9416-7D10-42B7-8A37-802F4D08EBD8}" uniqueName="31" name="December" queryTableFieldId="31" dataDxfId="348"/>
    <tableColumn id="32" xr3:uid="{85E50C95-DB8F-4BC7-8F0C-8F0BF854714C}" uniqueName="32" name="January" queryTableFieldId="32" dataDxfId="347"/>
    <tableColumn id="33" xr3:uid="{5CCF26FA-5293-48F5-A4C5-A32E58ED606C}" uniqueName="33" name="February" queryTableFieldId="33" dataDxfId="346"/>
    <tableColumn id="34" xr3:uid="{E5C383B5-F788-4036-B8AF-407868AF794D}" uniqueName="34" name="March" queryTableFieldId="34" dataDxfId="345"/>
    <tableColumn id="35" xr3:uid="{7C9586C7-AFD8-44CC-B0B2-8B904C54F5E2}" uniqueName="35" name="April" queryTableFieldId="35" dataDxfId="344"/>
    <tableColumn id="36" xr3:uid="{EF23B968-8171-4536-8C04-53A6C24EC081}" uniqueName="36" name="May" queryTableFieldId="36" dataDxfId="343"/>
    <tableColumn id="37" xr3:uid="{6A7A594E-B7D5-47D4-9D8F-C1304D1F1F42}" uniqueName="37" name="June" queryTableFieldId="37" dataDxfId="342"/>
    <tableColumn id="7" xr3:uid="{8E49F764-46BC-41CB-819C-9343293939B4}" uniqueName="7" name="Phase" queryTableFieldId="42"/>
    <tableColumn id="38" xr3:uid="{74BF113C-5ABE-4254-BA25-4DC8A0B66680}" uniqueName="38" name="Opps Status" queryTableFieldId="38" dataDxfId="341">
      <calculatedColumnFormula>IF(TotalGMContribution[[#This Row],[Status]]&lt;&gt;"C",_xlfn.XLOOKUP(TotalGMContribution[[#This Row],[Project]],Table_query[Name],Table_query[Status]),"Good")</calculatedColumnFormula>
    </tableColumn>
    <tableColumn id="4" xr3:uid="{2F07EB30-F10A-4433-B348-B8F9AB75E05B}" uniqueName="4" name="Open Opps Phase" queryTableFieldId="39" dataDxfId="340">
      <calculatedColumnFormula>IF(TotalGMContribution[[#This Row],[Status]]="C","6.C - Contracted",_xlfn.XLOOKUP(TotalGMContribution[[#This Row],[Project]],Table_query[Name],Table_query[Phase]))</calculatedColumnFormula>
    </tableColumn>
    <tableColumn id="5" xr3:uid="{BA36B380-387F-4662-8C45-ABD1087D78B3}" uniqueName="5" name="FY25/26" queryTableFieldId="40" dataDxfId="339">
      <calculatedColumnFormula>SUM(TotalGMContribution[[#This Row],[July]:[June]])</calculatedColumnFormula>
    </tableColumn>
    <tableColumn id="6" xr3:uid="{BE6CF53D-8B4C-46E6-AB12-DA3B7CDD078F}" uniqueName="6" name="Work Type" queryTableFieldId="41" dataDxfId="338">
      <calculatedColumnFormula>IFERROR(_xlfn.XLOOKUP(TotalGMContribution[[#This Row],[Project]],Job_Status[Project],Job_Status[Work Type]),_xlfn.XLOOKUP(TotalGMContribution[[#This Row],[Project]],Table_query[Name],Table_query[Work Type]))</calculatedColumnFormula>
    </tableColumn>
  </tableColumns>
  <tableStyleInfo name="TableStyleMedium7"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33139C-3973-4020-A6D6-9D0C3842A5EE}" name="Job_Status" displayName="Job_Status" ref="A1:CA58" tableType="queryTable" totalsRowCount="1" headerRowDxfId="337">
  <autoFilter ref="A1:CA57" xr:uid="{2033139C-3973-4020-A6D6-9D0C3842A5EE}"/>
  <tableColumns count="79">
    <tableColumn id="1" xr3:uid="{7DF910B7-348B-4673-A91E-90A58BADC6D5}" uniqueName="1" name="A/D" totalsRowLabel="Total" queryTableFieldId="1" dataDxfId="336" totalsRowDxfId="335"/>
    <tableColumn id="80" xr3:uid="{1AEB6630-2775-41D8-B679-2692DF156589}" uniqueName="80" name="VAT" queryTableFieldId="80" dataDxfId="334" totalsRowDxfId="333"/>
    <tableColumn id="2" xr3:uid="{3F400CAD-3281-4642-A5E4-9E4CA8D3AFC0}" uniqueName="2" name="Client" queryTableFieldId="2" dataDxfId="332" totalsRowDxfId="331"/>
    <tableColumn id="3" xr3:uid="{89A0DE9A-C191-475D-8900-3DB22971A172}" uniqueName="3" name="Project" queryTableFieldId="3" dataDxfId="330" totalsRowDxfId="329"/>
    <tableColumn id="4" xr3:uid="{24F7DEFE-FC03-496F-8E88-10482006BB43}" uniqueName="4" name="Client Manager" queryTableFieldId="4" dataDxfId="328" totalsRowDxfId="327"/>
    <tableColumn id="5" xr3:uid="{4BC13F75-64F5-4E02-8BB6-BEFF812A1F19}" uniqueName="5" name="Engagement Manager" queryTableFieldId="5" dataDxfId="326" totalsRowDxfId="325"/>
    <tableColumn id="6" xr3:uid="{BA54AC92-FCFA-4022-986B-76FF25C7FEE7}" uniqueName="6" name="Engagement Support" queryTableFieldId="6" dataDxfId="324" totalsRowDxfId="323"/>
    <tableColumn id="7" xr3:uid="{5953A954-5353-458B-AC58-1EA54777D1DF}" uniqueName="7" name="Start date" queryTableFieldId="7" dataDxfId="322" totalsRowDxfId="321"/>
    <tableColumn id="8" xr3:uid="{EEA794C0-EF40-48BC-A8AC-5422C8295039}" uniqueName="8" name="End date" queryTableFieldId="8" dataDxfId="320" totalsRowDxfId="319"/>
    <tableColumn id="9" xr3:uid="{DA3E6651-F06B-44DF-9AF3-1251C1393B58}" uniqueName="9" name="Billing Category" queryTableFieldId="9" dataDxfId="318" totalsRowDxfId="317"/>
    <tableColumn id="10" xr3:uid="{665DE36F-BC60-4E9B-BC02-761FBEFFCDFB}" uniqueName="10" name="Work Type" queryTableFieldId="10" dataDxfId="316" totalsRowDxfId="315"/>
    <tableColumn id="11" xr3:uid="{7698D9ED-DD2E-4169-A668-7E049E0624F6}" uniqueName="11" name="Panel" queryTableFieldId="11" dataDxfId="314" totalsRowDxfId="313"/>
    <tableColumn id="12" xr3:uid="{188B72D3-BA58-4E3E-A3E4-981DE71639A5}" uniqueName="12" name="Recurring" queryTableFieldId="12" dataDxfId="312" totalsRowDxfId="311"/>
    <tableColumn id="13" xr3:uid="{DC00955F-27F2-4647-A625-44E7E811B69C}" uniqueName="13" name="Work Order Amount" totalsRowFunction="sum" queryTableFieldId="13" dataDxfId="310" totalsRowDxfId="309" dataCellStyle="Currency"/>
    <tableColumn id="14" xr3:uid="{6810499F-2D19-42E2-A119-01C48BB6D233}" uniqueName="14" name="Budget" totalsRowFunction="sum" queryTableFieldId="14" dataDxfId="308" totalsRowDxfId="307" dataCellStyle="Currency"/>
    <tableColumn id="15" xr3:uid="{B9702AF6-E7D6-437C-93D6-E4C4EEEB0341}" uniqueName="15" name="Actual" totalsRowFunction="sum" queryTableFieldId="15" dataDxfId="306" totalsRowDxfId="305" dataCellStyle="Currency"/>
    <tableColumn id="16" xr3:uid="{132B1E40-4622-4EFC-8223-5D3A402E3A50}" uniqueName="16" name="Balance" totalsRowFunction="sum" queryTableFieldId="16" dataDxfId="304" totalsRowDxfId="303" dataCellStyle="Currency"/>
    <tableColumn id="17" xr3:uid="{FD40DC31-96E7-4477-B382-A2EB80B14618}" uniqueName="17" name="Forecast" totalsRowFunction="sum" queryTableFieldId="17" dataDxfId="302" totalsRowDxfId="301" dataCellStyle="Currency"/>
    <tableColumn id="18" xr3:uid="{AC63D279-B841-4429-95B2-51AF6B7E1ECB}" uniqueName="18" name="Forecasted Revenue" totalsRowFunction="sum" queryTableFieldId="18" dataDxfId="300" totalsRowDxfId="299" dataCellStyle="Currency"/>
    <tableColumn id="19" xr3:uid="{F192914D-F452-4020-9143-BF25BDB9F01E}" uniqueName="19" name="Variance @ Completion" totalsRowFunction="sum" queryTableFieldId="82" dataDxfId="298" totalsRowDxfId="297" dataCellStyle="Currency"/>
    <tableColumn id="20" xr3:uid="{D0734B26-FA99-47FC-A5B6-4BAB958A9601}" uniqueName="20" name="Variance %" totalsRowFunction="custom" queryTableFieldId="20" dataDxfId="296" totalsRowDxfId="295" dataCellStyle="Percent">
      <totalsRowFormula>(Job_Status[[#Totals],[Budget]]-Job_Status[[#Totals],[Forecasted Revenue]])/Job_Status[[#Totals],[Budget]]</totalsRowFormula>
    </tableColumn>
    <tableColumn id="21" xr3:uid="{66807289-89BF-4EB9-AEAB-5A2BC7143E85}" uniqueName="21" name="Variance to Contract %" totalsRowFunction="custom" queryTableFieldId="21" dataDxfId="294" totalsRowDxfId="293" dataCellStyle="Percent">
      <totalsRowFormula>(Job_Status[[#Totals],[Work Order Amount]]-Job_Status[[#Totals],[Forecasted Revenue]])/Job_Status[[#Totals],[Work Order Amount]]</totalsRowFormula>
    </tableColumn>
    <tableColumn id="22" xr3:uid="{57A39F6A-6BD9-4445-993C-8CCF5752F968}" uniqueName="22" name="Write-Off" totalsRowFunction="sum" queryTableFieldId="22" dataDxfId="292" totalsRowDxfId="291" dataCellStyle="Currency"/>
    <tableColumn id="34" xr3:uid="{D8D2AA42-CC4E-4302-AE9F-997A94FAEA4C}" uniqueName="34" name="Ops commentary" queryTableFieldId="83" dataDxfId="290" dataCellStyle="Currency"/>
    <tableColumn id="23" xr3:uid="{6476BFE1-84E1-41FF-AC4C-DD4FC387279B}" uniqueName="23" name="Revenue Q1" totalsRowFunction="sum" queryTableFieldId="23" dataDxfId="289" totalsRowDxfId="288" dataCellStyle="Currency"/>
    <tableColumn id="24" xr3:uid="{2D823792-D2EF-43F8-8D1D-3321E7C6EE98}" uniqueName="24" name="Revenue Q2" totalsRowFunction="sum" queryTableFieldId="24" dataDxfId="287" totalsRowDxfId="286" dataCellStyle="Currency"/>
    <tableColumn id="25" xr3:uid="{BB419240-4A99-4EE1-8B1A-A7E14BE860F8}" uniqueName="25" name="Revenue Q3" totalsRowFunction="sum" queryTableFieldId="25" dataDxfId="285" totalsRowDxfId="284" dataCellStyle="Currency"/>
    <tableColumn id="26" xr3:uid="{BE2B0537-5287-4D41-8DD5-372EF6C98E0E}" uniqueName="26" name="Revenue Q4" totalsRowFunction="sum" queryTableFieldId="26" dataDxfId="283" totalsRowDxfId="282" dataCellStyle="Currency"/>
    <tableColumn id="27" xr3:uid="{6A1DAD42-12C1-4F2B-91C3-63DB84A792A6}" uniqueName="27" name="Gross Cost" totalsRowFunction="sum" queryTableFieldId="27" dataDxfId="281" totalsRowDxfId="280" dataCellStyle="Currency"/>
    <tableColumn id="28" xr3:uid="{A4FA712B-CBEF-440E-8E5D-17D4BB742936}" uniqueName="28" name="Forecasted Gross Cost" totalsRowFunction="sum" queryTableFieldId="28" dataDxfId="279" totalsRowDxfId="278" dataCellStyle="Currency"/>
    <tableColumn id="29" xr3:uid="{19CB470D-85F6-4654-88A7-0B8BEF7337AC}" uniqueName="29" name="To Date Gross Profit" totalsRowFunction="sum" queryTableFieldId="29" dataDxfId="277" totalsRowDxfId="276" dataCellStyle="Currency"/>
    <tableColumn id="30" xr3:uid="{9A66C94C-3C1B-4F54-9B6A-DD6911970C5B}" uniqueName="30" name="Sold GM (%)" totalsRowFunction="custom" queryTableFieldId="30" dataDxfId="275" totalsRowDxfId="274" dataCellStyle="Percent">
      <totalsRowFormula>SUMPRODUCT(Job_Status[Sold GM (%)],Job_Status[Budget])/SUM(Job_Status[Budget])</totalsRowFormula>
    </tableColumn>
    <tableColumn id="31" xr3:uid="{875B2246-B1F1-4C56-86AC-C4332AE85968}" uniqueName="31" name="TD GM(%)" totalsRowFunction="custom" queryTableFieldId="31" dataDxfId="273" totalsRowDxfId="272" dataCellStyle="Percent">
      <totalsRowFormula>Job_Status[[#Totals],[To Date Gross Profit]]/Job_Status[[#Totals],[Actual]]</totalsRowFormula>
    </tableColumn>
    <tableColumn id="32" xr3:uid="{6B35FB6B-972A-487F-8293-0405CD098461}" uniqueName="32" name="GP at completion" totalsRowFunction="sum" queryTableFieldId="32" dataDxfId="271" totalsRowDxfId="270" dataCellStyle="Currency"/>
    <tableColumn id="33" xr3:uid="{C03AE2D7-4176-4586-A614-3BFC5604C86C}" uniqueName="33" name="Forecast GM @ completion (%)" totalsRowFunction="custom" queryTableFieldId="86" dataDxfId="269" totalsRowDxfId="268" dataCellStyle="Percent">
      <totalsRowFormula>Job_Status[[#Totals],[GP at completion]]/Job_Status[[#Totals],[Forecasted Revenue]]</totalsRowFormula>
    </tableColumn>
    <tableColumn id="36" xr3:uid="{BBA198F7-343E-49B3-8C68-F222C38516EA}" uniqueName="36" name="R1" totalsRowFunction="sum" queryTableFieldId="36" dataDxfId="267" totalsRowDxfId="266" dataCellStyle="Currency"/>
    <tableColumn id="37" xr3:uid="{2A438F93-8645-4B24-B337-1EBEB34F8A0C}" uniqueName="37" name="R2" totalsRowFunction="sum" queryTableFieldId="37" dataDxfId="265" totalsRowDxfId="264" dataCellStyle="Currency"/>
    <tableColumn id="38" xr3:uid="{C790CC3D-783B-43AD-8910-20843FDBFCA4}" uniqueName="38" name="R3" totalsRowFunction="sum" queryTableFieldId="38" dataDxfId="263" totalsRowDxfId="262" dataCellStyle="Currency"/>
    <tableColumn id="39" xr3:uid="{88AE9BCB-3BFE-4B26-AE89-771116CC9070}" uniqueName="39" name="R4" totalsRowFunction="sum" queryTableFieldId="39" dataDxfId="261" totalsRowDxfId="260" dataCellStyle="Currency"/>
    <tableColumn id="40" xr3:uid="{00B804B6-4D39-41B2-8D0F-7A634B172BBC}" uniqueName="40" name="R5" totalsRowFunction="sum" queryTableFieldId="40" dataDxfId="259" totalsRowDxfId="258" dataCellStyle="Currency"/>
    <tableColumn id="41" xr3:uid="{1793ACF9-D7B6-4317-A2E3-1DE7CDE240BE}" uniqueName="41" name="R6" totalsRowFunction="sum" queryTableFieldId="41" dataDxfId="257" totalsRowDxfId="256" dataCellStyle="Currency"/>
    <tableColumn id="42" xr3:uid="{A5801CC7-8F80-40C8-8B35-C7A1AE56EB57}" uniqueName="42" name="R7" totalsRowFunction="sum" queryTableFieldId="42" dataDxfId="255" totalsRowDxfId="254" dataCellStyle="Currency"/>
    <tableColumn id="43" xr3:uid="{3D3E9794-2814-4CE4-9593-C97FE4478FD9}" uniqueName="43" name="R8" totalsRowFunction="sum" queryTableFieldId="43" dataDxfId="253" totalsRowDxfId="252" dataCellStyle="Currency"/>
    <tableColumn id="44" xr3:uid="{53A9F3B8-4A0A-4D6F-B497-F143DF5D1B66}" uniqueName="44" name="R9" totalsRowFunction="sum" queryTableFieldId="44" dataDxfId="251" totalsRowDxfId="250" dataCellStyle="Currency"/>
    <tableColumn id="45" xr3:uid="{EDD076D4-6F4C-4157-ACA1-B3D65B54FEF1}" uniqueName="45" name="R10" totalsRowFunction="sum" queryTableFieldId="45" dataDxfId="249" totalsRowDxfId="248" dataCellStyle="Currency"/>
    <tableColumn id="46" xr3:uid="{56695574-71B6-40B5-9803-BB211EA3F5A6}" uniqueName="46" name="R11" totalsRowFunction="sum" queryTableFieldId="46" dataDxfId="247" totalsRowDxfId="246" dataCellStyle="Currency"/>
    <tableColumn id="47" xr3:uid="{F602953D-67CE-4635-A6FD-2CFB963D8FAF}" uniqueName="47" name="R12" totalsRowFunction="sum" queryTableFieldId="47" dataDxfId="245" totalsRowDxfId="244" dataCellStyle="Currency"/>
    <tableColumn id="48" xr3:uid="{D73430B0-D163-4A86-B59B-D24E290DE195}" uniqueName="48" name="C1" totalsRowFunction="sum" queryTableFieldId="48" dataDxfId="243" totalsRowDxfId="242" dataCellStyle="Currency"/>
    <tableColumn id="49" xr3:uid="{BF39AFB3-EC87-4524-8D13-9A8FE185CA28}" uniqueName="49" name="C2" totalsRowFunction="sum" queryTableFieldId="49" dataDxfId="241" totalsRowDxfId="240" dataCellStyle="Currency"/>
    <tableColumn id="50" xr3:uid="{6078ADDD-744E-4C85-9706-A7397810C3F0}" uniqueName="50" name="C3" totalsRowFunction="sum" queryTableFieldId="50" dataDxfId="239" totalsRowDxfId="238" dataCellStyle="Currency"/>
    <tableColumn id="51" xr3:uid="{A74DDC71-5F29-41F9-A065-9E08758175EC}" uniqueName="51" name="C4" totalsRowFunction="sum" queryTableFieldId="51" dataDxfId="237" totalsRowDxfId="236" dataCellStyle="Currency"/>
    <tableColumn id="52" xr3:uid="{2F7DB3E5-EF39-494D-9F68-9C1E3C83E379}" uniqueName="52" name="C5" totalsRowFunction="sum" queryTableFieldId="52" dataDxfId="235" totalsRowDxfId="234" dataCellStyle="Currency"/>
    <tableColumn id="53" xr3:uid="{8624EA83-0F85-4F08-89DE-CA66FB4A0434}" uniqueName="53" name="C6" totalsRowFunction="sum" queryTableFieldId="53" dataDxfId="233" totalsRowDxfId="232" dataCellStyle="Currency"/>
    <tableColumn id="54" xr3:uid="{53718D60-E8C9-4C88-B772-D6E8A24C8457}" uniqueName="54" name="C7" totalsRowFunction="sum" queryTableFieldId="54" dataDxfId="231" totalsRowDxfId="230" dataCellStyle="Currency"/>
    <tableColumn id="55" xr3:uid="{9A00E176-81E1-44CC-AE54-18422CD22A2E}" uniqueName="55" name="C8" totalsRowFunction="sum" queryTableFieldId="55" dataDxfId="229" totalsRowDxfId="228" dataCellStyle="Currency"/>
    <tableColumn id="56" xr3:uid="{6466B128-17D9-47E5-954F-39FB884AFA65}" uniqueName="56" name="C9" totalsRowFunction="sum" queryTableFieldId="56" dataDxfId="227" totalsRowDxfId="226" dataCellStyle="Currency"/>
    <tableColumn id="57" xr3:uid="{9B382C50-B563-4A57-A99A-3A7ABF7B9E4F}" uniqueName="57" name="C10" totalsRowFunction="sum" queryTableFieldId="57" dataDxfId="225" totalsRowDxfId="224" dataCellStyle="Currency"/>
    <tableColumn id="58" xr3:uid="{A0F71C85-ACB2-482D-BE2C-CB2FFF30FF63}" uniqueName="58" name="C11" totalsRowFunction="sum" queryTableFieldId="58" dataDxfId="223" totalsRowDxfId="222" dataCellStyle="Currency"/>
    <tableColumn id="59" xr3:uid="{0A3D85E0-3856-4AB1-B15B-FC23B0D3EACF}" uniqueName="59" name="C12" totalsRowFunction="sum" queryTableFieldId="59" dataDxfId="221" totalsRowDxfId="220" dataCellStyle="Currency"/>
    <tableColumn id="60" xr3:uid="{571AEC72-E535-4969-A547-CC6CCAD18EEA}" uniqueName="60" name="P1" totalsRowFunction="sum" queryTableFieldId="60" dataDxfId="219" totalsRowDxfId="218" dataCellStyle="Currency"/>
    <tableColumn id="61" xr3:uid="{F55E9727-A11A-476A-9DFD-2E98CE85EAD3}" uniqueName="61" name="P2" totalsRowFunction="sum" queryTableFieldId="61" dataDxfId="217" totalsRowDxfId="216" dataCellStyle="Currency"/>
    <tableColumn id="62" xr3:uid="{F920E3B4-FB74-4CEC-B8A1-AD5A787DE391}" uniqueName="62" name="P3" totalsRowFunction="sum" queryTableFieldId="62" dataDxfId="215" totalsRowDxfId="214" dataCellStyle="Currency"/>
    <tableColumn id="63" xr3:uid="{94316E78-43FB-4C9C-908C-55F1D2323D89}" uniqueName="63" name="P4" totalsRowFunction="sum" queryTableFieldId="63" dataDxfId="213" totalsRowDxfId="212" dataCellStyle="Currency"/>
    <tableColumn id="64" xr3:uid="{CE103846-70FF-4743-B86E-DE2D37076057}" uniqueName="64" name="P5" totalsRowFunction="sum" queryTableFieldId="64" dataDxfId="211" totalsRowDxfId="210" dataCellStyle="Currency"/>
    <tableColumn id="65" xr3:uid="{08789CB1-2C9A-4C50-AC6E-52C7B1F073CE}" uniqueName="65" name="P6" totalsRowFunction="sum" queryTableFieldId="65" dataDxfId="209" totalsRowDxfId="208" dataCellStyle="Currency"/>
    <tableColumn id="66" xr3:uid="{86135A50-1305-4D09-A862-51F78D540DE4}" uniqueName="66" name="P7" totalsRowFunction="sum" queryTableFieldId="66" dataDxfId="207" totalsRowDxfId="206" dataCellStyle="Currency"/>
    <tableColumn id="67" xr3:uid="{5DE27F17-855F-4AC1-B570-CDABE87D4197}" uniqueName="67" name="P8" totalsRowFunction="sum" queryTableFieldId="67" dataDxfId="205" totalsRowDxfId="204" dataCellStyle="Currency"/>
    <tableColumn id="68" xr3:uid="{B5D8940E-2F59-47DB-9FEF-654EDF1A92F6}" uniqueName="68" name="P9" totalsRowFunction="sum" queryTableFieldId="68" dataDxfId="203" totalsRowDxfId="202" dataCellStyle="Currency"/>
    <tableColumn id="69" xr3:uid="{BE421AF5-0432-4046-A5C3-90A3576DF15A}" uniqueName="69" name="P10" totalsRowFunction="sum" queryTableFieldId="69" dataDxfId="201" totalsRowDxfId="200" dataCellStyle="Currency"/>
    <tableColumn id="70" xr3:uid="{19F04099-5C8E-418B-8D50-6D5337954062}" uniqueName="70" name="P11" totalsRowFunction="sum" queryTableFieldId="70" dataDxfId="199" totalsRowDxfId="198" dataCellStyle="Currency"/>
    <tableColumn id="71" xr3:uid="{1089AA9B-99B8-4455-BCEC-8582104963DE}" uniqueName="71" name="P12" totalsRowFunction="sum" queryTableFieldId="71" dataDxfId="197" totalsRowDxfId="196" dataCellStyle="Currency"/>
    <tableColumn id="72" xr3:uid="{D339975B-A559-4ADA-8162-396726E9550B}" uniqueName="72" name="Gross Profit Q1" totalsRowFunction="sum" queryTableFieldId="72" dataDxfId="195" totalsRowDxfId="194" dataCellStyle="Currency"/>
    <tableColumn id="73" xr3:uid="{A1367A4D-218B-4A82-B396-E2AC143E2F90}" uniqueName="73" name="Gross Profit Q2" totalsRowFunction="sum" queryTableFieldId="73" dataDxfId="193" totalsRowDxfId="192" dataCellStyle="Currency"/>
    <tableColumn id="74" xr3:uid="{23F795CA-6F40-4467-80D9-E0A6EFBBB5B3}" uniqueName="74" name="Gross Profit Q3" totalsRowFunction="sum" queryTableFieldId="74" dataDxfId="191" totalsRowDxfId="190" dataCellStyle="Currency"/>
    <tableColumn id="75" xr3:uid="{22B027D2-4E7D-45BC-A327-E2E9755DF324}" uniqueName="75" name="Gross Profit Q4" totalsRowFunction="sum" queryTableFieldId="75" dataDxfId="189" totalsRowDxfId="188" dataCellStyle="Currency"/>
    <tableColumn id="76" xr3:uid="{C2C359BF-2A4A-4172-AD0A-BC5E6A0BF462}" uniqueName="76" name="Gross Margin Q1" queryTableFieldId="76" dataDxfId="187" totalsRowDxfId="186"/>
    <tableColumn id="77" xr3:uid="{89FC2F1D-ED5A-4A81-A43A-F833C5E57A44}" uniqueName="77" name="Gross Margin Q2" queryTableFieldId="77" dataDxfId="185" totalsRowDxfId="184"/>
    <tableColumn id="78" xr3:uid="{831AB896-DBC8-4940-A39E-A64396DF684E}" uniqueName="78" name="Gross Margin Q3" queryTableFieldId="78" dataDxfId="183" totalsRowDxfId="182"/>
    <tableColumn id="79" xr3:uid="{D861138D-D616-42E8-8CF3-750CD97D52A4}" uniqueName="79" name="Gross Margin Q4" queryTableFieldId="79" dataDxfId="181" totalsRowDxfId="180"/>
  </tableColumns>
  <tableStyleInfo name="TableStyleMedium7"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F6449C-9D0C-46E2-BA41-99C29BEF515A}" name="Table_query" displayName="Table_query" ref="A1:AC94" tableType="queryTable">
  <autoFilter ref="A1:AC94" xr:uid="{18F6449C-9D0C-46E2-BA41-99C29BEF515A}"/>
  <sortState xmlns:xlrd2="http://schemas.microsoft.com/office/spreadsheetml/2017/richdata2" ref="A2:AC94">
    <sortCondition ref="V1:V94"/>
  </sortState>
  <tableColumns count="29">
    <tableColumn id="1" xr3:uid="{4FB7A339-DF95-425E-8B40-D1A2D980E9AD}" uniqueName="FileLeafRef" name="Name" queryTableFieldId="23"/>
    <tableColumn id="2" xr3:uid="{7E10E981-D940-4CA8-AC1B-61D69B458DBE}" uniqueName="Status" name="Phase" queryTableFieldId="2" dataDxfId="179" totalsRowDxfId="178"/>
    <tableColumn id="3" xr3:uid="{A4C672A4-3E1E-4C91-B118-6C136D3C1B23}" uniqueName="Due" name="Due" queryTableFieldId="3" dataDxfId="177" totalsRowDxfId="176"/>
    <tableColumn id="4" xr3:uid="{CF1F45C3-01CD-4837-B405-1BECE96C591E}" uniqueName="Value_x005f_x0024_exGST" name="Value $ ex GST" queryTableFieldId="6" dataDxfId="175" totalsRowDxfId="174"/>
    <tableColumn id="5" xr3:uid="{69F869E6-B081-4A3B-97BE-17ED94E22B23}" uniqueName="Margin" name="Margin" queryTableFieldId="18" dataDxfId="173" totalsRowDxfId="172"/>
    <tableColumn id="6" xr3:uid="{1EB4CC6F-FF70-4E35-A517-5F3437A9472F}" uniqueName="Status0" name="Status" queryTableFieldId="13" dataDxfId="171" totalsRowDxfId="170"/>
    <tableColumn id="7" xr3:uid="{F394DD56-8B05-49B7-8D77-88712EBD960E}" uniqueName="Team" name="VAT" queryTableFieldId="9" dataDxfId="169" totalsRowDxfId="168"/>
    <tableColumn id="8" xr3:uid="{52E8D8AB-AD97-4169-BF4E-16D87DBF3C91}" uniqueName="BidLead0" name="CAS Lead" queryTableFieldId="10" dataDxfId="167" totalsRowDxfId="166"/>
    <tableColumn id="9" xr3:uid="{845FDCAE-7296-4250-835B-3187B4F3435D}" uniqueName="ClientManager" name="CSD Lead" queryTableFieldId="8"/>
    <tableColumn id="10" xr3:uid="{CFD3A9BE-4E00-4C03-8586-471A8AC6B20C}" uniqueName="Planner" name="Client contact" queryTableFieldId="4"/>
    <tableColumn id="12" xr3:uid="{9224D6D4-39F4-4AA8-A572-DED90D34B7F9}" uniqueName="ChimComment" name="Comment" queryTableFieldId="15" dataDxfId="165" totalsRowDxfId="164"/>
    <tableColumn id="13" xr3:uid="{FC756DE4-7BB6-442C-9E68-09F58C342CF3}" uniqueName="Business" name="Category " queryTableFieldId="5" dataDxfId="163" totalsRowDxfId="162"/>
    <tableColumn id="14" xr3:uid="{0F3951D2-45BB-4DF0-9E88-05A25B673D63}" uniqueName="WorkType_x005f_x0028_FTorContract_x005f_x0029_" name="Work Type" queryTableFieldId="14" dataDxfId="161" totalsRowDxfId="160"/>
    <tableColumn id="15" xr3:uid="{9F0216EE-F996-4162-8FEC-A013CE52BA69}" uniqueName="StartDate" name="Start Date" queryTableFieldId="19" dataDxfId="159" totalsRowDxfId="158"/>
    <tableColumn id="16" xr3:uid="{BD36988A-4AF4-4294-A433-1B6FFBB4A5B7}" uniqueName="ExpiryDate" name="Expiry Date" queryTableFieldId="12" dataDxfId="157" totalsRowDxfId="156"/>
    <tableColumn id="17" xr3:uid="{805D5580-48C7-455D-BCB3-1B4A14BBFC53}" uniqueName="CC" name="CC" queryTableFieldId="16" dataDxfId="155" totalsRowDxfId="154"/>
    <tableColumn id="18" xr3:uid="{C767E97A-1390-481B-813C-15D5DD183CCF}" uniqueName="Modified" name="Modified" queryTableFieldId="1" dataDxfId="153" totalsRowDxfId="152"/>
    <tableColumn id="19" xr3:uid="{913F56A7-9D0B-4135-A132-22979FADFBE0}" uniqueName="Editor" name="Modified By" queryTableFieldId="7" dataDxfId="151" totalsRowDxfId="150"/>
    <tableColumn id="20" xr3:uid="{A26C08D3-70A1-492F-8D5C-54A66E528211}" uniqueName="Created" name="Created" queryTableFieldId="20" dataDxfId="149" totalsRowDxfId="148"/>
    <tableColumn id="21" xr3:uid="{A58FEDD3-9CA7-4129-A108-21542709D166}" uniqueName="Author" name="Created By" queryTableFieldId="17" dataDxfId="147" totalsRowDxfId="146"/>
    <tableColumn id="22" xr3:uid="{3A1895FA-5B40-4CDB-8CC7-06A554E50DE4}" uniqueName="FSObjType" name="Item Type" queryTableFieldId="22" dataDxfId="145" totalsRowDxfId="144"/>
    <tableColumn id="23" xr3:uid="{7EED5A86-7BC4-48C3-BBC3-6A1E6CE11C5A}" uniqueName="FileDirRef" name="Path" queryTableFieldId="21" dataDxfId="143" totalsRowDxfId="142"/>
    <tableColumn id="11" xr3:uid="{1BD02CA8-9A7D-4B9F-9873-DA1AD8995B38}" uniqueName="Partner" name="Partner" queryTableFieldId="30" dataDxfId="141" totalsRowDxfId="140"/>
    <tableColumn id="24" xr3:uid="{BF8D4A50-728A-4774-9E8A-993CEADE89C9}" uniqueName="24" name="Gross Profit" queryTableFieldId="24" dataDxfId="139" totalsRowDxfId="138">
      <calculatedColumnFormula>Table_query[[#This Row],[Value $ ex GST]]*Table_query[[#This Row],[Margin]]</calculatedColumnFormula>
    </tableColumn>
    <tableColumn id="25" xr3:uid="{1B39AAB8-A44F-4C67-A7C6-E908633886CB}" uniqueName="25" name="Days Opened" queryTableFieldId="25" dataDxfId="137">
      <calculatedColumnFormula>ROUND(Table_query[[#This Row],[Modified]]-Table_query[[#This Row],[Created]],0)</calculatedColumnFormula>
    </tableColumn>
    <tableColumn id="26" xr3:uid="{7AB1A115-22AF-4A5E-B517-00E132C5239F}" uniqueName="26" name="Days submitted" queryTableFieldId="26" dataDxfId="136" totalsRowDxfId="135">
      <calculatedColumnFormula>IF(_xlfn.NUMBERVALUE(LEFT(Table_query[[#This Row],[Phase]],1))&lt;=2,"",IF(Table_query[[#This Row],[Due]]&lt;TODAY(),ROUND(TODAY()-Table_query[[#This Row],[Due]],0),""))</calculatedColumnFormula>
    </tableColumn>
    <tableColumn id="27" xr3:uid="{1F5E534E-F7F0-4057-BF8A-DB61FBE9052D}" uniqueName="27" name="Days modified" queryTableFieldId="27" dataDxfId="134" totalsRowDxfId="133">
      <calculatedColumnFormula>ROUND(TODAY()-Table_query[[#This Row],[Modified]],0)</calculatedColumnFormula>
    </tableColumn>
    <tableColumn id="28" xr3:uid="{404808B5-B4B9-4CC6-92A8-42CD2CA5E7E6}" uniqueName="28" name="Monthly Gross Margin Contribution" queryTableFieldId="28" dataDxfId="132">
      <calculatedColumnFormula>(Table_query[[#This Row],[Value $ ex GST]]*Table_query[[#This Row],[Margin]])/(DATEDIF(Table_query[[#This Row],[Start Date]],Table_query[[#This Row],[Expiry Date]],"m")+1)</calculatedColumnFormula>
    </tableColumn>
    <tableColumn id="29" xr3:uid="{8EDF012B-992E-457E-81A4-1CE2C37784CE}" uniqueName="29" name="Monthly Revenue Spread" queryTableFieldId="29" dataDxfId="131">
      <calculatedColumnFormula>(Table_query[[#This Row],[Value $ ex GST]])/(DATEDIF(Table_query[[#This Row],[Start Date]],Table_query[[#This Row],[Expiry Date]],"m")+1)</calculatedColumnFormula>
    </tableColumn>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E47AA69-2157-4711-BCD6-E5C13987B22A}" name="Phase" displayName="Phase" ref="A1:B6" totalsRowShown="0">
  <autoFilter ref="A1:B6" xr:uid="{4E47AA69-2157-4711-BCD6-E5C13987B22A}"/>
  <tableColumns count="2">
    <tableColumn id="1" xr3:uid="{7CD1511D-4DCC-4E0C-9F8F-BE850D0E3DD0}" name="Phase Code"/>
    <tableColumn id="2" xr3:uid="{58E79A9F-F66F-4C99-A40D-D05E02534877}" name="Phase 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drawing" Target="../drawings/drawing4.xml"/><Relationship Id="rId1" Type="http://schemas.openxmlformats.org/officeDocument/2006/relationships/pivotTable" Target="../pivotTables/pivotTable3.xml"/><Relationship Id="rId6" Type="http://schemas.openxmlformats.org/officeDocument/2006/relationships/table" Target="../tables/table8.xml"/><Relationship Id="rId5" Type="http://schemas.openxmlformats.org/officeDocument/2006/relationships/table" Target="../tables/table7.xml"/><Relationship Id="rId10" Type="http://schemas.openxmlformats.org/officeDocument/2006/relationships/table" Target="../tables/table12.xml"/><Relationship Id="rId4" Type="http://schemas.openxmlformats.org/officeDocument/2006/relationships/table" Target="../tables/table6.xml"/><Relationship Id="rId9" Type="http://schemas.openxmlformats.org/officeDocument/2006/relationships/table" Target="../tables/table11.xml"/></Relationships>
</file>

<file path=xl/worksheets/_rels/sheet5.xml.rels><?xml version="1.0" encoding="UTF-8" standalone="yes"?>
<Relationships xmlns="http://schemas.openxmlformats.org/package/2006/relationships"><Relationship Id="rId8" Type="http://schemas.openxmlformats.org/officeDocument/2006/relationships/table" Target="../tables/table18.xml"/><Relationship Id="rId3" Type="http://schemas.openxmlformats.org/officeDocument/2006/relationships/table" Target="../tables/table13.xml"/><Relationship Id="rId7" Type="http://schemas.openxmlformats.org/officeDocument/2006/relationships/table" Target="../tables/table17.xml"/><Relationship Id="rId2" Type="http://schemas.openxmlformats.org/officeDocument/2006/relationships/drawing" Target="../drawings/drawing5.xml"/><Relationship Id="rId1" Type="http://schemas.openxmlformats.org/officeDocument/2006/relationships/pivotTable" Target="../pivotTables/pivotTable4.xml"/><Relationship Id="rId6" Type="http://schemas.openxmlformats.org/officeDocument/2006/relationships/table" Target="../tables/table16.xml"/><Relationship Id="rId5" Type="http://schemas.openxmlformats.org/officeDocument/2006/relationships/table" Target="../tables/table15.xml"/><Relationship Id="rId10" Type="http://schemas.openxmlformats.org/officeDocument/2006/relationships/table" Target="../tables/table20.xml"/><Relationship Id="rId4" Type="http://schemas.openxmlformats.org/officeDocument/2006/relationships/table" Target="../tables/table14.xml"/><Relationship Id="rId9" Type="http://schemas.openxmlformats.org/officeDocument/2006/relationships/table" Target="../tables/table19.xml"/></Relationships>
</file>

<file path=xl/worksheets/_rels/sheet6.xml.rels><?xml version="1.0" encoding="UTF-8" standalone="yes"?>
<Relationships xmlns="http://schemas.openxmlformats.org/package/2006/relationships"><Relationship Id="rId8" Type="http://schemas.openxmlformats.org/officeDocument/2006/relationships/table" Target="../tables/table26.xml"/><Relationship Id="rId3" Type="http://schemas.openxmlformats.org/officeDocument/2006/relationships/table" Target="../tables/table21.xml"/><Relationship Id="rId7" Type="http://schemas.openxmlformats.org/officeDocument/2006/relationships/table" Target="../tables/table25.xml"/><Relationship Id="rId2" Type="http://schemas.openxmlformats.org/officeDocument/2006/relationships/drawing" Target="../drawings/drawing6.xml"/><Relationship Id="rId1" Type="http://schemas.openxmlformats.org/officeDocument/2006/relationships/pivotTable" Target="../pivotTables/pivotTable5.xml"/><Relationship Id="rId6" Type="http://schemas.openxmlformats.org/officeDocument/2006/relationships/table" Target="../tables/table24.xml"/><Relationship Id="rId5" Type="http://schemas.openxmlformats.org/officeDocument/2006/relationships/table" Target="../tables/table23.xml"/><Relationship Id="rId10" Type="http://schemas.openxmlformats.org/officeDocument/2006/relationships/table" Target="../tables/table28.xml"/><Relationship Id="rId4" Type="http://schemas.openxmlformats.org/officeDocument/2006/relationships/table" Target="../tables/table22.xml"/><Relationship Id="rId9" Type="http://schemas.openxmlformats.org/officeDocument/2006/relationships/table" Target="../tables/table27.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4.xml"/><Relationship Id="rId3" Type="http://schemas.openxmlformats.org/officeDocument/2006/relationships/table" Target="../tables/table29.xml"/><Relationship Id="rId7" Type="http://schemas.openxmlformats.org/officeDocument/2006/relationships/table" Target="../tables/table33.xml"/><Relationship Id="rId2" Type="http://schemas.openxmlformats.org/officeDocument/2006/relationships/drawing" Target="../drawings/drawing7.xml"/><Relationship Id="rId1" Type="http://schemas.openxmlformats.org/officeDocument/2006/relationships/pivotTable" Target="../pivotTables/pivotTable6.xml"/><Relationship Id="rId6" Type="http://schemas.openxmlformats.org/officeDocument/2006/relationships/table" Target="../tables/table32.xml"/><Relationship Id="rId5" Type="http://schemas.openxmlformats.org/officeDocument/2006/relationships/table" Target="../tables/table31.xml"/><Relationship Id="rId10" Type="http://schemas.openxmlformats.org/officeDocument/2006/relationships/table" Target="../tables/table36.xml"/><Relationship Id="rId4" Type="http://schemas.openxmlformats.org/officeDocument/2006/relationships/table" Target="../tables/table30.xml"/><Relationship Id="rId9" Type="http://schemas.openxmlformats.org/officeDocument/2006/relationships/table" Target="../tables/table35.xml"/></Relationships>
</file>

<file path=xl/worksheets/_rels/sheet8.xml.rels><?xml version="1.0" encoding="UTF-8" standalone="yes"?>
<Relationships xmlns="http://schemas.openxmlformats.org/package/2006/relationships"><Relationship Id="rId8" Type="http://schemas.openxmlformats.org/officeDocument/2006/relationships/table" Target="../tables/table42.xml"/><Relationship Id="rId3" Type="http://schemas.openxmlformats.org/officeDocument/2006/relationships/table" Target="../tables/table37.xml"/><Relationship Id="rId7" Type="http://schemas.openxmlformats.org/officeDocument/2006/relationships/table" Target="../tables/table41.xml"/><Relationship Id="rId2" Type="http://schemas.openxmlformats.org/officeDocument/2006/relationships/drawing" Target="../drawings/drawing8.xml"/><Relationship Id="rId1" Type="http://schemas.openxmlformats.org/officeDocument/2006/relationships/pivotTable" Target="../pivotTables/pivotTable7.xml"/><Relationship Id="rId6" Type="http://schemas.openxmlformats.org/officeDocument/2006/relationships/table" Target="../tables/table40.xml"/><Relationship Id="rId5" Type="http://schemas.openxmlformats.org/officeDocument/2006/relationships/table" Target="../tables/table39.xml"/><Relationship Id="rId10" Type="http://schemas.openxmlformats.org/officeDocument/2006/relationships/table" Target="../tables/table44.xml"/><Relationship Id="rId4" Type="http://schemas.openxmlformats.org/officeDocument/2006/relationships/table" Target="../tables/table38.xml"/><Relationship Id="rId9" Type="http://schemas.openxmlformats.org/officeDocument/2006/relationships/table" Target="../tables/table43.xml"/></Relationships>
</file>

<file path=xl/worksheets/_rels/sheet9.xml.rels><?xml version="1.0" encoding="UTF-8" standalone="yes"?>
<Relationships xmlns="http://schemas.openxmlformats.org/package/2006/relationships"><Relationship Id="rId8" Type="http://schemas.openxmlformats.org/officeDocument/2006/relationships/table" Target="../tables/table50.xml"/><Relationship Id="rId3" Type="http://schemas.openxmlformats.org/officeDocument/2006/relationships/table" Target="../tables/table45.xml"/><Relationship Id="rId7" Type="http://schemas.openxmlformats.org/officeDocument/2006/relationships/table" Target="../tables/table49.xml"/><Relationship Id="rId2" Type="http://schemas.openxmlformats.org/officeDocument/2006/relationships/drawing" Target="../drawings/drawing9.xml"/><Relationship Id="rId1" Type="http://schemas.openxmlformats.org/officeDocument/2006/relationships/pivotTable" Target="../pivotTables/pivotTable8.xml"/><Relationship Id="rId6" Type="http://schemas.openxmlformats.org/officeDocument/2006/relationships/table" Target="../tables/table48.xml"/><Relationship Id="rId5" Type="http://schemas.openxmlformats.org/officeDocument/2006/relationships/table" Target="../tables/table47.xml"/><Relationship Id="rId10" Type="http://schemas.openxmlformats.org/officeDocument/2006/relationships/table" Target="../tables/table52.xml"/><Relationship Id="rId4" Type="http://schemas.openxmlformats.org/officeDocument/2006/relationships/table" Target="../tables/table46.xml"/><Relationship Id="rId9" Type="http://schemas.openxmlformats.org/officeDocument/2006/relationships/table" Target="../tables/table5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3.xml"/></Relationships>
</file>

<file path=xl/worksheets/_rels/sheet1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54.xml"/><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5.xml"/></Relationships>
</file>

<file path=xl/worksheets/_rels/sheet15.xml.rels><?xml version="1.0" encoding="UTF-8" standalone="yes"?>
<Relationships xmlns="http://schemas.openxmlformats.org/package/2006/relationships"><Relationship Id="rId26" Type="http://schemas.openxmlformats.org/officeDocument/2006/relationships/hyperlink" Target="https://reasongroup.sharepoint.com/sites/RGSales/Shared%20Documents/Forms/Open%20Opps%20View.aspx?RootFolder=/sites%2FRGSales%2FShared%20Documents%2FGeneral%2F1%2EOpen%20Opportunities%2FDAFXXX%20TRACE%20ServiceNow&amp;View=%7B4A0CDA32%2D2AB6%2D495C%2DB3DE%2DF2940D8" TargetMode="External"/><Relationship Id="rId21" Type="http://schemas.openxmlformats.org/officeDocument/2006/relationships/hyperlink" Target="https://reasongroup.sharepoint.com/sites/RGSales/Shared%20Documents/Forms/Open%20Opps%20View.aspx?RootFolder=/sites%2FRGSales%2FShared%20Documents%2FGeneral%2F1%2EOpen%20Opportunities%2FDAFXXX%20STEPS%20Benefits%20Surge%20Work%20%2D%204%20weeks&amp;View=%7B4A0CDA32" TargetMode="External"/><Relationship Id="rId42" Type="http://schemas.openxmlformats.org/officeDocument/2006/relationships/hyperlink" Target="https://reasongroup.sharepoint.com/sites/RGSales/Shared%20Documents/Forms/Open%20Opps%20View.aspx?RootFolder=/sites%2FRGSales%2FShared%20Documents%2FGeneral%2F1%2EOpen%20Opportunities%2FINDXXX%20IRM%20%20Licensing&amp;View=%7B4A0CDA32%2D2AB6%2D495C%2DB3DE%2DF2940D8" TargetMode="External"/><Relationship Id="rId47"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amp;View=%7B4A0CDA32%25" TargetMode="External"/><Relationship Id="rId63"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amp;View" TargetMode="External"/><Relationship Id="rId68" Type="http://schemas.openxmlformats.org/officeDocument/2006/relationships/hyperlink" Target="https://reasongroup.sharepoint.com/sites/RGSales/Shared%20Documents/Forms/Open%20Opps%20View.aspx?RootFolder=/sites%2FRGSales%2FShared%20Documents%2FGeneral%2F1%2EOpen%20Opportunities%2FTECXXX%20DEWR%20DE%20RFQ%20ERP%20202510&amp;View=%7B4A0CDA32%2D2AB6%2D495C%2DB3" TargetMode="External"/><Relationship Id="rId84" Type="http://schemas.openxmlformats.org/officeDocument/2006/relationships/hyperlink" Target="https://reasongroup.sharepoint.com/sites/RGSales/Shared%20Documents/Forms/Open%20Opps%20View.aspx?RootFolder=/sites%2FRGSales%2FShared%20Documents%2FGeneral%2F1%2EOpen%20Opportunities%2FVICXXX%20DJSIR%20Opp%201%20Technical%20T%26M&amp;View=%7B4A0CDA32%2D2AB6%2D495C" TargetMode="External"/><Relationship Id="rId89" Type="http://schemas.openxmlformats.org/officeDocument/2006/relationships/hyperlink" Target="https://reasongroup.sharepoint.com/sites/RGSales/Shared%20Documents/Forms/Open%20Opps%20View.aspx?RootFolder=/sites%2FRGSales%2FShared%20Documents%2FGeneral%2F1%2EOpen%20Opportunities%2FVICXXX%20RFQ%20DFFH%20EEC%20Replacement&amp;View=%7B4A0CDA32%2D2AB6%2D495C%2DB3" TargetMode="External"/><Relationship Id="rId16" Type="http://schemas.openxmlformats.org/officeDocument/2006/relationships/hyperlink" Target="https://reasongroup.sharepoint.com/sites/RGSales/Shared%20Documents/Forms/Open%20Opps%20View.aspx?RootFolder=/sites%2FRGSales%2FShared%20Documents%2FGeneral%2F1%2EOpen%20Opportunities%2FDAFXXX%20DSSS%20Resource%20Support&amp;View=%7B4A0CDA32%2D2AB6%2D495C%2DB3DE%2D" TargetMode="External"/><Relationship Id="rId11" Type="http://schemas.openxmlformats.org/officeDocument/2006/relationships/hyperlink" Target="https://reasongroup.sharepoint.com/sites/RGSales/Shared%20Documents/Forms/Open%20Opps%20View.aspx?RootFolder=/sites%2FRGSales%2FShared%20Documents%2FGeneral%2F1%2EOpen%20Opportunities%2FATOXXX%20%2D%20Help%20with%202030%20Tax%20IT%20Strategy&amp;View=%7B4A0CDA32%2D" TargetMode="External"/><Relationship Id="rId32" Type="http://schemas.openxmlformats.org/officeDocument/2006/relationships/hyperlink" Target="https://reasongroup.sharepoint.com/sites/RGSales/Shared%20Documents/Forms/Open%20Opps%20View.aspx?RootFolder=/sites%2FRGSales%2FShared%20Documents%2FGeneral%2F1%2EOpen%20Opportunities%2FDODXXX%20RFQ%20Workforce%20Prioritisation%20Workshops%20202512&amp;View=%7B4A0C" TargetMode="External"/><Relationship Id="rId37"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amp;View=%7B4A0CDA32%2D2AB6%2D495C%252" TargetMode="External"/><Relationship Id="rId53"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amp;View=%7B4A0CDA32" TargetMode="External"/><Relationship Id="rId58"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amp;View=%7B4A0CDA32%2D2AB6%2D495" TargetMode="External"/><Relationship Id="rId74" Type="http://schemas.openxmlformats.org/officeDocument/2006/relationships/hyperlink" Target="https://reasongroup.sharepoint.com/sites/RGSales/Shared%20Documents/Forms/Open%20Opps%20View.aspx?RootFolder=/sites%2FRGSales%2FShared%20Documents%2FGeneral%2F1%2EOpen%20Opportunities%2FVAT%201%20DAFF%20%2D%20RFI%2C%20FYI%2C%20Ideas&amp;View=%7B4A0CDA32%2D2AB6%2D49" TargetMode="External"/><Relationship Id="rId7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amp;View=%7B4A0CDA32%2D2AB6%25" TargetMode="External"/><Relationship Id="rId102" Type="http://schemas.openxmlformats.org/officeDocument/2006/relationships/hyperlink" Target="https://planner.cloud.microsoft/webui/v1/plan/QPKQTCe4H0y_0R4P2QT8jMgACKi1/view/board/task/ijUHqUyLckKjLIG_EYa378gAAwT6?tid=1d2442c2-bedd-4c24-957c-cb3e90333ab3" TargetMode="External"/><Relationship Id="rId5"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amp;" TargetMode="External"/><Relationship Id="rId90" Type="http://schemas.openxmlformats.org/officeDocument/2006/relationships/hyperlink" Target="https://reasongroup.sharepoint.com/sites/RGSales/Shared%20Documents/Forms/Open%20Opps%20View.aspx?RootFolder=/sites%2FRGSales%2FShared%20Documents%2FGeneral%2F1%2EOpen%20Opportunities%2FVICXXX%20RFQ%20DJSIR%20Online%20Monitoring%20Ticket%20Scalping%20202602&amp;Vie" TargetMode="External"/><Relationship Id="rId95" Type="http://schemas.openxmlformats.org/officeDocument/2006/relationships/hyperlink" Target="https://planner.cloud.microsoft/webui/v1/plan/QPKQTCe4H0y_0R4P2QT8jMgACKi1/view/board/task/SzerIahsckyhJ-pKavslx8gAPePi?tid=1d2442c2-bedd-4c24-957c-cb3e90333ab3" TargetMode="External"/><Relationship Id="rId22" Type="http://schemas.openxmlformats.org/officeDocument/2006/relationships/hyperlink" Target="https://reasongroup.sharepoint.com/sites/RGSales/Shared%20Documents/Forms/Open%20Opps%20View.aspx?RootFolder=/sites%2FRGSales%2FShared%20Documents%2FGeneral%2F1%2EOpen%20Opportunities%2FDAFXXX%20STEPS%20Digital%20Sustainment%20Model&amp;View=%7B4A0CDA32%2D2AB6%2D49" TargetMode="External"/><Relationship Id="rId27" Type="http://schemas.openxmlformats.org/officeDocument/2006/relationships/hyperlink" Target="https://reasongroup.sharepoint.com/sites/RGSales/Shared%20Documents/Forms/Open%20Opps%20View.aspx?RootFolder=/sites%2FRGSales%2FShared%20Documents%2FGeneral%2F1%2EOpen%20Opportunities%2FDAFXXX%20Trade%20and%20Imports%20Comeback&amp;View=%7B4A0CDA32%2D2AB6%2D495C%2D" TargetMode="External"/><Relationship Id="rId43"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amp;View=%7B4A0CDA32%2D2AB" TargetMode="External"/><Relationship Id="rId48"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amp;View=%7B4A0CDA32%252" TargetMode="External"/><Relationship Id="rId64"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 TargetMode="External"/><Relationship Id="rId69" Type="http://schemas.openxmlformats.org/officeDocument/2006/relationships/hyperlink" Target="https://reasongroup.sharepoint.com/sites/RGSales/Shared%20Documents/Forms/Open%20Opps%20View.aspx?RootFolder=/sites%2FRGSales%2FShared%20Documents%2FGeneral%2F1%2EOpen%20Opportunities%2FTECXXX%20DOF%20ERP%20TechOne%20PLACEHOLDER&amp;View=%7B4A0CDA32%2D2AB6%2D495C%252" TargetMode="External"/><Relationship Id="rId80"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amp;View=%7B4A0CDA32%2D" TargetMode="External"/><Relationship Id="rId85"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amp;View=%7B4A0CDA32%2D2" TargetMode="External"/><Relationship Id="rId12"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amp;Vi" TargetMode="External"/><Relationship Id="rId17" Type="http://schemas.openxmlformats.org/officeDocument/2006/relationships/hyperlink" Target="https://reasongroup.sharepoint.com/sites/RGSales/Shared%20Documents/Forms/Open%20Opps%20View.aspx?RootFolder=/sites%2FRGSales%2FShared%20Documents%2FGeneral%2F1%2EOpen%20Opportunities%2FDAFXXX%20Executive%20AI%20Enablement%20Sessions&amp;View=%7B4A0CDA32%2D2AB6%2D4" TargetMode="External"/><Relationship Id="rId25" Type="http://schemas.openxmlformats.org/officeDocument/2006/relationships/hyperlink" Target="https://reasongroup.sharepoint.com/sites/RGSales/Shared%20Documents/Forms/Open%20Opps%20View.aspx?RootFolder=/sites%2FRGSales%2FShared%20Documents%2FGeneral%2F1%2EOpen%20Opportunities%2FDAFXXX%20Stocktake%20and%20Report%20on%20Opps%20for%20AI%20Adoption&amp;View=%257" TargetMode="External"/><Relationship Id="rId33"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amp;View" TargetMode="External"/><Relationship Id="rId38"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amp;View=%7B4A0CDA32%25" TargetMode="External"/><Relationship Id="rId46" Type="http://schemas.openxmlformats.org/officeDocument/2006/relationships/hyperlink" Target="https://reasongroup.sharepoint.com/sites/RGSales/Shared%20Documents/Forms/Open%20Opps%20View.aspx?RootFolder=/sites%2FRGSales%2FShared%20Documents%2FGeneral%2F1%2EOpen%20Opportunities%2FPACTXXX%20SAP%20Enhancement&amp;View=%7B4A0CDA32%2D2AB6%2D495C%2DB3DE%2DF2940D8" TargetMode="External"/><Relationship Id="rId59"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amp;View=%7B4A0CDA32" TargetMode="External"/><Relationship Id="rId67" Type="http://schemas.openxmlformats.org/officeDocument/2006/relationships/hyperlink" Target="https://reasongroup.sharepoint.com/sites/RGSales/Shared%20Documents/Forms/Open%20Opps%20View.aspx?RootFolder=/sites%2FRGSales%2FShared%20Documents%2FGeneral%2F1%2EOpen%20Opportunities%2FTECXXX%20ANAO%20ERP%20TechOne%20PLACEHOLDER&amp;View=%7B4A0CDA32%2D2AB6%2D495C%25" TargetMode="External"/><Relationship Id="rId103" Type="http://schemas.openxmlformats.org/officeDocument/2006/relationships/hyperlink" Target="https://tasks.office.com/reason.com.au/Home/Task/nj6NrSYZQEydPo_fIVCr3MgAIRET?Type=TaskLink&amp;Channel=Link&amp;CreatedTime=638580674816090000" TargetMode="External"/><Relationship Id="rId20" Type="http://schemas.openxmlformats.org/officeDocument/2006/relationships/hyperlink" Target="https://reasongroup.sharepoint.com/sites/RGSales/Shared%20Documents/Forms/Open%20Opps%20View.aspx?RootFolder=/sites%2FRGSales%2FShared%20Documents%2FGeneral%2F1%2EOpen%20Opportunities%2FDAFXXX%20STEPS%20ATM&amp;View=%7B4A0CDA32%2D2AB6%2D495C%2DB3DE%2DF2940D85B444%257" TargetMode="External"/><Relationship Id="rId41" Type="http://schemas.openxmlformats.org/officeDocument/2006/relationships/hyperlink" Target="https://reasongroup.sharepoint.com/sites/RGSales/Shared%20Documents/Forms/Open%20Opps%20View.aspx?RootFolder=/sites%2FRGSales%2FShared%20Documents%2FGeneral%2F1%2EOpen%20Opportunities%2FIND004%2D01%20Portfolio%20Management%20%2D%20IRM%20Implementation%20Extensi" TargetMode="External"/><Relationship Id="rId54"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amp;View=%7B4A0CDA32%2D2AB6" TargetMode="External"/><Relationship Id="rId62" Type="http://schemas.openxmlformats.org/officeDocument/2006/relationships/hyperlink" Target="https://reasongroup.sharepoint.com/sites/RGSales/Shared%20Documents/Forms/Open%20Opps%20View.aspx?RootFolder=/sites%2FRGSales%2FShared%20Documents%2FGeneral%2F1%2EOpen%20Opportunities%2FSAUXXX%20Process%20Direct%20Support&amp;View=%7B4A0CDA32%2D2AB6%2D495C%2DB3DE%252" TargetMode="External"/><Relationship Id="rId70"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5" TargetMode="External"/><Relationship Id="rId75" Type="http://schemas.openxmlformats.org/officeDocument/2006/relationships/hyperlink" Target="https://reasongroup.sharepoint.com/sites/RGSales/Shared%20Documents/Forms/Open%20Opps%20View.aspx?RootFolder=/sites%2FRGSales%2FShared%20Documents%2FGeneral%2F1%2EOpen%20Opportunities%2FVAT%202%20SAU%20%2D%20RFI%2C%20FYI%2C%20Ideas&amp;View=%7B4A0CDA32%2D2AB6%2D495" TargetMode="External"/><Relationship Id="rId83"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amp;View=%7B4A0CDA32%2D2A" TargetMode="External"/><Relationship Id="rId88"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amp;Vie" TargetMode="External"/><Relationship Id="rId91"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amp;Vi" TargetMode="External"/><Relationship Id="rId96" Type="http://schemas.openxmlformats.org/officeDocument/2006/relationships/hyperlink" Target="https://planner.cloud.microsoft/webui/v1/plan/QPKQTCe4H0y_0R4P2QT8jMgACKi1/view/board/task/pwo9RuTmOkCi7nUrNzLE08gAATX_?tid=1d2442c2-bedd-4c24-957c-cb3e90333ab3" TargetMode="External"/><Relationship Id="rId1" Type="http://schemas.openxmlformats.org/officeDocument/2006/relationships/hyperlink" Target="https://reasongroup.sharepoint.com/sites/RGSales/Shared%20Documents/General/1.Open%20Opportunities/ZZZ%20-%20TEMPLATE%20NEW%20OPEN%20OPPS%20-%20COPY%20THIS%20FOLDER/02.%20Response/Open%20Job%20Plan%20Template%20in%20Excel%20Desktop%20Application%20directl" TargetMode="External"/><Relationship Id="rId6" Type="http://schemas.openxmlformats.org/officeDocument/2006/relationships/hyperlink" Target="https://reasongroup.sharepoint.com/sites/RGSales/Shared%20Documents/Forms/Open%20Opps%20View.aspx?RootFolder=/sites%2FRGSales%2FShared%20Documents%2FGeneral%2F1%2EOpen%20Opportunities%2FAFPXXX%20ServiceNow%20Procurement%20opp&amp;View=%7B4A0CDA32%2D2AB6%2D495C%2DB3" TargetMode="External"/><Relationship Id="rId15" Type="http://schemas.openxmlformats.org/officeDocument/2006/relationships/hyperlink" Target="https://reasongroup.sharepoint.com/sites/RGSales/Shared%20Documents/Forms/Open%20Opps%20View.aspx?RootFolder=/sites%2FRGSales%2FShared%20Documents%2FGeneral%2F1%2EOpen%20Opportunities%2FDAFXXX%20DPMO%20PPM%20TOOL%20RFQ&amp;View=%7B4A0CDA32%2D2AB6%2D495C%2DB3DE%2DF2" TargetMode="External"/><Relationship Id="rId23" Type="http://schemas.openxmlformats.org/officeDocument/2006/relationships/hyperlink" Target="https://reasongroup.sharepoint.com/sites/RGSales/Shared%20Documents/Forms/Open%20Opps%20View.aspx?RootFolder=/sites%2FRGSales%2FShared%20Documents%2FGeneral%2F1%2EOpen%20Opportunities%2FDAFXXX%20STEPS%20Post%2DGateway%20Response&amp;View=%7B4A0CDA32%2D2AB6%2D495C%252" TargetMode="External"/><Relationship Id="rId28" Type="http://schemas.openxmlformats.org/officeDocument/2006/relationships/hyperlink" Target="https://reasongroup.sharepoint.com/sites/RGSales/Shared%20Documents/Forms/Open%20Opps%20View.aspx?RootFolder=/sites%2FRGSales%2FShared%20Documents%2FGeneral%2F1%2EOpen%20Opportunities%2FDHAXXX%20LH%2D04367%20Two%20Senior%20Pega%20Analyst%20202508&amp;View=%7B4A0CDA" TargetMode="External"/><Relationship Id="rId36" Type="http://schemas.openxmlformats.org/officeDocument/2006/relationships/hyperlink" Target="https://reasongroup.sharepoint.com/sites/RGSales/Shared%20Documents/Forms/Open%20Opps%20View.aspx?RootFolder=/sites%2FRGSales%2FShared%20Documents%2FGeneral%2F1%2EOpen%20Opportunities%2FDTAXXX%20RFQ%20ERP%20202602&amp;View=%7B4A0CDA32%2D2AB6%2D495C%2DB3DE%2DF2940D8" TargetMode="External"/><Relationship Id="rId49"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 TargetMode="External"/><Relationship Id="rId57"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amp;View=%7B4A0CDA32" TargetMode="External"/><Relationship Id="rId10" Type="http://schemas.openxmlformats.org/officeDocument/2006/relationships/hyperlink" Target="https://reasongroup.sharepoint.com/sites/RGSales/Shared%20Documents/Forms/Open%20Opps%20View.aspx?RootFolder=/sites%2FRGSales%2FShared%20Documents%2FGeneral%2F1%2EOpen%20Opportunities%2FAREXXX%20RFQ%20Design%20Future%20Data%20Platform%20202601&amp;View=%7B4A0CDA32%25" TargetMode="External"/><Relationship Id="rId31"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 TargetMode="External"/><Relationship Id="rId44"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amp;View=%7B4A0CD" TargetMode="External"/><Relationship Id="rId52" Type="http://schemas.openxmlformats.org/officeDocument/2006/relationships/hyperlink" Target="https://reasongroup.sharepoint.com/sites/RGSales/Shared%20Documents/Forms/Open%20Opps%20View.aspx?RootFolder=/sites%2FRGSales%2FShared%20Documents%2FGeneral%2F1%2EOpen%20Opportunities%2FPANEL%20VIC%20DJSIR%20mini%20panel&amp;View=%7B4A0CDA32%2D2AB6%2D495C%2DB3DE%2D" TargetMode="External"/><Relationship Id="rId60" Type="http://schemas.openxmlformats.org/officeDocument/2006/relationships/hyperlink" Target="https://reasongroup.sharepoint.com/sites/RGSales/Shared%20Documents/Forms/Open%20Opps%20View.aspx?RootFolder=/sites%2FRGSales%2FShared%20Documents%2FGeneral%2F1%2EOpen%20Opportunities%2FSAUXXX%20%2D%20Confluent&amp;View=%7B4A0CDA32%2D2AB6%2D495C%2DB3DE%2DF2940D85B4" TargetMode="External"/><Relationship Id="rId65" Type="http://schemas.openxmlformats.org/officeDocument/2006/relationships/hyperlink" Target="https://reasongroup.sharepoint.com/sites/RGSales/Shared%20Documents/Forms/Open%20Opps%20View.aspx?RootFolder=/sites%2FRGSales%2FShared%20Documents%2FGeneral%2F1%2EOpen%20Opportunities%2FSAUXXX%20Unsolicited%20Proposal%20%2D%20Cyber%20Business%20Case&amp;View=%7B4A0" TargetMode="External"/><Relationship Id="rId73" Type="http://schemas.openxmlformats.org/officeDocument/2006/relationships/hyperlink" Target="https://reasongroup.sharepoint.com/sites/RGSales/Shared%20Documents/Forms/Open%20Opps%20View.aspx?RootFolder=/sites%2FRGSales%2FShared%20Documents%2FGeneral%2F1%2EOpen%20Opportunities%2FTSYXXX%20ROI%20ESM%20Solution%20Replacement%20202512&amp;View=%7B4A0CDA32%2D2AB" TargetMode="External"/><Relationship Id="rId78" Type="http://schemas.openxmlformats.org/officeDocument/2006/relationships/hyperlink" Target="https://reasongroup.sharepoint.com/sites/RGSales/Shared%20Documents/Forms/Open%20Opps%20View.aspx?RootFolder=/sites%2FRGSales%2FShared%20Documents%2FGeneral%2F1%2EOpen%20Opportunities%2FVAT%205%20DISR%20%2D%20RFI%2C%20FYI%2C%20Ideas&amp;View=%7B4A0CDA32%2D2AB6%2D49" TargetMode="External"/><Relationship Id="rId81"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amp;View=%7B4A0CDA32%2D2AB" TargetMode="External"/><Relationship Id="rId86"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amp;View=%7B4A0CDA32%2D2AB6%252" TargetMode="External"/><Relationship Id="rId94"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amp;View=%7B4A0CDA32%2D2AB6%252" TargetMode="External"/><Relationship Id="rId99" Type="http://schemas.openxmlformats.org/officeDocument/2006/relationships/hyperlink" Target="https://planner.cloud.microsoft/webui/v1/plan/QPKQTCe4H0y_0R4P2QT8jMgACKi1/view/board/task/_-Ij8h3k0EabPcPGN-zsmMgABF2T?tid=1d2442c2-bedd-4c24-957c-cb3e90333ab3" TargetMode="External"/><Relationship Id="rId101" Type="http://schemas.openxmlformats.org/officeDocument/2006/relationships/hyperlink" Target="https://planner.cloud.microsoft/webui/v1/plan/QPKQTCe4H0y_0R4P2QT8jMgACKi1/view/board/task/whWsHTVj4ESu7buJZsQjYcgAGwtw?tid=1d2442c2-bedd-4c24-957c-cb3e90333ab3" TargetMode="External"/><Relationship Id="rId4" Type="http://schemas.openxmlformats.org/officeDocument/2006/relationships/hyperlink" Target="https://reasongroup.sharepoint.com/sites/RGSales/Shared%20Documents/Forms/Open%20Opps%20View.aspx?RootFolder=/sites%2FRGSales%2FShared%20Documents%2FGeneral%2F1%2EOpen%20Opportunities%2FACTXXX%20Notice%20Enterprise%20Sustainability%20Platform%20202511&amp;View=%7B4" TargetMode="External"/><Relationship Id="rId9"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amp;View=%7B4A" TargetMode="External"/><Relationship Id="rId13"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amp;View=%7B4A0CDA32%2D2AB6%2D495" TargetMode="External"/><Relationship Id="rId18"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amp;View" TargetMode="External"/><Relationship Id="rId39"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 TargetMode="External"/><Relationship Id="rId34"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amp;View=%7B4" TargetMode="External"/><Relationship Id="rId50" Type="http://schemas.openxmlformats.org/officeDocument/2006/relationships/hyperlink" Target="https://reasongroup.sharepoint.com/sites/RGSales/Shared%20Documents/Forms/Open%20Opps%20View.aspx?RootFolder=/sites%2FRGSales%2FShared%20Documents%2FGeneral%2F1%2EOpen%20Opportunities%2FPANEL%20RBA%20Consulting%20Panel%20202511&amp;View=%7B4A0CDA32%2D2AB6%2D495C%2D" TargetMode="External"/><Relationship Id="rId55"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amp;Vie" TargetMode="External"/><Relationship Id="rId7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amp;View=%7B4A0CDA32%2D2AB" TargetMode="External"/><Relationship Id="rId97" Type="http://schemas.openxmlformats.org/officeDocument/2006/relationships/hyperlink" Target="https://planner.cloud.microsoft/webui/v1/plan/QPKQTCe4H0y_0R4P2QT8jMgACKi1/view/grid/task/uHaYcJjeI02624-pqo1wXcgAEsn9?tid=1d2442c2-bedd-4c24-957c-cb3e90333ab3" TargetMode="External"/><Relationship Id="rId104" Type="http://schemas.openxmlformats.org/officeDocument/2006/relationships/table" Target="../tables/table56.xml"/><Relationship Id="rId7" Type="http://schemas.openxmlformats.org/officeDocument/2006/relationships/hyperlink" Target="https://reasongroup.sharepoint.com/sites/RGSales/Shared%20Documents/Forms/Open%20Opps%20View.aspx?RootFolder=/sites%2FRGSales%2FShared%20Documents%2FGeneral%2F1%2EOpen%20Opportunities%2FAGDXXX%20%2D%20Lobbyists%20202602&amp;View=%7B4A0CDA32%2D2AB6%2D495C%2DB3DE%2DF" TargetMode="External"/><Relationship Id="rId71" Type="http://schemas.openxmlformats.org/officeDocument/2006/relationships/hyperlink" Target="https://reasongroup.sharepoint.com/sites/RGSales/Shared%20Documents/Forms/Open%20Opps%20View.aspx?RootFolder=/sites%2FRGSales%2FShared%20Documents%2FGeneral%2F1%2EOpen%20Opportunities%2FTECXXX%20NIAA%20ERP%20TechOne%20PLACEHOLDER&amp;View=%7B4A0CDA32%2D2AB6%2D495C%25" TargetMode="External"/><Relationship Id="rId92" Type="http://schemas.openxmlformats.org/officeDocument/2006/relationships/hyperlink" Target="https://reasongroup.sharepoint.com/sites/RGSales/Shared%20Documents/Forms/Open%20Opps%20View.aspx?RootFolder=/sites%2FRGSales%2FShared%20Documents%2FGeneral%2F1%2EOpen%20Opportunities%2FVICXXX%20ServiceNow%20assessment&amp;View=%7B4A0CDA32%2D2AB6%2D495C%2DB3DE%2DF2" TargetMode="External"/><Relationship Id="rId2"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amp;View=%7B4A0CDA32%2D2AB6%2D49" TargetMode="External"/><Relationship Id="rId29" Type="http://schemas.openxmlformats.org/officeDocument/2006/relationships/hyperlink" Target="https://reasongroup.sharepoint.com/sites/RGSales/Shared%20Documents/Forms/Open%20Opps%20View.aspx?RootFolder=/sites%2FRGSales%2FShared%20Documents%2FGeneral%2F1%2EOpen%20Opportunities%2FDHAXXX%20LH%2D04634%20One%20Senior%20Pega%20Developer%20202509&amp;View=%7B4A0C" TargetMode="External"/><Relationship Id="rId24" Type="http://schemas.openxmlformats.org/officeDocument/2006/relationships/hyperlink" Target="https://reasongroup.sharepoint.com/sites/RGSales/Shared%20Documents/Forms/Open%20Opps%20View.aspx?RootFolder=/sites%2FRGSales%2FShared%20Documents%2FGeneral%2F1%2EOpen%20Opportunities%2FDAFXXX%20STEPS%20Training%20Development%20Support%20%28Surge%29&amp;View=%7B4A0" TargetMode="External"/><Relationship Id="rId40" Type="http://schemas.openxmlformats.org/officeDocument/2006/relationships/hyperlink" Target="https://reasongroup.sharepoint.com/sites/RGSales/Shared%20Documents/Forms/Open%20Opps%20View.aspx?RootFolder=/sites%2FRGSales%2FShared%20Documents%2FGeneral%2F1%2EOpen%20Opportunities%2FFWOXXX%20ERP%20collaboration%20with%20T1&amp;View=%7B4A0CDA32%2D2AB6%2D495C%2DB" TargetMode="External"/><Relationship Id="rId45" Type="http://schemas.openxmlformats.org/officeDocument/2006/relationships/hyperlink" Target="https://reasongroup.sharepoint.com/sites/RGSales/Shared%20Documents/Forms/Open%20Opps%20View.aspx?RootFolder=/sites%2FRGSales%2FShared%20Documents%2FGeneral%2F1%2EOpen%20Opportunities%2FNSWXXX%20Dept%2E%20of%20Transport%20Engagement%20Strategy&amp;View=%7B4A0CDA32%25" TargetMode="External"/><Relationship Id="rId66"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amp;View=%25" TargetMode="External"/><Relationship Id="rId87" Type="http://schemas.openxmlformats.org/officeDocument/2006/relationships/hyperlink" Target="https://reasongroup.sharepoint.com/sites/RGSales/Shared%20Documents/Forms/Open%20Opps%20View.aspx?RootFolder=/sites%2FRGSales%2FShared%20Documents%2FGeneral%2F1%2EOpen%20Opportunities%2FVICXXX%20EMV%20Portal%20App&amp;View=%7B4A0CDA32%2D2AB6%2D495C%2DB3DE%2DF2940D8" TargetMode="External"/><Relationship Id="rId61" Type="http://schemas.openxmlformats.org/officeDocument/2006/relationships/hyperlink" Target="https://reasongroup.sharepoint.com/sites/RGSales/Shared%20Documents/Forms/Open%20Opps%20View.aspx?RootFolder=/sites%2FRGSales%2FShared%20Documents%2FGeneral%2F1%2EOpen%20Opportunities%2FSAUXXX%20BRE%20POC%20and%20Support&amp;View=%7B4A0CDA32%2D2AB6%2D495C%2DB3DE%2D" TargetMode="External"/><Relationship Id="rId82" Type="http://schemas.openxmlformats.org/officeDocument/2006/relationships/hyperlink" Target="https://reasongroup.sharepoint.com/sites/RGSales/Shared%20Documents/Forms/Open%20Opps%20View.aspx?RootFolder=/sites%2FRGSales%2FShared%20Documents%2FGeneral%2F1%2EOpen%20Opportunities%2FVICXXX%20DEECA%20Strategy%20202602&amp;View=%7B4A0CDA32%2D2AB6%2D495C%2DB3DE%2D" TargetMode="External"/><Relationship Id="rId19" Type="http://schemas.openxmlformats.org/officeDocument/2006/relationships/hyperlink" Target="https://reasongroup.sharepoint.com/sites/RGSales/Shared%20Documents/Forms/Open%20Opps%20View.aspx?RootFolder=/sites%2FRGSales%2FShared%20Documents%2FGeneral%2F1%2EOpen%20Opportunities%2FDAFXXX%20STEPS%20API%20Delivery&amp;View=%7B4A0CDA32%2D2AB6%2D495C%2DB3DE%2DF29" TargetMode="External"/><Relationship Id="rId14" Type="http://schemas.openxmlformats.org/officeDocument/2006/relationships/hyperlink" Target="https://reasongroup.sharepoint.com/sites/RGSales/Shared%20Documents/Forms/Open%20Opps%20View.aspx?RootFolder=/sites%2FRGSales%2FShared%20Documents%2FGeneral%2F1%2EOpen%20Opportunities%2FDAFXXX%20Budget%20confirmation&amp;View=%7B4A0CDA32%2D2AB6%2D495C%2DB3DE%2DF294" TargetMode="External"/><Relationship Id="rId30"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 TargetMode="External"/><Relationship Id="rId35" Type="http://schemas.openxmlformats.org/officeDocument/2006/relationships/hyperlink" Target="https://reasongroup.sharepoint.com/sites/RGSales/Shared%20Documents/Forms/Open%20Opps%20View.aspx?RootFolder=/sites%2FRGSales%2FShared%20Documents%2FGeneral%2F1%2EOpen%20Opportunities%2FDPSXXX%20RFQ%20Cyber%20Security%20Assessor%20202601&amp;View=%7B4A0CDA32%2D2AB6" TargetMode="External"/><Relationship Id="rId56" Type="http://schemas.openxmlformats.org/officeDocument/2006/relationships/hyperlink" Target="https://reasongroup.sharepoint.com/sites/RGSales/Shared%20Documents/General/1.Open%20Opportunities/Reason%20CRM%20(Master).xlsx.url" TargetMode="External"/><Relationship Id="rId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amp;View=%7B4A0CDA32%2D2AB6%2D" TargetMode="External"/><Relationship Id="rId100" Type="http://schemas.openxmlformats.org/officeDocument/2006/relationships/hyperlink" Target="https://planner.cloud.microsoft/webui/v1/plan/QPKQTCe4H0y_0R4P2QT8jMgACKi1/view/board/task/fE19psavUUari7x5GAahwcgAE9av?tid=1d2442c2-bedd-4c24-957c-cb3e90333ab3" TargetMode="External"/><Relationship Id="rId8" Type="http://schemas.openxmlformats.org/officeDocument/2006/relationships/hyperlink" Target="https://reasongroup.sharepoint.com/sites/RGSales/Shared%20Documents/Forms/Open%20Opps%20View.aspx?RootFolder=/sites%2FRGSales%2FShared%20Documents%2FGeneral%2F1%2EOpen%20Opportunities%2FAGDXXX%20%2D%20Mutual%20Assistance%20202602&amp;View=%7B4A0CDA32%2D2AB6%2D495C%25" TargetMode="External"/><Relationship Id="rId51"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amp;View=%7B4A" TargetMode="External"/><Relationship Id="rId72" Type="http://schemas.openxmlformats.org/officeDocument/2006/relationships/hyperlink" Target="https://reasongroup.sharepoint.com/sites/RGSales/Shared%20Documents/Forms/Open%20Opps%20View.aspx?RootFolder=/sites%2FRGSales%2FShared%20Documents%2FGeneral%2F1%2EOpen%20Opportunities%2FTECXXX%20NMA%20RFQ%20FMIS&amp;View=%7B4A0CDA32%2D2AB6%2D495C%2DB3DE%2DF2940D85B" TargetMode="External"/><Relationship Id="rId93" Type="http://schemas.openxmlformats.org/officeDocument/2006/relationships/hyperlink" Target="https://reasongroup.sharepoint.com/sites/RGSales/Shared%20Documents/Forms/Open%20Opps%20View.aspx?RootFolder=/sites%2FRGSales%2FShared%20Documents%2FGeneral%2F1%2EOpen%20Opportunities%2FZZZ%20%2D%20Analytics&amp;View=%7B4A0CDA32%2D2AB6%2D495C%2DB3DE%2DF2940D85B444%25" TargetMode="External"/><Relationship Id="rId98" Type="http://schemas.openxmlformats.org/officeDocument/2006/relationships/hyperlink" Target="https://tasks.office.com/reason.com.au/Home/Task/seaH7v8agkyk6ZaeDSNqEcgAPyd4?Type=TaskLink&amp;Channel=Link&amp;CreatedTime=638508244856270000" TargetMode="External"/><Relationship Id="rId3"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amp;View=%7B4A" TargetMode="External"/></Relationships>
</file>

<file path=xl/worksheets/_rels/sheet16.xml.rels><?xml version="1.0" encoding="UTF-8" standalone="yes"?>
<Relationships xmlns="http://schemas.openxmlformats.org/package/2006/relationships"><Relationship Id="rId1" Type="http://schemas.openxmlformats.org/officeDocument/2006/relationships/table" Target="../tables/table57.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2B25E-1D88-4B4F-BDB4-DD4EA487730E}">
  <sheetPr>
    <tabColor theme="5"/>
  </sheetPr>
  <dimension ref="A1:XFD62"/>
  <sheetViews>
    <sheetView tabSelected="1" zoomScaleNormal="100" workbookViewId="0">
      <selection activeCell="L35" sqref="L35"/>
    </sheetView>
  </sheetViews>
  <sheetFormatPr defaultRowHeight="15" customHeight="1" x14ac:dyDescent="0.25"/>
  <cols>
    <col min="1" max="1" width="1.28515625" style="8" customWidth="1"/>
    <col min="2" max="2" width="1.42578125" style="8" customWidth="1"/>
    <col min="3" max="3" width="12.7109375" style="8" customWidth="1"/>
    <col min="4" max="7" width="13.140625" style="8" customWidth="1"/>
    <col min="8" max="8" width="15.42578125" style="8" customWidth="1"/>
    <col min="9" max="9" width="8.5703125" style="8" customWidth="1"/>
    <col min="10" max="10" width="12.7109375" style="8" hidden="1" customWidth="1"/>
    <col min="11" max="11" width="8.42578125" style="8" hidden="1" customWidth="1"/>
    <col min="12" max="12" width="17" style="8" customWidth="1"/>
    <col min="13" max="13" width="8.5703125" style="8" customWidth="1"/>
    <col min="14" max="14" width="14" hidden="1" customWidth="1"/>
    <col min="15" max="15" width="11.140625" hidden="1" customWidth="1"/>
    <col min="16" max="16" width="14" customWidth="1"/>
    <col min="17" max="17" width="8.5703125" customWidth="1"/>
    <col min="18" max="18" width="14" customWidth="1"/>
    <col min="19" max="19" width="8.5703125" customWidth="1"/>
    <col min="20" max="20" width="14.85546875" customWidth="1"/>
    <col min="21" max="21" width="8.5703125" customWidth="1"/>
    <col min="22" max="22" width="0" hidden="1" customWidth="1"/>
    <col min="23" max="25" width="5.85546875" customWidth="1"/>
    <col min="26" max="26" width="20.5703125" customWidth="1"/>
    <col min="27" max="27" width="67.5703125" customWidth="1"/>
    <col min="28" max="28" width="9" bestFit="1" customWidth="1"/>
  </cols>
  <sheetData>
    <row r="1" spans="1:24" ht="6.75" customHeight="1" x14ac:dyDescent="0.25"/>
    <row r="2" spans="1:24" ht="26.25" x14ac:dyDescent="0.4">
      <c r="B2" s="110" t="s">
        <v>0</v>
      </c>
      <c r="E2" s="15"/>
      <c r="R2" s="216"/>
      <c r="T2" s="216"/>
    </row>
    <row r="3" spans="1:24" hidden="1" x14ac:dyDescent="0.25"/>
    <row r="4" spans="1:24" hidden="1" x14ac:dyDescent="0.25"/>
    <row r="5" spans="1:24" x14ac:dyDescent="0.25">
      <c r="B5"/>
      <c r="C5" s="33" t="s">
        <v>1</v>
      </c>
      <c r="D5" s="271" t="s">
        <v>2</v>
      </c>
      <c r="E5" s="271"/>
      <c r="F5" s="271"/>
      <c r="G5" s="271"/>
      <c r="H5" s="284" t="s">
        <v>3</v>
      </c>
      <c r="I5" s="284"/>
      <c r="J5" s="284"/>
      <c r="K5" s="284"/>
      <c r="L5" s="284"/>
      <c r="M5" s="284"/>
      <c r="N5" s="284"/>
      <c r="O5" s="284"/>
      <c r="P5" s="284"/>
      <c r="Q5" s="284"/>
      <c r="R5" s="284"/>
      <c r="S5" s="284"/>
      <c r="T5" s="284"/>
      <c r="U5" s="284"/>
    </row>
    <row r="6" spans="1:24" x14ac:dyDescent="0.25">
      <c r="B6"/>
      <c r="C6" s="154"/>
      <c r="D6" s="106" t="s">
        <v>4</v>
      </c>
      <c r="E6" s="105" t="s">
        <v>5</v>
      </c>
      <c r="F6" s="107" t="s">
        <v>6</v>
      </c>
      <c r="G6" s="108" t="s">
        <v>7</v>
      </c>
      <c r="H6" s="277" t="s">
        <v>8</v>
      </c>
      <c r="I6" s="278"/>
      <c r="J6" s="261" t="s">
        <v>3</v>
      </c>
      <c r="K6" s="261" t="s">
        <v>9</v>
      </c>
      <c r="L6" s="283" t="s">
        <v>10</v>
      </c>
      <c r="M6" s="282"/>
      <c r="N6" s="262" t="s">
        <v>3</v>
      </c>
      <c r="O6" s="263" t="s">
        <v>9</v>
      </c>
      <c r="P6" s="283" t="s">
        <v>11</v>
      </c>
      <c r="Q6" s="282"/>
      <c r="R6" s="281" t="s">
        <v>12</v>
      </c>
      <c r="S6" s="282"/>
      <c r="T6" s="283" t="s">
        <v>13</v>
      </c>
      <c r="U6" s="282"/>
    </row>
    <row r="7" spans="1:24" x14ac:dyDescent="0.25">
      <c r="B7"/>
      <c r="C7" s="154"/>
      <c r="D7" s="27">
        <f>'FY2526 VAT Financial KPIs'!E4</f>
        <v>24648402.343229931</v>
      </c>
      <c r="E7" s="27">
        <f>'FY2526 VAT Financial KPIs'!F4</f>
        <v>33946753.246753246</v>
      </c>
      <c r="F7" s="27">
        <f>'FY2526 VAT Financial KPIs'!G4</f>
        <v>42979437.229437232</v>
      </c>
      <c r="G7" s="27">
        <f>'FY2526 VAT Financial KPIs'!H4</f>
        <v>46362500</v>
      </c>
      <c r="H7" s="224">
        <f>Job_Status[[#Totals],[Actual]]</f>
        <v>14133437.015000001</v>
      </c>
      <c r="I7" s="240">
        <f>H7/E7</f>
        <v>0.41634134823635183</v>
      </c>
      <c r="J7" s="225"/>
      <c r="K7" s="225"/>
      <c r="L7" s="224">
        <f>Job_Status[[#Totals],[Forecasted Revenue]]</f>
        <v>20744603.514999997</v>
      </c>
      <c r="M7" s="240">
        <f>L7/E7</f>
        <v>0.61109241771108302</v>
      </c>
      <c r="P7" s="223">
        <f>IF(CompanyGoodToggle=TRUE,SUMIFS(OppSpreadData[FY25/26],OppSpreadData[Open Opps Phase],"5.S - Selected",OppSpreadData[OppsStatus],"Good"),0)+IF(CompanyFairToggle=TRUE,SUMIFS(OppSpreadData[FY25/26],OppSpreadData[Open Opps Phase],"5.S - Selected",OppSpreadData[OppsStatus],"Fair"),0)+IF(CompanyRiskToggle=TRUE,SUMIFS(OppSpreadData[FY25/26],OppSpreadData[Open Opps Phase],"5.S - Selected",OppSpreadData[OppsStatus],"Risk"),0)+L7</f>
        <v>20744603.514999997</v>
      </c>
      <c r="Q7" s="242">
        <f>P7/E7</f>
        <v>0.61109241771108302</v>
      </c>
      <c r="R7" s="223">
        <f>IF(CompanyGoodToggle=TRUE,SUMIFS(OppSpreadData[FY25/26],OppSpreadData[Open Opps Phase],"4.DVF - Shortlisted",OppSpreadData[OppsStatus],"Good"),0)+IF(CompanyFairToggle=TRUE,SUMIFS(OppSpreadData[FY25/26],OppSpreadData[Open Opps Phase],"4.DVF - Shortlisted",OppSpreadData[OppsStatus],"Fair"),0)+IF(CompanyRiskToggle=TRUE,SUMIFS(OppSpreadData[FY25/26],OppSpreadData[Open Opps Phase],"4.DVF - Shortlisted",OppSpreadData[OppsStatus],"Risk"),0)+P7</f>
        <v>25242353.754999995</v>
      </c>
      <c r="S7" s="242">
        <f>R7/E7</f>
        <v>0.74358668622938895</v>
      </c>
      <c r="T7" s="222">
        <f>IF(CompanyGoodToggle=TRUE,SUMIFS(OppSpreadData[FY25/26],OppSpreadData[Open Opps Phase],"3.DF - Submitted",OppSpreadData[OppsStatus],"Good"),0)+IF(CompanyFairToggle=TRUE,SUMIFS(OppSpreadData[FY25/26],OppSpreadData[Open Opps Phase],"3.DF - Submitted",OppSpreadData[OppsStatus],"Fair"),0)+IF(CompanyRiskToggle=TRUE,SUMIFS(OppSpreadData[FY25/26],OppSpreadData[Open Opps Phase],"3.DF - Submitted",OppSpreadData[OppsStatus],"Risk"),0)+R7</f>
        <v>25242353.754999995</v>
      </c>
      <c r="U7" s="243">
        <f>T7/E7</f>
        <v>0.74358668622938895</v>
      </c>
    </row>
    <row r="8" spans="1:24" x14ac:dyDescent="0.25">
      <c r="B8" s="24"/>
      <c r="C8" s="154"/>
      <c r="D8" s="272" t="s">
        <v>14</v>
      </c>
      <c r="E8" s="273"/>
      <c r="F8" s="273"/>
      <c r="G8" s="274"/>
      <c r="H8" s="279" t="s">
        <v>15</v>
      </c>
      <c r="I8" s="280"/>
      <c r="J8" s="280"/>
      <c r="K8" s="280"/>
      <c r="L8" s="280"/>
      <c r="M8" s="280"/>
      <c r="N8" s="280"/>
      <c r="O8" s="280"/>
      <c r="P8" s="280"/>
      <c r="Q8" s="280"/>
      <c r="R8" s="280"/>
      <c r="S8" s="280"/>
      <c r="T8" s="280"/>
      <c r="U8" s="280"/>
    </row>
    <row r="9" spans="1:24" s="98" customFormat="1" x14ac:dyDescent="0.25">
      <c r="A9" s="97"/>
      <c r="B9"/>
      <c r="C9" s="101" t="s">
        <v>16</v>
      </c>
      <c r="D9" s="106" t="s">
        <v>4</v>
      </c>
      <c r="E9" s="105" t="s">
        <v>5</v>
      </c>
      <c r="F9" s="107" t="s">
        <v>6</v>
      </c>
      <c r="G9" s="108" t="s">
        <v>7</v>
      </c>
      <c r="H9" s="277" t="s">
        <v>8</v>
      </c>
      <c r="I9" s="278"/>
      <c r="J9" s="261" t="s">
        <v>3</v>
      </c>
      <c r="K9" s="261" t="s">
        <v>9</v>
      </c>
      <c r="L9" s="283" t="s">
        <v>10</v>
      </c>
      <c r="M9" s="282"/>
      <c r="N9" s="262" t="s">
        <v>3</v>
      </c>
      <c r="O9" s="263" t="s">
        <v>9</v>
      </c>
      <c r="P9" s="283" t="s">
        <v>11</v>
      </c>
      <c r="Q9" s="282"/>
      <c r="R9" s="281" t="s">
        <v>12</v>
      </c>
      <c r="S9" s="282"/>
      <c r="T9" s="283" t="s">
        <v>13</v>
      </c>
      <c r="U9" s="282"/>
    </row>
    <row r="10" spans="1:24" x14ac:dyDescent="0.25">
      <c r="B10"/>
      <c r="C10" s="154" t="s">
        <v>17</v>
      </c>
      <c r="D10" s="27">
        <f>'FY2526 VAT Financial KPIs'!E7</f>
        <v>1800000</v>
      </c>
      <c r="E10" s="27">
        <f>'FY2526 VAT Financial KPIs'!F7</f>
        <v>2250000</v>
      </c>
      <c r="F10" s="27">
        <f>'FY2526 VAT Financial KPIs'!G7</f>
        <v>2700000</v>
      </c>
      <c r="G10" s="27">
        <f>'FY2526 VAT Financial KPIs'!H7</f>
        <v>3150000</v>
      </c>
      <c r="H10" s="32">
        <f>SUMIF(Job_Status[VAT],Summary!C10,Job_Status[To Date Gross Profit])</f>
        <v>799904.52250000066</v>
      </c>
      <c r="I10" s="28">
        <f>H10/E10</f>
        <v>0.35551312111111139</v>
      </c>
      <c r="J10" s="32">
        <f>SUMIF(Job_Status[VAT],Summary!C10,Job_Status[Actual])</f>
        <v>3157524.8049999997</v>
      </c>
      <c r="K10" s="28">
        <f>IFERROR(H10/J10,"")</f>
        <v>0.25333277548076166</v>
      </c>
      <c r="L10" s="27">
        <f>SUMIF(Job_Status[VAT],Summary!C10,Job_Status[GP at completion])</f>
        <v>1019174.5925000011</v>
      </c>
      <c r="M10" s="28">
        <f>L10/E10</f>
        <v>0.45296648555555602</v>
      </c>
      <c r="N10" s="27">
        <f>SUMIF(Job_Status[VAT],Summary!C10,Job_Status[Forecasted Revenue])</f>
        <v>4480245.7549999999</v>
      </c>
      <c r="O10" s="28">
        <f>L10/N10</f>
        <v>0.2274818499325828</v>
      </c>
      <c r="P10" s="29">
        <f>IF(CompanyGoodToggle=TRUE,SUMIFS(TotalGMContribution[FY25/26],TotalGMContribution[Opps Status],"Good",TotalGMContribution[Open Opps Phase],"5.S - Selected",TotalGMContribution[VAT],Summary!$C10),0)+IF(CompanyFairToggle=TRUE,SUMIFS(TotalGMContribution[FY25/26],TotalGMContribution[Opps Status],"Fair",TotalGMContribution[Open Opps Phase],"5.S - Selected",TotalGMContribution[VAT],Summary!$C10),0)+IF(CompanyRiskToggle=TRUE,SUMIFS(TotalGMContribution[FY25/26],TotalGMContribution[Opps Status],"Risk",TotalGMContribution[Open Opps Phase],"5.S - Selected",TotalGMContribution[VAT],Summary!$C10),0)+L10</f>
        <v>1019174.5925000011</v>
      </c>
      <c r="Q10" s="109">
        <f>P10/E10</f>
        <v>0.45296648555555602</v>
      </c>
      <c r="R10" s="30">
        <f>IF(CompanyGoodToggle=TRUE,SUMIFS(TotalGMContribution[FY25/26],TotalGMContribution[Opps Status],"Good",TotalGMContribution[Open Opps Phase],"4.DVF - Shortlisted",TotalGMContribution[VAT],Summary!$C10),0)+IF(CompanyFairToggle=TRUE,SUMIFS(TotalGMContribution[FY25/26],TotalGMContribution[Opps Status],"Fair",TotalGMContribution[Open Opps Phase],"4.DVF - Shortlisted",TotalGMContribution[VAT],Summary!$C10),0)+IF(CompanyRiskToggle=TRUE,SUMIFS(TotalGMContribution[FY25/26],TotalGMContribution[Opps Status],"Risk",TotalGMContribution[Open Opps Phase],"4.DVF - Shortlisted",TotalGMContribution[VAT],Summary!$C10),0)+P10</f>
        <v>1019174.5925000011</v>
      </c>
      <c r="S10" s="109">
        <f>R10/E10</f>
        <v>0.45296648555555602</v>
      </c>
      <c r="T10" s="31">
        <f>IF(CompanyGoodToggle=TRUE,SUMIFS(TotalGMContribution[FY25/26],TotalGMContribution[Opps Status],"Good",TotalGMContribution[Open Opps Phase],"3.DF - Submitted",TotalGMContribution[VAT],Summary!$C10),0)+IF(CompanyFairToggle=TRUE,SUMIFS(TotalGMContribution[FY25/26],TotalGMContribution[Opps Status],"Fair",TotalGMContribution[Open Opps Phase],"3.DF - Submitted",TotalGMContribution[VAT],Summary!$C10),0)+IF(CompanyRiskToggle=TRUE,SUMIFS(TotalGMContribution[FY25/26],TotalGMContribution[Opps Status],"Risk",TotalGMContribution[Open Opps Phase],"3.DF - Submitted",TotalGMContribution[VAT],Summary!$C10),0)+R10</f>
        <v>1019174.5925000011</v>
      </c>
      <c r="U10" s="111">
        <f>T10/E10</f>
        <v>0.45296648555555602</v>
      </c>
      <c r="X10" s="265"/>
    </row>
    <row r="11" spans="1:24" x14ac:dyDescent="0.25">
      <c r="B11"/>
      <c r="C11" s="154" t="s">
        <v>18</v>
      </c>
      <c r="D11" s="27">
        <f>'FY2526 VAT Financial KPIs'!E15</f>
        <v>900000</v>
      </c>
      <c r="E11" s="27">
        <f>'FY2526 VAT Financial KPIs'!F15</f>
        <v>1350000</v>
      </c>
      <c r="F11" s="27">
        <f>'FY2526 VAT Financial KPIs'!G15</f>
        <v>1800000</v>
      </c>
      <c r="G11" s="27">
        <f>'FY2526 VAT Financial KPIs'!H15</f>
        <v>2250000</v>
      </c>
      <c r="H11" s="32">
        <f>SUMIF(Job_Status[VAT],Summary!C11,Job_Status[To Date Gross Profit])</f>
        <v>371345.47999999736</v>
      </c>
      <c r="I11" s="28">
        <f t="shared" ref="I11:I15" si="0">H11/E11</f>
        <v>0.27507072592592396</v>
      </c>
      <c r="J11" s="32">
        <f>SUMIF(Job_Status[VAT],Summary!C11,Job_Status[Actual])</f>
        <v>2815849.9099999983</v>
      </c>
      <c r="K11" s="28">
        <f t="shared" ref="K11:K15" si="1">IFERROR(H11/J11,"")</f>
        <v>0.13187687265618414</v>
      </c>
      <c r="L11" s="27">
        <f>SUMIF(Job_Status[VAT],Summary!C11,Job_Status[GP at completion])</f>
        <v>587063.75999999722</v>
      </c>
      <c r="M11" s="28">
        <f t="shared" ref="M11:M15" si="2">L11/E11</f>
        <v>0.43486204444444237</v>
      </c>
      <c r="N11" s="27">
        <f>SUMIF(Job_Status[VAT],Summary!C11,Job_Status[Forecasted Revenue])</f>
        <v>4568637.8699999982</v>
      </c>
      <c r="O11" s="28">
        <f t="shared" ref="O11:O15" si="3">L11/N11</f>
        <v>0.12849864154367688</v>
      </c>
      <c r="P11" s="29">
        <f>IF(CompanyGoodToggle=TRUE,SUMIFS(TotalGMContribution[FY25/26],TotalGMContribution[Opps Status],"Good",TotalGMContribution[Open Opps Phase],"5.S - Selected",TotalGMContribution[VAT],Summary!$C11),0)+IF(CompanyFairToggle=TRUE,SUMIFS(TotalGMContribution[FY25/26],TotalGMContribution[Opps Status],"Fair",TotalGMContribution[Open Opps Phase],"5.S - Selected",TotalGMContribution[VAT],Summary!$C11),0)+IF(CompanyRiskToggle=TRUE,SUMIFS(TotalGMContribution[FY25/26],TotalGMContribution[Opps Status],"Risk",TotalGMContribution[Open Opps Phase],"5.S - Selected",TotalGMContribution[VAT],Summary!$C11),0)+L11</f>
        <v>587063.75999999722</v>
      </c>
      <c r="Q11" s="109">
        <f t="shared" ref="Q11:Q15" si="4">P11/E11</f>
        <v>0.43486204444444237</v>
      </c>
      <c r="R11" s="30">
        <f>IF(CompanyGoodToggle=TRUE,SUMIFS(TotalGMContribution[FY25/26],TotalGMContribution[Opps Status],"Good",TotalGMContribution[Open Opps Phase],"4.DVF - Shortlisted",TotalGMContribution[VAT],Summary!$C11),0)+IF(CompanyFairToggle=TRUE,SUMIFS(TotalGMContribution[FY25/26],TotalGMContribution[Opps Status],"Fair",TotalGMContribution[Open Opps Phase],"4.DVF - Shortlisted",TotalGMContribution[VAT],Summary!$C11),0)+IF(CompanyRiskToggle=TRUE,SUMIFS(TotalGMContribution[FY25/26],TotalGMContribution[Opps Status],"Risk",TotalGMContribution[Open Opps Phase],"4.DVF - Shortlisted",TotalGMContribution[VAT],Summary!$C11),0)+P11</f>
        <v>618169.19999999716</v>
      </c>
      <c r="S11" s="109">
        <f t="shared" ref="S11:S15" si="5">R11/E11</f>
        <v>0.45790311111110898</v>
      </c>
      <c r="T11" s="31">
        <f>IF(CompanyGoodToggle=TRUE,SUMIFS(TotalGMContribution[FY25/26],TotalGMContribution[Opps Status],"Good",TotalGMContribution[Open Opps Phase],"3.DF - Submitted",TotalGMContribution[VAT],Summary!$C11),0)+IF(CompanyFairToggle=TRUE,SUMIFS(TotalGMContribution[FY25/26],TotalGMContribution[Opps Status],"Fair",TotalGMContribution[Open Opps Phase],"3.DF - Submitted",TotalGMContribution[VAT],Summary!$C11),0)+IF(CompanyRiskToggle=TRUE,SUMIFS(TotalGMContribution[FY25/26],TotalGMContribution[Opps Status],"Risk",TotalGMContribution[Open Opps Phase],"3.DF - Submitted",TotalGMContribution[VAT],Summary!$C11),0)+R11</f>
        <v>618169.19999999716</v>
      </c>
      <c r="U11" s="111">
        <f t="shared" ref="U11:U15" si="6">T11/E11</f>
        <v>0.45790311111110898</v>
      </c>
      <c r="X11" s="265"/>
    </row>
    <row r="12" spans="1:24" x14ac:dyDescent="0.25">
      <c r="B12"/>
      <c r="C12" s="154" t="s">
        <v>19</v>
      </c>
      <c r="D12" s="27">
        <f>'FY2526 VAT Financial KPIs'!E11</f>
        <v>1800000</v>
      </c>
      <c r="E12" s="27">
        <f>'FY2526 VAT Financial KPIs'!F11</f>
        <v>2250000</v>
      </c>
      <c r="F12" s="27">
        <f>'FY2526 VAT Financial KPIs'!G11</f>
        <v>2700000</v>
      </c>
      <c r="G12" s="27">
        <f>'FY2526 VAT Financial KPIs'!H11</f>
        <v>3150000</v>
      </c>
      <c r="H12" s="32">
        <f>SUMIF(Job_Status[VAT],Summary!C12,Job_Status[To Date Gross Profit])</f>
        <v>1008147.9099999851</v>
      </c>
      <c r="I12" s="28">
        <f t="shared" si="0"/>
        <v>0.44806573777777114</v>
      </c>
      <c r="J12" s="32">
        <f>SUMIF(Job_Status[VAT],Summary!C12,Job_Status[Actual])</f>
        <v>3194123.72</v>
      </c>
      <c r="K12" s="28">
        <f t="shared" si="1"/>
        <v>0.31562581739945411</v>
      </c>
      <c r="L12" s="27">
        <f>SUMIF(Job_Status[VAT],Summary!C12,Job_Status[GP at completion])</f>
        <v>1026935.0299999852</v>
      </c>
      <c r="M12" s="28">
        <f t="shared" si="2"/>
        <v>0.45641556888888235</v>
      </c>
      <c r="N12" s="27">
        <f>SUMIF(Job_Status[VAT],Summary!C12,Job_Status[Forecasted Revenue])</f>
        <v>3253993.72</v>
      </c>
      <c r="O12" s="28">
        <f t="shared" si="3"/>
        <v>0.31559219788536813</v>
      </c>
      <c r="P12" s="29">
        <f>IF(CompanyGoodToggle=TRUE,SUMIFS(TotalGMContribution[FY25/26],TotalGMContribution[Opps Status],"Good",TotalGMContribution[Open Opps Phase],"5.S - Selected",TotalGMContribution[VAT],Summary!$C12),0)+IF(CompanyFairToggle=TRUE,SUMIFS(TotalGMContribution[FY25/26],TotalGMContribution[Opps Status],"Fair",TotalGMContribution[Open Opps Phase],"5.S - Selected",TotalGMContribution[VAT],Summary!$C12),0)+IF(CompanyRiskToggle=TRUE,SUMIFS(TotalGMContribution[FY25/26],TotalGMContribution[Opps Status],"Risk",TotalGMContribution[Open Opps Phase],"5.S - Selected",TotalGMContribution[VAT],Summary!$C12),0)+L12</f>
        <v>1026935.0299999852</v>
      </c>
      <c r="Q12" s="109">
        <f t="shared" si="4"/>
        <v>0.45641556888888235</v>
      </c>
      <c r="R12" s="30">
        <f>IF(CompanyGoodToggle=TRUE,SUMIFS(TotalGMContribution[FY25/26],TotalGMContribution[Opps Status],"Good",TotalGMContribution[Open Opps Phase],"4.DVF - Shortlisted",TotalGMContribution[VAT],Summary!$C12),0)+IF(CompanyFairToggle=TRUE,SUMIFS(TotalGMContribution[FY25/26],TotalGMContribution[Opps Status],"Fair",TotalGMContribution[Open Opps Phase],"4.DVF - Shortlisted",TotalGMContribution[VAT],Summary!$C12),0)+IF(CompanyRiskToggle=TRUE,SUMIFS(TotalGMContribution[FY25/26],TotalGMContribution[Opps Status],"Risk",TotalGMContribution[Open Opps Phase],"4.DVF - Shortlisted",TotalGMContribution[VAT],Summary!$C12),0)+P12</f>
        <v>1026935.0299999852</v>
      </c>
      <c r="S12" s="109">
        <f t="shared" si="5"/>
        <v>0.45641556888888235</v>
      </c>
      <c r="T12" s="31">
        <f>IF(CompanyGoodToggle=TRUE,SUMIFS(TotalGMContribution[FY25/26],TotalGMContribution[Opps Status],"Good",TotalGMContribution[Open Opps Phase],"3.DF - Submitted",TotalGMContribution[VAT],Summary!$C12),0)+IF(CompanyFairToggle=TRUE,SUMIFS(TotalGMContribution[FY25/26],TotalGMContribution[Opps Status],"Fair",TotalGMContribution[Open Opps Phase],"3.DF - Submitted",TotalGMContribution[VAT],Summary!$C12),0)+IF(CompanyRiskToggle=TRUE,SUMIFS(TotalGMContribution[FY25/26],TotalGMContribution[Opps Status],"Risk",TotalGMContribution[Open Opps Phase],"3.DF - Submitted",TotalGMContribution[VAT],Summary!$C12),0)+R12</f>
        <v>1026935.0299999852</v>
      </c>
      <c r="U12" s="111">
        <f t="shared" si="6"/>
        <v>0.45641556888888235</v>
      </c>
      <c r="X12" s="265"/>
    </row>
    <row r="13" spans="1:24" x14ac:dyDescent="0.25">
      <c r="B13"/>
      <c r="C13" s="154" t="s">
        <v>20</v>
      </c>
      <c r="D13" s="27">
        <f>'FY2526 VAT Financial KPIs'!E28</f>
        <v>690000</v>
      </c>
      <c r="E13" s="27">
        <f>'FY2526 VAT Financial KPIs'!F28</f>
        <v>1200000</v>
      </c>
      <c r="F13" s="27">
        <f>'FY2526 VAT Financial KPIs'!G28</f>
        <v>1500000</v>
      </c>
      <c r="G13" s="27">
        <f>'FY2526 VAT Financial KPIs'!H28</f>
        <v>2100000</v>
      </c>
      <c r="H13" s="32">
        <f>SUMIF(Job_Status[VAT],Summary!C13,Job_Status[To Date Gross Profit])</f>
        <v>480114.13000000187</v>
      </c>
      <c r="I13" s="28">
        <f t="shared" ref="I13" si="7">H13/E13</f>
        <v>0.40009510833333489</v>
      </c>
      <c r="J13" s="32">
        <f>SUMIF(Job_Status[VAT],Summary!C13,Job_Status[Actual])</f>
        <v>1728891.5300000017</v>
      </c>
      <c r="K13" s="28">
        <f t="shared" ref="K13" si="8">IFERROR(H13/J13,"")</f>
        <v>0.27770055071066341</v>
      </c>
      <c r="L13" s="27">
        <f>SUMIF(Job_Status[VAT],Summary!C13,Job_Status[GP at completion])</f>
        <v>1217245.1365249977</v>
      </c>
      <c r="M13" s="28">
        <f t="shared" ref="M13" si="9">L13/E13</f>
        <v>1.0143709471041646</v>
      </c>
      <c r="N13" s="27">
        <f>SUMIF(Job_Status[VAT],Summary!C13,Job_Status[Forecasted Revenue])</f>
        <v>4359363.49</v>
      </c>
      <c r="O13" s="28">
        <f t="shared" ref="O13" si="10">L13/N13</f>
        <v>0.27922542805096473</v>
      </c>
      <c r="P13" s="29">
        <f>IF(CompanyGoodToggle=TRUE,SUMIFS(TotalGMContribution[FY25/26],TotalGMContribution[Opps Status],"Good",TotalGMContribution[Open Opps Phase],"5.S - Selected",TotalGMContribution[VAT],Summary!$C13),0)+IF(CompanyFairToggle=TRUE,SUMIFS(TotalGMContribution[FY25/26],TotalGMContribution[Opps Status],"Fair",TotalGMContribution[Open Opps Phase],"5.S - Selected",TotalGMContribution[VAT],Summary!$C13),0)+IF(CompanyRiskToggle=TRUE,SUMIFS(TotalGMContribution[FY25/26],TotalGMContribution[Opps Status],"Risk",TotalGMContribution[Open Opps Phase],"5.S - Selected",TotalGMContribution[VAT],Summary!$C13),0)+L13</f>
        <v>1217245.1365249977</v>
      </c>
      <c r="Q13" s="109">
        <f t="shared" ref="Q13" si="11">P13/E13</f>
        <v>1.0143709471041646</v>
      </c>
      <c r="R13" s="30">
        <f>IF(CompanyGoodToggle=TRUE,SUMIFS(TotalGMContribution[FY25/26],TotalGMContribution[Opps Status],"Good",TotalGMContribution[Open Opps Phase],"4.DVF - Shortlisted",TotalGMContribution[VAT],Summary!$C13),0)+IF(CompanyFairToggle=TRUE,SUMIFS(TotalGMContribution[FY25/26],TotalGMContribution[Opps Status],"Fair",TotalGMContribution[Open Opps Phase],"4.DVF - Shortlisted",TotalGMContribution[VAT],Summary!$C13),0)+IF(CompanyRiskToggle=TRUE,SUMIFS(TotalGMContribution[FY25/26],TotalGMContribution[Opps Status],"Risk",TotalGMContribution[Open Opps Phase],"4.DVF - Shortlisted",TotalGMContribution[VAT],Summary!$C13),0)+P13</f>
        <v>1217245.1365249977</v>
      </c>
      <c r="S13" s="109">
        <f t="shared" ref="S13" si="12">R13/E13</f>
        <v>1.0143709471041646</v>
      </c>
      <c r="T13" s="31">
        <f>IF(CompanyGoodToggle=TRUE,SUMIFS(TotalGMContribution[FY25/26],TotalGMContribution[Opps Status],"Good",TotalGMContribution[Open Opps Phase],"3.DF - Submitted",TotalGMContribution[VAT],Summary!$C13),0)+IF(CompanyFairToggle=TRUE,SUMIFS(TotalGMContribution[FY25/26],TotalGMContribution[Opps Status],"Fair",TotalGMContribution[Open Opps Phase],"3.DF - Submitted",TotalGMContribution[VAT],Summary!$C13),0)+IF(CompanyRiskToggle=TRUE,SUMIFS(TotalGMContribution[FY25/26],TotalGMContribution[Opps Status],"Risk",TotalGMContribution[Open Opps Phase],"3.DF - Submitted",TotalGMContribution[VAT],Summary!$C13),0)+R13</f>
        <v>1217245.1365249977</v>
      </c>
      <c r="U13" s="111">
        <f t="shared" ref="U13" si="13">T13/E13</f>
        <v>1.0143709471041646</v>
      </c>
      <c r="X13" s="265"/>
    </row>
    <row r="14" spans="1:24" x14ac:dyDescent="0.25">
      <c r="B14"/>
      <c r="C14" s="154" t="s">
        <v>21</v>
      </c>
      <c r="D14" s="27">
        <f>'FY2526 VAT Financial KPIs'!E23</f>
        <v>540000</v>
      </c>
      <c r="E14" s="27">
        <f>'FY2526 VAT Financial KPIs'!F23</f>
        <v>880000.00000000012</v>
      </c>
      <c r="F14" s="27">
        <f>'FY2526 VAT Financial KPIs'!G23</f>
        <v>1100000</v>
      </c>
      <c r="G14" s="27">
        <f>'FY2526 VAT Financial KPIs'!H23</f>
        <v>1375000</v>
      </c>
      <c r="H14" s="32">
        <f>SUMIF(Job_Status[VAT],Summary!C14,Job_Status[To Date Gross Profit])</f>
        <v>336887.66000000032</v>
      </c>
      <c r="I14" s="28">
        <f t="shared" ref="I14" si="14">H14/E14</f>
        <v>0.38282688636363665</v>
      </c>
      <c r="J14" s="32">
        <f>SUMIF(Job_Status[VAT],Summary!C14,Job_Status[Actual])</f>
        <v>820317.05</v>
      </c>
      <c r="K14" s="28">
        <f t="shared" ref="K14" si="15">IFERROR(H14/J14,"")</f>
        <v>0.41067982190544533</v>
      </c>
      <c r="L14" s="27">
        <f>SUMIF(Job_Status[VAT],Summary!C14,Job_Status[GP at completion])</f>
        <v>341191.66000000032</v>
      </c>
      <c r="M14" s="28">
        <f t="shared" ref="M14" si="16">L14/E14</f>
        <v>0.38771779545454577</v>
      </c>
      <c r="N14" s="27">
        <f>SUMIF(Job_Status[VAT],Summary!C14,Job_Status[Forecasted Revenue])</f>
        <v>955549.05</v>
      </c>
      <c r="O14" s="28">
        <f t="shared" ref="O14" si="17">L14/N14</f>
        <v>0.35706347047281384</v>
      </c>
      <c r="P14" s="29">
        <f>IF(CompanyGoodToggle=TRUE,SUMIFS(TotalGMContribution[FY25/26],TotalGMContribution[Opps Status],"Good",TotalGMContribution[Open Opps Phase],"5.S - Selected",TotalGMContribution[VAT],Summary!$C14),0)+IF(CompanyFairToggle=TRUE,SUMIFS(TotalGMContribution[FY25/26],TotalGMContribution[Opps Status],"Fair",TotalGMContribution[Open Opps Phase],"5.S - Selected",TotalGMContribution[VAT],Summary!$C14),0)+IF(CompanyRiskToggle=TRUE,SUMIFS(TotalGMContribution[FY25/26],TotalGMContribution[Opps Status],"Risk",TotalGMContribution[Open Opps Phase],"5.S - Selected",TotalGMContribution[VAT],Summary!$C14),0)+L14</f>
        <v>341191.66000000032</v>
      </c>
      <c r="Q14" s="109">
        <f t="shared" ref="Q14" si="18">P14/E14</f>
        <v>0.38771779545454577</v>
      </c>
      <c r="R14" s="30">
        <f>IF(CompanyGoodToggle=TRUE,SUMIFS(TotalGMContribution[FY25/26],TotalGMContribution[Opps Status],"Good",TotalGMContribution[Open Opps Phase],"4.DVF - Shortlisted",TotalGMContribution[VAT],Summary!$C14),0)+IF(CompanyFairToggle=TRUE,SUMIFS(TotalGMContribution[FY25/26],TotalGMContribution[Opps Status],"Fair",TotalGMContribution[Open Opps Phase],"4.DVF - Shortlisted",TotalGMContribution[VAT],Summary!$C14),0)+IF(CompanyRiskToggle=TRUE,SUMIFS(TotalGMContribution[FY25/26],TotalGMContribution[Opps Status],"Risk",TotalGMContribution[Open Opps Phase],"4.DVF - Shortlisted",TotalGMContribution[VAT],Summary!$C14),0)+P14</f>
        <v>341191.66000000032</v>
      </c>
      <c r="S14" s="109">
        <f t="shared" ref="S14" si="19">R14/E14</f>
        <v>0.38771779545454577</v>
      </c>
      <c r="T14" s="31">
        <f>IF(CompanyGoodToggle=TRUE,SUMIFS(TotalGMContribution[FY25/26],TotalGMContribution[Opps Status],"Good",TotalGMContribution[Open Opps Phase],"3.DF - Submitted",TotalGMContribution[VAT],Summary!$C14),0)+IF(CompanyFairToggle=TRUE,SUMIFS(TotalGMContribution[FY25/26],TotalGMContribution[Opps Status],"Fair",TotalGMContribution[Open Opps Phase],"3.DF - Submitted",TotalGMContribution[VAT],Summary!$C14),0)+IF(CompanyRiskToggle=TRUE,SUMIFS(TotalGMContribution[FY25/26],TotalGMContribution[Opps Status],"Risk",TotalGMContribution[Open Opps Phase],"3.DF - Submitted",TotalGMContribution[VAT],Summary!$C14),0)+R14</f>
        <v>341191.66000000032</v>
      </c>
      <c r="U14" s="111">
        <f t="shared" ref="U14" si="20">T14/E14</f>
        <v>0.38771779545454577</v>
      </c>
      <c r="X14" s="265"/>
    </row>
    <row r="15" spans="1:24" x14ac:dyDescent="0.25">
      <c r="B15"/>
      <c r="C15" s="154" t="s">
        <v>22</v>
      </c>
      <c r="D15" s="27">
        <f>'FY2526 VAT Financial KPIs'!E19</f>
        <v>1350000</v>
      </c>
      <c r="E15" s="27">
        <f>'FY2526 VAT Financial KPIs'!F19</f>
        <v>2200000</v>
      </c>
      <c r="F15" s="27">
        <f>'FY2526 VAT Financial KPIs'!G19</f>
        <v>3300000.0000000005</v>
      </c>
      <c r="G15" s="27">
        <f>'FY2526 VAT Financial KPIs'!H19</f>
        <v>4400000</v>
      </c>
      <c r="H15" s="32">
        <f>SUMIF(Job_Status[VAT],Summary!C15,Job_Status[To Date Gross Profit])</f>
        <v>1322337.310000001</v>
      </c>
      <c r="I15" s="28">
        <f t="shared" si="0"/>
        <v>0.60106241363636403</v>
      </c>
      <c r="J15" s="32">
        <f>SUMIF(Job_Status[VAT],Summary!C15,Job_Status[Actual])</f>
        <v>2416730</v>
      </c>
      <c r="K15" s="28">
        <f t="shared" si="1"/>
        <v>0.54715971995216717</v>
      </c>
      <c r="L15" s="27">
        <f>SUMIF(Job_Status[VAT],Summary!C15,Job_Status[GP at completion])</f>
        <v>1275502.3400000005</v>
      </c>
      <c r="M15" s="28">
        <f t="shared" si="2"/>
        <v>0.5797737909090912</v>
      </c>
      <c r="N15" s="27">
        <f>SUMIF(Job_Status[VAT],Summary!C15,Job_Status[Forecasted Revenue])</f>
        <v>3126813.63</v>
      </c>
      <c r="O15" s="28">
        <f t="shared" si="3"/>
        <v>0.40792400537156431</v>
      </c>
      <c r="P15" s="29">
        <f>IF(CompanyGoodToggle=TRUE,SUMIFS(TotalGMContribution[FY25/26],TotalGMContribution[Opps Status],"Good",TotalGMContribution[Open Opps Phase],"5.S - Selected",TotalGMContribution[VAT],Summary!$C15),0)+IF(CompanyFairToggle=TRUE,SUMIFS(TotalGMContribution[FY25/26],TotalGMContribution[Opps Status],"Fair",TotalGMContribution[Open Opps Phase],"5.S - Selected",TotalGMContribution[VAT],Summary!$C15),0)+IF(CompanyRiskToggle=TRUE,SUMIFS(TotalGMContribution[FY25/26],TotalGMContribution[Opps Status],"Risk",TotalGMContribution[Open Opps Phase],"5.S - Selected",TotalGMContribution[VAT],Summary!$C15),0)+L15</f>
        <v>1275502.3400000005</v>
      </c>
      <c r="Q15" s="109">
        <f t="shared" si="4"/>
        <v>0.5797737909090912</v>
      </c>
      <c r="R15" s="30">
        <f>IF(CompanyGoodToggle=TRUE,SUMIFS(TotalGMContribution[FY25/26],TotalGMContribution[Opps Status],"Good",TotalGMContribution[Open Opps Phase],"4.DVF - Shortlisted",TotalGMContribution[VAT],Summary!$C15),0)+IF(CompanyFairToggle=TRUE,SUMIFS(TotalGMContribution[FY25/26],TotalGMContribution[Opps Status],"Fair",TotalGMContribution[Open Opps Phase],"4.DVF - Shortlisted",TotalGMContribution[VAT],Summary!$C15),0)+IF(CompanyRiskToggle=TRUE,SUMIFS(TotalGMContribution[FY25/26],TotalGMContribution[Opps Status],"Risk",TotalGMContribution[Open Opps Phase],"4.DVF - Shortlisted",TotalGMContribution[VAT],Summary!$C15),0)+P15</f>
        <v>3451376.7400000012</v>
      </c>
      <c r="S15" s="109">
        <f t="shared" si="5"/>
        <v>1.5688076090909095</v>
      </c>
      <c r="T15" s="31">
        <f>IF(CompanyGoodToggle=TRUE,SUMIFS(TotalGMContribution[FY25/26],TotalGMContribution[Opps Status],"Good",TotalGMContribution[Open Opps Phase],"3.DF - Submitted",TotalGMContribution[VAT],Summary!$C15),0)+IF(CompanyFairToggle=TRUE,SUMIFS(TotalGMContribution[FY25/26],TotalGMContribution[Opps Status],"Fair",TotalGMContribution[Open Opps Phase],"3.DF - Submitted",TotalGMContribution[VAT],Summary!$C15),0)+IF(CompanyRiskToggle=TRUE,SUMIFS(TotalGMContribution[FY25/26],TotalGMContribution[Opps Status],"Risk",TotalGMContribution[Open Opps Phase],"3.DF - Submitted",TotalGMContribution[VAT],Summary!$C15),0)+R15</f>
        <v>3451376.7400000012</v>
      </c>
      <c r="U15" s="111">
        <f t="shared" si="6"/>
        <v>1.5688076090909095</v>
      </c>
      <c r="X15" s="265"/>
    </row>
    <row r="16" spans="1:24" x14ac:dyDescent="0.25">
      <c r="B16"/>
      <c r="C16" s="33" t="s">
        <v>1</v>
      </c>
      <c r="D16" s="34">
        <f t="shared" ref="D16:F16" si="21">SUM(D10:D15)</f>
        <v>7080000</v>
      </c>
      <c r="E16" s="34">
        <f t="shared" si="21"/>
        <v>10130000</v>
      </c>
      <c r="F16" s="34">
        <f t="shared" si="21"/>
        <v>13100000</v>
      </c>
      <c r="G16" s="34">
        <f>SUM(G10:G15)</f>
        <v>16425000</v>
      </c>
      <c r="H16" s="34">
        <f t="shared" ref="H16:T16" si="22">SUM(H10:H15)</f>
        <v>4318737.0124999862</v>
      </c>
      <c r="I16" s="258">
        <f>H16/E16</f>
        <v>0.42633139313918916</v>
      </c>
      <c r="J16" s="34">
        <f t="shared" si="22"/>
        <v>14133437.015000001</v>
      </c>
      <c r="K16" s="35">
        <f>H16/J16</f>
        <v>0.3055687733929443</v>
      </c>
      <c r="L16" s="34">
        <f t="shared" si="22"/>
        <v>5467112.5190249821</v>
      </c>
      <c r="M16" s="258">
        <f>L16/E16</f>
        <v>0.53969521411895183</v>
      </c>
      <c r="N16" s="34">
        <f t="shared" si="22"/>
        <v>20744603.514999997</v>
      </c>
      <c r="O16" s="35">
        <f>L16/N16</f>
        <v>0.26354384238155359</v>
      </c>
      <c r="P16" s="34">
        <f t="shared" si="22"/>
        <v>5467112.5190249821</v>
      </c>
      <c r="Q16" s="258">
        <f>P16/E16</f>
        <v>0.53969521411895183</v>
      </c>
      <c r="R16" s="34">
        <f t="shared" si="22"/>
        <v>7674092.3590249829</v>
      </c>
      <c r="S16" s="258">
        <f>R16/E16</f>
        <v>0.75756094363524018</v>
      </c>
      <c r="T16" s="34">
        <f t="shared" si="22"/>
        <v>7674092.3590249829</v>
      </c>
      <c r="U16" s="258">
        <f>T16/E16</f>
        <v>0.75756094363524018</v>
      </c>
    </row>
    <row r="17" spans="1:28" hidden="1" x14ac:dyDescent="0.25">
      <c r="A17"/>
      <c r="B17"/>
      <c r="C17" s="33" t="s">
        <v>23</v>
      </c>
      <c r="D17" s="114">
        <f>D16/D7</f>
        <v>0.2872397123923382</v>
      </c>
      <c r="E17" s="114">
        <f>E16/E7</f>
        <v>0.29840850835915683</v>
      </c>
      <c r="F17" s="114">
        <f>F16/F7</f>
        <v>0.3047969178858308</v>
      </c>
      <c r="G17" s="114">
        <f>G16/G7</f>
        <v>0.3542733890536533</v>
      </c>
      <c r="H17" s="114">
        <f>H16/H7</f>
        <v>0.3055687733929443</v>
      </c>
      <c r="I17" s="114"/>
      <c r="J17" s="114"/>
      <c r="K17" s="114"/>
      <c r="L17" s="114">
        <f>L16/L7</f>
        <v>0.26354384238155359</v>
      </c>
      <c r="M17" s="114"/>
      <c r="N17" s="114"/>
      <c r="O17" s="114"/>
      <c r="P17" s="114">
        <f>P16/P7</f>
        <v>0.26354384238155359</v>
      </c>
      <c r="Q17" s="114"/>
      <c r="R17" s="114">
        <f>R16/R7</f>
        <v>0.30401651262433882</v>
      </c>
      <c r="S17" s="114"/>
      <c r="T17" s="114">
        <f>T16/T7</f>
        <v>0.30401651262433882</v>
      </c>
      <c r="U17" s="114"/>
    </row>
    <row r="18" spans="1:28" x14ac:dyDescent="0.25">
      <c r="B18"/>
      <c r="C18"/>
      <c r="D18"/>
      <c r="E18"/>
      <c r="F18"/>
      <c r="G18"/>
      <c r="H18"/>
      <c r="I18"/>
      <c r="J18"/>
      <c r="K18"/>
      <c r="L18"/>
      <c r="M18"/>
      <c r="R18" s="216"/>
    </row>
    <row r="19" spans="1:28" x14ac:dyDescent="0.25">
      <c r="A19" s="14"/>
      <c r="B19"/>
      <c r="C19"/>
      <c r="D19"/>
      <c r="E19"/>
      <c r="F19"/>
      <c r="G19"/>
      <c r="H19" s="272" t="s">
        <v>24</v>
      </c>
      <c r="I19" s="273"/>
      <c r="J19" s="273"/>
      <c r="K19" s="274"/>
      <c r="L19" s="275" t="s">
        <v>25</v>
      </c>
      <c r="M19" s="276"/>
      <c r="N19" s="276"/>
      <c r="O19" s="276"/>
    </row>
    <row r="20" spans="1:28" ht="28.5" customHeight="1" x14ac:dyDescent="0.25">
      <c r="B20"/>
      <c r="G20" s="25" t="s">
        <v>26</v>
      </c>
      <c r="H20" s="102" t="s">
        <v>8</v>
      </c>
      <c r="I20" s="102" t="s">
        <v>9</v>
      </c>
      <c r="J20" s="102" t="s">
        <v>3</v>
      </c>
      <c r="K20" s="102" t="s">
        <v>9</v>
      </c>
      <c r="L20" s="102" t="s">
        <v>10</v>
      </c>
      <c r="M20" s="102" t="s">
        <v>9</v>
      </c>
      <c r="N20" s="102" t="s">
        <v>3</v>
      </c>
      <c r="O20" s="103" t="s">
        <v>9</v>
      </c>
      <c r="P20" s="102" t="s">
        <v>11</v>
      </c>
      <c r="Q20" s="103" t="s">
        <v>9</v>
      </c>
      <c r="R20" s="102" t="s">
        <v>27</v>
      </c>
      <c r="S20" s="103" t="s">
        <v>9</v>
      </c>
      <c r="T20" s="102" t="s">
        <v>28</v>
      </c>
      <c r="U20" s="103" t="s">
        <v>9</v>
      </c>
      <c r="Z20" s="7" t="s">
        <v>29</v>
      </c>
      <c r="AA20" t="s">
        <v>30</v>
      </c>
    </row>
    <row r="21" spans="1:28" x14ac:dyDescent="0.25">
      <c r="B21"/>
      <c r="G21" s="26" t="s">
        <v>31</v>
      </c>
      <c r="H21" s="27">
        <f>SUMIF(Job_Status[Work Type],G21,Job_Status[To Date Gross Profit])</f>
        <v>1552171.6800000013</v>
      </c>
      <c r="I21" s="28">
        <f>H21/SUMIFS(Job_Status[Actual],Job_Status[Work Type],Summary!G21)</f>
        <v>0.5477932593624838</v>
      </c>
      <c r="J21" s="32">
        <f>SUMIF(Job_Status[Work Type],Summary!G21,Job_Status[Actual])</f>
        <v>2833499.05</v>
      </c>
      <c r="K21" s="28">
        <f>IFERROR(H21/J21,"")</f>
        <v>0.5477932593624838</v>
      </c>
      <c r="L21" s="27">
        <f>SUMIF(Job_Status[Work Type],G21,Job_Status[GP at completion])</f>
        <v>1454981.6800000013</v>
      </c>
      <c r="M21" s="28">
        <f>L21/SUMIFS(Job_Status[Forecasted Revenue],Job_Status[Work Type],Summary!G21)</f>
        <v>0.53173148698243766</v>
      </c>
      <c r="N21" s="27">
        <f>SUMIF(Job_Status[Work Type],G21,Job_Status[Forecasted Revenue])</f>
        <v>2736309.05</v>
      </c>
      <c r="O21" s="28">
        <f>L21/N21</f>
        <v>0.53173148698243766</v>
      </c>
      <c r="P21" s="29">
        <f>IF(CompanyGoodToggle=TRUE,SUMIFS(TotalGMContribution[FY25/26],TotalGMContribution[Work Type],Summary!$G21,TotalGMContribution[Open Opps Phase],"5.S - Selected",TotalGMContribution[Opps Status],"Good"),0)+IF(CompanyFairToggle=TRUE,SUMIFS(TotalGMContribution[FY25/26],TotalGMContribution[Work Type],Summary!$G21,TotalGMContribution[Open Opps Phase],"5.S - Selected",TotalGMContribution[Opps Status],"Fair"),0)+IF(CompanyRiskToggle=TRUE,SUMIFS(TotalGMContribution[FY25/26],TotalGMContribution[Work Type],Summary!$G21,TotalGMContribution[Open Opps Phase],"5.S - Selected",TotalGMContribution[Opps Status],"Risk"),0)+L21</f>
        <v>1454981.6800000013</v>
      </c>
      <c r="Q21" s="109" cm="1">
        <f t="array" ref="Q21">(SUMPRODUCT(Table_query[Value $ ex GST]*Table_query[Margin]*(Table_query[Work Type]=G21)*(Table_query[Phase]="5.S - Selected")*(Table_query[Path]="sites/RGSales/Shared Documents/General/1.Open Opportunities"))+L21)/(N21+SUMIFS(Table_query[Value $ ex GST],Table_query[Work Type],G21,Table_query[Phase],"5.S - Selected",Table_query[Path],"sites/RGSales/Shared Documents/General/1.Open Opportunities"))</f>
        <v>0.53173148698243766</v>
      </c>
      <c r="R21" s="30">
        <f>IF(CompanyGoodToggle=TRUE,SUMIFS(TotalGMContribution[FY25/26],TotalGMContribution[Work Type],Summary!$G21,TotalGMContribution[Open Opps Phase],"4.DVF - Shortlisted",TotalGMContribution[Opps Status],"Good"),0)+IF(CompanyFairToggle=TRUE,SUMIFS(TotalGMContribution[FY25/26],TotalGMContribution[Work Type],Summary!$G21,TotalGMContribution[Open Opps Phase],"4.DVF - Shortlisted",TotalGMContribution[Opps Status],"Fair"),0)+IF(CompanyRiskToggle=TRUE,SUMIFS(TotalGMContribution[FY25/26],TotalGMContribution[Work Type],Summary!$G21,TotalGMContribution[Open Opps Phase],"4.DVF - Shortlisted",TotalGMContribution[Opps Status],"Risk"),0)+P21</f>
        <v>1454981.6800000013</v>
      </c>
      <c r="S21" s="109">
        <f>(R21)/(N21+SUMIFS(Table_query[Value $ ex GST],Table_query[Work Type],G21,Table_query[Phase],"5.S - Selected",Table_query[Path],"sites/RGSales/Shared Documents/General/1.Open Opportunities")+SUMIFS(Table_query[Value $ ex GST],Table_query[Work Type],G21,Table_query[Phase],"3.DF - Submitted",Table_query[Path],"sites/RGSales/Shared Documents/General/1.Open Opportunities"))</f>
        <v>0.53173148698243766</v>
      </c>
      <c r="T21" s="31">
        <f>IF(CompanyGoodToggle=TRUE,SUMIFS(TotalGMContribution[FY25/26],TotalGMContribution[Work Type],Summary!$G21,TotalGMContribution[Open Opps Phase],"3.DF - Submitted",TotalGMContribution[Opps Status],"Good"),0)+IF(CompanyFairToggle=TRUE,SUMIFS(TotalGMContribution[FY25/26],TotalGMContribution[Work Type],Summary!$G21,TotalGMContribution[Open Opps Phase],"3.DF - Submitted",TotalGMContribution[Opps Status],"Fair"),0)+IF(CompanyRiskToggle=TRUE,SUMIFS(TotalGMContribution[FY25/26],TotalGMContribution[Work Type],Summary!$G21,TotalGMContribution[Open Opps Phase],"3.DF - Submitted",TotalGMContribution[Opps Status],"Risk"),0)+R21</f>
        <v>1454981.6800000013</v>
      </c>
      <c r="U21" s="111">
        <f>(T21)/(N21+SUMIFS(Table_query[Value $ ex GST],Table_query[Work Type],G21,Table_query[Phase],"5.S - Selected",Table_query[Path],"sites/RGSales/Shared Documents/General/1.Open Opportunities")+SUMIFS(Table_query[Value $ ex GST],Table_query[Work Type],G21,Table_query[Phase],"3.DF - Submitted",Table_query[Path],"sites/RGSales/Shared Documents/General/1.Open Opportunities")+SUMIFS(Table_query[Value $ ex GST],Table_query[Work Type],G21,Table_query[Phase],"3.DF - Submitted",Table_query[Path],"sites/RGSales/Shared Documents/General/1.Open Opportunities"))</f>
        <v>0.53173148698243766</v>
      </c>
      <c r="Z21" s="7" t="s">
        <v>32</v>
      </c>
      <c r="AA21" t="s">
        <v>33</v>
      </c>
    </row>
    <row r="22" spans="1:28" x14ac:dyDescent="0.25">
      <c r="B22"/>
      <c r="G22" s="26" t="s">
        <v>34</v>
      </c>
      <c r="H22" s="27">
        <f>SUMIF(Job_Status[Work Type],G22,Job_Status[To Date Gross Profit])</f>
        <v>1971998.7499999881</v>
      </c>
      <c r="I22" s="28">
        <f>H22/SUMIFS(Job_Status[Actual],Job_Status[Work Type],Summary!G22)</f>
        <v>0.29816909018036675</v>
      </c>
      <c r="J22" s="32">
        <f>SUMIF(Job_Status[Work Type],Summary!G22,Job_Status[Actual])</f>
        <v>6613692.7500000019</v>
      </c>
      <c r="K22" s="28">
        <f t="shared" ref="K22:K24" si="23">IFERROR(H22/J22,"")</f>
        <v>0.29816909018036675</v>
      </c>
      <c r="L22" s="27">
        <f>SUMIF(Job_Status[Work Type],G22,Job_Status[GP at completion])</f>
        <v>2913123.9065249846</v>
      </c>
      <c r="M22" s="28">
        <f>L22/SUMIFS(Job_Status[Forecasted Revenue],Job_Status[Work Type],Summary!G22)</f>
        <v>0.26707216415158719</v>
      </c>
      <c r="N22" s="27">
        <f>SUMIF(Job_Status[Work Type],G22,Job_Status[Forecasted Revenue])</f>
        <v>10907628.34</v>
      </c>
      <c r="O22" s="28">
        <f t="shared" ref="O22:O24" si="24">L22/N22</f>
        <v>0.26707216415158719</v>
      </c>
      <c r="P22" s="29">
        <f>IF(CompanyGoodToggle=TRUE,SUMIFS(TotalGMContribution[FY25/26],TotalGMContribution[Work Type],Summary!$G22,TotalGMContribution[Open Opps Phase],"5.S - Selected",TotalGMContribution[Opps Status],"Good"),0)+IF(CompanyFairToggle=TRUE,SUMIFS(TotalGMContribution[FY25/26],TotalGMContribution[Work Type],Summary!$G22,TotalGMContribution[Open Opps Phase],"5.S - Selected",TotalGMContribution[Opps Status],"Fair"),0)+IF(CompanyRiskToggle=TRUE,SUMIFS(TotalGMContribution[FY25/26],TotalGMContribution[Work Type],Summary!$G22,TotalGMContribution[Open Opps Phase],"5.S - Selected",TotalGMContribution[Opps Status],"Risk"),0)+L22</f>
        <v>2913123.9065249846</v>
      </c>
      <c r="Q22" s="109" cm="1">
        <f t="array" ref="Q22">(SUMPRODUCT(Table_query[Value $ ex GST]*Table_query[Margin]*(Table_query[Work Type]=G22)*(Table_query[Phase]="5.S - Selected")*(Table_query[Path]="sites/RGSales/Shared Documents/General/1.Open Opportunities"))+L22)/(N22+SUMIFS(Table_query[Value $ ex GST],Table_query[Work Type],G22,Table_query[Phase],"5.S - Selected",Table_query[Path],"sites/RGSales/Shared Documents/General/1.Open Opportunities"))</f>
        <v>0.26707216415158719</v>
      </c>
      <c r="R22" s="30">
        <f>IF(CompanyGoodToggle=TRUE,SUMIFS(TotalGMContribution[FY25/26],TotalGMContribution[Work Type],Summary!$G22,TotalGMContribution[Open Opps Phase],"4.DVF - Shortlisted",TotalGMContribution[Opps Status],"Good"),0)+IF(CompanyFairToggle=TRUE,SUMIFS(TotalGMContribution[FY25/26],TotalGMContribution[Work Type],Summary!$G22,TotalGMContribution[Open Opps Phase],"4.DVF - Shortlisted",TotalGMContribution[Opps Status],"Fair"),0)+IF(CompanyRiskToggle=TRUE,SUMIFS(TotalGMContribution[FY25/26],TotalGMContribution[Work Type],Summary!$G22,TotalGMContribution[Open Opps Phase],"4.DVF - Shortlisted",TotalGMContribution[Opps Status],"Risk"),0)+P22</f>
        <v>5088998.3065249845</v>
      </c>
      <c r="S22" s="109">
        <f>(R22)/(N22+SUMIFS(Table_query[Value $ ex GST],Table_query[Work Type],G22,Table_query[Phase],"5.S - Selected",Table_query[Path],"sites/RGSales/Shared Documents/General/1.Open Opportunities")+SUMIFS(Table_query[Value $ ex GST],Table_query[Work Type],G22,Table_query[Phase],"3.DF - Submitted",Table_query[Path],"sites/RGSales/Shared Documents/General/1.Open Opportunities"))</f>
        <v>0.39372873052454088</v>
      </c>
      <c r="T22" s="31">
        <f>IF(CompanyGoodToggle=TRUE,SUMIFS(TotalGMContribution[FY25/26],TotalGMContribution[Work Type],Summary!$G22,TotalGMContribution[Open Opps Phase],"3.DF - Submitted",TotalGMContribution[Opps Status],"Good"),0)+IF(CompanyFairToggle=TRUE,SUMIFS(TotalGMContribution[FY25/26],TotalGMContribution[Work Type],Summary!$G22,TotalGMContribution[Open Opps Phase],"3.DF - Submitted",TotalGMContribution[Opps Status],"Fair"),0)+IF(CompanyRiskToggle=TRUE,SUMIFS(TotalGMContribution[FY25/26],TotalGMContribution[Work Type],Summary!$G22,TotalGMContribution[Open Opps Phase],"3.DF - Submitted",TotalGMContribution[Opps Status],"Risk"),0)+R22</f>
        <v>5088998.3065249845</v>
      </c>
      <c r="U22" s="111">
        <f>(T22)/(N22+SUMIFS(Table_query[Value $ ex GST],Table_query[Work Type],G22,Table_query[Phase],"5.S - Selected",Table_query[Path],"sites/RGSales/Shared Documents/General/1.Open Opportunities")+SUMIFS(Table_query[Value $ ex GST],Table_query[Work Type],G22,Table_query[Phase],"3.DF - Submitted",Table_query[Path],"sites/RGSales/Shared Documents/General/1.Open Opportunities")+SUMIFS(Table_query[Value $ ex GST],Table_query[Work Type],G22,Table_query[Phase],"3.DF - Submitted",Table_query[Path],"sites/RGSales/Shared Documents/General/1.Open Opportunities"))</f>
        <v>0.34056869957339558</v>
      </c>
      <c r="Z22" s="98"/>
      <c r="AA22" s="98"/>
      <c r="AB22" s="98"/>
    </row>
    <row r="23" spans="1:28" x14ac:dyDescent="0.25">
      <c r="A23"/>
      <c r="B23"/>
      <c r="G23" s="26" t="s">
        <v>35</v>
      </c>
      <c r="H23" s="27">
        <f>SUMIF(Job_Status[Work Type],G23,Job_Status[To Date Gross Profit])</f>
        <v>332766.98249999952</v>
      </c>
      <c r="I23" s="28">
        <f>H23/SUMIFS(Job_Status[Actual],Job_Status[Work Type],Summary!G23)</f>
        <v>0.23156783244165566</v>
      </c>
      <c r="J23" s="32">
        <f>SUMIF(Job_Status[Work Type],Summary!G23,Job_Status[Actual])</f>
        <v>1437017.3049999997</v>
      </c>
      <c r="K23" s="28">
        <f t="shared" si="23"/>
        <v>0.23156783244165566</v>
      </c>
      <c r="L23" s="27">
        <f>SUMIF(Job_Status[Work Type],G23,Job_Status[GP at completion])</f>
        <v>392169.53249999939</v>
      </c>
      <c r="M23" s="28">
        <f>L23/SUMIFS(Job_Status[Forecasted Revenue],Job_Status[Work Type],Summary!G23)</f>
        <v>0.21582186401912506</v>
      </c>
      <c r="N23" s="27">
        <f>SUMIF(Job_Status[Work Type],G23,Job_Status[Forecasted Revenue])</f>
        <v>1817098.2549999997</v>
      </c>
      <c r="O23" s="28">
        <f t="shared" si="24"/>
        <v>0.21582186401912506</v>
      </c>
      <c r="P23" s="29">
        <f>IF(CompanyGoodToggle=TRUE,SUMIFS(TotalGMContribution[FY25/26],TotalGMContribution[Work Type],Summary!$G23,TotalGMContribution[Open Opps Phase],"5.S - Selected",TotalGMContribution[Opps Status],"Good"),0)+IF(CompanyFairToggle=TRUE,SUMIFS(TotalGMContribution[FY25/26],TotalGMContribution[Work Type],Summary!$G23,TotalGMContribution[Open Opps Phase],"5.S - Selected",TotalGMContribution[Opps Status],"Fair"),0)+IF(CompanyRiskToggle=TRUE,SUMIFS(TotalGMContribution[FY25/26],TotalGMContribution[Work Type],Summary!$G23,TotalGMContribution[Open Opps Phase],"5.S - Selected",TotalGMContribution[Opps Status],"Risk"),0)+L23</f>
        <v>392169.53249999939</v>
      </c>
      <c r="Q23" s="109" cm="1">
        <f t="array" ref="Q23">(SUMPRODUCT(Table_query[Value $ ex GST]*Table_query[Margin]*(Table_query[Work Type]=G23)*(Table_query[Phase]="5.S - Selected")*(Table_query[Path]="sites/RGSales/Shared Documents/General/1.Open Opportunities"))+L23)/(N23+SUMIFS(Table_query[Value $ ex GST],Table_query[Work Type],G23,Table_query[Phase],"5.S - Selected",Table_query[Path],"sites/RGSales/Shared Documents/General/1.Open Opportunities"))</f>
        <v>0.21582186401912506</v>
      </c>
      <c r="R23" s="30">
        <f>IF(CompanyGoodToggle=TRUE,SUMIFS(TotalGMContribution[FY25/26],TotalGMContribution[Work Type],Summary!$G23,TotalGMContribution[Open Opps Phase],"4.DVF - Shortlisted",TotalGMContribution[Opps Status],"Good"),0)+IF(CompanyFairToggle=TRUE,SUMIFS(TotalGMContribution[FY25/26],TotalGMContribution[Work Type],Summary!$G23,TotalGMContribution[Open Opps Phase],"4.DVF - Shortlisted",TotalGMContribution[Opps Status],"Fair"),0)+IF(CompanyRiskToggle=TRUE,SUMIFS(TotalGMContribution[FY25/26],TotalGMContribution[Work Type],Summary!$G23,TotalGMContribution[Open Opps Phase],"4.DVF - Shortlisted",TotalGMContribution[Opps Status],"Risk"),0)+P23</f>
        <v>392169.53249999939</v>
      </c>
      <c r="S23" s="109">
        <f>(R23)/(N23+SUMIFS(Table_query[Value $ ex GST],Table_query[Work Type],G23,Table_query[Phase],"5.S - Selected",Table_query[Path],"sites/RGSales/Shared Documents/General/1.Open Opportunities")+SUMIFS(Table_query[Value $ ex GST],Table_query[Work Type],G23,Table_query[Phase],"3.DF - Submitted",Table_query[Path],"sites/RGSales/Shared Documents/General/1.Open Opportunities"))</f>
        <v>0.17917804099101067</v>
      </c>
      <c r="T23" s="31">
        <f>IF(CompanyGoodToggle=TRUE,SUMIFS(TotalGMContribution[FY25/26],TotalGMContribution[Work Type],Summary!$G23,TotalGMContribution[Open Opps Phase],"3.DF - Submitted",TotalGMContribution[Opps Status],"Good"),0)+IF(CompanyFairToggle=TRUE,SUMIFS(TotalGMContribution[FY25/26],TotalGMContribution[Work Type],Summary!$G23,TotalGMContribution[Open Opps Phase],"3.DF - Submitted",TotalGMContribution[Opps Status],"Fair"),0)+IF(CompanyRiskToggle=TRUE,SUMIFS(TotalGMContribution[FY25/26],TotalGMContribution[Work Type],Summary!$G23,TotalGMContribution[Open Opps Phase],"3.DF - Submitted",TotalGMContribution[Opps Status],"Risk"),0)+R23</f>
        <v>392169.53249999939</v>
      </c>
      <c r="U23" s="111">
        <f>(T23)/(N23+SUMIFS(Table_query[Value $ ex GST],Table_query[Work Type],G23,Table_query[Phase],"5.S - Selected",Table_query[Path],"sites/RGSales/Shared Documents/General/1.Open Opportunities")+SUMIFS(Table_query[Value $ ex GST],Table_query[Work Type],G23,Table_query[Phase],"3.DF - Submitted",Table_query[Path],"sites/RGSales/Shared Documents/General/1.Open Opportunities")+SUMIFS(Table_query[Value $ ex GST],Table_query[Work Type],G23,Table_query[Phase],"3.DF - Submitted",Table_query[Path],"sites/RGSales/Shared Documents/General/1.Open Opportunities"))</f>
        <v>0.15317146361651671</v>
      </c>
      <c r="Z23" s="7" t="s">
        <v>36</v>
      </c>
      <c r="AA23" s="7" t="s">
        <v>37</v>
      </c>
      <c r="AB23" s="7" t="s">
        <v>38</v>
      </c>
    </row>
    <row r="24" spans="1:28" x14ac:dyDescent="0.25">
      <c r="A24"/>
      <c r="B24"/>
      <c r="G24" s="26" t="s">
        <v>39</v>
      </c>
      <c r="H24" s="27">
        <f>SUMIF(Job_Status[Work Type],G24,Job_Status[To Date Gross Profit])</f>
        <v>461799.59999999742</v>
      </c>
      <c r="I24" s="28">
        <f>H24/SUMIFS(Job_Status[Actual],Job_Status[Work Type],Summary!G24)</f>
        <v>0.14212594893043304</v>
      </c>
      <c r="J24" s="32">
        <f>SUMIF(Job_Status[Work Type],Summary!G24,Job_Status[Actual])</f>
        <v>3249227.9099999983</v>
      </c>
      <c r="K24" s="28">
        <f t="shared" si="23"/>
        <v>0.14212594893043304</v>
      </c>
      <c r="L24" s="27">
        <f>SUMIF(Job_Status[Work Type],G24,Job_Status[GP at completion])</f>
        <v>706837.39999999711</v>
      </c>
      <c r="M24" s="28">
        <f>L24/SUMIFS(Job_Status[Forecasted Revenue],Job_Status[Work Type],Summary!G24)</f>
        <v>0.13378031992612549</v>
      </c>
      <c r="N24" s="27">
        <f>SUMIF(Job_Status[Work Type],G24,Job_Status[Forecasted Revenue])</f>
        <v>5283567.8699999982</v>
      </c>
      <c r="O24" s="28">
        <f t="shared" si="24"/>
        <v>0.13378031992612549</v>
      </c>
      <c r="P24" s="29">
        <f>IF(CompanyGoodToggle=TRUE,SUMIFS(TotalGMContribution[FY25/26],TotalGMContribution[Work Type],Summary!$G24,TotalGMContribution[Open Opps Phase],"5.S - Selected",TotalGMContribution[Opps Status],"Good"),0)+IF(CompanyFairToggle=TRUE,SUMIFS(TotalGMContribution[FY25/26],TotalGMContribution[Work Type],Summary!$G24,TotalGMContribution[Open Opps Phase],"5.S - Selected",TotalGMContribution[Opps Status],"Fair"),0)+IF(CompanyRiskToggle=TRUE,SUMIFS(TotalGMContribution[FY25/26],TotalGMContribution[Work Type],Summary!$G24,TotalGMContribution[Open Opps Phase],"5.S - Selected",TotalGMContribution[Opps Status],"Risk"),0)+L24</f>
        <v>706837.39999999711</v>
      </c>
      <c r="Q24" s="109" cm="1">
        <f t="array" ref="Q24">(SUMPRODUCT(Table_query[Value $ ex GST]*Table_query[Margin]*(Table_query[Work Type]=G24)*(Table_query[Phase]="5.S - Selected")*(Table_query[Path]="sites/RGSales/Shared Documents/General/1.Open Opportunities"))+L24)/(N24+SUMIFS(Table_query[Value $ ex GST],Table_query[Work Type],G24,Table_query[Phase],"5.S - Selected",Table_query[Path],"sites/RGSales/Shared Documents/General/1.Open Opportunities"))</f>
        <v>0.13378031992612549</v>
      </c>
      <c r="R24" s="30">
        <f>IF(CompanyGoodToggle=TRUE,SUMIFS(TotalGMContribution[FY25/26],TotalGMContribution[Work Type],Summary!$G24,TotalGMContribution[Open Opps Phase],"4.DVF - Shortlisted",TotalGMContribution[Opps Status],"Good"),0)+IF(CompanyFairToggle=TRUE,SUMIFS(TotalGMContribution[FY25/26],TotalGMContribution[Work Type],Summary!$G24,TotalGMContribution[Open Opps Phase],"4.DVF - Shortlisted",TotalGMContribution[Opps Status],"Fair"),0)+IF(CompanyRiskToggle=TRUE,SUMIFS(TotalGMContribution[FY25/26],TotalGMContribution[Work Type],Summary!$G24,TotalGMContribution[Open Opps Phase],"4.DVF - Shortlisted",TotalGMContribution[Opps Status],"Risk"),0)+P24</f>
        <v>737942.83999999706</v>
      </c>
      <c r="S24" s="109">
        <f>(R24)/(N24+SUMIFS(Table_query[Value $ ex GST],Table_query[Work Type],G24,Table_query[Phase],"5.S - Selected",Table_query[Path],"sites/RGSales/Shared Documents/General/1.Open Opportunities")+SUMIFS(Table_query[Value $ ex GST],Table_query[Work Type],G24,Table_query[Phase],"3.DF - Submitted",Table_query[Path],"sites/RGSales/Shared Documents/General/1.Open Opportunities"))</f>
        <v>8.53684746014787E-2</v>
      </c>
      <c r="T24" s="31">
        <f>IF(CompanyGoodToggle=TRUE,SUMIFS(TotalGMContribution[FY25/26],TotalGMContribution[Work Type],Summary!$G24,TotalGMContribution[Open Opps Phase],"3.DF - Submitted",TotalGMContribution[Opps Status],"Good"),0)+IF(CompanyFairToggle=TRUE,SUMIFS(TotalGMContribution[FY25/26],TotalGMContribution[Work Type],Summary!$G24,TotalGMContribution[Open Opps Phase],"3.DF - Submitted",TotalGMContribution[Opps Status],"Fair"),0)+IF(CompanyRiskToggle=TRUE,SUMIFS(TotalGMContribution[FY25/26],TotalGMContribution[Work Type],Summary!$G24,TotalGMContribution[Open Opps Phase],"3.DF - Submitted",TotalGMContribution[Opps Status],"Risk"),0)+R24</f>
        <v>737942.83999999706</v>
      </c>
      <c r="U24" s="111">
        <f>(T24)/(N24+SUMIFS(Table_query[Value $ ex GST],Table_query[Work Type],G24,Table_query[Phase],"5.S - Selected",Table_query[Path],"sites/RGSales/Shared Documents/General/1.Open Opportunities")+SUMIFS(Table_query[Value $ ex GST],Table_query[Work Type],G24,Table_query[Phase],"3.DF - Submitted",Table_query[Path],"sites/RGSales/Shared Documents/General/1.Open Opportunities")+SUMIFS(Table_query[Value $ ex GST],Table_query[Work Type],G24,Table_query[Phase],"3.DF - Submitted",Table_query[Path],"sites/RGSales/Shared Documents/General/1.Open Opportunities"))</f>
        <v>6.1470403289666777E-2</v>
      </c>
      <c r="Z24" t="s">
        <v>42</v>
      </c>
      <c r="AA24" t="s">
        <v>45</v>
      </c>
      <c r="AB24" t="s">
        <v>44</v>
      </c>
    </row>
    <row r="25" spans="1:28" x14ac:dyDescent="0.25">
      <c r="A25"/>
      <c r="G25" s="226" t="s">
        <v>1</v>
      </c>
      <c r="H25" s="34">
        <f>SUM(H21:H24)</f>
        <v>4318737.0124999862</v>
      </c>
      <c r="I25" s="228">
        <f>Job_Status[[#Totals],[TD GM(%)]]</f>
        <v>0.30556877339294436</v>
      </c>
      <c r="J25" s="227"/>
      <c r="K25" s="227"/>
      <c r="L25" s="34">
        <f>SUM(L21:L24)</f>
        <v>5467112.519024983</v>
      </c>
      <c r="M25" s="228">
        <f>Job_Status[[#Totals],[Forecast GM @ completion (%)]]</f>
        <v>0.26354384238155359</v>
      </c>
      <c r="N25" s="227"/>
      <c r="O25" s="227"/>
      <c r="P25" s="34">
        <f>SUM(P21:P24)</f>
        <v>5467112.519024983</v>
      </c>
      <c r="Q25" s="228">
        <f>P25/P7</f>
        <v>0.26354384238155365</v>
      </c>
      <c r="R25" s="34">
        <f>SUM(R21:R24)</f>
        <v>7674092.3590249829</v>
      </c>
      <c r="S25" s="228">
        <f>R25/R7</f>
        <v>0.30401651262433882</v>
      </c>
      <c r="T25" s="34">
        <f>SUM(T21:T24)</f>
        <v>7674092.3590249829</v>
      </c>
      <c r="U25" s="228">
        <f>T25/T7</f>
        <v>0.30401651262433882</v>
      </c>
      <c r="AA25" t="s">
        <v>52</v>
      </c>
      <c r="AB25" t="s">
        <v>44</v>
      </c>
    </row>
    <row r="26" spans="1:28" x14ac:dyDescent="0.25">
      <c r="H26"/>
      <c r="I26"/>
      <c r="J26"/>
      <c r="K26"/>
      <c r="L26"/>
      <c r="M26"/>
      <c r="AA26" t="s">
        <v>54</v>
      </c>
      <c r="AB26" t="s">
        <v>55</v>
      </c>
    </row>
    <row r="27" spans="1:28" x14ac:dyDescent="0.25">
      <c r="A27"/>
      <c r="B27"/>
      <c r="C27" s="33" t="s">
        <v>46</v>
      </c>
      <c r="D27" s="33" t="s">
        <v>47</v>
      </c>
      <c r="E27" s="33" t="s">
        <v>48</v>
      </c>
      <c r="F27" s="33" t="s">
        <v>49</v>
      </c>
      <c r="G27" s="33" t="s">
        <v>50</v>
      </c>
      <c r="H27" s="33" t="s">
        <v>51</v>
      </c>
      <c r="I27"/>
      <c r="J27"/>
      <c r="K27"/>
      <c r="L27"/>
      <c r="M27"/>
      <c r="AA27" t="s">
        <v>57</v>
      </c>
      <c r="AB27" t="s">
        <v>5</v>
      </c>
    </row>
    <row r="28" spans="1:28" x14ac:dyDescent="0.25">
      <c r="A28"/>
      <c r="B28"/>
      <c r="C28" s="264" t="s">
        <v>53</v>
      </c>
      <c r="D28" s="112">
        <f>SUM('COMPANY Spread'!Q60:S60)</f>
        <v>7611688.3116883123</v>
      </c>
      <c r="E28" s="112">
        <f>SUM('COMPANY Spread'!T60:V60)</f>
        <v>7187445.8874458876</v>
      </c>
      <c r="F28" s="112">
        <f>SUM('COMPANY Spread'!W60:Y60)</f>
        <v>9573809.5238095261</v>
      </c>
      <c r="G28" s="112">
        <f>SUM('COMPANY Spread'!Z60:AB60)</f>
        <v>9573809.5238095261</v>
      </c>
      <c r="H28" s="112">
        <f>SUM(D28:G28)</f>
        <v>33946753.246753253</v>
      </c>
      <c r="I28"/>
      <c r="J28"/>
      <c r="K28"/>
      <c r="L28"/>
      <c r="M28"/>
      <c r="AA28" t="s">
        <v>59</v>
      </c>
      <c r="AB28" t="s">
        <v>5</v>
      </c>
    </row>
    <row r="29" spans="1:28" x14ac:dyDescent="0.25">
      <c r="A29"/>
      <c r="B29"/>
      <c r="C29" s="24" t="s">
        <v>56</v>
      </c>
      <c r="D29" s="112">
        <f>SUM(Job_Status[[#Totals],[Revenue Q1]])</f>
        <v>5912887.277499998</v>
      </c>
      <c r="E29" s="112">
        <f>SUM(Job_Status[[#Totals],[Revenue Q2]])</f>
        <v>6505901.8450000007</v>
      </c>
      <c r="F29" s="112">
        <f>SUM(Job_Status[[#Totals],[Revenue Q3]])</f>
        <v>1714647.892500001</v>
      </c>
      <c r="G29" s="112">
        <f>SUM(Job_Status[[#Totals],[Revenue Q4]])</f>
        <v>0</v>
      </c>
      <c r="H29" s="112">
        <f>SUM(D29:G29)</f>
        <v>14133437.015000001</v>
      </c>
      <c r="I29"/>
      <c r="J29"/>
      <c r="K29"/>
      <c r="L29"/>
      <c r="M29"/>
      <c r="AA29" t="s">
        <v>133</v>
      </c>
      <c r="AB29" t="s">
        <v>5</v>
      </c>
    </row>
    <row r="30" spans="1:28" x14ac:dyDescent="0.25">
      <c r="A30"/>
      <c r="B30"/>
      <c r="C30" s="24" t="s">
        <v>58</v>
      </c>
      <c r="D30" s="112">
        <f>SUM('COMPANY Spread'!Q54:S54)</f>
        <v>5912887.2775000008</v>
      </c>
      <c r="E30" s="112">
        <f>SUM('COMPANY Spread'!T54:V54)</f>
        <v>6505901.8449999997</v>
      </c>
      <c r="F30" s="112">
        <f>SUM('COMPANY Spread'!W54:Y54)</f>
        <v>4737991.522824375</v>
      </c>
      <c r="G30" s="112">
        <f>SUM('COMPANY Spread'!Z54:AB54)</f>
        <v>3473100.6436536619</v>
      </c>
      <c r="H30" s="112">
        <f>SUM(D30:G30)</f>
        <v>20629881.288978036</v>
      </c>
      <c r="I30"/>
      <c r="J30"/>
      <c r="K30"/>
      <c r="L30" t="str">
        <f>"$"&amp;ROUNDDOWN(H30-L7,0)&amp;" difference to L7 due to potential write-ups/write-off not broken down by quarters into the future."</f>
        <v>$-114722 difference to L7 due to potential write-ups/write-off not broken down by quarters into the future.</v>
      </c>
      <c r="M30"/>
      <c r="AA30" t="s">
        <v>61</v>
      </c>
      <c r="AB30" t="s">
        <v>5</v>
      </c>
    </row>
    <row r="31" spans="1:28" x14ac:dyDescent="0.25">
      <c r="A31"/>
      <c r="B31"/>
      <c r="C31" s="24" t="s">
        <v>60</v>
      </c>
      <c r="D31" s="112">
        <f>D30-D28</f>
        <v>-1698801.0341883115</v>
      </c>
      <c r="E31" s="112">
        <f t="shared" ref="E31:G31" si="25">E30-E28</f>
        <v>-681544.04244588781</v>
      </c>
      <c r="F31" s="112">
        <f t="shared" si="25"/>
        <v>-4835818.0009851512</v>
      </c>
      <c r="G31" s="112">
        <f t="shared" si="25"/>
        <v>-6100708.8801558642</v>
      </c>
      <c r="H31" s="112">
        <f>SUM(D31:G31)</f>
        <v>-13316871.957775215</v>
      </c>
      <c r="I31"/>
      <c r="J31"/>
      <c r="K31"/>
      <c r="L31"/>
      <c r="M31"/>
      <c r="AA31" t="s">
        <v>63</v>
      </c>
      <c r="AB31" t="s">
        <v>5</v>
      </c>
    </row>
    <row r="32" spans="1:28" x14ac:dyDescent="0.25">
      <c r="A32"/>
      <c r="B32"/>
      <c r="C32" s="33" t="s">
        <v>62</v>
      </c>
      <c r="D32" s="33" t="s">
        <v>47</v>
      </c>
      <c r="E32" s="33" t="s">
        <v>48</v>
      </c>
      <c r="F32" s="33" t="s">
        <v>49</v>
      </c>
      <c r="G32" s="33" t="s">
        <v>50</v>
      </c>
      <c r="H32" s="33" t="s">
        <v>51</v>
      </c>
      <c r="I32"/>
      <c r="J32"/>
      <c r="K32"/>
      <c r="L32"/>
      <c r="M32"/>
      <c r="AA32" t="s">
        <v>64</v>
      </c>
      <c r="AB32" t="s">
        <v>5</v>
      </c>
    </row>
    <row r="33" spans="1:28 16384:16384" x14ac:dyDescent="0.25">
      <c r="A33"/>
      <c r="B33"/>
      <c r="C33" s="264" t="s">
        <v>53</v>
      </c>
      <c r="D33" s="112">
        <f>SUM('COMPANY Spread'!C60:E60)</f>
        <v>2270000</v>
      </c>
      <c r="E33" s="112">
        <f>SUM('COMPANY Spread'!F60:H60)</f>
        <v>2320000</v>
      </c>
      <c r="F33" s="112">
        <f>SUM('COMPANY Spread'!I60:K60)</f>
        <v>2770000</v>
      </c>
      <c r="G33" s="112">
        <f>SUM('COMPANY Spread'!L60:N60)</f>
        <v>2770000</v>
      </c>
      <c r="H33" s="112">
        <f>SUM(D33:G33)</f>
        <v>10130000</v>
      </c>
      <c r="I33"/>
      <c r="J33"/>
      <c r="K33"/>
      <c r="L33"/>
      <c r="M33"/>
      <c r="AA33" t="s">
        <v>65</v>
      </c>
      <c r="AB33" t="s">
        <v>5</v>
      </c>
    </row>
    <row r="34" spans="1:28 16384:16384" x14ac:dyDescent="0.25">
      <c r="A34"/>
      <c r="B34"/>
      <c r="C34" s="24" t="s">
        <v>56</v>
      </c>
      <c r="D34" s="112">
        <f>Job_Status[[#Totals],[Gross Profit Q1]]</f>
        <v>1791429.3974999988</v>
      </c>
      <c r="E34" s="112">
        <f>Job_Status[[#Totals],[Gross Profit Q2]]</f>
        <v>2131155.7124999897</v>
      </c>
      <c r="F34" s="112">
        <f>Job_Status[[#Totals],[Gross Profit Q3]]</f>
        <v>396151.90249999752</v>
      </c>
      <c r="G34" s="112">
        <f>Job_Status[[#Totals],[Gross Profit Q4]]</f>
        <v>0</v>
      </c>
      <c r="H34" s="112">
        <f>SUM(D34:G34)</f>
        <v>4318737.0124999862</v>
      </c>
      <c r="I34"/>
      <c r="J34"/>
      <c r="K34"/>
      <c r="L34"/>
      <c r="M34"/>
      <c r="Z34" t="s">
        <v>66</v>
      </c>
      <c r="AA34" t="s">
        <v>67</v>
      </c>
      <c r="AB34" t="s">
        <v>44</v>
      </c>
    </row>
    <row r="35" spans="1:28 16384:16384" x14ac:dyDescent="0.25">
      <c r="A35"/>
      <c r="B35"/>
      <c r="C35" s="24" t="s">
        <v>58</v>
      </c>
      <c r="D35" s="112">
        <f>SUM('COMPANY Spread'!C54:E54)</f>
        <v>1791429.3975000004</v>
      </c>
      <c r="E35" s="112">
        <f>SUM('COMPANY Spread'!F54:H54)</f>
        <v>2131155.7125000004</v>
      </c>
      <c r="F35" s="112">
        <f>SUM('COMPANY Spread'!I54:K54)</f>
        <v>901231.4998743746</v>
      </c>
      <c r="G35" s="112">
        <f>SUM('COMPANY Spread'!L54:N54)</f>
        <v>528573.68312866171</v>
      </c>
      <c r="H35" s="112">
        <f>SUM(D35:G35)</f>
        <v>5352390.2930030366</v>
      </c>
      <c r="I35"/>
      <c r="J35"/>
      <c r="K35"/>
      <c r="L35" t="str">
        <f>"$"&amp;ROUNDDOWN(H35-L16,0)&amp;" difference to L7 due to potential write-ups not broken down by quarters into future."</f>
        <v>$-114722 difference to L7 due to potential write-ups not broken down by quarters into future.</v>
      </c>
      <c r="M35"/>
      <c r="AA35" t="s">
        <v>68</v>
      </c>
      <c r="AB35" t="s">
        <v>44</v>
      </c>
    </row>
    <row r="36" spans="1:28 16384:16384" x14ac:dyDescent="0.25">
      <c r="A36"/>
      <c r="B36"/>
      <c r="C36" s="24" t="s">
        <v>60</v>
      </c>
      <c r="D36" s="112">
        <f>D35-D33</f>
        <v>-478570.60249999957</v>
      </c>
      <c r="E36" s="112">
        <f t="shared" ref="E36:G36" si="26">E35-E33</f>
        <v>-188844.28749999963</v>
      </c>
      <c r="F36" s="112">
        <f t="shared" si="26"/>
        <v>-1868768.5001256254</v>
      </c>
      <c r="G36" s="112">
        <f t="shared" si="26"/>
        <v>-2241426.3168713385</v>
      </c>
      <c r="H36" s="112">
        <f>SUM(D36:G36)</f>
        <v>-4777609.7069969634</v>
      </c>
      <c r="I36"/>
      <c r="J36"/>
      <c r="K36"/>
      <c r="L36"/>
      <c r="M36"/>
      <c r="AA36" t="s">
        <v>69</v>
      </c>
      <c r="AB36" t="s">
        <v>44</v>
      </c>
    </row>
    <row r="37" spans="1:28 16384:16384" x14ac:dyDescent="0.25">
      <c r="A37"/>
      <c r="B37"/>
      <c r="C37" s="152"/>
      <c r="D37" s="246"/>
      <c r="E37" s="246"/>
      <c r="F37" s="246"/>
      <c r="G37" s="246"/>
      <c r="H37" s="246"/>
      <c r="I37"/>
      <c r="J37"/>
      <c r="K37"/>
      <c r="L37"/>
      <c r="M37"/>
      <c r="AA37" t="s">
        <v>139</v>
      </c>
      <c r="AB37" t="s">
        <v>5</v>
      </c>
      <c r="XFD37" s="217"/>
    </row>
    <row r="38" spans="1:28 16384:16384" x14ac:dyDescent="0.25">
      <c r="A38"/>
      <c r="B38"/>
      <c r="C38" s="244"/>
      <c r="D38" s="245"/>
      <c r="E38" s="245"/>
      <c r="F38" s="245"/>
      <c r="G38" s="245"/>
      <c r="H38" s="245"/>
      <c r="I38"/>
      <c r="J38"/>
      <c r="K38"/>
      <c r="L38"/>
      <c r="M38"/>
      <c r="AA38" t="s">
        <v>72</v>
      </c>
      <c r="AB38" t="s">
        <v>44</v>
      </c>
    </row>
    <row r="39" spans="1:28 16384:16384" hidden="1" x14ac:dyDescent="0.25">
      <c r="A39"/>
      <c r="B39" s="13" t="s">
        <v>71</v>
      </c>
      <c r="C39"/>
      <c r="H39"/>
      <c r="I39"/>
      <c r="J39"/>
      <c r="K39"/>
      <c r="L39"/>
      <c r="M39"/>
      <c r="AA39" t="s">
        <v>79</v>
      </c>
      <c r="AB39" t="s">
        <v>44</v>
      </c>
    </row>
    <row r="40" spans="1:28 16384:16384" ht="255" hidden="1" x14ac:dyDescent="0.25">
      <c r="A40" s="98"/>
      <c r="B40" s="99" t="s">
        <v>73</v>
      </c>
      <c r="C40" s="100" t="s">
        <v>74</v>
      </c>
      <c r="D40" s="100" t="s">
        <v>75</v>
      </c>
      <c r="E40" s="100" t="s">
        <v>76</v>
      </c>
      <c r="F40" s="100" t="s">
        <v>77</v>
      </c>
      <c r="G40" s="100" t="s">
        <v>78</v>
      </c>
      <c r="H40"/>
      <c r="I40"/>
      <c r="J40"/>
      <c r="K40"/>
      <c r="L40"/>
      <c r="M40"/>
      <c r="AA40" t="s">
        <v>80</v>
      </c>
      <c r="AB40" t="s">
        <v>44</v>
      </c>
    </row>
    <row r="41" spans="1:28 16384:16384" hidden="1" x14ac:dyDescent="0.25">
      <c r="A41"/>
      <c r="B41" s="17" t="s">
        <v>5</v>
      </c>
      <c r="C41" s="18">
        <f>IF(VATSelector="ALL",COUNTIFS(Table_query[Path],"sites/RGSales/Shared Documents/General/1.Open Opportunities",Table_query[Phase],_xlfn.XLOOKUP(C$40,Phase[Phase Code],Phase[Phase Description]),Table_query[Status],Summary!$B41),COUNTIFS(Table_query[Path],"sites/RGSales/Shared Documents/General/1.Open Opportunities",Table_query[Phase],_xlfn.XLOOKUP(C$40,Phase[Phase Code],Phase[Phase Description]),Table_query[Status],Summary!$B41,Table_query[VAT],VATSelector))</f>
        <v>2</v>
      </c>
      <c r="D41" s="18">
        <f>IF(VATSelector="ALL",COUNTIFS(Table_query[Path],"sites/RGSales/Shared Documents/General/1.Open Opportunities",Table_query[Phase],_xlfn.XLOOKUP(D$40,Phase[Phase Code],Phase[Phase Description]),Table_query[Status],Summary!$B41),COUNTIFS(Table_query[Path],"sites/RGSales/Shared Documents/General/1.Open Opportunities",Table_query[Phase],_xlfn.XLOOKUP(D$40,Phase[Phase Code],Phase[Phase Description]),Table_query[Status],Summary!$B41,Table_query[VAT],VATSelector))</f>
        <v>7</v>
      </c>
      <c r="E41" s="18">
        <v>1</v>
      </c>
      <c r="F41" s="18">
        <f>IF(VATSelector="ALL",COUNTIFS(Table_query[Path],"sites/RGSales/Shared Documents/General/1.Open Opportunities",Table_query[Phase],_xlfn.XLOOKUP(F$40,Phase[Phase Code],Phase[Phase Description]),Table_query[Status],Summary!$B41),COUNTIFS(Table_query[Path],"sites/RGSales/Shared Documents/General/1.Open Opportunities",Table_query[Phase],_xlfn.XLOOKUP(F$40,Phase[Phase Code],Phase[Phase Description]),Table_query[Status],Summary!$B41,Table_query[VAT],VATSelector))</f>
        <v>9</v>
      </c>
      <c r="G41" s="18">
        <f>IF(VATSelector="ALL",COUNTIFS(Table_query[Path],"sites/RGSales/Shared Documents/General/1.Open Opportunities",Table_query[Phase],_xlfn.XLOOKUP(G$40,Phase[Phase Code],Phase[Phase Description]),Table_query[Status],Summary!$B41),COUNTIFS(Table_query[Path],"sites/RGSales/Shared Documents/General/1.Open Opportunities",Table_query[Phase],_xlfn.XLOOKUP(G$40,Phase[Phase Code],Phase[Phase Description]),Table_query[Status],Summary!$B41,Table_query[VAT],VATSelector))</f>
        <v>0</v>
      </c>
      <c r="H41"/>
      <c r="I41"/>
      <c r="J41"/>
      <c r="K41"/>
      <c r="L41"/>
      <c r="M41"/>
      <c r="AA41" t="s">
        <v>81</v>
      </c>
      <c r="AB41" t="s">
        <v>44</v>
      </c>
    </row>
    <row r="42" spans="1:28 16384:16384" hidden="1" x14ac:dyDescent="0.25">
      <c r="A42"/>
      <c r="B42" s="19" t="s">
        <v>55</v>
      </c>
      <c r="C42" s="18">
        <f>IF(VATSelector="ALL",COUNTIFS(Table_query[Path],"sites/RGSales/Shared Documents/General/1.Open Opportunities",Table_query[Phase],_xlfn.XLOOKUP(C$40,Phase[Phase Code],Phase[Phase Description]),Table_query[Status],Summary!$B42),COUNTIFS(Table_query[Path],"sites/RGSales/Shared Documents/General/1.Open Opportunities",Table_query[Phase],_xlfn.XLOOKUP(C$40,Phase[Phase Code],Phase[Phase Description]),Table_query[Status],Summary!$B42,Table_query[VAT],VATSelector))</f>
        <v>16</v>
      </c>
      <c r="D42" s="18">
        <f>IF(VATSelector="ALL",COUNTIFS(Table_query[Path],"sites/RGSales/Shared Documents/General/1.Open Opportunities",Table_query[Phase],_xlfn.XLOOKUP(D$40,Phase[Phase Code],Phase[Phase Description]),Table_query[Status],Summary!$B42),COUNTIFS(Table_query[Path],"sites/RGSales/Shared Documents/General/1.Open Opportunities",Table_query[Phase],_xlfn.XLOOKUP(D$40,Phase[Phase Code],Phase[Phase Description]),Table_query[Status],Summary!$B42,Table_query[VAT],VATSelector))</f>
        <v>2</v>
      </c>
      <c r="E42" s="18">
        <f>IF(VATSelector="ALL",COUNTIFS(Table_query[Path],"sites/RGSales/Shared Documents/General/1.Open Opportunities",Table_query[Phase],_xlfn.XLOOKUP(E$40,Phase[Phase Code],Phase[Phase Description]),Table_query[Status],Summary!$B42),COUNTIFS(Table_query[Path],"sites/RGSales/Shared Documents/General/1.Open Opportunities",Table_query[Phase],_xlfn.XLOOKUP(E$40,Phase[Phase Code],Phase[Phase Description]),Table_query[Status],Summary!$B42,Table_query[VAT],VATSelector))</f>
        <v>1</v>
      </c>
      <c r="F42" s="18">
        <f>IF(VATSelector="ALL",COUNTIFS(Table_query[Path],"sites/RGSales/Shared Documents/General/1.Open Opportunities",Table_query[Phase],_xlfn.XLOOKUP(F$40,Phase[Phase Code],Phase[Phase Description]),Table_query[Status],Summary!$B42),COUNTIFS(Table_query[Path],"sites/RGSales/Shared Documents/General/1.Open Opportunities",Table_query[Phase],_xlfn.XLOOKUP(F$40,Phase[Phase Code],Phase[Phase Description]),Table_query[Status],Summary!$B42,Table_query[VAT],VATSelector))</f>
        <v>1</v>
      </c>
      <c r="G42" s="18">
        <f>IF(VATSelector="ALL",COUNTIFS(Table_query[Path],"sites/RGSales/Shared Documents/General/1.Open Opportunities",Table_query[Phase],_xlfn.XLOOKUP(G$40,Phase[Phase Code],Phase[Phase Description]),Table_query[Status],Summary!$B42),COUNTIFS(Table_query[Path],"sites/RGSales/Shared Documents/General/1.Open Opportunities",Table_query[Phase],_xlfn.XLOOKUP(G$40,Phase[Phase Code],Phase[Phase Description]),Table_query[Status],Summary!$B42,Table_query[VAT],VATSelector))</f>
        <v>0</v>
      </c>
      <c r="H42"/>
      <c r="I42"/>
      <c r="J42"/>
      <c r="K42"/>
      <c r="L42"/>
      <c r="M42"/>
      <c r="AA42" t="s">
        <v>82</v>
      </c>
      <c r="AB42" t="s">
        <v>44</v>
      </c>
    </row>
    <row r="43" spans="1:28 16384:16384" hidden="1" x14ac:dyDescent="0.25">
      <c r="A43"/>
      <c r="B43" s="20" t="s">
        <v>44</v>
      </c>
      <c r="C43" s="18">
        <f>IF(VATSelector="ALL",COUNTIFS(Table_query[Path],"sites/RGSales/Shared Documents/General/1.Open Opportunities",Table_query[Phase],_xlfn.XLOOKUP(C$40,Phase[Phase Code],Phase[Phase Description]),Table_query[Status],Summary!$B43),COUNTIFS(Table_query[Path],"sites/RGSales/Shared Documents/General/1.Open Opportunities",Table_query[Phase],_xlfn.XLOOKUP(C$40,Phase[Phase Code],Phase[Phase Description]),Table_query[Status],Summary!$B43,Table_query[VAT],VATSelector))</f>
        <v>3</v>
      </c>
      <c r="D43" s="18">
        <f>IF(VATSelector="ALL",COUNTIFS(Table_query[Path],"sites/RGSales/Shared Documents/General/1.Open Opportunities",Table_query[Phase],_xlfn.XLOOKUP(D$40,Phase[Phase Code],Phase[Phase Description]),Table_query[Status],Summary!$B43),COUNTIFS(Table_query[Path],"sites/RGSales/Shared Documents/General/1.Open Opportunities",Table_query[Phase],_xlfn.XLOOKUP(D$40,Phase[Phase Code],Phase[Phase Description]),Table_query[Status],Summary!$B43,Table_query[VAT],VATSelector))</f>
        <v>1</v>
      </c>
      <c r="E43" s="18">
        <f>IF(VATSelector="ALL",COUNTIFS(Table_query[Path],"sites/RGSales/Shared Documents/General/1.Open Opportunities",Table_query[Phase],_xlfn.XLOOKUP(E$40,Phase[Phase Code],Phase[Phase Description]),Table_query[Status],Summary!$B43),COUNTIFS(Table_query[Path],"sites/RGSales/Shared Documents/General/1.Open Opportunities",Table_query[Phase],_xlfn.XLOOKUP(E$40,Phase[Phase Code],Phase[Phase Description]),Table_query[Status],Summary!$B43,Table_query[VAT],VATSelector))</f>
        <v>9</v>
      </c>
      <c r="F43" s="18">
        <f>IF(VATSelector="ALL",COUNTIFS(Table_query[Path],"sites/RGSales/Shared Documents/General/1.Open Opportunities",Table_query[Phase],_xlfn.XLOOKUP(F$40,Phase[Phase Code],Phase[Phase Description]),Table_query[Status],Summary!$B43),COUNTIFS(Table_query[Path],"sites/RGSales/Shared Documents/General/1.Open Opportunities",Table_query[Phase],_xlfn.XLOOKUP(F$40,Phase[Phase Code],Phase[Phase Description]),Table_query[Status],Summary!$B43,Table_query[VAT],VATSelector))</f>
        <v>2</v>
      </c>
      <c r="G43" s="18">
        <f>IF(VATSelector="ALL",COUNTIFS(Table_query[Path],"sites/RGSales/Shared Documents/General/1.Open Opportunities",Table_query[Phase],_xlfn.XLOOKUP(G$40,Phase[Phase Code],Phase[Phase Description]),Table_query[Status],Summary!$B43),COUNTIFS(Table_query[Path],"sites/RGSales/Shared Documents/General/1.Open Opportunities",Table_query[Phase],_xlfn.XLOOKUP(G$40,Phase[Phase Code],Phase[Phase Description]),Table_query[Status],Summary!$B43,Table_query[VAT],VATSelector))</f>
        <v>0</v>
      </c>
      <c r="H43"/>
      <c r="I43"/>
      <c r="J43"/>
      <c r="K43"/>
      <c r="L43"/>
      <c r="M43"/>
      <c r="AA43" t="s">
        <v>83</v>
      </c>
      <c r="AB43" t="s">
        <v>44</v>
      </c>
    </row>
    <row r="44" spans="1:28 16384:16384" hidden="1" x14ac:dyDescent="0.25">
      <c r="A44"/>
      <c r="B44"/>
      <c r="AA44" t="s">
        <v>141</v>
      </c>
      <c r="AB44" t="s">
        <v>5</v>
      </c>
    </row>
    <row r="45" spans="1:28 16384:16384" hidden="1" x14ac:dyDescent="0.25">
      <c r="A45"/>
      <c r="B45" s="13" t="s">
        <v>84</v>
      </c>
      <c r="AA45" t="s">
        <v>619</v>
      </c>
      <c r="AB45" t="s">
        <v>5</v>
      </c>
    </row>
    <row r="46" spans="1:28 16384:16384" hidden="1" x14ac:dyDescent="0.25">
      <c r="A46"/>
      <c r="B46" s="22" t="s">
        <v>73</v>
      </c>
      <c r="C46" s="23" t="s">
        <v>74</v>
      </c>
      <c r="D46" s="23" t="s">
        <v>75</v>
      </c>
      <c r="E46" s="23" t="s">
        <v>76</v>
      </c>
      <c r="F46" s="23" t="s">
        <v>77</v>
      </c>
      <c r="G46" s="23" t="s">
        <v>78</v>
      </c>
      <c r="Z46" t="s">
        <v>85</v>
      </c>
    </row>
    <row r="47" spans="1:28 16384:16384" hidden="1" x14ac:dyDescent="0.25">
      <c r="A47"/>
      <c r="B47" s="17" t="s">
        <v>86</v>
      </c>
      <c r="C47" s="18">
        <f ca="1">IF(VATSelector="ALL",COUNTIFS(Table_query[Path],"sites/RGSales/Shared Documents/General/1.Open Opportunities",Table_query[Phase],_xlfn.XLOOKUP(C$46,Phase[Phase Code],Phase[Phase Description]),Table_query[Days submitted],"&lt;=7"),COUNTIFS(Table_query[Path],"sites/RGSales/Shared Documents/General/1.Open Opportunities",Table_query[Phase],_xlfn.XLOOKUP(Summary!C$46,Phase[Phase Code],Phase[Phase Description]),Table_query[Days submitted],"&lt;=7",Table_query[VAT],VATSelector))</f>
        <v>0</v>
      </c>
      <c r="D47" s="18">
        <f ca="1">IF(VATSelector="ALL",COUNTIFS(Table_query[Path],"sites/RGSales/Shared Documents/General/1.Open Opportunities",Table_query[Phase],_xlfn.XLOOKUP(D$46,Phase[Phase Code],Phase[Phase Description]),Table_query[Days submitted],"&lt;=7"),COUNTIFS(Table_query[Path],"sites/RGSales/Shared Documents/General/1.Open Opportunities",Table_query[Phase],_xlfn.XLOOKUP(Summary!D$46,Phase[Phase Code],Phase[Phase Description]),Table_query[Days submitted],"&lt;=7",Table_query[VAT],VATSelector))</f>
        <v>0</v>
      </c>
      <c r="E47" s="18">
        <f ca="1">IF(VATSelector="ALL",COUNTIFS(Table_query[Path],"sites/RGSales/Shared Documents/General/1.Open Opportunities",Table_query[Phase],_xlfn.XLOOKUP(E$46,Phase[Phase Code],Phase[Phase Description]),Table_query[Days submitted],"&lt;=7"),COUNTIFS(Table_query[Path],"sites/RGSales/Shared Documents/General/1.Open Opportunities",Table_query[Phase],_xlfn.XLOOKUP(Summary!E$46,Phase[Phase Code],Phase[Phase Description]),Table_query[Days submitted],"&lt;=7",Table_query[VAT],VATSelector))</f>
        <v>2</v>
      </c>
      <c r="F47" s="18">
        <f ca="1">IF(VATSelector="ALL",COUNTIFS(Table_query[Path],"sites/RGSales/Shared Documents/General/1.Open Opportunities",Table_query[Phase],_xlfn.XLOOKUP(F$46,Phase[Phase Code],Phase[Phase Description]),Table_query[Days submitted],"&lt;=7"),COUNTIFS(Table_query[Path],"sites/RGSales/Shared Documents/General/1.Open Opportunities",Table_query[Phase],_xlfn.XLOOKUP(Summary!F$46,Phase[Phase Code],Phase[Phase Description]),Table_query[Days submitted],"&lt;=7",Table_query[VAT],VATSelector))</f>
        <v>1</v>
      </c>
      <c r="G47" s="18">
        <f>IF(VATSelector="ALL",COUNTIFS(Table_query[Path],"sites/RGSales/Shared Documents/General/1.Open Opportunities",Table_query[Phase],_xlfn.XLOOKUP(G$46,Phase[Phase Code],Phase[Phase Description]),Table_query[Days submitted],"&lt;=7"),COUNTIFS(Table_query[Path],"sites/RGSales/Shared Documents/General/1.Open Opportunities",Table_query[Phase],_xlfn.XLOOKUP(Summary!G$46,Phase[Phase Code],Phase[Phase Description]),Table_query[Days submitted],"&lt;=7",Table_query[VAT],VATSelector))</f>
        <v>0</v>
      </c>
    </row>
    <row r="48" spans="1:28 16384:16384" hidden="1" x14ac:dyDescent="0.25">
      <c r="A48"/>
      <c r="B48" s="19" t="s">
        <v>87</v>
      </c>
      <c r="C48" s="18">
        <f ca="1">IF(VATSelector="ALL",COUNTIFS(Table_query[Path],"sites/RGSales/Shared Documents/General/1.Open Opportunities",Table_query[Phase],_xlfn.XLOOKUP(C$46,Phase[Phase Code],Phase[Phase Description]),Table_query[Days submitted],"&gt;7",Table_query[Days submitted],"&lt;=14"),COUNTIFS(Table_query[Path],"sites/RGSales/Shared Documents/General/1.Open Opportunities",Table_query[Phase],_xlfn.XLOOKUP(Summary!C$46,Phase[Phase Code],Phase[Phase Description]),Table_query[Days submitted],"&gt;7",Table_query[Days submitted],"&lt;=14",Table_query[VAT],VATSelector))</f>
        <v>0</v>
      </c>
      <c r="D48" s="18">
        <f ca="1">IF(VATSelector="ALL",COUNTIFS(Table_query[Path],"sites/RGSales/Shared Documents/General/1.Open Opportunities",Table_query[Phase],_xlfn.XLOOKUP(D$46,Phase[Phase Code],Phase[Phase Description]),Table_query[Days submitted],"&gt;7",Table_query[Days submitted],"&lt;=14"),COUNTIFS(Table_query[Path],"sites/RGSales/Shared Documents/General/1.Open Opportunities",Table_query[Phase],_xlfn.XLOOKUP(Summary!D$46,Phase[Phase Code],Phase[Phase Description]),Table_query[Days submitted],"&gt;7",Table_query[Days submitted],"&lt;=14",Table_query[VAT],VATSelector))</f>
        <v>0</v>
      </c>
      <c r="E48" s="18">
        <f ca="1">IF(VATSelector="ALL",COUNTIFS(Table_query[Path],"sites/RGSales/Shared Documents/General/1.Open Opportunities",Table_query[Phase],_xlfn.XLOOKUP(E$46,Phase[Phase Code],Phase[Phase Description]),Table_query[Days submitted],"&gt;7",Table_query[Days submitted],"&lt;=14"),COUNTIFS(Table_query[Path],"sites/RGSales/Shared Documents/General/1.Open Opportunities",Table_query[Phase],_xlfn.XLOOKUP(Summary!E$46,Phase[Phase Code],Phase[Phase Description]),Table_query[Days submitted],"&gt;7",Table_query[Days submitted],"&lt;=14",Table_query[VAT],VATSelector))</f>
        <v>0</v>
      </c>
      <c r="F48" s="18">
        <f ca="1">IF(VATSelector="ALL",COUNTIFS(Table_query[Path],"sites/RGSales/Shared Documents/General/1.Open Opportunities",Table_query[Phase],_xlfn.XLOOKUP(F$46,Phase[Phase Code],Phase[Phase Description]),Table_query[Days submitted],"&gt;7",Table_query[Days submitted],"&lt;=14"),COUNTIFS(Table_query[Path],"sites/RGSales/Shared Documents/General/1.Open Opportunities",Table_query[Phase],_xlfn.XLOOKUP(Summary!F$46,Phase[Phase Code],Phase[Phase Description]),Table_query[Days submitted],"&gt;7",Table_query[Days submitted],"&lt;=14",Table_query[VAT],VATSelector))</f>
        <v>0</v>
      </c>
      <c r="G48" s="18">
        <f>IF(VATSelector="ALL",COUNTIFS(Table_query[Path],"sites/RGSales/Shared Documents/General/1.Open Opportunities",Table_query[Phase],_xlfn.XLOOKUP(G$46,Phase[Phase Code],Phase[Phase Description]),Table_query[Days submitted],"&gt;7",Table_query[Days submitted],"&lt;=14"),COUNTIFS(Table_query[Path],"sites/RGSales/Shared Documents/General/1.Open Opportunities",Table_query[Phase],_xlfn.XLOOKUP(Summary!G$46,Phase[Phase Code],Phase[Phase Description]),Table_query[Days submitted],"&gt;7",Table_query[Days submitted],"&lt;=14",Table_query[VAT],VATSelector))</f>
        <v>0</v>
      </c>
    </row>
    <row r="49" spans="2:13" customFormat="1" hidden="1" x14ac:dyDescent="0.25">
      <c r="B49" s="20" t="s">
        <v>88</v>
      </c>
      <c r="C49" s="18">
        <f ca="1">IF(VATSelector="ALL",COUNTIFS(Table_query[Path],"sites/RGSales/Shared Documents/General/1.Open Opportunities",Table_query[Phase],_xlfn.XLOOKUP(C$46,Phase[Phase Code],Phase[Phase Description]),Table_query[Days submitted],"&gt;14",Table_query[Days submitted],"&lt;=30"),COUNTIFS(Table_query[Path],"sites/RGSales/Shared Documents/General/1.Open Opportunities",Table_query[Phase],_xlfn.XLOOKUP(Summary!C$46,Phase[Phase Code],Phase[Phase Description]),Table_query[Days submitted],"&gt;14",Table_query[Days submitted],"&lt;=30",Table_query[VAT],VATSelector))</f>
        <v>0</v>
      </c>
      <c r="D49" s="18">
        <f ca="1">IF(VATSelector="ALL",COUNTIFS(Table_query[Path],"sites/RGSales/Shared Documents/General/1.Open Opportunities",Table_query[Phase],_xlfn.XLOOKUP(D$46,Phase[Phase Code],Phase[Phase Description]),Table_query[Days submitted],"&gt;14",Table_query[Days submitted],"&lt;=30"),COUNTIFS(Table_query[Path],"sites/RGSales/Shared Documents/General/1.Open Opportunities",Table_query[Phase],_xlfn.XLOOKUP(Summary!D$46,Phase[Phase Code],Phase[Phase Description]),Table_query[Days submitted],"&gt;14",Table_query[Days submitted],"&lt;=30",Table_query[VAT],VATSelector))</f>
        <v>0</v>
      </c>
      <c r="E49" s="18">
        <f ca="1">IF(VATSelector="ALL",COUNTIFS(Table_query[Path],"sites/RGSales/Shared Documents/General/1.Open Opportunities",Table_query[Phase],_xlfn.XLOOKUP(E$46,Phase[Phase Code],Phase[Phase Description]),Table_query[Days submitted],"&gt;14",Table_query[Days submitted],"&lt;=30"),COUNTIFS(Table_query[Path],"sites/RGSales/Shared Documents/General/1.Open Opportunities",Table_query[Phase],_xlfn.XLOOKUP(Summary!E$46,Phase[Phase Code],Phase[Phase Description]),Table_query[Days submitted],"&gt;14",Table_query[Days submitted],"&lt;=30",Table_query[VAT],VATSelector))</f>
        <v>4</v>
      </c>
      <c r="F49" s="18">
        <f ca="1">IF(VATSelector="ALL",COUNTIFS(Table_query[Path],"sites/RGSales/Shared Documents/General/1.Open Opportunities",Table_query[Phase],_xlfn.XLOOKUP(F$46,Phase[Phase Code],Phase[Phase Description]),Table_query[Days submitted],"&gt;14",Table_query[Days submitted],"&lt;=30"),COUNTIFS(Table_query[Path],"sites/RGSales/Shared Documents/General/1.Open Opportunities",Table_query[Phase],_xlfn.XLOOKUP(Summary!F$46,Phase[Phase Code],Phase[Phase Description]),Table_query[Days submitted],"&gt;14",Table_query[Days submitted],"&lt;=30",Table_query[VAT],VATSelector))</f>
        <v>1</v>
      </c>
      <c r="G49" s="18">
        <f>IF(VATSelector="ALL",COUNTIFS(Table_query[Path],"sites/RGSales/Shared Documents/General/1.Open Opportunities",Table_query[Phase],_xlfn.XLOOKUP(G$46,Phase[Phase Code],Phase[Phase Description]),Table_query[Days submitted],"&gt;14",Table_query[Days submitted],"&lt;=30"),COUNTIFS(Table_query[Path],"sites/RGSales/Shared Documents/General/1.Open Opportunities",Table_query[Phase],_xlfn.XLOOKUP(Summary!G$46,Phase[Phase Code],Phase[Phase Description]),Table_query[Days submitted],"&gt;14",Table_query[Days submitted],"&lt;=30",Table_query[VAT],VATSelector))</f>
        <v>0</v>
      </c>
      <c r="H49" s="8"/>
      <c r="I49" s="8"/>
      <c r="J49" s="8"/>
      <c r="K49" s="8"/>
      <c r="L49" s="8"/>
      <c r="M49" s="8"/>
    </row>
    <row r="50" spans="2:13" customFormat="1" hidden="1" x14ac:dyDescent="0.25">
      <c r="B50" s="21" t="s">
        <v>89</v>
      </c>
      <c r="C50" s="18">
        <f ca="1">IF(VATSelector="ALL",COUNTIFS(Table_query[Path],"sites/RGSales/Shared Documents/General/1.Open Opportunities",Table_query[Phase],_xlfn.XLOOKUP(C$46,Phase[Phase Code],Phase[Phase Description]),Table_query[Days submitted],"&gt;30"),COUNTIFS(Table_query[Path],"sites/RGSales/Shared Documents/General/1.Open Opportunities",Table_query[Phase],_xlfn.XLOOKUP(Summary!C$46,Phase[Phase Code],Phase[Phase Description]),Table_query[Days submitted],"&gt;30",Table_query[VAT],VATSelector))</f>
        <v>0</v>
      </c>
      <c r="D50" s="18">
        <f ca="1">IF(VATSelector="ALL",COUNTIFS(Table_query[Path],"sites/RGSales/Shared Documents/General/1.Open Opportunities",Table_query[Phase],_xlfn.XLOOKUP(D$46,Phase[Phase Code],Phase[Phase Description]),Table_query[Days submitted],"&gt;30"),COUNTIFS(Table_query[Path],"sites/RGSales/Shared Documents/General/1.Open Opportunities",Table_query[Phase],_xlfn.XLOOKUP(Summary!D$46,Phase[Phase Code],Phase[Phase Description]),Table_query[Days submitted],"&gt;30",Table_query[VAT],VATSelector))</f>
        <v>0</v>
      </c>
      <c r="E50" s="18">
        <f ca="1">IF(VATSelector="ALL",COUNTIFS(Table_query[Path],"sites/RGSales/Shared Documents/General/1.Open Opportunities",Table_query[Phase],_xlfn.XLOOKUP(E$46,Phase[Phase Code],Phase[Phase Description]),Table_query[Days submitted],"&gt;30"),COUNTIFS(Table_query[Path],"sites/RGSales/Shared Documents/General/1.Open Opportunities",Table_query[Phase],_xlfn.XLOOKUP(Summary!E$46,Phase[Phase Code],Phase[Phase Description]),Table_query[Days submitted],"&gt;30",Table_query[VAT],VATSelector))</f>
        <v>8</v>
      </c>
      <c r="F50" s="18">
        <f ca="1">IF(VATSelector="ALL",COUNTIFS(Table_query[Path],"sites/RGSales/Shared Documents/General/1.Open Opportunities",Table_query[Phase],_xlfn.XLOOKUP(F$46,Phase[Phase Code],Phase[Phase Description]),Table_query[Days submitted],"&gt;30"),COUNTIFS(Table_query[Path],"sites/RGSales/Shared Documents/General/1.Open Opportunities",Table_query[Phase],_xlfn.XLOOKUP(Summary!F$46,Phase[Phase Code],Phase[Phase Description]),Table_query[Days submitted],"&gt;30",Table_query[VAT],VATSelector))</f>
        <v>6</v>
      </c>
      <c r="G50" s="18">
        <f>IF(VATSelector="ALL",COUNTIFS(Table_query[Path],"sites/RGSales/Shared Documents/General/1.Open Opportunities",Table_query[Phase],_xlfn.XLOOKUP(G$46,Phase[Phase Code],Phase[Phase Description]),Table_query[Days submitted],"&gt;30"),COUNTIFS(Table_query[Path],"sites/RGSales/Shared Documents/General/1.Open Opportunities",Table_query[Phase],_xlfn.XLOOKUP(Summary!G$46,Phase[Phase Code],Phase[Phase Description]),Table_query[Days submitted],"&gt;30",Table_query[VAT],VATSelector))</f>
        <v>0</v>
      </c>
      <c r="H50" s="8"/>
      <c r="I50" s="8"/>
      <c r="J50" s="8"/>
      <c r="K50" s="8"/>
      <c r="L50" s="8"/>
      <c r="M50" s="8"/>
    </row>
    <row r="51" spans="2:13" customFormat="1" hidden="1" x14ac:dyDescent="0.25"/>
    <row r="52" spans="2:13" customFormat="1" hidden="1" x14ac:dyDescent="0.25"/>
    <row r="53" spans="2:13" customFormat="1" hidden="1" x14ac:dyDescent="0.25">
      <c r="B53" s="13" t="s">
        <v>90</v>
      </c>
      <c r="C53" s="8"/>
      <c r="D53" s="8"/>
      <c r="E53" s="8"/>
      <c r="F53" s="8"/>
      <c r="G53" s="8"/>
    </row>
    <row r="54" spans="2:13" customFormat="1" hidden="1" x14ac:dyDescent="0.25">
      <c r="B54" s="22" t="s">
        <v>73</v>
      </c>
      <c r="C54" s="23" t="s">
        <v>74</v>
      </c>
      <c r="D54" s="23" t="s">
        <v>75</v>
      </c>
      <c r="E54" s="23" t="s">
        <v>76</v>
      </c>
      <c r="F54" s="23" t="s">
        <v>77</v>
      </c>
      <c r="G54" s="23" t="s">
        <v>78</v>
      </c>
    </row>
    <row r="55" spans="2:13" customFormat="1" hidden="1" x14ac:dyDescent="0.25">
      <c r="B55" s="17" t="s">
        <v>86</v>
      </c>
      <c r="C55" s="18">
        <f ca="1">IF(VATSelector="ALL",COUNTIFS(Table_query[Path],"sites/RGSales/Shared Documents/General/1.Open Opportunities",Table_query[Phase],_xlfn.XLOOKUP(C$54,Phase[Phase Code],Phase[Phase Description]),Table_query[Days modified],"&lt;=7"),COUNTIFS(Table_query[Path],"sites/RGSales/Shared Documents/General/1.Open Opportunities",Table_query[Phase],_xlfn.XLOOKUP(C$54,Phase[Phase Code],Phase[Phase Description]),Table_query[Days modified],"&lt;=7",Table_query[VAT],VATSelector))</f>
        <v>22</v>
      </c>
      <c r="D55" s="18">
        <f ca="1">IF(VATSelector="ALL",COUNTIFS(Table_query[Path],"sites/RGSales/Shared Documents/General/1.Open Opportunities",Table_query[Phase],_xlfn.XLOOKUP(D$54,Phase[Phase Code],Phase[Phase Description]),Table_query[Days modified],"&lt;=7"),COUNTIFS(Table_query[Path],"sites/RGSales/Shared Documents/General/1.Open Opportunities",Table_query[Phase],_xlfn.XLOOKUP(D$54,Phase[Phase Code],Phase[Phase Description]),Table_query[Days modified],"&lt;=7",Table_query[VAT],VATSelector))</f>
        <v>9</v>
      </c>
      <c r="E55" s="18">
        <f ca="1">IF(VATSelector="ALL",COUNTIFS(Table_query[Path],"sites/RGSales/Shared Documents/General/1.Open Opportunities",Table_query[Phase],_xlfn.XLOOKUP(E$54,Phase[Phase Code],Phase[Phase Description]),Table_query[Days modified],"&lt;=7"),COUNTIFS(Table_query[Path],"sites/RGSales/Shared Documents/General/1.Open Opportunities",Table_query[Phase],_xlfn.XLOOKUP(E$54,Phase[Phase Code],Phase[Phase Description]),Table_query[Days modified],"&lt;=7",Table_query[VAT],VATSelector))</f>
        <v>7</v>
      </c>
      <c r="F55" s="18">
        <f ca="1">IF(VATSelector="ALL",COUNTIFS(Table_query[Path],"sites/RGSales/Shared Documents/General/1.Open Opportunities",Table_query[Phase],_xlfn.XLOOKUP(F$54,Phase[Phase Code],Phase[Phase Description]),Table_query[Days modified],"&lt;=7"),COUNTIFS(Table_query[Path],"sites/RGSales/Shared Documents/General/1.Open Opportunities",Table_query[Phase],_xlfn.XLOOKUP(F$54,Phase[Phase Code],Phase[Phase Description]),Table_query[Days modified],"&lt;=7",Table_query[VAT],VATSelector))</f>
        <v>4</v>
      </c>
      <c r="G55" s="18">
        <f>IF(VATSelector="ALL",COUNTIFS(Table_query[Path],"sites/RGSales/Shared Documents/General/1.Open Opportunities",Table_query[Phase],_xlfn.XLOOKUP(G$54,Phase[Phase Code],Phase[Phase Description]),Table_query[Days modified],"&lt;=7"),COUNTIFS(Table_query[Path],"sites/RGSales/Shared Documents/General/1.Open Opportunities",Table_query[Phase],_xlfn.XLOOKUP(G$54,Phase[Phase Code],Phase[Phase Description]),Table_query[Days modified],"&lt;=7",Table_query[VAT],VATSelector))</f>
        <v>0</v>
      </c>
    </row>
    <row r="56" spans="2:13" customFormat="1" hidden="1" x14ac:dyDescent="0.25">
      <c r="B56" s="19" t="s">
        <v>87</v>
      </c>
      <c r="C56" s="18">
        <f ca="1">IF(VATSelector="ALL",COUNTIFS(Table_query[Path],"sites/RGSales/Shared Documents/General/1.Open Opportunities",Table_query[Phase],_xlfn.XLOOKUP(C$54,Phase[Phase Code],Phase[Phase Description]),Table_query[Days modified],"&gt;7",Table_query[Days modified],"&lt;=14"),COUNTIFS(Table_query[Path],"sites/RGSales/Shared Documents/General/1.Open Opportunities",Table_query[Phase],_xlfn.XLOOKUP(C$54,Phase[Phase Code],Phase[Phase Description]),Table_query[Days modified],"&gt;7",Table_query[Days modified],"&lt;=14",Table_query[VAT],VATSelector))</f>
        <v>13</v>
      </c>
      <c r="D56" s="18">
        <f ca="1">IF(VATSelector="ALL",COUNTIFS(Table_query[Path],"sites/RGSales/Shared Documents/General/1.Open Opportunities",Table_query[Phase],_xlfn.XLOOKUP(D$54,Phase[Phase Code],Phase[Phase Description]),Table_query[Days modified],"&gt;7",Table_query[Days modified],"&lt;=14"),COUNTIFS(Table_query[Path],"sites/RGSales/Shared Documents/General/1.Open Opportunities",Table_query[Phase],_xlfn.XLOOKUP(D$54,Phase[Phase Code],Phase[Phase Description]),Table_query[Days modified],"&gt;7",Table_query[Days modified],"&lt;=14",Table_query[VAT],VATSelector))</f>
        <v>1</v>
      </c>
      <c r="E56" s="18">
        <f ca="1">IF(VATSelector="ALL",COUNTIFS(Table_query[Path],"sites/RGSales/Shared Documents/General/1.Open Opportunities",Table_query[Phase],_xlfn.XLOOKUP(E$54,Phase[Phase Code],Phase[Phase Description]),Table_query[Days modified],"&gt;7",Table_query[Days modified],"&lt;=14"),COUNTIFS(Table_query[Path],"sites/RGSales/Shared Documents/General/1.Open Opportunities",Table_query[Phase],_xlfn.XLOOKUP(E$54,Phase[Phase Code],Phase[Phase Description]),Table_query[Days modified],"&gt;7",Table_query[Days modified],"&lt;=14",Table_query[VAT],VATSelector))</f>
        <v>2</v>
      </c>
      <c r="F56" s="18">
        <f ca="1">IF(VATSelector="ALL",COUNTIFS(Table_query[Path],"sites/RGSales/Shared Documents/General/1.Open Opportunities",Table_query[Phase],_xlfn.XLOOKUP(F$54,Phase[Phase Code],Phase[Phase Description]),Table_query[Days modified],"&gt;7",Table_query[Days modified],"&lt;=14"),COUNTIFS(Table_query[Path],"sites/RGSales/Shared Documents/General/1.Open Opportunities",Table_query[Phase],_xlfn.XLOOKUP(F$54,Phase[Phase Code],Phase[Phase Description]),Table_query[Days modified],"&gt;7",Table_query[Days modified],"&lt;=14",Table_query[VAT],VATSelector))</f>
        <v>6</v>
      </c>
      <c r="G56" s="18">
        <f>IF(VATSelector="ALL",COUNTIFS(Table_query[Path],"sites/RGSales/Shared Documents/General/1.Open Opportunities",Table_query[Phase],_xlfn.XLOOKUP(G$54,Phase[Phase Code],Phase[Phase Description]),Table_query[Days modified],"&gt;7",Table_query[Days modified],"&lt;=14"),COUNTIFS(Table_query[Path],"sites/RGSales/Shared Documents/General/1.Open Opportunities",Table_query[Phase],_xlfn.XLOOKUP(G$54,Phase[Phase Code],Phase[Phase Description]),Table_query[Days modified],"&gt;7",Table_query[Days modified],"&lt;=14",Table_query[VAT],VATSelector))</f>
        <v>0</v>
      </c>
    </row>
    <row r="57" spans="2:13" customFormat="1" hidden="1" x14ac:dyDescent="0.25">
      <c r="B57" s="20" t="s">
        <v>88</v>
      </c>
      <c r="C57" s="18">
        <f ca="1">IF(VATSelector="ALL",COUNTIFS(Table_query[Path],"sites/RGSales/Shared Documents/General/1.Open Opportunities",Table_query[Phase],_xlfn.XLOOKUP(C$54,Phase[Phase Code],Phase[Phase Description]),Table_query[Days modified],"&gt;14",Table_query[Days modified],"&lt;=30"),COUNTIFS(Table_query[Path],"sites/RGSales/Shared Documents/General/1.Open Opportunities",Table_query[Phase],_xlfn.XLOOKUP(C$54,Phase[Phase Code],Phase[Phase Description]),Table_query[Days modified],"&gt;14",Table_query[Days modified],"&lt;=30",Table_query[VAT],VATSelector))</f>
        <v>11</v>
      </c>
      <c r="D57" s="18">
        <f ca="1">IF(VATSelector="ALL",COUNTIFS(Table_query[Path],"sites/RGSales/Shared Documents/General/1.Open Opportunities",Table_query[Phase],_xlfn.XLOOKUP(D$54,Phase[Phase Code],Phase[Phase Description]),Table_query[Days modified],"&gt;14",Table_query[Days modified],"&lt;=30"),COUNTIFS(Table_query[Path],"sites/RGSales/Shared Documents/General/1.Open Opportunities",Table_query[Phase],_xlfn.XLOOKUP(D$54,Phase[Phase Code],Phase[Phase Description]),Table_query[Days modified],"&gt;14",Table_query[Days modified],"&lt;=30",Table_query[VAT],VATSelector))</f>
        <v>0</v>
      </c>
      <c r="E57" s="18">
        <f ca="1">IF(VATSelector="ALL",COUNTIFS(Table_query[Path],"sites/RGSales/Shared Documents/General/1.Open Opportunities",Table_query[Phase],_xlfn.XLOOKUP(E$54,Phase[Phase Code],Phase[Phase Description]),Table_query[Days modified],"&gt;14",Table_query[Days modified],"&lt;=30"),COUNTIFS(Table_query[Path],"sites/RGSales/Shared Documents/General/1.Open Opportunities",Table_query[Phase],_xlfn.XLOOKUP(E$54,Phase[Phase Code],Phase[Phase Description]),Table_query[Days modified],"&gt;14",Table_query[Days modified],"&lt;=30",Table_query[VAT],VATSelector))</f>
        <v>4</v>
      </c>
      <c r="F57" s="18">
        <f ca="1">IF(VATSelector="ALL",COUNTIFS(Table_query[Path],"sites/RGSales/Shared Documents/General/1.Open Opportunities",Table_query[Phase],_xlfn.XLOOKUP(F$54,Phase[Phase Code],Phase[Phase Description]),Table_query[Days modified],"&gt;14",Table_query[Days modified],"&lt;=30"),COUNTIFS(Table_query[Path],"sites/RGSales/Shared Documents/General/1.Open Opportunities",Table_query[Phase],_xlfn.XLOOKUP(F$54,Phase[Phase Code],Phase[Phase Description]),Table_query[Days modified],"&gt;14",Table_query[Days modified],"&lt;=30",Table_query[VAT],VATSelector))</f>
        <v>2</v>
      </c>
      <c r="G57" s="18">
        <f>IF(VATSelector="ALL",COUNTIFS(Table_query[Path],"sites/RGSales/Shared Documents/General/1.Open Opportunities",Table_query[Phase],_xlfn.XLOOKUP(G$54,Phase[Phase Code],Phase[Phase Description]),Table_query[Days modified],"&gt;14",Table_query[Days modified],"&lt;=30"),COUNTIFS(Table_query[Path],"sites/RGSales/Shared Documents/General/1.Open Opportunities",Table_query[Phase],_xlfn.XLOOKUP(G$54,Phase[Phase Code],Phase[Phase Description]),Table_query[Days modified],"&gt;14",Table_query[Days modified],"&lt;=30",Table_query[VAT],VATSelector))</f>
        <v>0</v>
      </c>
    </row>
    <row r="58" spans="2:13" customFormat="1" hidden="1" x14ac:dyDescent="0.25">
      <c r="B58" s="21" t="s">
        <v>89</v>
      </c>
      <c r="C58" s="18">
        <f ca="1">IF(VATSelector="ALL",COUNTIFS(Table_query[Path],"sites/RGSales/Shared Documents/General/1.Open Opportunities",Table_query[Phase],_xlfn.XLOOKUP(C$54,Phase[Phase Code],Phase[Phase Description]),Table_query[Days modified],"&gt;=31"),COUNTIFS(Table_query[Path],"sites/RGSales/Shared Documents/General/1.Open Opportunities",Table_query[Phase],_xlfn.XLOOKUP(C$54,Phase[Phase Code],Phase[Phase Description]),Table_query[Days modified],"&gt;=31",Table_query[VAT],VATSelector))</f>
        <v>7</v>
      </c>
      <c r="D58" s="18">
        <f ca="1">IF(VATSelector="ALL",COUNTIFS(Table_query[Path],"sites/RGSales/Shared Documents/General/1.Open Opportunities",Table_query[Phase],_xlfn.XLOOKUP(D$54,Phase[Phase Code],Phase[Phase Description]),Table_query[Days modified],"&gt;=31"),COUNTIFS(Table_query[Path],"sites/RGSales/Shared Documents/General/1.Open Opportunities",Table_query[Phase],_xlfn.XLOOKUP(D$54,Phase[Phase Code],Phase[Phase Description]),Table_query[Days modified],"&gt;=31",Table_query[VAT],VATSelector))</f>
        <v>0</v>
      </c>
      <c r="E58" s="18">
        <f ca="1">IF(VATSelector="ALL",COUNTIFS(Table_query[Path],"sites/RGSales/Shared Documents/General/1.Open Opportunities",Table_query[Phase],_xlfn.XLOOKUP(E$54,Phase[Phase Code],Phase[Phase Description]),Table_query[Days modified],"&gt;=31"),COUNTIFS(Table_query[Path],"sites/RGSales/Shared Documents/General/1.Open Opportunities",Table_query[Phase],_xlfn.XLOOKUP(E$54,Phase[Phase Code],Phase[Phase Description]),Table_query[Days modified],"&gt;=31",Table_query[VAT],VATSelector))</f>
        <v>2</v>
      </c>
      <c r="F58" s="18">
        <f ca="1">IF(VATSelector="ALL",COUNTIFS(Table_query[Path],"sites/RGSales/Shared Documents/General/1.Open Opportunities",Table_query[Phase],_xlfn.XLOOKUP(F$54,Phase[Phase Code],Phase[Phase Description]),Table_query[Days modified],"&gt;=31"),COUNTIFS(Table_query[Path],"sites/RGSales/Shared Documents/General/1.Open Opportunities",Table_query[Phase],_xlfn.XLOOKUP(F$54,Phase[Phase Code],Phase[Phase Description]),Table_query[Days modified],"&gt;=31",Table_query[VAT],VATSelector))</f>
        <v>0</v>
      </c>
      <c r="G58" s="18">
        <f>IF(VATSelector="ALL",COUNTIFS(Table_query[Path],"sites/RGSales/Shared Documents/General/1.Open Opportunities",Table_query[Phase],_xlfn.XLOOKUP(G$54,Phase[Phase Code],Phase[Phase Description]),Table_query[Days modified],"&gt;=31"),COUNTIFS(Table_query[Path],"sites/RGSales/Shared Documents/General/1.Open Opportunities",Table_query[Phase],_xlfn.XLOOKUP(G$54,Phase[Phase Code],Phase[Phase Description]),Table_query[Days modified],"&gt;=31",Table_query[VAT],VATSelector))</f>
        <v>0</v>
      </c>
    </row>
    <row r="59" spans="2:13" customFormat="1" x14ac:dyDescent="0.25">
      <c r="C59" s="13" t="s">
        <v>91</v>
      </c>
      <c r="D59" s="8"/>
      <c r="E59" s="8"/>
    </row>
    <row r="60" spans="2:13" customFormat="1" x14ac:dyDescent="0.25">
      <c r="C60" t="s">
        <v>5</v>
      </c>
      <c r="D60" s="147" t="b">
        <v>1</v>
      </c>
      <c r="E60" s="8"/>
    </row>
    <row r="61" spans="2:13" customFormat="1" x14ac:dyDescent="0.25">
      <c r="C61" t="s">
        <v>55</v>
      </c>
      <c r="D61" s="147" t="b">
        <v>0</v>
      </c>
      <c r="E61" s="8"/>
      <c r="F61" s="8"/>
      <c r="G61" s="8"/>
      <c r="H61" s="8"/>
    </row>
    <row r="62" spans="2:13" customFormat="1" x14ac:dyDescent="0.25">
      <c r="C62" t="s">
        <v>44</v>
      </c>
      <c r="D62" s="147" t="b">
        <v>0</v>
      </c>
      <c r="E62" s="8"/>
      <c r="F62" s="8"/>
      <c r="G62" s="8"/>
      <c r="H62" s="8"/>
    </row>
  </sheetData>
  <mergeCells count="16">
    <mergeCell ref="D5:G5"/>
    <mergeCell ref="H19:K19"/>
    <mergeCell ref="L19:O19"/>
    <mergeCell ref="H9:I9"/>
    <mergeCell ref="D8:G8"/>
    <mergeCell ref="H8:U8"/>
    <mergeCell ref="R9:S9"/>
    <mergeCell ref="T9:U9"/>
    <mergeCell ref="L9:M9"/>
    <mergeCell ref="P9:Q9"/>
    <mergeCell ref="H5:U5"/>
    <mergeCell ref="H6:I6"/>
    <mergeCell ref="L6:M6"/>
    <mergeCell ref="P6:Q6"/>
    <mergeCell ref="R6:S6"/>
    <mergeCell ref="T6:U6"/>
  </mergeCells>
  <conditionalFormatting sqref="D31:H31 D36:H36">
    <cfRule type="cellIs" dxfId="130" priority="1" operator="greaterThan">
      <formula>0</formula>
    </cfRule>
    <cfRule type="cellIs" dxfId="129" priority="2" operator="lessThan">
      <formula>0</formula>
    </cfRule>
  </conditionalFormatting>
  <dataValidations count="1">
    <dataValidation type="list" allowBlank="1" showInputMessage="1" showErrorMessage="1" sqref="D60:D62" xr:uid="{5BE69816-4104-46D3-97EF-F46AE3F2C3BF}">
      <formula1>"True, False"</formula1>
    </dataValidation>
  </dataValidation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CDF10-086B-41E3-A6D3-BA05F718BD3B}">
  <sheetPr>
    <tabColor theme="5"/>
  </sheetPr>
  <dimension ref="B3:AB66"/>
  <sheetViews>
    <sheetView zoomScaleNormal="100" workbookViewId="0">
      <selection activeCell="C54" sqref="C54:N54"/>
    </sheetView>
  </sheetViews>
  <sheetFormatPr defaultRowHeight="15" x14ac:dyDescent="0.25"/>
  <cols>
    <col min="1" max="1" width="3.5703125" customWidth="1"/>
    <col min="2" max="2" width="9.85546875" customWidth="1"/>
    <col min="3" max="12" width="13.5703125" bestFit="1" customWidth="1"/>
    <col min="13" max="14" width="12" bestFit="1" customWidth="1"/>
    <col min="17" max="21" width="13.5703125" bestFit="1" customWidth="1"/>
    <col min="22" max="28" width="14.5703125" bestFit="1" customWidth="1"/>
  </cols>
  <sheetData>
    <row r="3" spans="15:15" x14ac:dyDescent="0.25">
      <c r="O3" s="112"/>
    </row>
    <row r="4" spans="15:15" x14ac:dyDescent="0.25">
      <c r="O4" s="112"/>
    </row>
    <row r="5" spans="15:15" x14ac:dyDescent="0.25">
      <c r="O5" s="112"/>
    </row>
    <row r="6" spans="15:15" x14ac:dyDescent="0.25">
      <c r="O6" s="112"/>
    </row>
    <row r="7" spans="15:15" x14ac:dyDescent="0.25">
      <c r="O7" s="112"/>
    </row>
    <row r="41" spans="2:28" x14ac:dyDescent="0.25">
      <c r="B41" s="13" t="s">
        <v>92</v>
      </c>
      <c r="P41" s="13" t="s">
        <v>93</v>
      </c>
    </row>
    <row r="42" spans="2:28" x14ac:dyDescent="0.25">
      <c r="B42" s="113" t="s">
        <v>94</v>
      </c>
      <c r="C42" s="112" t="s">
        <v>95</v>
      </c>
      <c r="D42" s="112" t="s">
        <v>96</v>
      </c>
      <c r="E42" s="112" t="s">
        <v>97</v>
      </c>
      <c r="F42" s="112" t="s">
        <v>98</v>
      </c>
      <c r="G42" s="112" t="s">
        <v>99</v>
      </c>
      <c r="H42" s="112" t="s">
        <v>100</v>
      </c>
      <c r="I42" s="112" t="s">
        <v>101</v>
      </c>
      <c r="J42" s="112" t="s">
        <v>102</v>
      </c>
      <c r="K42" s="112" t="s">
        <v>103</v>
      </c>
      <c r="L42" s="112" t="s">
        <v>104</v>
      </c>
      <c r="M42" s="112" t="s">
        <v>105</v>
      </c>
      <c r="N42" s="112" t="s">
        <v>106</v>
      </c>
      <c r="P42" s="113" t="s">
        <v>94</v>
      </c>
      <c r="Q42" s="112" t="s">
        <v>95</v>
      </c>
      <c r="R42" s="112" t="s">
        <v>96</v>
      </c>
      <c r="S42" s="112" t="s">
        <v>97</v>
      </c>
      <c r="T42" s="112" t="s">
        <v>98</v>
      </c>
      <c r="U42" s="112" t="s">
        <v>99</v>
      </c>
      <c r="V42" s="112" t="s">
        <v>100</v>
      </c>
      <c r="W42" s="112" t="s">
        <v>101</v>
      </c>
      <c r="X42" s="112" t="s">
        <v>102</v>
      </c>
      <c r="Y42" s="112" t="s">
        <v>103</v>
      </c>
      <c r="Z42" s="112" t="s">
        <v>104</v>
      </c>
      <c r="AA42" s="112" t="s">
        <v>105</v>
      </c>
      <c r="AB42" s="112" t="s">
        <v>106</v>
      </c>
    </row>
    <row r="43" spans="2:28" x14ac:dyDescent="0.25">
      <c r="B43" s="112" t="s">
        <v>107</v>
      </c>
      <c r="C43" s="112">
        <f>C54</f>
        <v>371824.24500000034</v>
      </c>
      <c r="D43" s="112">
        <f>SUM($C54:D54)</f>
        <v>996334.70500000042</v>
      </c>
      <c r="E43" s="112">
        <f>SUM($C54:E54)</f>
        <v>1791429.3975000004</v>
      </c>
      <c r="F43" s="112">
        <f>SUM($C54:F54)</f>
        <v>2809151.1750000003</v>
      </c>
      <c r="G43" s="112">
        <f>SUM($C54:G54)</f>
        <v>3458448.8100000005</v>
      </c>
      <c r="H43" s="112">
        <f>SUM($C54:H54)</f>
        <v>3922585.1100000003</v>
      </c>
      <c r="I43" s="112">
        <f>SUM($C54:I54)</f>
        <v>4250178.2150000008</v>
      </c>
      <c r="J43" s="112">
        <f>SUM($C54:J54)</f>
        <v>4545961.6519055041</v>
      </c>
      <c r="K43" s="112">
        <f>SUM($C54:K54)</f>
        <v>4823816.6098743752</v>
      </c>
      <c r="L43" s="112">
        <f>SUM($C54:L54)</f>
        <v>4981526.9665474147</v>
      </c>
      <c r="M43" s="112">
        <f>SUM($C54:M54)</f>
        <v>5144609.1618290953</v>
      </c>
      <c r="N43" s="112">
        <f>SUM($C54:N54)</f>
        <v>5352390.2930030376</v>
      </c>
      <c r="P43" s="112" t="s">
        <v>107</v>
      </c>
      <c r="Q43" s="112">
        <f>Q54</f>
        <v>1489443.4450000001</v>
      </c>
      <c r="R43" s="112">
        <f>SUM($Q54:R54)</f>
        <v>3380720.4050000003</v>
      </c>
      <c r="S43" s="112">
        <f>SUM($Q54:S54)</f>
        <v>5912887.2775000008</v>
      </c>
      <c r="T43" s="112">
        <f>SUM($Q54:T54)</f>
        <v>8541298.352500001</v>
      </c>
      <c r="U43" s="112">
        <f>SUM($Q54:U54)</f>
        <v>10744629.057500001</v>
      </c>
      <c r="V43" s="112">
        <f>SUM($Q54:V54)</f>
        <v>12418789.122500001</v>
      </c>
      <c r="W43" s="112">
        <f>SUM($Q54:W54)</f>
        <v>13865662.717500001</v>
      </c>
      <c r="X43" s="112">
        <f>SUM($Q54:X54)</f>
        <v>15392756.034780504</v>
      </c>
      <c r="Y43" s="112">
        <f>SUM($Q54:Y54)</f>
        <v>17156780.645324375</v>
      </c>
      <c r="Z43" s="112">
        <f>SUM($Q54:Z54)</f>
        <v>18295901.434447415</v>
      </c>
      <c r="AA43" s="112">
        <f>SUM($Q54:AA54)</f>
        <v>19428136.510229096</v>
      </c>
      <c r="AB43" s="112">
        <f>SUM($Q54:AB54)</f>
        <v>20629881.288978036</v>
      </c>
    </row>
    <row r="44" spans="2:28" x14ac:dyDescent="0.25">
      <c r="B44" s="112" t="s">
        <v>78</v>
      </c>
      <c r="C44" s="112">
        <f>C43+C55</f>
        <v>371824.24500000034</v>
      </c>
      <c r="D44" s="112">
        <f>SUM($C55:D55)+D43</f>
        <v>996334.70500000042</v>
      </c>
      <c r="E44" s="112">
        <f>SUM($C55:E55)+E43</f>
        <v>1791429.3975000004</v>
      </c>
      <c r="F44" s="112">
        <f>SUM($C55:F55)+F43</f>
        <v>2809151.1750000003</v>
      </c>
      <c r="G44" s="112">
        <f>SUM($C55:G55)+G43</f>
        <v>3458448.8100000005</v>
      </c>
      <c r="H44" s="112">
        <f>SUM($C55:H55)+H43</f>
        <v>3922585.1100000003</v>
      </c>
      <c r="I44" s="112">
        <f>SUM($C55:I55)+I43</f>
        <v>4250178.2150000008</v>
      </c>
      <c r="J44" s="112">
        <f>SUM($C55:J55)+J43</f>
        <v>4545961.6519055041</v>
      </c>
      <c r="K44" s="112">
        <f>SUM($C55:K55)+K43</f>
        <v>4823816.6098743752</v>
      </c>
      <c r="L44" s="112">
        <f>SUM($C55:L55)+L43</f>
        <v>4981526.9665474147</v>
      </c>
      <c r="M44" s="112">
        <f>SUM($C55:M55)+M43</f>
        <v>5144609.1618290953</v>
      </c>
      <c r="N44" s="112">
        <f>SUM($C55:N55)+N43</f>
        <v>5352390.2930030376</v>
      </c>
      <c r="P44" s="112" t="s">
        <v>78</v>
      </c>
      <c r="Q44" s="112">
        <f t="shared" ref="Q44:Q45" si="0">Q55+Q43</f>
        <v>1489443.4450000001</v>
      </c>
      <c r="R44" s="112">
        <f>SUM($Q55:R55)+R43</f>
        <v>3380720.4050000003</v>
      </c>
      <c r="S44" s="112">
        <f>SUM($Q55:S55)+S43</f>
        <v>5912887.2775000008</v>
      </c>
      <c r="T44" s="112">
        <f>SUM($Q55:T55)+T43</f>
        <v>8541298.352500001</v>
      </c>
      <c r="U44" s="112">
        <f>SUM($Q55:U55)+U43</f>
        <v>10744629.057500001</v>
      </c>
      <c r="V44" s="112">
        <f>SUM($Q55:V55)+V43</f>
        <v>12418789.122500001</v>
      </c>
      <c r="W44" s="112">
        <f>SUM($Q55:W55)+W43</f>
        <v>13865662.717500001</v>
      </c>
      <c r="X44" s="112">
        <f>SUM($Q55:X55)+X43</f>
        <v>15392756.034780504</v>
      </c>
      <c r="Y44" s="112">
        <f>SUM($Q55:Y55)+Y43</f>
        <v>17156780.645324375</v>
      </c>
      <c r="Z44" s="112">
        <f>SUM($Q55:Z55)+Z43</f>
        <v>18295901.434447415</v>
      </c>
      <c r="AA44" s="112">
        <f>SUM($Q55:AA55)+AA43</f>
        <v>19428136.510229096</v>
      </c>
      <c r="AB44" s="112">
        <f>SUM($Q55:AB55)+AB43</f>
        <v>20629881.288978036</v>
      </c>
    </row>
    <row r="45" spans="2:28" x14ac:dyDescent="0.25">
      <c r="B45" s="112" t="s">
        <v>77</v>
      </c>
      <c r="C45" s="112">
        <f>C44+C56</f>
        <v>371824.24500000034</v>
      </c>
      <c r="D45" s="112">
        <f>SUM($C56:D56)+D44</f>
        <v>996334.70500000042</v>
      </c>
      <c r="E45" s="112">
        <f>SUM($C56:E56)+E44</f>
        <v>1791429.3975000004</v>
      </c>
      <c r="F45" s="112">
        <f>SUM($C56:F56)+F44</f>
        <v>2809151.1750000003</v>
      </c>
      <c r="G45" s="112">
        <f>SUM($C56:G56)+G44</f>
        <v>3458448.8100000005</v>
      </c>
      <c r="H45" s="112">
        <f>SUM($C56:H56)+H44</f>
        <v>3922585.1100000003</v>
      </c>
      <c r="I45" s="112">
        <f>SUM($C56:I56)+I44</f>
        <v>4250178.2150000008</v>
      </c>
      <c r="J45" s="112">
        <f>SUM($C56:J56)+J44</f>
        <v>4554962.0519055044</v>
      </c>
      <c r="K45" s="112">
        <f>SUM($C56:K56)+K44</f>
        <v>4878192.1298743747</v>
      </c>
      <c r="L45" s="112">
        <f>SUM($C56:L56)+L44</f>
        <v>6026739.2065474149</v>
      </c>
      <c r="M45" s="112">
        <f>SUM($C56:M56)+M44</f>
        <v>6501435.4018290956</v>
      </c>
      <c r="N45" s="112">
        <f>SUM($C56:N56)+N44</f>
        <v>7559370.1330030374</v>
      </c>
      <c r="P45" s="112" t="s">
        <v>77</v>
      </c>
      <c r="Q45" s="112">
        <f t="shared" si="0"/>
        <v>1489443.4450000001</v>
      </c>
      <c r="R45" s="112">
        <f>SUM($Q56:R56)+R44</f>
        <v>3380720.4050000003</v>
      </c>
      <c r="S45" s="112">
        <f>SUM($Q56:S56)+S44</f>
        <v>5912887.2775000008</v>
      </c>
      <c r="T45" s="112">
        <f>SUM($Q56:T56)+T44</f>
        <v>8541298.352500001</v>
      </c>
      <c r="U45" s="112">
        <f>SUM($Q56:U56)+U44</f>
        <v>10744629.057500001</v>
      </c>
      <c r="V45" s="112">
        <f>SUM($Q56:V56)+V44</f>
        <v>12418789.122500001</v>
      </c>
      <c r="W45" s="112">
        <f>SUM($Q56:W56)+W44</f>
        <v>13865662.717500001</v>
      </c>
      <c r="X45" s="112">
        <f>SUM($Q56:X56)+X44</f>
        <v>15412800.434780505</v>
      </c>
      <c r="Y45" s="112">
        <f>SUM($Q56:Y56)+Y44</f>
        <v>17285040.565324377</v>
      </c>
      <c r="Z45" s="112">
        <f>SUM($Q56:Z56)+Z44</f>
        <v>19960460.074447416</v>
      </c>
      <c r="AA45" s="112">
        <f>SUM($Q56:AA56)+AA44</f>
        <v>21881569.150229096</v>
      </c>
      <c r="AB45" s="112">
        <f>SUM($Q56:AB56)+AB44</f>
        <v>25127631.528978035</v>
      </c>
    </row>
    <row r="46" spans="2:28" x14ac:dyDescent="0.25">
      <c r="B46" s="112" t="s">
        <v>108</v>
      </c>
      <c r="C46" s="112">
        <f>C45+C57</f>
        <v>371824.24500000034</v>
      </c>
      <c r="D46" s="112">
        <f>SUM($C57:D57)+D45</f>
        <v>996334.70500000042</v>
      </c>
      <c r="E46" s="112">
        <f>SUM($C57:E57)+E45</f>
        <v>1791429.3975000004</v>
      </c>
      <c r="F46" s="112">
        <f>SUM($C57:F57)+F45</f>
        <v>2809151.1750000003</v>
      </c>
      <c r="G46" s="112">
        <f>SUM($C57:G57)+G45</f>
        <v>3458448.8100000005</v>
      </c>
      <c r="H46" s="112">
        <f>SUM($C57:H57)+H45</f>
        <v>3922585.1100000003</v>
      </c>
      <c r="I46" s="112">
        <f>SUM($C57:I57)+I45</f>
        <v>4250178.2150000008</v>
      </c>
      <c r="J46" s="112">
        <f>SUM($C57:J57)+J45</f>
        <v>4554962.0519055044</v>
      </c>
      <c r="K46" s="112">
        <f>SUM($C57:K57)+K45</f>
        <v>4878192.1298743747</v>
      </c>
      <c r="L46" s="112">
        <f>SUM($C57:L57)+L45</f>
        <v>6026739.2065474149</v>
      </c>
      <c r="M46" s="112">
        <f>SUM($C57:M57)+M45</f>
        <v>6501435.4018290956</v>
      </c>
      <c r="N46" s="112">
        <f>SUM($C57:N57)+N45</f>
        <v>7559370.1330030374</v>
      </c>
      <c r="P46" s="112" t="s">
        <v>108</v>
      </c>
      <c r="Q46" s="112">
        <f>Q57+Q45</f>
        <v>1489443.4450000001</v>
      </c>
      <c r="R46" s="112">
        <f>SUM($Q57:R57)+R45</f>
        <v>3380720.4050000003</v>
      </c>
      <c r="S46" s="112">
        <f>SUM($Q57:S57)+S45</f>
        <v>5912887.2775000008</v>
      </c>
      <c r="T46" s="112">
        <f>SUM($Q57:T57)+T45</f>
        <v>8541298.352500001</v>
      </c>
      <c r="U46" s="112">
        <f>SUM($Q57:U57)+U45</f>
        <v>10744629.057500001</v>
      </c>
      <c r="V46" s="112">
        <f>SUM($Q57:V57)+V45</f>
        <v>12418789.122500001</v>
      </c>
      <c r="W46" s="112">
        <f>SUM($Q57:W57)+W45</f>
        <v>13865662.717500001</v>
      </c>
      <c r="X46" s="112">
        <f>SUM($Q57:X57)+X45</f>
        <v>15412800.434780505</v>
      </c>
      <c r="Y46" s="112">
        <f>SUM($Q57:Y57)+Y45</f>
        <v>17285040.565324377</v>
      </c>
      <c r="Z46" s="112">
        <f>SUM($Q57:Z57)+Z45</f>
        <v>19960460.074447416</v>
      </c>
      <c r="AA46" s="112">
        <f>SUM($Q57:AA57)+AA45</f>
        <v>21881569.150229096</v>
      </c>
      <c r="AB46" s="112">
        <f>SUM($Q57:AB57)+AB45</f>
        <v>25127631.528978035</v>
      </c>
    </row>
    <row r="47" spans="2:28" s="231" customFormat="1" x14ac:dyDescent="0.25">
      <c r="B47" s="112" t="s">
        <v>109</v>
      </c>
      <c r="C47" s="112">
        <f>C46+C58</f>
        <v>371824.24500000034</v>
      </c>
      <c r="D47" s="112">
        <f>SUM($C58:D58)+D46</f>
        <v>996334.70500000042</v>
      </c>
      <c r="E47" s="112">
        <f>SUM($C58:E58)+E46</f>
        <v>1791429.3975000004</v>
      </c>
      <c r="F47" s="112">
        <f>SUM($C58:F58)+F46</f>
        <v>2809151.1750000003</v>
      </c>
      <c r="G47" s="112">
        <f>SUM($C58:G58)+G46</f>
        <v>3458448.8100000005</v>
      </c>
      <c r="H47" s="112">
        <f>SUM($C58:H58)+H46</f>
        <v>3922585.1100000003</v>
      </c>
      <c r="I47" s="112">
        <f>SUM($C58:I58)+I46</f>
        <v>4250178.2150000008</v>
      </c>
      <c r="J47" s="112">
        <f>SUM($C58:J58)+J46</f>
        <v>4554962.0519055044</v>
      </c>
      <c r="K47" s="112">
        <f>SUM($C58:K58)+K46</f>
        <v>4878192.1298743747</v>
      </c>
      <c r="L47" s="112">
        <f>SUM($C58:L58)+L46</f>
        <v>6026739.2065474149</v>
      </c>
      <c r="M47" s="112">
        <f>SUM($C58:M58)+M46</f>
        <v>6501435.4018290956</v>
      </c>
      <c r="N47" s="112">
        <f>SUM($C58:N58)+N46</f>
        <v>7559370.1330030374</v>
      </c>
      <c r="P47" s="112" t="s">
        <v>109</v>
      </c>
      <c r="Q47" s="112">
        <f ca="1">Q58+Q46</f>
        <v>1489443.4450000001</v>
      </c>
      <c r="R47" s="112">
        <f ca="1">SUM($Q58:R58)+R46</f>
        <v>3380720.4050000003</v>
      </c>
      <c r="S47" s="112">
        <f ca="1">SUM($Q58:S58)+S46</f>
        <v>5912887.2775000008</v>
      </c>
      <c r="T47" s="112">
        <f ca="1">SUM($Q58:T58)+T46</f>
        <v>8541298.352500001</v>
      </c>
      <c r="U47" s="112">
        <f ca="1">SUM($Q58:U58)+U46</f>
        <v>10744629.057500001</v>
      </c>
      <c r="V47" s="112">
        <f ca="1">SUM($Q58:V58)+V46</f>
        <v>12418789.122500001</v>
      </c>
      <c r="W47" s="112">
        <f ca="1">SUM($Q58:W58)+W46</f>
        <v>13865662.717500001</v>
      </c>
      <c r="X47" s="112">
        <f ca="1">SUM($Q58:X58)+X46</f>
        <v>15532800.434780505</v>
      </c>
      <c r="Y47" s="112">
        <f ca="1">SUM($Q58:Y58)+Y46</f>
        <v>17525040.565324377</v>
      </c>
      <c r="Z47" s="112">
        <f ca="1">SUM($Q58:Z58)+Z46</f>
        <v>20320460.074447416</v>
      </c>
      <c r="AA47" s="112">
        <f ca="1">SUM($Q58:AA58)+AA46</f>
        <v>22554426.293086238</v>
      </c>
      <c r="AB47" s="112">
        <f ca="1">SUM($Q58:AB58)+AB46</f>
        <v>26063345.814692322</v>
      </c>
    </row>
    <row r="48" spans="2:28" s="231" customFormat="1" ht="13.5" x14ac:dyDescent="0.25">
      <c r="B48" s="229" t="s">
        <v>110</v>
      </c>
      <c r="C48" s="230">
        <f>C59</f>
        <v>971166.66666666674</v>
      </c>
      <c r="D48" s="230">
        <f>SUM($C59:D59)</f>
        <v>1946833.3333333335</v>
      </c>
      <c r="E48" s="230">
        <f>SUM($C59:E59)</f>
        <v>2937500</v>
      </c>
      <c r="F48" s="230">
        <f>SUM($C59:F59)</f>
        <v>3891666.666666667</v>
      </c>
      <c r="G48" s="230">
        <f>SUM($C59:G59)</f>
        <v>4845833.333333334</v>
      </c>
      <c r="H48" s="230">
        <f>SUM($C59:H59)</f>
        <v>5800000.0000000009</v>
      </c>
      <c r="I48" s="230">
        <f>SUM($C59:I59)</f>
        <v>7016666.6666666679</v>
      </c>
      <c r="J48" s="230">
        <f>SUM($C59:J59)</f>
        <v>8233333.3333333349</v>
      </c>
      <c r="K48" s="230">
        <f>SUM($C59:K59)</f>
        <v>9450000.0000000019</v>
      </c>
      <c r="L48" s="230">
        <f>SUM($C59:L59)</f>
        <v>10666666.666666668</v>
      </c>
      <c r="M48" s="230">
        <f>SUM($C59:M59)</f>
        <v>11883333.333333334</v>
      </c>
      <c r="N48" s="230">
        <f>SUM($C59:N59)</f>
        <v>13100000</v>
      </c>
      <c r="P48" s="229" t="s">
        <v>110</v>
      </c>
      <c r="Q48" s="230">
        <f>Q59</f>
        <v>3179953.1024531019</v>
      </c>
      <c r="R48" s="230">
        <f>SUM($Q59:R59)</f>
        <v>6374906.2049062038</v>
      </c>
      <c r="S48" s="230">
        <f>SUM($Q59:S59)</f>
        <v>9619859.3073593061</v>
      </c>
      <c r="T48" s="230">
        <f>SUM($Q59:T59)</f>
        <v>12432539.682539681</v>
      </c>
      <c r="U48" s="230">
        <f>SUM($Q59:U59)</f>
        <v>15245220.057720056</v>
      </c>
      <c r="V48" s="230">
        <f>SUM($Q59:V59)</f>
        <v>18057900.432900429</v>
      </c>
      <c r="W48" s="230">
        <f>SUM($Q59:W59)</f>
        <v>22211489.898989893</v>
      </c>
      <c r="X48" s="230">
        <f>SUM($Q59:X59)</f>
        <v>26365079.365079358</v>
      </c>
      <c r="Y48" s="230">
        <f>SUM($Q59:Y59)</f>
        <v>30518668.831168823</v>
      </c>
      <c r="Z48" s="230">
        <f>SUM($Q59:Z59)</f>
        <v>34672258.297258288</v>
      </c>
      <c r="AA48" s="230">
        <f>SUM($Q59:AA59)</f>
        <v>38825847.763347752</v>
      </c>
      <c r="AB48" s="230">
        <f>SUM($Q59:AB59)</f>
        <v>42979437.229437217</v>
      </c>
    </row>
    <row r="49" spans="2:28" s="231" customFormat="1" ht="13.5" x14ac:dyDescent="0.25">
      <c r="B49" s="232" t="s">
        <v>111</v>
      </c>
      <c r="C49" s="230">
        <f>C60</f>
        <v>748666.66666666674</v>
      </c>
      <c r="D49" s="230">
        <f>SUM($C60:D60)</f>
        <v>1501833.3333333335</v>
      </c>
      <c r="E49" s="230">
        <f>SUM($C60:E60)</f>
        <v>2270000</v>
      </c>
      <c r="F49" s="230">
        <f>SUM($C60:F60)</f>
        <v>3043333.3333333335</v>
      </c>
      <c r="G49" s="230">
        <f>SUM($C60:G60)</f>
        <v>3816666.666666667</v>
      </c>
      <c r="H49" s="230">
        <f>SUM($C60:H60)</f>
        <v>4590000</v>
      </c>
      <c r="I49" s="230">
        <f>SUM($C60:I60)</f>
        <v>5513333.333333333</v>
      </c>
      <c r="J49" s="230">
        <f>SUM($C60:J60)</f>
        <v>6436666.666666666</v>
      </c>
      <c r="K49" s="230">
        <f>SUM($C60:K60)</f>
        <v>7359999.9999999991</v>
      </c>
      <c r="L49" s="230">
        <f>SUM($C60:L60)</f>
        <v>8283333.3333333321</v>
      </c>
      <c r="M49" s="230">
        <f>SUM($C60:M60)</f>
        <v>9206666.666666666</v>
      </c>
      <c r="N49" s="230">
        <f>SUM($C60:N60)</f>
        <v>10130000</v>
      </c>
      <c r="P49" s="232" t="s">
        <v>111</v>
      </c>
      <c r="Q49" s="230">
        <f>Q60</f>
        <v>2510562.7705627708</v>
      </c>
      <c r="R49" s="230">
        <f>SUM($Q60:R60)</f>
        <v>5036125.5411255416</v>
      </c>
      <c r="S49" s="230">
        <f>SUM($Q60:S60)</f>
        <v>7611688.3116883123</v>
      </c>
      <c r="T49" s="230">
        <f>SUM($Q60:T60)</f>
        <v>10007503.607503608</v>
      </c>
      <c r="U49" s="230">
        <f>SUM($Q60:U60)</f>
        <v>12403318.903318904</v>
      </c>
      <c r="V49" s="230">
        <f>SUM($Q60:V60)</f>
        <v>14799134.199134201</v>
      </c>
      <c r="W49" s="230">
        <f>SUM($Q60:W60)</f>
        <v>17990404.040404044</v>
      </c>
      <c r="X49" s="230">
        <f>SUM($Q60:X60)</f>
        <v>21181673.881673887</v>
      </c>
      <c r="Y49" s="230">
        <f>SUM($Q60:Y60)</f>
        <v>24372943.722943731</v>
      </c>
      <c r="Z49" s="230">
        <f>SUM($Q60:Z60)</f>
        <v>27564213.564213574</v>
      </c>
      <c r="AA49" s="230">
        <f>SUM($Q60:AA60)</f>
        <v>30755483.405483417</v>
      </c>
      <c r="AB49" s="230">
        <f>SUM($Q60:AB60)</f>
        <v>33946753.24675326</v>
      </c>
    </row>
    <row r="50" spans="2:28" x14ac:dyDescent="0.25">
      <c r="B50" s="233" t="s">
        <v>4</v>
      </c>
      <c r="C50" s="230">
        <f>C61</f>
        <v>537000</v>
      </c>
      <c r="D50" s="230">
        <f>SUM($C61:D61)</f>
        <v>1078500</v>
      </c>
      <c r="E50" s="230">
        <f>SUM($C61:E61)</f>
        <v>1635000</v>
      </c>
      <c r="F50" s="230">
        <f>SUM($C61:F61)</f>
        <v>2215000</v>
      </c>
      <c r="G50" s="230">
        <f>SUM($C61:G61)</f>
        <v>2795000</v>
      </c>
      <c r="H50" s="230">
        <f>SUM($C61:H61)</f>
        <v>3375000</v>
      </c>
      <c r="I50" s="230">
        <f>SUM($C61:I61)</f>
        <v>3992500</v>
      </c>
      <c r="J50" s="230">
        <f>SUM($C61:J61)</f>
        <v>4610000</v>
      </c>
      <c r="K50" s="230">
        <f>SUM($C61:K61)</f>
        <v>5227500</v>
      </c>
      <c r="L50" s="230">
        <f>SUM($C61:L61)</f>
        <v>5845000</v>
      </c>
      <c r="M50" s="230">
        <f>SUM($C61:M61)</f>
        <v>6462500</v>
      </c>
      <c r="N50" s="230">
        <f>SUM($C61:N61)</f>
        <v>7080000</v>
      </c>
      <c r="P50" s="233" t="s">
        <v>4</v>
      </c>
      <c r="Q50" s="230">
        <f>Q61</f>
        <v>1877366.8619358274</v>
      </c>
      <c r="R50" s="230">
        <f>SUM($Q61:R61)</f>
        <v>3769733.7238716548</v>
      </c>
      <c r="S50" s="230">
        <f>SUM($Q61:S61)</f>
        <v>5712100.5858074818</v>
      </c>
      <c r="T50" s="230">
        <f>SUM($Q61:T61)</f>
        <v>7643720.3213065276</v>
      </c>
      <c r="U50" s="230">
        <f>SUM($Q61:U61)</f>
        <v>9575340.0568055734</v>
      </c>
      <c r="V50" s="230">
        <f>SUM($Q61:V61)</f>
        <v>11506959.79230462</v>
      </c>
      <c r="W50" s="230">
        <f>SUM($Q61:W61)</f>
        <v>13697200.217458839</v>
      </c>
      <c r="X50" s="230">
        <f>SUM($Q61:X61)</f>
        <v>15887440.642613057</v>
      </c>
      <c r="Y50" s="230">
        <f>SUM($Q61:Y61)</f>
        <v>18077681.067767277</v>
      </c>
      <c r="Z50" s="230">
        <f>SUM($Q61:Z61)</f>
        <v>20267921.492921494</v>
      </c>
      <c r="AA50" s="230">
        <f>SUM($Q61:AA61)</f>
        <v>22458161.918075711</v>
      </c>
      <c r="AB50" s="230">
        <f>SUM($Q61:AB61)</f>
        <v>24648402.343229927</v>
      </c>
    </row>
    <row r="52" spans="2:28" x14ac:dyDescent="0.25">
      <c r="B52" s="13" t="s">
        <v>112</v>
      </c>
      <c r="P52" s="13" t="s">
        <v>113</v>
      </c>
    </row>
    <row r="53" spans="2:28" x14ac:dyDescent="0.25">
      <c r="B53" s="120" t="s">
        <v>94</v>
      </c>
      <c r="C53" s="121" t="s">
        <v>95</v>
      </c>
      <c r="D53" s="121" t="s">
        <v>96</v>
      </c>
      <c r="E53" s="121" t="s">
        <v>97</v>
      </c>
      <c r="F53" s="121" t="s">
        <v>98</v>
      </c>
      <c r="G53" s="121" t="s">
        <v>99</v>
      </c>
      <c r="H53" s="121" t="s">
        <v>100</v>
      </c>
      <c r="I53" s="121" t="s">
        <v>101</v>
      </c>
      <c r="J53" s="121" t="s">
        <v>102</v>
      </c>
      <c r="K53" s="121" t="s">
        <v>103</v>
      </c>
      <c r="L53" s="121" t="s">
        <v>104</v>
      </c>
      <c r="M53" s="121" t="s">
        <v>105</v>
      </c>
      <c r="N53" s="122" t="s">
        <v>106</v>
      </c>
      <c r="P53" s="13" t="s">
        <v>94</v>
      </c>
      <c r="Q53" s="118" t="s">
        <v>95</v>
      </c>
      <c r="R53" s="118" t="s">
        <v>96</v>
      </c>
      <c r="S53" s="118" t="s">
        <v>97</v>
      </c>
      <c r="T53" s="118" t="s">
        <v>98</v>
      </c>
      <c r="U53" s="118" t="s">
        <v>99</v>
      </c>
      <c r="V53" s="118" t="s">
        <v>100</v>
      </c>
      <c r="W53" s="118" t="s">
        <v>101</v>
      </c>
      <c r="X53" s="118" t="s">
        <v>102</v>
      </c>
      <c r="Y53" s="118" t="s">
        <v>103</v>
      </c>
      <c r="Z53" s="118" t="s">
        <v>104</v>
      </c>
      <c r="AA53" s="118" t="s">
        <v>105</v>
      </c>
      <c r="AB53" s="118" t="s">
        <v>106</v>
      </c>
    </row>
    <row r="54" spans="2:28" x14ac:dyDescent="0.25">
      <c r="B54" s="117" t="s">
        <v>107</v>
      </c>
      <c r="C54" s="119">
        <f>IF(VATSelector="ALL",Job_Status[[#Totals],[P1]],SUMIF(Job_Status[VAT],VATSelector,Job_Status[P1]))</f>
        <v>371824.24500000034</v>
      </c>
      <c r="D54" s="119">
        <f>IF(VATSelector="ALL",Job_Status[[#Totals],[P2]],SUMIF(Job_Status[VAT],VATSelector,Job_Status[P2]))</f>
        <v>624510.46000000008</v>
      </c>
      <c r="E54" s="119">
        <f>IF(VATSelector="ALL",Job_Status[[#Totals],[P3]],SUMIF(Job_Status[VAT],VATSelector,Job_Status[P3]))</f>
        <v>795094.69250000012</v>
      </c>
      <c r="F54" s="119">
        <f>IF(VATSelector="ALL",Job_Status[[#Totals],[P4]],SUMIF(Job_Status[VAT],VATSelector,Job_Status[P4]))</f>
        <v>1017721.7774999999</v>
      </c>
      <c r="G54" s="119">
        <f>IF(VATSelector="ALL",Job_Status[[#Totals],[P5]],SUMIF(Job_Status[VAT],VATSelector,Job_Status[P5]))</f>
        <v>649297.63500000036</v>
      </c>
      <c r="H54" s="119">
        <f>IF(VATSelector="ALL",Job_Status[[#Totals],[P6]],SUMIF(Job_Status[VAT],VATSelector,Job_Status[P6]))</f>
        <v>464136.30000000005</v>
      </c>
      <c r="I54" s="119">
        <f>IF(VATSelector="ALL",Job_Status[[#Totals],[P7]],SUMIF(Job_Status[VAT],VATSelector,Job_Status[P7]))</f>
        <v>327593.10500000045</v>
      </c>
      <c r="J54" s="119">
        <f>IF(VATSelector="ALL",Job_Status[[#Totals],[P8]],SUMIF(Job_Status[VAT],VATSelector,Job_Status[P8]))</f>
        <v>295783.43690550298</v>
      </c>
      <c r="K54" s="119">
        <f>IF(VATSelector="ALL",Job_Status[[#Totals],[P9]],SUMIF(Job_Status[VAT],VATSelector,Job_Status[P9]))</f>
        <v>277854.95796887117</v>
      </c>
      <c r="L54" s="119">
        <f>IF(VATSelector="ALL",Job_Status[[#Totals],[P10]],SUMIF(Job_Status[VAT],VATSelector,Job_Status[P10]))</f>
        <v>157710.35667303912</v>
      </c>
      <c r="M54" s="119">
        <f>IF(VATSelector="ALL",Job_Status[[#Totals],[P11]],SUMIF(Job_Status[VAT],VATSelector,Job_Status[P11]))</f>
        <v>163082.1952816805</v>
      </c>
      <c r="N54" s="119">
        <f>IF(VATSelector="ALL",Job_Status[[#Totals],[P12]],SUMIF(Job_Status[VAT],VATSelector,Job_Status[P12]))</f>
        <v>207781.13117394212</v>
      </c>
      <c r="P54" t="s">
        <v>107</v>
      </c>
      <c r="Q54" s="112">
        <f>Job_Status[[#Totals],[R1]]</f>
        <v>1489443.4450000001</v>
      </c>
      <c r="R54" s="112">
        <f>Job_Status[[#Totals],[R2]]</f>
        <v>1891276.96</v>
      </c>
      <c r="S54" s="112">
        <f>Job_Status[[#Totals],[R3]]</f>
        <v>2532166.8725000005</v>
      </c>
      <c r="T54" s="112">
        <f>Job_Status[[#Totals],[R4]]</f>
        <v>2628411.0750000002</v>
      </c>
      <c r="U54" s="112">
        <f>Job_Status[[#Totals],[R5]]</f>
        <v>2203330.7050000001</v>
      </c>
      <c r="V54" s="112">
        <f>Job_Status[[#Totals],[R6]]</f>
        <v>1674160.0649999995</v>
      </c>
      <c r="W54" s="112">
        <f>Job_Status[[#Totals],[R7]]</f>
        <v>1446873.5950000002</v>
      </c>
      <c r="X54" s="112">
        <f>Job_Status[[#Totals],[R8]]</f>
        <v>1527093.317280503</v>
      </c>
      <c r="Y54" s="112">
        <f>Job_Status[[#Totals],[R9]]</f>
        <v>1764024.6105438715</v>
      </c>
      <c r="Z54" s="112">
        <f>Job_Status[[#Totals],[R10]]</f>
        <v>1139120.789123039</v>
      </c>
      <c r="AA54" s="112">
        <f>Job_Status[[#Totals],[R11]]</f>
        <v>1132235.0757816804</v>
      </c>
      <c r="AB54" s="112">
        <f>Job_Status[[#Totals],[R12]]</f>
        <v>1201744.7787489423</v>
      </c>
    </row>
    <row r="55" spans="2:28" x14ac:dyDescent="0.25">
      <c r="B55" s="117" t="s">
        <v>78</v>
      </c>
      <c r="C55" s="112">
        <f>IF(CompanyGoodToggle=TRUE,SUMIFS(TotalGMContribution[July],TotalGMContribution[Status],GMConSpreadTable[[#This Row],[STATUS]],TotalGMContribution[Opps Status],"Good"),0)+IF(CompanyFairToggle=TRUE,SUMIFS(TotalGMContribution[July],TotalGMContribution[Status],GMConSpreadTable[[#This Row],[STATUS]],TotalGMContribution[Opps Status],"Fair"),0)+IF(CompanyRiskToggle=TRUE,SUMIFS(TotalGMContribution[July],TotalGMContribution[Status],GMConSpreadTable[[#This Row],[STATUS]],TotalGMContribution[Opps Status],"Risk"),0)</f>
        <v>0</v>
      </c>
      <c r="D55" s="112">
        <f>IF(CompanyGoodToggle=TRUE,SUMIFS(TotalGMContribution[August],TotalGMContribution[Status],GMConSpreadTable[[#This Row],[STATUS]],TotalGMContribution[Opps Status],"Good"),0)+IF(CompanyFairToggle=TRUE,SUMIFS(TotalGMContribution[August],TotalGMContribution[Status],GMConSpreadTable[[#This Row],[STATUS]],TotalGMContribution[Opps Status],"Fair"),0)+IF(CompanyRiskToggle=TRUE,SUMIFS(TotalGMContribution[August],TotalGMContribution[Status],GMConSpreadTable[[#This Row],[STATUS]],TotalGMContribution[Opps Status],"Risk"),0)</f>
        <v>0</v>
      </c>
      <c r="E55" s="112">
        <f>IF(CompanyGoodToggle=TRUE,SUMIFS(TotalGMContribution[September],TotalGMContribution[Status],GMConSpreadTable[[#This Row],[STATUS]],TotalGMContribution[Opps Status],"Good"),0)+IF(CompanyFairToggle=TRUE,SUMIFS(TotalGMContribution[September],TotalGMContribution[Status],GMConSpreadTable[[#This Row],[STATUS]],TotalGMContribution[Opps Status],"Fair"),0)+IF(CompanyRiskToggle=TRUE,SUMIFS(TotalGMContribution[September],TotalGMContribution[Status],GMConSpreadTable[[#This Row],[STATUS]],TotalGMContribution[Opps Status],"Risk"),0)</f>
        <v>0</v>
      </c>
      <c r="F55" s="112">
        <f>IF(CompanyGoodToggle=TRUE,SUMIFS(TotalGMContribution[October],TotalGMContribution[Status],GMConSpreadTable[[#This Row],[STATUS]],TotalGMContribution[Opps Status],"Good"),0)+IF(CompanyFairToggle=TRUE,SUMIFS(TotalGMContribution[October],TotalGMContribution[Status],GMConSpreadTable[[#This Row],[STATUS]],TotalGMContribution[Opps Status],"Fair"),0)+IF(CompanyRiskToggle=TRUE,SUMIFS(TotalGMContribution[October],TotalGMContribution[Status],GMConSpreadTable[[#This Row],[STATUS]],TotalGMContribution[Opps Status],"Risk"),0)</f>
        <v>0</v>
      </c>
      <c r="G55" s="112">
        <f>IF(CompanyGoodToggle=TRUE,SUMIFS(TotalGMContribution[November],TotalGMContribution[Status],GMConSpreadTable[[#This Row],[STATUS]],TotalGMContribution[Opps Status],"Good"),0)+IF(CompanyFairToggle=TRUE,SUMIFS(TotalGMContribution[November],TotalGMContribution[Status],GMConSpreadTable[[#This Row],[STATUS]],TotalGMContribution[Opps Status],"Fair"),0)+IF(CompanyRiskToggle=TRUE,SUMIFS(TotalGMContribution[November],TotalGMContribution[Status],GMConSpreadTable[[#This Row],[STATUS]],TotalGMContribution[Opps Status],"Risk"),0)</f>
        <v>0</v>
      </c>
      <c r="H55" s="112">
        <f>IF(CompanyGoodToggle=TRUE,SUMIFS(TotalGMContribution[December],TotalGMContribution[Status],GMConSpreadTable[[#This Row],[STATUS]],TotalGMContribution[Opps Status],"Good"),0)+IF(CompanyFairToggle=TRUE,SUMIFS(TotalGMContribution[December],TotalGMContribution[Status],GMConSpreadTable[[#This Row],[STATUS]],TotalGMContribution[Opps Status],"Fair"),0)+IF(CompanyRiskToggle=TRUE,SUMIFS(TotalGMContribution[December],TotalGMContribution[Status],GMConSpreadTable[[#This Row],[STATUS]],TotalGMContribution[Opps Status],"Risk"),0)</f>
        <v>0</v>
      </c>
      <c r="I55" s="112">
        <f>IF(CompanyGoodToggle=TRUE,SUMIFS(TotalGMContribution[January],TotalGMContribution[Status],GMConSpreadTable[[#This Row],[STATUS]],TotalGMContribution[Opps Status],"Good"),0)+IF(CompanyFairToggle=TRUE,SUMIFS(TotalGMContribution[January],TotalGMContribution[Status],GMConSpreadTable[[#This Row],[STATUS]],TotalGMContribution[Opps Status],"Fair"),0)+IF(CompanyRiskToggle=TRUE,SUMIFS(TotalGMContribution[January],TotalGMContribution[Status],GMConSpreadTable[[#This Row],[STATUS]],TotalGMContribution[Opps Status],"Risk"),0)</f>
        <v>0</v>
      </c>
      <c r="J55" s="112">
        <f>IF(CompanyGoodToggle=TRUE,SUMIFS(TotalGMContribution[February],TotalGMContribution[Status],GMConSpreadTable[[#This Row],[STATUS]],TotalGMContribution[Opps Status],"Good"),0)+IF(CompanyFairToggle=TRUE,SUMIFS(TotalGMContribution[February],TotalGMContribution[Status],GMConSpreadTable[[#This Row],[STATUS]],TotalGMContribution[Opps Status],"Fair"),0)+IF(CompanyRiskToggle=TRUE,SUMIFS(TotalGMContribution[February],TotalGMContribution[Status],GMConSpreadTable[[#This Row],[STATUS]],TotalGMContribution[Opps Status],"Risk"),0)</f>
        <v>0</v>
      </c>
      <c r="K55" s="112">
        <f>IF(CompanyGoodToggle=TRUE,SUMIFS(TotalGMContribution[March],TotalGMContribution[Status],GMConSpreadTable[[#This Row],[STATUS]],TotalGMContribution[Opps Status],"Good"),0)+IF(CompanyFairToggle=TRUE,SUMIFS(TotalGMContribution[March],TotalGMContribution[Status],GMConSpreadTable[[#This Row],[STATUS]],TotalGMContribution[Opps Status],"Fair"),0)+IF(CompanyRiskToggle=TRUE,SUMIFS(TotalGMContribution[March],TotalGMContribution[Status],GMConSpreadTable[[#This Row],[STATUS]],TotalGMContribution[Opps Status],"Risk"),0)</f>
        <v>0</v>
      </c>
      <c r="L55" s="112">
        <f>IF(CompanyGoodToggle=TRUE,SUMIFS(TotalGMContribution[April],TotalGMContribution[Status],GMConSpreadTable[[#This Row],[STATUS]],TotalGMContribution[Opps Status],"Good"),0)+IF(CompanyFairToggle=TRUE,SUMIFS(TotalGMContribution[April],TotalGMContribution[Status],GMConSpreadTable[[#This Row],[STATUS]],TotalGMContribution[Opps Status],"Fair"),0)+IF(CompanyRiskToggle=TRUE,SUMIFS(TotalGMContribution[April],TotalGMContribution[Status],GMConSpreadTable[[#This Row],[STATUS]],TotalGMContribution[Opps Status],"Risk"),0)</f>
        <v>0</v>
      </c>
      <c r="M55" s="112">
        <f>IF(CompanyGoodToggle=TRUE,SUMIFS(TotalGMContribution[May],TotalGMContribution[Status],GMConSpreadTable[[#This Row],[STATUS]],TotalGMContribution[Opps Status],"Good"),0)+IF(CompanyFairToggle=TRUE,SUMIFS(TotalGMContribution[May],TotalGMContribution[Status],GMConSpreadTable[[#This Row],[STATUS]],TotalGMContribution[Opps Status],"Fair"),0)+IF(CompanyRiskToggle=TRUE,SUMIFS(TotalGMContribution[May],TotalGMContribution[Status],GMConSpreadTable[[#This Row],[STATUS]],TotalGMContribution[Opps Status],"Risk"),0)</f>
        <v>0</v>
      </c>
      <c r="N55" s="112">
        <f>IF(CompanyGoodToggle=TRUE,SUMIFS(TotalGMContribution[June],TotalGMContribution[Status],GMConSpreadTable[[#This Row],[STATUS]],TotalGMContribution[Opps Status],"Good"),0)+IF(CompanyFairToggle=TRUE,SUMIFS(TotalGMContribution[June],TotalGMContribution[Status],GMConSpreadTable[[#This Row],[STATUS]],TotalGMContribution[Opps Status],"Fair"),0)+IF(CompanyRiskToggle=TRUE,SUMIFS(TotalGMContribution[June],TotalGMContribution[Status],GMConSpreadTable[[#This Row],[STATUS]],TotalGMContribution[Opps Status],"Risk"),0)</f>
        <v>0</v>
      </c>
      <c r="P55" t="s">
        <v>78</v>
      </c>
      <c r="Q55" s="112">
        <f>IF(CompanyGoodToggle=TRUE,SUMIFS(OppSpreadData[July], OppSpreadData[Phase],RevSpreadTable[[#This Row],[STATUS]],OppSpreadData[OppsStatus],"Good"),0)+
IF(CompanyFairToggle=TRUE,SUMIFS(OppSpreadData[July],OppSpreadData[Phase],RevSpreadTable[[#This Row],[STATUS]],OppSpreadData[OppsStatus],"Fair"),0)+
IF(CompanyRiskToggle=TRUE,SUMIFS(OppSpreadData[July],OppSpreadData[Phase],RevSpreadTable[[#This Row],[STATUS]],OppSpreadData[OppsStatus],"Risk"),0)</f>
        <v>0</v>
      </c>
      <c r="R55" s="112">
        <f>IF(CompanyGoodToggle=TRUE,SUMIFS(OppSpreadData[August], OppSpreadData[Phase],RevSpreadTable[[#This Row],[STATUS]],OppSpreadData[OppsStatus],"Good"),0)+
IF(CompanyFairToggle=TRUE,SUMIFS(OppSpreadData[August],OppSpreadData[Phase],RevSpreadTable[[#This Row],[STATUS]],OppSpreadData[OppsStatus],"Fair"),0)+
IF(CompanyRiskToggle=TRUE,SUMIFS(OppSpreadData[August],OppSpreadData[Phase],RevSpreadTable[[#This Row],[STATUS]],OppSpreadData[OppsStatus],"Risk"),0)</f>
        <v>0</v>
      </c>
      <c r="S55" s="112">
        <f>IF(CompanyGoodToggle=TRUE,SUMIFS(OppSpreadData[September], OppSpreadData[Phase],RevSpreadTable[[#This Row],[STATUS]],OppSpreadData[OppsStatus],"Good"),0)+
IF(CompanyFairToggle=TRUE,SUMIFS(OppSpreadData[September],OppSpreadData[Phase],RevSpreadTable[[#This Row],[STATUS]],OppSpreadData[OppsStatus],"Fair"),0)+
IF(CompanyRiskToggle=TRUE,SUMIFS(OppSpreadData[September],OppSpreadData[Phase],RevSpreadTable[[#This Row],[STATUS]],OppSpreadData[OppsStatus],"Risk"),0)</f>
        <v>0</v>
      </c>
      <c r="T55" s="112">
        <f>IF(CompanyGoodToggle=TRUE,SUMIFS(OppSpreadData[October], OppSpreadData[Phase],RevSpreadTable[[#This Row],[STATUS]],OppSpreadData[OppsStatus],"Good"),0)+
IF(CompanyFairToggle=TRUE,SUMIFS(OppSpreadData[October],OppSpreadData[Phase],RevSpreadTable[[#This Row],[STATUS]],OppSpreadData[OppsStatus],"Fair"),0)+
IF(CompanyRiskToggle=TRUE,SUMIFS(OppSpreadData[October],OppSpreadData[Phase],RevSpreadTable[[#This Row],[STATUS]],OppSpreadData[OppsStatus],"Risk"),0)</f>
        <v>0</v>
      </c>
      <c r="U55" s="112">
        <f>IF(CompanyGoodToggle=TRUE,SUMIFS(OppSpreadData[November], OppSpreadData[Phase],RevSpreadTable[[#This Row],[STATUS]],OppSpreadData[OppsStatus],"Good"),0)+
IF(CompanyFairToggle=TRUE,SUMIFS(OppSpreadData[November],OppSpreadData[Phase],RevSpreadTable[[#This Row],[STATUS]],OppSpreadData[OppsStatus],"Fair"),0)+
IF(CompanyRiskToggle=TRUE,SUMIFS(OppSpreadData[November],OppSpreadData[Phase],RevSpreadTable[[#This Row],[STATUS]],OppSpreadData[OppsStatus],"Risk"),0)</f>
        <v>0</v>
      </c>
      <c r="V55" s="112">
        <f>IF(CompanyGoodToggle=TRUE,SUMIFS(OppSpreadData[December], OppSpreadData[Phase],RevSpreadTable[[#This Row],[STATUS]],OppSpreadData[OppsStatus],"Good"),0)+
IF(CompanyFairToggle=TRUE,SUMIFS(OppSpreadData[December],OppSpreadData[Phase],RevSpreadTable[[#This Row],[STATUS]],OppSpreadData[OppsStatus],"Fair"),0)+
IF(CompanyRiskToggle=TRUE,SUMIFS(OppSpreadData[December],OppSpreadData[Phase],RevSpreadTable[[#This Row],[STATUS]],OppSpreadData[OppsStatus],"Risk"),0)</f>
        <v>0</v>
      </c>
      <c r="W55" s="112">
        <f>IF(CompanyGoodToggle=TRUE,SUMIFS(OppSpreadData[January], OppSpreadData[Phase],RevSpreadTable[[#This Row],[STATUS]],OppSpreadData[OppsStatus],"Good"),0)+
IF(CompanyFairToggle=TRUE,SUMIFS(OppSpreadData[January],OppSpreadData[Phase],RevSpreadTable[[#This Row],[STATUS]],OppSpreadData[OppsStatus],"Fair"),0)+
IF(CompanyRiskToggle=TRUE,SUMIFS(OppSpreadData[January],OppSpreadData[Phase],RevSpreadTable[[#This Row],[STATUS]],OppSpreadData[OppsStatus],"Risk"),0)</f>
        <v>0</v>
      </c>
      <c r="X55" s="112">
        <f>IF(CompanyGoodToggle=TRUE,SUMIFS(OppSpreadData[February], OppSpreadData[Phase],RevSpreadTable[[#This Row],[STATUS]],OppSpreadData[OppsStatus],"Good"),0)+
IF(CompanyFairToggle=TRUE,SUMIFS(OppSpreadData[February],OppSpreadData[Phase],RevSpreadTable[[#This Row],[STATUS]],OppSpreadData[OppsStatus],"Fair"),0)+
IF(CompanyRiskToggle=TRUE,SUMIFS(OppSpreadData[February],OppSpreadData[Phase],RevSpreadTable[[#This Row],[STATUS]],OppSpreadData[OppsStatus],"Risk"),0)</f>
        <v>0</v>
      </c>
      <c r="Y55" s="112">
        <f>IF(CompanyGoodToggle=TRUE,SUMIFS(OppSpreadData[March], OppSpreadData[Phase],RevSpreadTable[[#This Row],[STATUS]],OppSpreadData[OppsStatus],"Good"),0)+
IF(CompanyFairToggle=TRUE,SUMIFS(OppSpreadData[March],OppSpreadData[Phase],RevSpreadTable[[#This Row],[STATUS]],OppSpreadData[OppsStatus],"Fair"),0)+
IF(CompanyRiskToggle=TRUE,SUMIFS(OppSpreadData[March],OppSpreadData[Phase],RevSpreadTable[[#This Row],[STATUS]],OppSpreadData[OppsStatus],"Risk"),0)</f>
        <v>0</v>
      </c>
      <c r="Z55" s="112">
        <f>IF(CompanyGoodToggle=TRUE,SUMIFS(OppSpreadData[April], OppSpreadData[Phase],RevSpreadTable[[#This Row],[STATUS]],OppSpreadData[OppsStatus],"Good"),0)+
IF(CompanyFairToggle=TRUE,SUMIFS(OppSpreadData[April],OppSpreadData[Phase],RevSpreadTable[[#This Row],[STATUS]],OppSpreadData[OppsStatus],"Fair"),0)+
IF(CompanyRiskToggle=TRUE,SUMIFS(OppSpreadData[April],OppSpreadData[Phase],RevSpreadTable[[#This Row],[STATUS]],OppSpreadData[OppsStatus],"Risk"),0)</f>
        <v>0</v>
      </c>
      <c r="AA55" s="112">
        <f>IF(CompanyGoodToggle=TRUE,SUMIFS(OppSpreadData[May], OppSpreadData[Phase],RevSpreadTable[[#This Row],[STATUS]],OppSpreadData[OppsStatus],"Good"),0)+
IF(CompanyFairToggle=TRUE,SUMIFS(OppSpreadData[May],OppSpreadData[Phase],RevSpreadTable[[#This Row],[STATUS]],OppSpreadData[OppsStatus],"Fair"),0)+
IF(CompanyRiskToggle=TRUE,SUMIFS(OppSpreadData[May],OppSpreadData[Phase],RevSpreadTable[[#This Row],[STATUS]],OppSpreadData[OppsStatus],"Risk"),0)</f>
        <v>0</v>
      </c>
      <c r="AB55" s="112">
        <f>IF(CompanyGoodToggle=TRUE,SUMIFS(OppSpreadData[June], OppSpreadData[Phase],RevSpreadTable[[#This Row],[STATUS]],OppSpreadData[OppsStatus],"Good"),0)+
IF(CompanyFairToggle=TRUE,SUMIFS(OppSpreadData[June],OppSpreadData[Phase],RevSpreadTable[[#This Row],[STATUS]],OppSpreadData[OppsStatus],"Fair"),0)+
IF(CompanyRiskToggle=TRUE,SUMIFS(OppSpreadData[June],OppSpreadData[Phase],RevSpreadTable[[#This Row],[STATUS]],OppSpreadData[OppsStatus],"Risk"),0)</f>
        <v>0</v>
      </c>
    </row>
    <row r="56" spans="2:28" x14ac:dyDescent="0.25">
      <c r="B56" s="116" t="s">
        <v>77</v>
      </c>
      <c r="C56" s="112">
        <f>IF(CompanyGoodToggle=TRUE,SUMIFS(TotalGMContribution[July],TotalGMContribution[Status],GMConSpreadTable[[#This Row],[STATUS]],TotalGMContribution[Opps Status],"Good"),0)+IF(CompanyFairToggle=TRUE,SUMIFS(TotalGMContribution[July],TotalGMContribution[Status],GMConSpreadTable[[#This Row],[STATUS]],TotalGMContribution[Opps Status],"Fair"),0)+IF(CompanyRiskToggle=TRUE,SUMIFS(TotalGMContribution[July],TotalGMContribution[Status],GMConSpreadTable[[#This Row],[STATUS]],TotalGMContribution[Opps Status],"Risk"),0)</f>
        <v>0</v>
      </c>
      <c r="D56" s="112">
        <f>IF(CompanyGoodToggle=TRUE,SUMIFS(TotalGMContribution[August],TotalGMContribution[Status],GMConSpreadTable[[#This Row],[STATUS]],TotalGMContribution[Opps Status],"Good"),0)+IF(CompanyFairToggle=TRUE,SUMIFS(TotalGMContribution[August],TotalGMContribution[Status],GMConSpreadTable[[#This Row],[STATUS]],TotalGMContribution[Opps Status],"Fair"),0)+IF(CompanyRiskToggle=TRUE,SUMIFS(TotalGMContribution[August],TotalGMContribution[Status],GMConSpreadTable[[#This Row],[STATUS]],TotalGMContribution[Opps Status],"Risk"),0)</f>
        <v>0</v>
      </c>
      <c r="E56" s="112">
        <f>IF(CompanyGoodToggle=TRUE,SUMIFS(TotalGMContribution[September],TotalGMContribution[Status],GMConSpreadTable[[#This Row],[STATUS]],TotalGMContribution[Opps Status],"Good"),0)+IF(CompanyFairToggle=TRUE,SUMIFS(TotalGMContribution[September],TotalGMContribution[Status],GMConSpreadTable[[#This Row],[STATUS]],TotalGMContribution[Opps Status],"Fair"),0)+IF(CompanyRiskToggle=TRUE,SUMIFS(TotalGMContribution[September],TotalGMContribution[Status],GMConSpreadTable[[#This Row],[STATUS]],TotalGMContribution[Opps Status],"Risk"),0)</f>
        <v>0</v>
      </c>
      <c r="F56" s="112">
        <f>IF(CompanyGoodToggle=TRUE,SUMIFS(TotalGMContribution[October],TotalGMContribution[Status],GMConSpreadTable[[#This Row],[STATUS]],TotalGMContribution[Opps Status],"Good"),0)+IF(CompanyFairToggle=TRUE,SUMIFS(TotalGMContribution[October],TotalGMContribution[Status],GMConSpreadTable[[#This Row],[STATUS]],TotalGMContribution[Opps Status],"Fair"),0)+IF(CompanyRiskToggle=TRUE,SUMIFS(TotalGMContribution[October],TotalGMContribution[Status],GMConSpreadTable[[#This Row],[STATUS]],TotalGMContribution[Opps Status],"Risk"),0)</f>
        <v>0</v>
      </c>
      <c r="G56" s="112">
        <f>IF(CompanyGoodToggle=TRUE,SUMIFS(TotalGMContribution[November],TotalGMContribution[Status],GMConSpreadTable[[#This Row],[STATUS]],TotalGMContribution[Opps Status],"Good"),0)+IF(CompanyFairToggle=TRUE,SUMIFS(TotalGMContribution[November],TotalGMContribution[Status],GMConSpreadTable[[#This Row],[STATUS]],TotalGMContribution[Opps Status],"Fair"),0)+IF(CompanyRiskToggle=TRUE,SUMIFS(TotalGMContribution[November],TotalGMContribution[Status],GMConSpreadTable[[#This Row],[STATUS]],TotalGMContribution[Opps Status],"Risk"),0)</f>
        <v>0</v>
      </c>
      <c r="H56" s="112">
        <f>IF(CompanyGoodToggle=TRUE,SUMIFS(TotalGMContribution[December],TotalGMContribution[Status],GMConSpreadTable[[#This Row],[STATUS]],TotalGMContribution[Opps Status],"Good"),0)+IF(CompanyFairToggle=TRUE,SUMIFS(TotalGMContribution[December],TotalGMContribution[Status],GMConSpreadTable[[#This Row],[STATUS]],TotalGMContribution[Opps Status],"Fair"),0)+IF(CompanyRiskToggle=TRUE,SUMIFS(TotalGMContribution[December],TotalGMContribution[Status],GMConSpreadTable[[#This Row],[STATUS]],TotalGMContribution[Opps Status],"Risk"),0)</f>
        <v>0</v>
      </c>
      <c r="I56" s="112">
        <f>IF(CompanyGoodToggle=TRUE,SUMIFS(TotalGMContribution[January],TotalGMContribution[Status],GMConSpreadTable[[#This Row],[STATUS]],TotalGMContribution[Opps Status],"Good"),0)+IF(CompanyFairToggle=TRUE,SUMIFS(TotalGMContribution[January],TotalGMContribution[Status],GMConSpreadTable[[#This Row],[STATUS]],TotalGMContribution[Opps Status],"Fair"),0)+IF(CompanyRiskToggle=TRUE,SUMIFS(TotalGMContribution[January],TotalGMContribution[Status],GMConSpreadTable[[#This Row],[STATUS]],TotalGMContribution[Opps Status],"Risk"),0)</f>
        <v>0</v>
      </c>
      <c r="J56" s="112">
        <f>IF(CompanyGoodToggle=TRUE,SUMIFS(TotalGMContribution[February],TotalGMContribution[Status],GMConSpreadTable[[#This Row],[STATUS]],TotalGMContribution[Opps Status],"Good"),0)+IF(CompanyFairToggle=TRUE,SUMIFS(TotalGMContribution[February],TotalGMContribution[Status],GMConSpreadTable[[#This Row],[STATUS]],TotalGMContribution[Opps Status],"Fair"),0)+IF(CompanyRiskToggle=TRUE,SUMIFS(TotalGMContribution[February],TotalGMContribution[Status],GMConSpreadTable[[#This Row],[STATUS]],TotalGMContribution[Opps Status],"Risk"),0)</f>
        <v>9000.4</v>
      </c>
      <c r="K56" s="112">
        <f>IF(CompanyGoodToggle=TRUE,SUMIFS(TotalGMContribution[March],TotalGMContribution[Status],GMConSpreadTable[[#This Row],[STATUS]],TotalGMContribution[Opps Status],"Good"),0)+IF(CompanyFairToggle=TRUE,SUMIFS(TotalGMContribution[March],TotalGMContribution[Status],GMConSpreadTable[[#This Row],[STATUS]],TotalGMContribution[Opps Status],"Fair"),0)+IF(CompanyRiskToggle=TRUE,SUMIFS(TotalGMContribution[March],TotalGMContribution[Status],GMConSpreadTable[[#This Row],[STATUS]],TotalGMContribution[Opps Status],"Risk"),0)</f>
        <v>45375.12</v>
      </c>
      <c r="L56" s="112">
        <f>IF(CompanyGoodToggle=TRUE,SUMIFS(TotalGMContribution[April],TotalGMContribution[Status],GMConSpreadTable[[#This Row],[STATUS]],TotalGMContribution[Opps Status],"Good"),0)+IF(CompanyFairToggle=TRUE,SUMIFS(TotalGMContribution[April],TotalGMContribution[Status],GMConSpreadTable[[#This Row],[STATUS]],TotalGMContribution[Opps Status],"Fair"),0)+IF(CompanyRiskToggle=TRUE,SUMIFS(TotalGMContribution[April],TotalGMContribution[Status],GMConSpreadTable[[#This Row],[STATUS]],TotalGMContribution[Opps Status],"Risk"),0)</f>
        <v>990836.72000000009</v>
      </c>
      <c r="M56" s="112">
        <f>IF(CompanyGoodToggle=TRUE,SUMIFS(TotalGMContribution[May],TotalGMContribution[Status],GMConSpreadTable[[#This Row],[STATUS]],TotalGMContribution[Opps Status],"Good"),0)+IF(CompanyFairToggle=TRUE,SUMIFS(TotalGMContribution[May],TotalGMContribution[Status],GMConSpreadTable[[#This Row],[STATUS]],TotalGMContribution[Opps Status],"Fair"),0)+IF(CompanyRiskToggle=TRUE,SUMIFS(TotalGMContribution[May],TotalGMContribution[Status],GMConSpreadTable[[#This Row],[STATUS]],TotalGMContribution[Opps Status],"Risk"),0)</f>
        <v>311614</v>
      </c>
      <c r="N56" s="112">
        <f>IF(CompanyGoodToggle=TRUE,SUMIFS(TotalGMContribution[June],TotalGMContribution[Status],GMConSpreadTable[[#This Row],[STATUS]],TotalGMContribution[Opps Status],"Good"),0)+IF(CompanyFairToggle=TRUE,SUMIFS(TotalGMContribution[June],TotalGMContribution[Status],GMConSpreadTable[[#This Row],[STATUS]],TotalGMContribution[Opps Status],"Fair"),0)+IF(CompanyRiskToggle=TRUE,SUMIFS(TotalGMContribution[June],TotalGMContribution[Status],GMConSpreadTable[[#This Row],[STATUS]],TotalGMContribution[Opps Status],"Risk"),0)</f>
        <v>850153.60000000009</v>
      </c>
      <c r="P56" t="s">
        <v>77</v>
      </c>
      <c r="Q56" s="112">
        <f>IF(CompanyGoodToggle=TRUE,SUMIFS(OppSpreadData[July], OppSpreadData[Phase],RevSpreadTable[[#This Row],[STATUS]],OppSpreadData[OppsStatus],"Good"),0)+
IF(CompanyFairToggle=TRUE,SUMIFS(OppSpreadData[July],OppSpreadData[Phase],RevSpreadTable[[#This Row],[STATUS]],OppSpreadData[OppsStatus],"Fair"),0)+
IF(CompanyRiskToggle=TRUE,SUMIFS(OppSpreadData[July],OppSpreadData[Phase],RevSpreadTable[[#This Row],[STATUS]],OppSpreadData[OppsStatus],"Risk"),0)</f>
        <v>0</v>
      </c>
      <c r="R56" s="112">
        <f>IF(CompanyGoodToggle=TRUE,SUMIFS(OppSpreadData[August], OppSpreadData[Phase],RevSpreadTable[[#This Row],[STATUS]],OppSpreadData[OppsStatus],"Good"),0)+
IF(CompanyFairToggle=TRUE,SUMIFS(OppSpreadData[August],OppSpreadData[Phase],RevSpreadTable[[#This Row],[STATUS]],OppSpreadData[OppsStatus],"Fair"),0)+
IF(CompanyRiskToggle=TRUE,SUMIFS(OppSpreadData[August],OppSpreadData[Phase],RevSpreadTable[[#This Row],[STATUS]],OppSpreadData[OppsStatus],"Risk"),0)</f>
        <v>0</v>
      </c>
      <c r="S56" s="112">
        <f>IF(CompanyGoodToggle=TRUE,SUMIFS(OppSpreadData[September], OppSpreadData[Phase],RevSpreadTable[[#This Row],[STATUS]],OppSpreadData[OppsStatus],"Good"),0)+
IF(CompanyFairToggle=TRUE,SUMIFS(OppSpreadData[September],OppSpreadData[Phase],RevSpreadTable[[#This Row],[STATUS]],OppSpreadData[OppsStatus],"Fair"),0)+
IF(CompanyRiskToggle=TRUE,SUMIFS(OppSpreadData[September],OppSpreadData[Phase],RevSpreadTable[[#This Row],[STATUS]],OppSpreadData[OppsStatus],"Risk"),0)</f>
        <v>0</v>
      </c>
      <c r="T56" s="112">
        <f>IF(CompanyGoodToggle=TRUE,SUMIFS(OppSpreadData[October], OppSpreadData[Phase],RevSpreadTable[[#This Row],[STATUS]],OppSpreadData[OppsStatus],"Good"),0)+
IF(CompanyFairToggle=TRUE,SUMIFS(OppSpreadData[October],OppSpreadData[Phase],RevSpreadTable[[#This Row],[STATUS]],OppSpreadData[OppsStatus],"Fair"),0)+
IF(CompanyRiskToggle=TRUE,SUMIFS(OppSpreadData[October],OppSpreadData[Phase],RevSpreadTable[[#This Row],[STATUS]],OppSpreadData[OppsStatus],"Risk"),0)</f>
        <v>0</v>
      </c>
      <c r="U56" s="112">
        <f>IF(CompanyGoodToggle=TRUE,SUMIFS(OppSpreadData[November], OppSpreadData[Phase],RevSpreadTable[[#This Row],[STATUS]],OppSpreadData[OppsStatus],"Good"),0)+
IF(CompanyFairToggle=TRUE,SUMIFS(OppSpreadData[November],OppSpreadData[Phase],RevSpreadTable[[#This Row],[STATUS]],OppSpreadData[OppsStatus],"Fair"),0)+
IF(CompanyRiskToggle=TRUE,SUMIFS(OppSpreadData[November],OppSpreadData[Phase],RevSpreadTable[[#This Row],[STATUS]],OppSpreadData[OppsStatus],"Risk"),0)</f>
        <v>0</v>
      </c>
      <c r="V56" s="112">
        <f>IF(CompanyGoodToggle=TRUE,SUMIFS(OppSpreadData[December], OppSpreadData[Phase],RevSpreadTable[[#This Row],[STATUS]],OppSpreadData[OppsStatus],"Good"),0)+
IF(CompanyFairToggle=TRUE,SUMIFS(OppSpreadData[December],OppSpreadData[Phase],RevSpreadTable[[#This Row],[STATUS]],OppSpreadData[OppsStatus],"Fair"),0)+
IF(CompanyRiskToggle=TRUE,SUMIFS(OppSpreadData[December],OppSpreadData[Phase],RevSpreadTable[[#This Row],[STATUS]],OppSpreadData[OppsStatus],"Risk"),0)</f>
        <v>0</v>
      </c>
      <c r="W56" s="112">
        <f>IF(CompanyGoodToggle=TRUE,SUMIFS(OppSpreadData[January], OppSpreadData[Phase],RevSpreadTable[[#This Row],[STATUS]],OppSpreadData[OppsStatus],"Good"),0)+
IF(CompanyFairToggle=TRUE,SUMIFS(OppSpreadData[January],OppSpreadData[Phase],RevSpreadTable[[#This Row],[STATUS]],OppSpreadData[OppsStatus],"Fair"),0)+
IF(CompanyRiskToggle=TRUE,SUMIFS(OppSpreadData[January],OppSpreadData[Phase],RevSpreadTable[[#This Row],[STATUS]],OppSpreadData[OppsStatus],"Risk"),0)</f>
        <v>0</v>
      </c>
      <c r="X56" s="112">
        <f>IF(CompanyGoodToggle=TRUE,SUMIFS(OppSpreadData[February], OppSpreadData[Phase],RevSpreadTable[[#This Row],[STATUS]],OppSpreadData[OppsStatus],"Good"),0)+
IF(CompanyFairToggle=TRUE,SUMIFS(OppSpreadData[February],OppSpreadData[Phase],RevSpreadTable[[#This Row],[STATUS]],OppSpreadData[OppsStatus],"Fair"),0)+
IF(CompanyRiskToggle=TRUE,SUMIFS(OppSpreadData[February],OppSpreadData[Phase],RevSpreadTable[[#This Row],[STATUS]],OppSpreadData[OppsStatus],"Risk"),0)</f>
        <v>20044.400000000001</v>
      </c>
      <c r="Y56" s="112">
        <f>IF(CompanyGoodToggle=TRUE,SUMIFS(OppSpreadData[March], OppSpreadData[Phase],RevSpreadTable[[#This Row],[STATUS]],OppSpreadData[OppsStatus],"Good"),0)+
IF(CompanyFairToggle=TRUE,SUMIFS(OppSpreadData[March],OppSpreadData[Phase],RevSpreadTable[[#This Row],[STATUS]],OppSpreadData[OppsStatus],"Fair"),0)+
IF(CompanyRiskToggle=TRUE,SUMIFS(OppSpreadData[March],OppSpreadData[Phase],RevSpreadTable[[#This Row],[STATUS]],OppSpreadData[OppsStatus],"Risk"),0)</f>
        <v>108215.52</v>
      </c>
      <c r="Z56" s="112">
        <f>IF(CompanyGoodToggle=TRUE,SUMIFS(OppSpreadData[April], OppSpreadData[Phase],RevSpreadTable[[#This Row],[STATUS]],OppSpreadData[OppsStatus],"Good"),0)+
IF(CompanyFairToggle=TRUE,SUMIFS(OppSpreadData[April],OppSpreadData[Phase],RevSpreadTable[[#This Row],[STATUS]],OppSpreadData[OppsStatus],"Fair"),0)+
IF(CompanyRiskToggle=TRUE,SUMIFS(OppSpreadData[April],OppSpreadData[Phase],RevSpreadTable[[#This Row],[STATUS]],OppSpreadData[OppsStatus],"Risk"),0)</f>
        <v>1536298.7200000002</v>
      </c>
      <c r="AA56" s="112">
        <f>IF(CompanyGoodToggle=TRUE,SUMIFS(OppSpreadData[May], OppSpreadData[Phase],RevSpreadTable[[#This Row],[STATUS]],OppSpreadData[OppsStatus],"Good"),0)+
IF(CompanyFairToggle=TRUE,SUMIFS(OppSpreadData[May],OppSpreadData[Phase],RevSpreadTable[[#This Row],[STATUS]],OppSpreadData[OppsStatus],"Fair"),0)+
IF(CompanyRiskToggle=TRUE,SUMIFS(OppSpreadData[May],OppSpreadData[Phase],RevSpreadTable[[#This Row],[STATUS]],OppSpreadData[OppsStatus],"Risk"),0)</f>
        <v>788874</v>
      </c>
      <c r="AB56" s="112">
        <f>IF(CompanyGoodToggle=TRUE,SUMIFS(OppSpreadData[June], OppSpreadData[Phase],RevSpreadTable[[#This Row],[STATUS]],OppSpreadData[OppsStatus],"Good"),0)+
IF(CompanyFairToggle=TRUE,SUMIFS(OppSpreadData[June],OppSpreadData[Phase],RevSpreadTable[[#This Row],[STATUS]],OppSpreadData[OppsStatus],"Fair"),0)+
IF(CompanyRiskToggle=TRUE,SUMIFS(OppSpreadData[June],OppSpreadData[Phase],RevSpreadTable[[#This Row],[STATUS]],OppSpreadData[OppsStatus],"Risk"),0)</f>
        <v>2044317.6</v>
      </c>
    </row>
    <row r="57" spans="2:28" s="231" customFormat="1" x14ac:dyDescent="0.25">
      <c r="B57" s="117" t="s">
        <v>76</v>
      </c>
      <c r="C57" s="112">
        <f>IF(CompanyGoodToggle=TRUE,SUMIFS(TotalGMContribution[July],TotalGMContribution[Status],GMConSpreadTable[[#This Row],[STATUS]],TotalGMContribution[Opps Status],"Good"),0)+IF(CompanyFairToggle=TRUE,SUMIFS(TotalGMContribution[July],TotalGMContribution[Status],GMConSpreadTable[[#This Row],[STATUS]],TotalGMContribution[Opps Status],"Fair"),0)+IF(CompanyRiskToggle=TRUE,SUMIFS(TotalGMContribution[July],TotalGMContribution[Status],GMConSpreadTable[[#This Row],[STATUS]],TotalGMContribution[Opps Status],"Risk"),0)</f>
        <v>0</v>
      </c>
      <c r="D57" s="112">
        <f>IF(CompanyGoodToggle=TRUE,SUMIFS(TotalGMContribution[August],TotalGMContribution[Status],GMConSpreadTable[[#This Row],[STATUS]],TotalGMContribution[Opps Status],"Good"),0)+IF(CompanyFairToggle=TRUE,SUMIFS(TotalGMContribution[August],TotalGMContribution[Status],GMConSpreadTable[[#This Row],[STATUS]],TotalGMContribution[Opps Status],"Fair"),0)+IF(CompanyRiskToggle=TRUE,SUMIFS(TotalGMContribution[August],TotalGMContribution[Status],GMConSpreadTable[[#This Row],[STATUS]],TotalGMContribution[Opps Status],"Risk"),0)</f>
        <v>0</v>
      </c>
      <c r="E57" s="112">
        <f>IF(CompanyGoodToggle=TRUE,SUMIFS(TotalGMContribution[September],TotalGMContribution[Status],GMConSpreadTable[[#This Row],[STATUS]],TotalGMContribution[Opps Status],"Good"),0)+IF(CompanyFairToggle=TRUE,SUMIFS(TotalGMContribution[September],TotalGMContribution[Status],GMConSpreadTable[[#This Row],[STATUS]],TotalGMContribution[Opps Status],"Fair"),0)+IF(CompanyRiskToggle=TRUE,SUMIFS(TotalGMContribution[September],TotalGMContribution[Status],GMConSpreadTable[[#This Row],[STATUS]],TotalGMContribution[Opps Status],"Risk"),0)</f>
        <v>0</v>
      </c>
      <c r="F57" s="112">
        <f>IF(CompanyGoodToggle=TRUE,SUMIFS(TotalGMContribution[October],TotalGMContribution[Status],GMConSpreadTable[[#This Row],[STATUS]],TotalGMContribution[Opps Status],"Good"),0)+IF(CompanyFairToggle=TRUE,SUMIFS(TotalGMContribution[October],TotalGMContribution[Status],GMConSpreadTable[[#This Row],[STATUS]],TotalGMContribution[Opps Status],"Fair"),0)+IF(CompanyRiskToggle=TRUE,SUMIFS(TotalGMContribution[October],TotalGMContribution[Status],GMConSpreadTable[[#This Row],[STATUS]],TotalGMContribution[Opps Status],"Risk"),0)</f>
        <v>0</v>
      </c>
      <c r="G57" s="112">
        <f>IF(CompanyGoodToggle=TRUE,SUMIFS(TotalGMContribution[November],TotalGMContribution[Status],GMConSpreadTable[[#This Row],[STATUS]],TotalGMContribution[Opps Status],"Good"),0)+IF(CompanyFairToggle=TRUE,SUMIFS(TotalGMContribution[November],TotalGMContribution[Status],GMConSpreadTable[[#This Row],[STATUS]],TotalGMContribution[Opps Status],"Fair"),0)+IF(CompanyRiskToggle=TRUE,SUMIFS(TotalGMContribution[November],TotalGMContribution[Status],GMConSpreadTable[[#This Row],[STATUS]],TotalGMContribution[Opps Status],"Risk"),0)</f>
        <v>0</v>
      </c>
      <c r="H57" s="112">
        <f>IF(CompanyGoodToggle=TRUE,SUMIFS(TotalGMContribution[December],TotalGMContribution[Status],GMConSpreadTable[[#This Row],[STATUS]],TotalGMContribution[Opps Status],"Good"),0)+IF(CompanyFairToggle=TRUE,SUMIFS(TotalGMContribution[December],TotalGMContribution[Status],GMConSpreadTable[[#This Row],[STATUS]],TotalGMContribution[Opps Status],"Fair"),0)+IF(CompanyRiskToggle=TRUE,SUMIFS(TotalGMContribution[December],TotalGMContribution[Status],GMConSpreadTable[[#This Row],[STATUS]],TotalGMContribution[Opps Status],"Risk"),0)</f>
        <v>0</v>
      </c>
      <c r="I57" s="112">
        <f>IF(CompanyGoodToggle=TRUE,SUMIFS(TotalGMContribution[January],TotalGMContribution[Status],GMConSpreadTable[[#This Row],[STATUS]],TotalGMContribution[Opps Status],"Good"),0)+IF(CompanyFairToggle=TRUE,SUMIFS(TotalGMContribution[January],TotalGMContribution[Status],GMConSpreadTable[[#This Row],[STATUS]],TotalGMContribution[Opps Status],"Fair"),0)+IF(CompanyRiskToggle=TRUE,SUMIFS(TotalGMContribution[January],TotalGMContribution[Status],GMConSpreadTable[[#This Row],[STATUS]],TotalGMContribution[Opps Status],"Risk"),0)</f>
        <v>0</v>
      </c>
      <c r="J57" s="112">
        <f>IF(CompanyGoodToggle=TRUE,SUMIFS(TotalGMContribution[February],TotalGMContribution[Status],GMConSpreadTable[[#This Row],[STATUS]],TotalGMContribution[Opps Status],"Good"),0)+IF(CompanyFairToggle=TRUE,SUMIFS(TotalGMContribution[February],TotalGMContribution[Status],GMConSpreadTable[[#This Row],[STATUS]],TotalGMContribution[Opps Status],"Fair"),0)+IF(CompanyRiskToggle=TRUE,SUMIFS(TotalGMContribution[February],TotalGMContribution[Status],GMConSpreadTable[[#This Row],[STATUS]],TotalGMContribution[Opps Status],"Risk"),0)</f>
        <v>0</v>
      </c>
      <c r="K57" s="112">
        <f>IF(CompanyGoodToggle=TRUE,SUMIFS(TotalGMContribution[March],TotalGMContribution[Status],GMConSpreadTable[[#This Row],[STATUS]],TotalGMContribution[Opps Status],"Good"),0)+IF(CompanyFairToggle=TRUE,SUMIFS(TotalGMContribution[March],TotalGMContribution[Status],GMConSpreadTable[[#This Row],[STATUS]],TotalGMContribution[Opps Status],"Fair"),0)+IF(CompanyRiskToggle=TRUE,SUMIFS(TotalGMContribution[March],TotalGMContribution[Status],GMConSpreadTable[[#This Row],[STATUS]],TotalGMContribution[Opps Status],"Risk"),0)</f>
        <v>0</v>
      </c>
      <c r="L57" s="112">
        <f>IF(CompanyGoodToggle=TRUE,SUMIFS(TotalGMContribution[April],TotalGMContribution[Status],GMConSpreadTable[[#This Row],[STATUS]],TotalGMContribution[Opps Status],"Good"),0)+IF(CompanyFairToggle=TRUE,SUMIFS(TotalGMContribution[April],TotalGMContribution[Status],GMConSpreadTable[[#This Row],[STATUS]],TotalGMContribution[Opps Status],"Fair"),0)+IF(CompanyRiskToggle=TRUE,SUMIFS(TotalGMContribution[April],TotalGMContribution[Status],GMConSpreadTable[[#This Row],[STATUS]],TotalGMContribution[Opps Status],"Risk"),0)</f>
        <v>0</v>
      </c>
      <c r="M57" s="112">
        <f>IF(CompanyGoodToggle=TRUE,SUMIFS(TotalGMContribution[May],TotalGMContribution[Status],GMConSpreadTable[[#This Row],[STATUS]],TotalGMContribution[Opps Status],"Good"),0)+IF(CompanyFairToggle=TRUE,SUMIFS(TotalGMContribution[May],TotalGMContribution[Status],GMConSpreadTable[[#This Row],[STATUS]],TotalGMContribution[Opps Status],"Fair"),0)+IF(CompanyRiskToggle=TRUE,SUMIFS(TotalGMContribution[May],TotalGMContribution[Status],GMConSpreadTable[[#This Row],[STATUS]],TotalGMContribution[Opps Status],"Risk"),0)</f>
        <v>0</v>
      </c>
      <c r="N57" s="112">
        <f>IF(CompanyGoodToggle=TRUE,SUMIFS(TotalGMContribution[June],TotalGMContribution[Status],GMConSpreadTable[[#This Row],[STATUS]],TotalGMContribution[Opps Status],"Good"),0)+IF(CompanyFairToggle=TRUE,SUMIFS(TotalGMContribution[June],TotalGMContribution[Status],GMConSpreadTable[[#This Row],[STATUS]],TotalGMContribution[Opps Status],"Fair"),0)+IF(CompanyRiskToggle=TRUE,SUMIFS(TotalGMContribution[June],TotalGMContribution[Status],GMConSpreadTable[[#This Row],[STATUS]],TotalGMContribution[Opps Status],"Risk"),0)</f>
        <v>0</v>
      </c>
      <c r="P57" t="s">
        <v>76</v>
      </c>
      <c r="Q57" s="112">
        <f>IF(CompanyGoodToggle=TRUE,SUMIFS(OppSpreadData[July], OppSpreadData[Phase],RevSpreadTable[[#This Row],[STATUS]],OppSpreadData[OppsStatus],"Good"),0)+
IF(CompanyFairToggle=TRUE,SUMIFS(OppSpreadData[July],OppSpreadData[Phase],RevSpreadTable[[#This Row],[STATUS]],OppSpreadData[OppsStatus],"Fair"),0)+
IF(CompanyRiskToggle=TRUE,SUMIFS(OppSpreadData[July],OppSpreadData[Phase],RevSpreadTable[[#This Row],[STATUS]],OppSpreadData[OppsStatus],"Risk"),0)</f>
        <v>0</v>
      </c>
      <c r="R57" s="112">
        <f>IF(CompanyGoodToggle=TRUE,SUMIFS(OppSpreadData[August], OppSpreadData[Phase],RevSpreadTable[[#This Row],[STATUS]],OppSpreadData[OppsStatus],"Good"),0)+
IF(CompanyFairToggle=TRUE,SUMIFS(OppSpreadData[August],OppSpreadData[Phase],RevSpreadTable[[#This Row],[STATUS]],OppSpreadData[OppsStatus],"Fair"),0)+
IF(CompanyRiskToggle=TRUE,SUMIFS(OppSpreadData[August],OppSpreadData[Phase],RevSpreadTable[[#This Row],[STATUS]],OppSpreadData[OppsStatus],"Risk"),0)</f>
        <v>0</v>
      </c>
      <c r="S57" s="112">
        <f>IF(CompanyGoodToggle=TRUE,SUMIFS(OppSpreadData[September], OppSpreadData[Phase],RevSpreadTable[[#This Row],[STATUS]],OppSpreadData[OppsStatus],"Good"),0)+
IF(CompanyFairToggle=TRUE,SUMIFS(OppSpreadData[September],OppSpreadData[Phase],RevSpreadTable[[#This Row],[STATUS]],OppSpreadData[OppsStatus],"Fair"),0)+
IF(CompanyRiskToggle=TRUE,SUMIFS(OppSpreadData[September],OppSpreadData[Phase],RevSpreadTable[[#This Row],[STATUS]],OppSpreadData[OppsStatus],"Risk"),0)</f>
        <v>0</v>
      </c>
      <c r="T57" s="112">
        <f>IF(CompanyGoodToggle=TRUE,SUMIFS(OppSpreadData[October], OppSpreadData[Phase],RevSpreadTable[[#This Row],[STATUS]],OppSpreadData[OppsStatus],"Good"),0)+
IF(CompanyFairToggle=TRUE,SUMIFS(OppSpreadData[October],OppSpreadData[Phase],RevSpreadTable[[#This Row],[STATUS]],OppSpreadData[OppsStatus],"Fair"),0)+
IF(CompanyRiskToggle=TRUE,SUMIFS(OppSpreadData[October],OppSpreadData[Phase],RevSpreadTable[[#This Row],[STATUS]],OppSpreadData[OppsStatus],"Risk"),0)</f>
        <v>0</v>
      </c>
      <c r="U57" s="112">
        <f>IF(CompanyGoodToggle=TRUE,SUMIFS(OppSpreadData[November], OppSpreadData[Phase],RevSpreadTable[[#This Row],[STATUS]],OppSpreadData[OppsStatus],"Good"),0)+
IF(CompanyFairToggle=TRUE,SUMIFS(OppSpreadData[November],OppSpreadData[Phase],RevSpreadTable[[#This Row],[STATUS]],OppSpreadData[OppsStatus],"Fair"),0)+
IF(CompanyRiskToggle=TRUE,SUMIFS(OppSpreadData[November],OppSpreadData[Phase],RevSpreadTable[[#This Row],[STATUS]],OppSpreadData[OppsStatus],"Risk"),0)</f>
        <v>0</v>
      </c>
      <c r="V57" s="112">
        <f>IF(CompanyGoodToggle=TRUE,SUMIFS(OppSpreadData[December], OppSpreadData[Phase],RevSpreadTable[[#This Row],[STATUS]],OppSpreadData[OppsStatus],"Good"),0)+
IF(CompanyFairToggle=TRUE,SUMIFS(OppSpreadData[December],OppSpreadData[Phase],RevSpreadTable[[#This Row],[STATUS]],OppSpreadData[OppsStatus],"Fair"),0)+
IF(CompanyRiskToggle=TRUE,SUMIFS(OppSpreadData[December],OppSpreadData[Phase],RevSpreadTable[[#This Row],[STATUS]],OppSpreadData[OppsStatus],"Risk"),0)</f>
        <v>0</v>
      </c>
      <c r="W57" s="112">
        <f>IF(CompanyGoodToggle=TRUE,SUMIFS(OppSpreadData[January], OppSpreadData[Phase],RevSpreadTable[[#This Row],[STATUS]],OppSpreadData[OppsStatus],"Good"),0)+
IF(CompanyFairToggle=TRUE,SUMIFS(OppSpreadData[January],OppSpreadData[Phase],RevSpreadTable[[#This Row],[STATUS]],OppSpreadData[OppsStatus],"Fair"),0)+
IF(CompanyRiskToggle=TRUE,SUMIFS(OppSpreadData[January],OppSpreadData[Phase],RevSpreadTable[[#This Row],[STATUS]],OppSpreadData[OppsStatus],"Risk"),0)</f>
        <v>0</v>
      </c>
      <c r="X57" s="112">
        <f>IF(CompanyGoodToggle=TRUE,SUMIFS(OppSpreadData[February], OppSpreadData[Phase],RevSpreadTable[[#This Row],[STATUS]],OppSpreadData[OppsStatus],"Good"),0)+
IF(CompanyFairToggle=TRUE,SUMIFS(OppSpreadData[February],OppSpreadData[Phase],RevSpreadTable[[#This Row],[STATUS]],OppSpreadData[OppsStatus],"Fair"),0)+
IF(CompanyRiskToggle=TRUE,SUMIFS(OppSpreadData[February],OppSpreadData[Phase],RevSpreadTable[[#This Row],[STATUS]],OppSpreadData[OppsStatus],"Risk"),0)</f>
        <v>0</v>
      </c>
      <c r="Y57" s="112">
        <f>IF(CompanyGoodToggle=TRUE,SUMIFS(OppSpreadData[March], OppSpreadData[Phase],RevSpreadTable[[#This Row],[STATUS]],OppSpreadData[OppsStatus],"Good"),0)+
IF(CompanyFairToggle=TRUE,SUMIFS(OppSpreadData[March],OppSpreadData[Phase],RevSpreadTable[[#This Row],[STATUS]],OppSpreadData[OppsStatus],"Fair"),0)+
IF(CompanyRiskToggle=TRUE,SUMIFS(OppSpreadData[March],OppSpreadData[Phase],RevSpreadTable[[#This Row],[STATUS]],OppSpreadData[OppsStatus],"Risk"),0)</f>
        <v>0</v>
      </c>
      <c r="Z57" s="112">
        <f>IF(CompanyGoodToggle=TRUE,SUMIFS(OppSpreadData[April], OppSpreadData[Phase],RevSpreadTable[[#This Row],[STATUS]],OppSpreadData[OppsStatus],"Good"),0)+
IF(CompanyFairToggle=TRUE,SUMIFS(OppSpreadData[April],OppSpreadData[Phase],RevSpreadTable[[#This Row],[STATUS]],OppSpreadData[OppsStatus],"Fair"),0)+
IF(CompanyRiskToggle=TRUE,SUMIFS(OppSpreadData[April],OppSpreadData[Phase],RevSpreadTable[[#This Row],[STATUS]],OppSpreadData[OppsStatus],"Risk"),0)</f>
        <v>0</v>
      </c>
      <c r="AA57" s="112">
        <f>IF(CompanyGoodToggle=TRUE,SUMIFS(OppSpreadData[May], OppSpreadData[Phase],RevSpreadTable[[#This Row],[STATUS]],OppSpreadData[OppsStatus],"Good"),0)+
IF(CompanyFairToggle=TRUE,SUMIFS(OppSpreadData[May],OppSpreadData[Phase],RevSpreadTable[[#This Row],[STATUS]],OppSpreadData[OppsStatus],"Fair"),0)+
IF(CompanyRiskToggle=TRUE,SUMIFS(OppSpreadData[May],OppSpreadData[Phase],RevSpreadTable[[#This Row],[STATUS]],OppSpreadData[OppsStatus],"Risk"),0)</f>
        <v>0</v>
      </c>
      <c r="AB57" s="112">
        <f>IF(CompanyGoodToggle=TRUE,SUMIFS(OppSpreadData[June], OppSpreadData[Phase],RevSpreadTable[[#This Row],[STATUS]],OppSpreadData[OppsStatus],"Good"),0)+
IF(CompanyFairToggle=TRUE,SUMIFS(OppSpreadData[June],OppSpreadData[Phase],RevSpreadTable[[#This Row],[STATUS]],OppSpreadData[OppsStatus],"Fair"),0)+
IF(CompanyRiskToggle=TRUE,SUMIFS(OppSpreadData[June],OppSpreadData[Phase],RevSpreadTable[[#This Row],[STATUS]],OppSpreadData[OppsStatus],"Risk"),0)</f>
        <v>0</v>
      </c>
    </row>
    <row r="58" spans="2:28" s="231" customFormat="1" x14ac:dyDescent="0.25">
      <c r="B58" s="116" t="s">
        <v>75</v>
      </c>
      <c r="C58" s="112">
        <f>IF(CompanyGoodToggle=TRUE,SUMIFS(TotalGMContribution[July],TotalGMContribution[Status],GMConSpreadTable[[#This Row],[STATUS]],TotalGMContribution[Opps Status],"Good"),0)+IF(CompanyFairToggle=TRUE,SUMIFS(TotalGMContribution[July],TotalGMContribution[Status],GMConSpreadTable[[#This Row],[STATUS]],TotalGMContribution[Opps Status],"Fair"),0)+IF(CompanyRiskToggle=TRUE,SUMIFS(TotalGMContribution[July],TotalGMContribution[Status],GMConSpreadTable[[#This Row],[STATUS]],TotalGMContribution[Opps Status],"Risk"),0)</f>
        <v>0</v>
      </c>
      <c r="D58" s="112">
        <f>IF(CompanyGoodToggle=TRUE,SUMIFS(TotalGMContribution[August],TotalGMContribution[Status],GMConSpreadTable[[#This Row],[STATUS]],TotalGMContribution[Opps Status],"Good"),0)+IF(CompanyFairToggle=TRUE,SUMIFS(TotalGMContribution[August],TotalGMContribution[Status],GMConSpreadTable[[#This Row],[STATUS]],TotalGMContribution[Opps Status],"Fair"),0)+IF(CompanyRiskToggle=TRUE,SUMIFS(TotalGMContribution[August],TotalGMContribution[Status],GMConSpreadTable[[#This Row],[STATUS]],TotalGMContribution[Opps Status],"Risk"),0)</f>
        <v>0</v>
      </c>
      <c r="E58" s="112">
        <f>IF(CompanyGoodToggle=TRUE,SUMIFS(TotalGMContribution[September],TotalGMContribution[Status],GMConSpreadTable[[#This Row],[STATUS]],TotalGMContribution[Opps Status],"Good"),0)+IF(CompanyFairToggle=TRUE,SUMIFS(TotalGMContribution[September],TotalGMContribution[Status],GMConSpreadTable[[#This Row],[STATUS]],TotalGMContribution[Opps Status],"Fair"),0)+IF(CompanyRiskToggle=TRUE,SUMIFS(TotalGMContribution[September],TotalGMContribution[Status],GMConSpreadTable[[#This Row],[STATUS]],TotalGMContribution[Opps Status],"Risk"),0)</f>
        <v>0</v>
      </c>
      <c r="F58" s="112">
        <f>IF(CompanyGoodToggle=TRUE,SUMIFS(TotalGMContribution[October],TotalGMContribution[Status],GMConSpreadTable[[#This Row],[STATUS]],TotalGMContribution[Opps Status],"Good"),0)+IF(CompanyFairToggle=TRUE,SUMIFS(TotalGMContribution[October],TotalGMContribution[Status],GMConSpreadTable[[#This Row],[STATUS]],TotalGMContribution[Opps Status],"Fair"),0)+IF(CompanyRiskToggle=TRUE,SUMIFS(TotalGMContribution[October],TotalGMContribution[Status],GMConSpreadTable[[#This Row],[STATUS]],TotalGMContribution[Opps Status],"Risk"),0)</f>
        <v>0</v>
      </c>
      <c r="G58" s="112">
        <f>IF(CompanyGoodToggle=TRUE,SUMIFS(TotalGMContribution[November],TotalGMContribution[Status],GMConSpreadTable[[#This Row],[STATUS]],TotalGMContribution[Opps Status],"Good"),0)+IF(CompanyFairToggle=TRUE,SUMIFS(TotalGMContribution[November],TotalGMContribution[Status],GMConSpreadTable[[#This Row],[STATUS]],TotalGMContribution[Opps Status],"Fair"),0)+IF(CompanyRiskToggle=TRUE,SUMIFS(TotalGMContribution[November],TotalGMContribution[Status],GMConSpreadTable[[#This Row],[STATUS]],TotalGMContribution[Opps Status],"Risk"),0)</f>
        <v>0</v>
      </c>
      <c r="H58" s="112">
        <f>IF(CompanyGoodToggle=TRUE,SUMIFS(TotalGMContribution[December],TotalGMContribution[Status],GMConSpreadTable[[#This Row],[STATUS]],TotalGMContribution[Opps Status],"Good"),0)+IF(CompanyFairToggle=TRUE,SUMIFS(TotalGMContribution[December],TotalGMContribution[Status],GMConSpreadTable[[#This Row],[STATUS]],TotalGMContribution[Opps Status],"Fair"),0)+IF(CompanyRiskToggle=TRUE,SUMIFS(TotalGMContribution[December],TotalGMContribution[Status],GMConSpreadTable[[#This Row],[STATUS]],TotalGMContribution[Opps Status],"Risk"),0)</f>
        <v>0</v>
      </c>
      <c r="I58" s="112">
        <f>IF(CompanyGoodToggle=TRUE,SUMIFS(TotalGMContribution[January],TotalGMContribution[Status],GMConSpreadTable[[#This Row],[STATUS]],TotalGMContribution[Opps Status],"Good"),0)+IF(CompanyFairToggle=TRUE,SUMIFS(TotalGMContribution[January],TotalGMContribution[Status],GMConSpreadTable[[#This Row],[STATUS]],TotalGMContribution[Opps Status],"Fair"),0)+IF(CompanyRiskToggle=TRUE,SUMIFS(TotalGMContribution[January],TotalGMContribution[Status],GMConSpreadTable[[#This Row],[STATUS]],TotalGMContribution[Opps Status],"Risk"),0)</f>
        <v>0</v>
      </c>
      <c r="J58" s="112">
        <f>IF(CompanyGoodToggle=TRUE,SUMIFS(TotalGMContribution[February],TotalGMContribution[Status],GMConSpreadTable[[#This Row],[STATUS]],TotalGMContribution[Opps Status],"Good"),0)+IF(CompanyFairToggle=TRUE,SUMIFS(TotalGMContribution[February],TotalGMContribution[Status],GMConSpreadTable[[#This Row],[STATUS]],TotalGMContribution[Opps Status],"Fair"),0)+IF(CompanyRiskToggle=TRUE,SUMIFS(TotalGMContribution[February],TotalGMContribution[Status],GMConSpreadTable[[#This Row],[STATUS]],TotalGMContribution[Opps Status],"Risk"),0)</f>
        <v>0</v>
      </c>
      <c r="K58" s="112">
        <f>IF(CompanyGoodToggle=TRUE,SUMIFS(TotalGMContribution[March],TotalGMContribution[Status],GMConSpreadTable[[#This Row],[STATUS]],TotalGMContribution[Opps Status],"Good"),0)+IF(CompanyFairToggle=TRUE,SUMIFS(TotalGMContribution[March],TotalGMContribution[Status],GMConSpreadTable[[#This Row],[STATUS]],TotalGMContribution[Opps Status],"Fair"),0)+IF(CompanyRiskToggle=TRUE,SUMIFS(TotalGMContribution[March],TotalGMContribution[Status],GMConSpreadTable[[#This Row],[STATUS]],TotalGMContribution[Opps Status],"Risk"),0)</f>
        <v>0</v>
      </c>
      <c r="L58" s="112">
        <f>IF(CompanyGoodToggle=TRUE,SUMIFS(TotalGMContribution[April],TotalGMContribution[Status],GMConSpreadTable[[#This Row],[STATUS]],TotalGMContribution[Opps Status],"Good"),0)+IF(CompanyFairToggle=TRUE,SUMIFS(TotalGMContribution[April],TotalGMContribution[Status],GMConSpreadTable[[#This Row],[STATUS]],TotalGMContribution[Opps Status],"Fair"),0)+IF(CompanyRiskToggle=TRUE,SUMIFS(TotalGMContribution[April],TotalGMContribution[Status],GMConSpreadTable[[#This Row],[STATUS]],TotalGMContribution[Opps Status],"Risk"),0)</f>
        <v>0</v>
      </c>
      <c r="M58" s="112">
        <f>IF(CompanyGoodToggle=TRUE,SUMIFS(TotalGMContribution[May],TotalGMContribution[Status],GMConSpreadTable[[#This Row],[STATUS]],TotalGMContribution[Opps Status],"Good"),0)+IF(CompanyFairToggle=TRUE,SUMIFS(TotalGMContribution[May],TotalGMContribution[Status],GMConSpreadTable[[#This Row],[STATUS]],TotalGMContribution[Opps Status],"Fair"),0)+IF(CompanyRiskToggle=TRUE,SUMIFS(TotalGMContribution[May],TotalGMContribution[Status],GMConSpreadTable[[#This Row],[STATUS]],TotalGMContribution[Opps Status],"Risk"),0)</f>
        <v>0</v>
      </c>
      <c r="N58" s="112">
        <f>IF(CompanyGoodToggle=TRUE,SUMIFS(TotalGMContribution[June],TotalGMContribution[Status],GMConSpreadTable[[#This Row],[STATUS]],TotalGMContribution[Opps Status],"Good"),0)+IF(CompanyFairToggle=TRUE,SUMIFS(TotalGMContribution[June],TotalGMContribution[Status],GMConSpreadTable[[#This Row],[STATUS]],TotalGMContribution[Opps Status],"Fair"),0)+IF(CompanyRiskToggle=TRUE,SUMIFS(TotalGMContribution[June],TotalGMContribution[Status],GMConSpreadTable[[#This Row],[STATUS]],TotalGMContribution[Opps Status],"Risk"),0)</f>
        <v>0</v>
      </c>
      <c r="P58" t="s">
        <v>75</v>
      </c>
      <c r="Q58" s="112" cm="1">
        <f t="array" aca="1" ref="Q58" ca="1">IF(CompanyGoodToggle=TRUE,
SUM(
  _xlfn._xlws.FILTER(
    _xlfn.DROP(_xlfn.CHOOSECOLS(QBlockRev,5),1),
    _xlfn.DROP(_xlfn.CHOOSECOLS(QBlockRev,4),1)="Good"
  )
),0
)
+
IF(CompanyFairToggle=TRUE,
SUM(
  _xlfn._xlws.FILTER(
    _xlfn.DROP(_xlfn.CHOOSECOLS(QBlockRev,5),1),
    _xlfn.DROP(_xlfn.CHOOSECOLS(QBlockRev,4),1)="Fair"
  )
),0
)
+
IF(CompanyRiskToggle=TRUE,
SUM(
  _xlfn._xlws.FILTER(
    _xlfn.DROP(_xlfn.CHOOSECOLS(QBlockRev,5),1),
    _xlfn.DROP(_xlfn.CHOOSECOLS(QBlockRev,4),1)="Risk"
  )
),0
)</f>
        <v>0</v>
      </c>
      <c r="R58" s="112" cm="1">
        <f t="array" aca="1" ref="R58" ca="1">IF(CompanyGoodToggle=TRUE,
SUM(
  _xlfn._xlws.FILTER(
    _xlfn.DROP(_xlfn.CHOOSECOLS(QBlockRev,6),1),
    _xlfn.DROP(_xlfn.CHOOSECOLS(QBlockRev,4),1)="Good"
  )
),0
)
+
IF(CompanyFairToggle=TRUE,
SUM(
  _xlfn._xlws.FILTER(
    _xlfn.DROP(_xlfn.CHOOSECOLS(QBlockRev,6),1),
    _xlfn.DROP(_xlfn.CHOOSECOLS(QBlockRev,4),1)="Fair"
  )
),0
)
+
IF(CompanyRiskToggle=TRUE,
SUM(
  _xlfn._xlws.FILTER(
    _xlfn.DROP(_xlfn.CHOOSECOLS(QBlockRev,6),1),
    _xlfn.DROP(_xlfn.CHOOSECOLS(QBlockRev,4),1)="Risk"
  )
),0
)</f>
        <v>0</v>
      </c>
      <c r="S58" s="112" cm="1">
        <f t="array" aca="1" ref="S58" ca="1">IF(CompanyGoodToggle=TRUE,
SUM(
  _xlfn._xlws.FILTER(
    _xlfn.DROP(_xlfn.CHOOSECOLS(QBlockRev,7),1),
    _xlfn.DROP(_xlfn.CHOOSECOLS(QBlockRev,4),1)="Good"
  )
),0
)
+
IF(CompanyFairToggle=TRUE,
SUM(
  _xlfn._xlws.FILTER(
    _xlfn.DROP(_xlfn.CHOOSECOLS(QBlockRev,7),1),
    _xlfn.DROP(_xlfn.CHOOSECOLS(QBlockRev,4),1)="Fair"
  )
),0
)
+
IF(CompanyRiskToggle=TRUE,
SUM(
  _xlfn._xlws.FILTER(
    _xlfn.DROP(_xlfn.CHOOSECOLS(QBlockRev,7),1),
    _xlfn.DROP(_xlfn.CHOOSECOLS(QBlockRev,4),1)="Risk"
  )
),0
)</f>
        <v>0</v>
      </c>
      <c r="T58" s="112" cm="1">
        <f t="array" aca="1" ref="T58" ca="1">IF(CompanyGoodToggle=TRUE,
SUM(
  _xlfn._xlws.FILTER(
    _xlfn.DROP(_xlfn.CHOOSECOLS(QBlockRev,8),1),
    _xlfn.DROP(_xlfn.CHOOSECOLS(QBlockRev,4),1)="Good"
  )
),0
)
+
IF(CompanyFairToggle=TRUE,
SUM(
  _xlfn._xlws.FILTER(
    _xlfn.DROP(_xlfn.CHOOSECOLS(QBlockRev,8),1),
    _xlfn.DROP(_xlfn.CHOOSECOLS(QBlockRev,4),1)="Fair"
  )
),0
)
+
IF(CompanyRiskToggle=TRUE,
SUM(
  _xlfn._xlws.FILTER(
    _xlfn.DROP(_xlfn.CHOOSECOLS(QBlockRev,8),1),
    _xlfn.DROP(_xlfn.CHOOSECOLS(QBlockRev,4),1)="Risk"
  )
),0
)</f>
        <v>0</v>
      </c>
      <c r="U58" s="112" cm="1">
        <f t="array" aca="1" ref="U58" ca="1">IF(CompanyGoodToggle=TRUE,
SUM(
  _xlfn._xlws.FILTER(
    _xlfn.DROP(_xlfn.CHOOSECOLS(QBlockRev,9),1),
    _xlfn.DROP(_xlfn.CHOOSECOLS(QBlockRev,4),1)="Good"
  )
),0
)
+
IF(CompanyFairToggle=TRUE,
SUM(
  _xlfn._xlws.FILTER(
    _xlfn.DROP(_xlfn.CHOOSECOLS(QBlockRev,9),1),
    _xlfn.DROP(_xlfn.CHOOSECOLS(QBlockRev,4),1)="Fair"
  )
),0
)
+
IF(CompanyRiskToggle=TRUE,
SUM(
  _xlfn._xlws.FILTER(
    _xlfn.DROP(_xlfn.CHOOSECOLS(QBlockRev,9),1),
    _xlfn.DROP(_xlfn.CHOOSECOLS(QBlockRev,4),1)="Risk"
  )
),0
)</f>
        <v>0</v>
      </c>
      <c r="V58" s="112" cm="1">
        <f t="array" aca="1" ref="V58" ca="1">IF(CompanyGoodToggle=TRUE,
SUM(
  _xlfn._xlws.FILTER(
    _xlfn.DROP(_xlfn.CHOOSECOLS(QBlockRev,10),1),
    _xlfn.DROP(_xlfn.CHOOSECOLS(QBlockRev,4),1)="Good"
  )
),0
)
+
IF(CompanyFairToggle=TRUE,
SUM(
  _xlfn._xlws.FILTER(
    _xlfn.DROP(_xlfn.CHOOSECOLS(QBlockRev,10),1),
    _xlfn.DROP(_xlfn.CHOOSECOLS(QBlockRev,4),1)="Fair"
  )
),0
)
+
IF(CompanyRiskToggle=TRUE,
SUM(
  _xlfn._xlws.FILTER(
    _xlfn.DROP(_xlfn.CHOOSECOLS(QBlockRev,10),1),
    _xlfn.DROP(_xlfn.CHOOSECOLS(QBlockRev,4),1)="Risk"
  )
),0
)</f>
        <v>0</v>
      </c>
      <c r="W58" s="112" cm="1">
        <f t="array" aca="1" ref="W58" ca="1">IF(CompanyGoodToggle=TRUE,
SUM(
  _xlfn._xlws.FILTER(
    _xlfn.DROP(_xlfn.CHOOSECOLS(QBlockRev,11),1),
    _xlfn.DROP(_xlfn.CHOOSECOLS(QBlockRev,4),1)="Good"
  )
),0
)
+
IF(CompanyFairToggle=TRUE,
SUM(
  _xlfn._xlws.FILTER(
    _xlfn.DROP(_xlfn.CHOOSECOLS(QBlockRev,11),1),
    _xlfn.DROP(_xlfn.CHOOSECOLS(QBlockRev,4),1)="Fair"
  )
),0
)
+
IF(CompanyRiskToggle=TRUE,
SUM(
  _xlfn._xlws.FILTER(
    _xlfn.DROP(_xlfn.CHOOSECOLS(QBlockRev,11),1),
    _xlfn.DROP(_xlfn.CHOOSECOLS(QBlockRev,4),1)="Risk"
  )
),0
)</f>
        <v>0</v>
      </c>
      <c r="X58" s="112" cm="1">
        <f t="array" aca="1" ref="X58" ca="1">IF(CompanyGoodToggle=TRUE,
SUM(
  _xlfn._xlws.FILTER(
    _xlfn.DROP(_xlfn.CHOOSECOLS(QBlockRev,12),1),
    _xlfn.DROP(_xlfn.CHOOSECOLS(QBlockRev,4),1)="Good"
  )
),0
)
+
IF(CompanyFairToggle=TRUE,
SUM(
  _xlfn._xlws.FILTER(
    _xlfn.DROP(_xlfn.CHOOSECOLS(QBlockRev,12),1),
    _xlfn.DROP(_xlfn.CHOOSECOLS(QBlockRev,4),1)="Fair"
  )
),0
)
+
IF(CompanyRiskToggle=TRUE,
SUM(
  _xlfn._xlws.FILTER(
    _xlfn.DROP(_xlfn.CHOOSECOLS(QBlockRev,12),1),
    _xlfn.DROP(_xlfn.CHOOSECOLS(QBlockRev,4),1)="Risk"
  )
),0
)</f>
        <v>120000</v>
      </c>
      <c r="Y58" s="112" cm="1">
        <f t="array" aca="1" ref="Y58" ca="1">IF(CompanyGoodToggle=TRUE,
SUM(
  _xlfn._xlws.FILTER(
    _xlfn.DROP(_xlfn.CHOOSECOLS(QBlockRev,13),1),
    _xlfn.DROP(_xlfn.CHOOSECOLS(QBlockRev,4),1)="Good"
  )
),0
)
+
IF(CompanyFairToggle=TRUE,
SUM(
  _xlfn._xlws.FILTER(
    _xlfn.DROP(_xlfn.CHOOSECOLS(QBlockRev,13),1),
    _xlfn.DROP(_xlfn.CHOOSECOLS(QBlockRev,4),1)="Fair"
  )
),0
)
+
IF(CompanyRiskToggle=TRUE,
SUM(
  _xlfn._xlws.FILTER(
    _xlfn.DROP(_xlfn.CHOOSECOLS(QBlockRev,13),1),
    _xlfn.DROP(_xlfn.CHOOSECOLS(QBlockRev,4),1)="Risk"
  )
),0
)</f>
        <v>120000</v>
      </c>
      <c r="Z58" s="112" cm="1">
        <f t="array" aca="1" ref="Z58" ca="1">IF(CompanyGoodToggle=TRUE,
SUM(
  _xlfn._xlws.FILTER(
    _xlfn.DROP(_xlfn.CHOOSECOLS(QBlockRev,14),1),
    _xlfn.DROP(_xlfn.CHOOSECOLS(QBlockRev,4),1)="Good"
  )
),0
)
+
IF(CompanyFairToggle=TRUE,
SUM(
  _xlfn._xlws.FILTER(
    _xlfn.DROP(_xlfn.CHOOSECOLS(QBlockRev,14),1),
    _xlfn.DROP(_xlfn.CHOOSECOLS(QBlockRev,4),1)="Fair"
  )
),0
)
+
IF(CompanyRiskToggle=TRUE,
SUM(
  _xlfn._xlws.FILTER(
    _xlfn.DROP(_xlfn.CHOOSECOLS(QBlockRev,14),1),
    _xlfn.DROP(_xlfn.CHOOSECOLS(QBlockRev,4),1)="Risk"
  )
),0
)</f>
        <v>120000</v>
      </c>
      <c r="AA58" s="112" cm="1">
        <f t="array" aca="1" ref="AA58" ca="1">IF(CompanyGoodToggle=TRUE,
SUM(
  _xlfn._xlws.FILTER(
    _xlfn.DROP(_xlfn.CHOOSECOLS(QBlockRev,15),1),
    _xlfn.DROP(_xlfn.CHOOSECOLS(QBlockRev,4),1)="Good"
  )
),0
)
+
IF(CompanyFairToggle=TRUE,
SUM(
  _xlfn._xlws.FILTER(
    _xlfn.DROP(_xlfn.CHOOSECOLS(QBlockRev,15),1),
    _xlfn.DROP(_xlfn.CHOOSECOLS(QBlockRev,4),1)="Fair"
  )
),0
)
+
IF(CompanyRiskToggle=TRUE,
SUM(
  _xlfn._xlws.FILTER(
    _xlfn.DROP(_xlfn.CHOOSECOLS(QBlockRev,15),1),
    _xlfn.DROP(_xlfn.CHOOSECOLS(QBlockRev,4),1)="Risk"
  )
),0
)</f>
        <v>312857.14285714284</v>
      </c>
      <c r="AB58" s="112" cm="1">
        <f t="array" aca="1" ref="AB58" ca="1">IF(CompanyGoodToggle=TRUE,
SUM(
  _xlfn._xlws.FILTER(
    _xlfn.DROP(_xlfn.CHOOSECOLS(QBlockRev,16),1),
    _xlfn.DROP(_xlfn.CHOOSECOLS(QBlockRev,4),1)="Good"
  )
),0
)
+
IF(CompanyFairToggle=TRUE,
SUM(
  _xlfn._xlws.FILTER(
    _xlfn.DROP(_xlfn.CHOOSECOLS(QBlockRev,16),1),
    _xlfn.DROP(_xlfn.CHOOSECOLS(QBlockRev,4),1)="Fair"
  )
),0
)
+
IF(CompanyRiskToggle=TRUE,
SUM(
  _xlfn._xlws.FILTER(
    _xlfn.DROP(_xlfn.CHOOSECOLS(QBlockRev,16),1),
    _xlfn.DROP(_xlfn.CHOOSECOLS(QBlockRev,4),1)="Risk"
  )
),0
)</f>
        <v>262857.14285714284</v>
      </c>
    </row>
    <row r="59" spans="2:28" s="231" customFormat="1" ht="13.5" x14ac:dyDescent="0.25">
      <c r="B59" s="234" t="s">
        <v>110</v>
      </c>
      <c r="C59" s="230">
        <f>'DAFF VAT Summary'!U21+'SAU VAT Summary'!U21+'VIC VAT Summary'!U21+'DISR VAT Summary'!U21+'EMERGING VAT Summary'!U21+'GROWTH VAT Summary'!U22</f>
        <v>971166.66666666674</v>
      </c>
      <c r="D59" s="230">
        <f>'DAFF VAT Summary'!V21+'SAU VAT Summary'!V21+'VIC VAT Summary'!V21+'DISR VAT Summary'!V21+'EMERGING VAT Summary'!V21+'GROWTH VAT Summary'!V22</f>
        <v>975666.66666666674</v>
      </c>
      <c r="E59" s="230">
        <f>'DAFF VAT Summary'!W21+'SAU VAT Summary'!W21+'VIC VAT Summary'!W21+'DISR VAT Summary'!W21+'EMERGING VAT Summary'!W21+'GROWTH VAT Summary'!W22</f>
        <v>990666.66666666674</v>
      </c>
      <c r="F59" s="230">
        <f>'DAFF VAT Summary'!X21+'SAU VAT Summary'!X21+'VIC VAT Summary'!X21+'DISR VAT Summary'!X21+'EMERGING VAT Summary'!X21+'GROWTH VAT Summary'!X22</f>
        <v>954166.66666666674</v>
      </c>
      <c r="G59" s="230">
        <f>'DAFF VAT Summary'!Y21+'SAU VAT Summary'!Y21+'VIC VAT Summary'!Y21+'DISR VAT Summary'!Y21+'EMERGING VAT Summary'!Y21+'GROWTH VAT Summary'!Y22</f>
        <v>954166.66666666674</v>
      </c>
      <c r="H59" s="230">
        <f>'DAFF VAT Summary'!Z21+'SAU VAT Summary'!Z21+'VIC VAT Summary'!Z21+'DISR VAT Summary'!Z21+'EMERGING VAT Summary'!Z21+'GROWTH VAT Summary'!Z22</f>
        <v>954166.66666666674</v>
      </c>
      <c r="I59" s="230">
        <f>'DAFF VAT Summary'!AA21+'SAU VAT Summary'!AA21+'VIC VAT Summary'!AA21+'DISR VAT Summary'!AA21+'EMERGING VAT Summary'!AA21+'GROWTH VAT Summary'!AA22</f>
        <v>1216666.6666666667</v>
      </c>
      <c r="J59" s="230">
        <f>'DAFF VAT Summary'!AB21+'SAU VAT Summary'!AB21+'VIC VAT Summary'!AB21+'DISR VAT Summary'!AB21+'EMERGING VAT Summary'!AB21+'GROWTH VAT Summary'!AB22</f>
        <v>1216666.6666666667</v>
      </c>
      <c r="K59" s="230">
        <f>'DAFF VAT Summary'!AC21+'SAU VAT Summary'!AC21+'VIC VAT Summary'!AC21+'DISR VAT Summary'!AC21+'EMERGING VAT Summary'!AC21+'GROWTH VAT Summary'!AC22</f>
        <v>1216666.6666666667</v>
      </c>
      <c r="L59" s="230">
        <f>'DAFF VAT Summary'!AD21+'SAU VAT Summary'!AD21+'VIC VAT Summary'!AD21+'DISR VAT Summary'!AD21+'EMERGING VAT Summary'!AD21+'GROWTH VAT Summary'!AD22</f>
        <v>1216666.6666666667</v>
      </c>
      <c r="M59" s="230">
        <f>'DAFF VAT Summary'!AE21+'SAU VAT Summary'!AE21+'VIC VAT Summary'!AE21+'DISR VAT Summary'!AE21+'EMERGING VAT Summary'!AE21+'GROWTH VAT Summary'!AE22</f>
        <v>1216666.6666666667</v>
      </c>
      <c r="N59" s="230">
        <f>'DAFF VAT Summary'!AF21+'SAU VAT Summary'!AF21+'VIC VAT Summary'!AF21+'DISR VAT Summary'!AF21+'EMERGING VAT Summary'!AF21+'GROWTH VAT Summary'!AF22</f>
        <v>1216666.6666666667</v>
      </c>
      <c r="P59" s="235" t="s">
        <v>110</v>
      </c>
      <c r="Q59" s="230">
        <f>'DAFF VAT Summary'!U43+'SAU VAT Summary'!U43+'VIC VAT Summary'!U43+'DISR VAT Summary'!U43+'EMERGING VAT Summary'!U43+'GROWTH VAT Summary'!U44</f>
        <v>3179953.1024531019</v>
      </c>
      <c r="R59" s="230">
        <f>'DAFF VAT Summary'!V43+'SAU VAT Summary'!V43+'VIC VAT Summary'!V43+'DISR VAT Summary'!V43+'EMERGING VAT Summary'!V43+'GROWTH VAT Summary'!V44</f>
        <v>3194953.1024531019</v>
      </c>
      <c r="S59" s="230">
        <f>'DAFF VAT Summary'!W43+'SAU VAT Summary'!W43+'VIC VAT Summary'!W43+'DISR VAT Summary'!W43+'EMERGING VAT Summary'!W43+'GROWTH VAT Summary'!W44</f>
        <v>3244953.1024531019</v>
      </c>
      <c r="T59" s="230">
        <f>'DAFF VAT Summary'!X43+'SAU VAT Summary'!X43+'VIC VAT Summary'!X43+'DISR VAT Summary'!X43+'EMERGING VAT Summary'!X43+'GROWTH VAT Summary'!X44</f>
        <v>2812680.3751803748</v>
      </c>
      <c r="U59" s="230">
        <f>'DAFF VAT Summary'!Y43+'SAU VAT Summary'!Y43+'VIC VAT Summary'!Y43+'DISR VAT Summary'!Y43+'EMERGING VAT Summary'!Y43+'GROWTH VAT Summary'!Y44</f>
        <v>2812680.3751803748</v>
      </c>
      <c r="V59" s="230">
        <f>'DAFF VAT Summary'!Z43+'SAU VAT Summary'!Z43+'VIC VAT Summary'!Z43+'DISR VAT Summary'!Z43+'EMERGING VAT Summary'!Z43+'GROWTH VAT Summary'!Z44</f>
        <v>2812680.3751803748</v>
      </c>
      <c r="W59" s="230">
        <f>'DAFF VAT Summary'!AA43+'SAU VAT Summary'!AA43+'VIC VAT Summary'!AA43+'DISR VAT Summary'!AA43+'EMERGING VAT Summary'!AA43+'GROWTH VAT Summary'!AA44</f>
        <v>4153589.4660894657</v>
      </c>
      <c r="X59" s="230">
        <f>'DAFF VAT Summary'!AB43+'SAU VAT Summary'!AB43+'VIC VAT Summary'!AB43+'DISR VAT Summary'!AB43+'EMERGING VAT Summary'!AB43+'GROWTH VAT Summary'!AB44</f>
        <v>4153589.4660894657</v>
      </c>
      <c r="Y59" s="230">
        <f>'DAFF VAT Summary'!AC43+'SAU VAT Summary'!AC43+'VIC VAT Summary'!AC43+'DISR VAT Summary'!AC43+'EMERGING VAT Summary'!AC43+'GROWTH VAT Summary'!AC44</f>
        <v>4153589.4660894657</v>
      </c>
      <c r="Z59" s="230">
        <f>'DAFF VAT Summary'!AD43+'SAU VAT Summary'!AD43+'VIC VAT Summary'!AD43+'DISR VAT Summary'!AD43+'EMERGING VAT Summary'!AD43+'GROWTH VAT Summary'!AD44</f>
        <v>4153589.4660894657</v>
      </c>
      <c r="AA59" s="230">
        <f>'DAFF VAT Summary'!AE43+'SAU VAT Summary'!AE43+'VIC VAT Summary'!AE43+'DISR VAT Summary'!AE43+'EMERGING VAT Summary'!AE43+'GROWTH VAT Summary'!AE44</f>
        <v>4153589.4660894657</v>
      </c>
      <c r="AB59" s="230">
        <f>'DAFF VAT Summary'!AF43+'SAU VAT Summary'!AF43+'VIC VAT Summary'!AF43+'DISR VAT Summary'!AF43+'EMERGING VAT Summary'!AF43+'GROWTH VAT Summary'!AF44</f>
        <v>4153589.4660894657</v>
      </c>
    </row>
    <row r="60" spans="2:28" x14ac:dyDescent="0.25">
      <c r="B60" s="236" t="s">
        <v>111</v>
      </c>
      <c r="C60" s="230">
        <f>'DAFF VAT Summary'!U22+'SAU VAT Summary'!U22+'VIC VAT Summary'!U22+'DISR VAT Summary'!U22+'EMERGING VAT Summary'!U22+'GROWTH VAT Summary'!U23</f>
        <v>748666.66666666674</v>
      </c>
      <c r="D60" s="230">
        <f>'DAFF VAT Summary'!V22+'SAU VAT Summary'!V22+'VIC VAT Summary'!V22+'DISR VAT Summary'!V22+'EMERGING VAT Summary'!V22+'GROWTH VAT Summary'!V23</f>
        <v>753166.66666666674</v>
      </c>
      <c r="E60" s="230">
        <f>'DAFF VAT Summary'!W22+'SAU VAT Summary'!W22+'VIC VAT Summary'!W22+'DISR VAT Summary'!W22+'EMERGING VAT Summary'!W22+'GROWTH VAT Summary'!W23</f>
        <v>768166.66666666674</v>
      </c>
      <c r="F60" s="230">
        <f>'DAFF VAT Summary'!X22+'SAU VAT Summary'!X22+'VIC VAT Summary'!X22+'DISR VAT Summary'!X22+'EMERGING VAT Summary'!X22+'GROWTH VAT Summary'!X23</f>
        <v>773333.33333333337</v>
      </c>
      <c r="G60" s="230">
        <f>'DAFF VAT Summary'!Y22+'SAU VAT Summary'!Y22+'VIC VAT Summary'!Y22+'DISR VAT Summary'!Y22+'EMERGING VAT Summary'!Y22+'GROWTH VAT Summary'!Y23</f>
        <v>773333.33333333337</v>
      </c>
      <c r="H60" s="230">
        <f>'DAFF VAT Summary'!Z22+'SAU VAT Summary'!Z22+'VIC VAT Summary'!Z22+'DISR VAT Summary'!Z22+'EMERGING VAT Summary'!Z22+'GROWTH VAT Summary'!Z23</f>
        <v>773333.33333333337</v>
      </c>
      <c r="I60" s="230">
        <f>'DAFF VAT Summary'!AA22+'SAU VAT Summary'!AA22+'VIC VAT Summary'!AA22+'DISR VAT Summary'!AA22+'EMERGING VAT Summary'!AA22+'GROWTH VAT Summary'!AA23</f>
        <v>923333.33333333337</v>
      </c>
      <c r="J60" s="230">
        <f>'DAFF VAT Summary'!AB22+'SAU VAT Summary'!AB22+'VIC VAT Summary'!AB22+'DISR VAT Summary'!AB22+'EMERGING VAT Summary'!AB22+'GROWTH VAT Summary'!AB23</f>
        <v>923333.33333333337</v>
      </c>
      <c r="K60" s="230">
        <f>'DAFF VAT Summary'!AC22+'SAU VAT Summary'!AC22+'VIC VAT Summary'!AC22+'DISR VAT Summary'!AC22+'EMERGING VAT Summary'!AC22+'GROWTH VAT Summary'!AC23</f>
        <v>923333.33333333337</v>
      </c>
      <c r="L60" s="230">
        <f>'DAFF VAT Summary'!AD22+'SAU VAT Summary'!AD22+'VIC VAT Summary'!AD22+'DISR VAT Summary'!AD22+'EMERGING VAT Summary'!AD22+'GROWTH VAT Summary'!AD23</f>
        <v>923333.33333333337</v>
      </c>
      <c r="M60" s="230">
        <f>'DAFF VAT Summary'!AE22+'SAU VAT Summary'!AE22+'VIC VAT Summary'!AE22+'DISR VAT Summary'!AE22+'EMERGING VAT Summary'!AE22+'GROWTH VAT Summary'!AE23</f>
        <v>923333.33333333337</v>
      </c>
      <c r="N60" s="230">
        <f>'DAFF VAT Summary'!AF22+'SAU VAT Summary'!AF22+'VIC VAT Summary'!AF22+'DISR VAT Summary'!AF22+'EMERGING VAT Summary'!AF22+'GROWTH VAT Summary'!AF23</f>
        <v>923333.33333333337</v>
      </c>
      <c r="P60" s="237" t="s">
        <v>111</v>
      </c>
      <c r="Q60" s="230">
        <f>'DAFF VAT Summary'!U44+'SAU VAT Summary'!U44+'VIC VAT Summary'!U44+'DISR VAT Summary'!U44+'EMERGING VAT Summary'!U44+'GROWTH VAT Summary'!U45</f>
        <v>2510562.7705627708</v>
      </c>
      <c r="R60" s="230">
        <f>'DAFF VAT Summary'!V44+'SAU VAT Summary'!V44+'VIC VAT Summary'!V44+'DISR VAT Summary'!V44+'EMERGING VAT Summary'!V44+'GROWTH VAT Summary'!V45</f>
        <v>2525562.7705627708</v>
      </c>
      <c r="S60" s="230">
        <f>'DAFF VAT Summary'!W44+'SAU VAT Summary'!W44+'VIC VAT Summary'!W44+'DISR VAT Summary'!W44+'EMERGING VAT Summary'!W44+'GROWTH VAT Summary'!W45</f>
        <v>2575562.7705627708</v>
      </c>
      <c r="T60" s="230">
        <f>'DAFF VAT Summary'!X44+'SAU VAT Summary'!X44+'VIC VAT Summary'!X44+'DISR VAT Summary'!X44+'EMERGING VAT Summary'!X44+'GROWTH VAT Summary'!X45</f>
        <v>2395815.295815296</v>
      </c>
      <c r="U60" s="230">
        <f>'DAFF VAT Summary'!Y44+'SAU VAT Summary'!Y44+'VIC VAT Summary'!Y44+'DISR VAT Summary'!Y44+'EMERGING VAT Summary'!Y44+'GROWTH VAT Summary'!Y45</f>
        <v>2395815.295815296</v>
      </c>
      <c r="V60" s="230">
        <f>'DAFF VAT Summary'!Z44+'SAU VAT Summary'!Z44+'VIC VAT Summary'!Z44+'DISR VAT Summary'!Z44+'EMERGING VAT Summary'!Z44+'GROWTH VAT Summary'!Z45</f>
        <v>2395815.295815296</v>
      </c>
      <c r="W60" s="230">
        <f>'DAFF VAT Summary'!AA44+'SAU VAT Summary'!AA44+'VIC VAT Summary'!AA44+'DISR VAT Summary'!AA44+'EMERGING VAT Summary'!AA44+'GROWTH VAT Summary'!AA45</f>
        <v>3191269.8412698419</v>
      </c>
      <c r="X60" s="230">
        <f>'DAFF VAT Summary'!AB44+'SAU VAT Summary'!AB44+'VIC VAT Summary'!AB44+'DISR VAT Summary'!AB44+'EMERGING VAT Summary'!AB44+'GROWTH VAT Summary'!AB45</f>
        <v>3191269.8412698419</v>
      </c>
      <c r="Y60" s="230">
        <f>'DAFF VAT Summary'!AC44+'SAU VAT Summary'!AC44+'VIC VAT Summary'!AC44+'DISR VAT Summary'!AC44+'EMERGING VAT Summary'!AC44+'GROWTH VAT Summary'!AC45</f>
        <v>3191269.8412698419</v>
      </c>
      <c r="Z60" s="230">
        <f>'DAFF VAT Summary'!AD44+'SAU VAT Summary'!AD44+'VIC VAT Summary'!AD44+'DISR VAT Summary'!AD44+'EMERGING VAT Summary'!AD44+'GROWTH VAT Summary'!AD45</f>
        <v>3191269.8412698419</v>
      </c>
      <c r="AA60" s="230">
        <f>'DAFF VAT Summary'!AE44+'SAU VAT Summary'!AE44+'VIC VAT Summary'!AE44+'DISR VAT Summary'!AE44+'EMERGING VAT Summary'!AE44+'GROWTH VAT Summary'!AE45</f>
        <v>3191269.8412698419</v>
      </c>
      <c r="AB60" s="230">
        <f>'DAFF VAT Summary'!AF44+'SAU VAT Summary'!AF44+'VIC VAT Summary'!AF44+'DISR VAT Summary'!AF44+'EMERGING VAT Summary'!AF44+'GROWTH VAT Summary'!AF45</f>
        <v>3191269.8412698419</v>
      </c>
    </row>
    <row r="61" spans="2:28" x14ac:dyDescent="0.25">
      <c r="B61" s="238" t="s">
        <v>4</v>
      </c>
      <c r="C61" s="230">
        <f>'DAFF VAT Summary'!U23+'SAU VAT Summary'!U23+'VIC VAT Summary'!U23+'DISR VAT Summary'!U23+'EMERGING VAT Summary'!U23+'GROWTH VAT Summary'!U24</f>
        <v>537000</v>
      </c>
      <c r="D61" s="230">
        <f>'DAFF VAT Summary'!V23+'SAU VAT Summary'!V23+'VIC VAT Summary'!V23+'DISR VAT Summary'!V23+'EMERGING VAT Summary'!V23+'GROWTH VAT Summary'!V24</f>
        <v>541500</v>
      </c>
      <c r="E61" s="230">
        <f>'DAFF VAT Summary'!W23+'SAU VAT Summary'!W23+'VIC VAT Summary'!W23+'DISR VAT Summary'!W23+'EMERGING VAT Summary'!W23+'GROWTH VAT Summary'!W24</f>
        <v>556500</v>
      </c>
      <c r="F61" s="230">
        <f>'DAFF VAT Summary'!X23+'SAU VAT Summary'!X23+'VIC VAT Summary'!X23+'DISR VAT Summary'!X23+'EMERGING VAT Summary'!X23+'GROWTH VAT Summary'!X24</f>
        <v>580000</v>
      </c>
      <c r="G61" s="230">
        <f>'DAFF VAT Summary'!Y23+'SAU VAT Summary'!Y23+'VIC VAT Summary'!Y23+'DISR VAT Summary'!Y23+'EMERGING VAT Summary'!Y23+'GROWTH VAT Summary'!Y24</f>
        <v>580000</v>
      </c>
      <c r="H61" s="230">
        <f>'DAFF VAT Summary'!Z23+'SAU VAT Summary'!Z23+'VIC VAT Summary'!Z23+'DISR VAT Summary'!Z23+'EMERGING VAT Summary'!Z23+'GROWTH VAT Summary'!Z24</f>
        <v>580000</v>
      </c>
      <c r="I61" s="230">
        <f>'DAFF VAT Summary'!AA23+'SAU VAT Summary'!AA23+'VIC VAT Summary'!AA23+'DISR VAT Summary'!AA23+'EMERGING VAT Summary'!AA23+'GROWTH VAT Summary'!AA24</f>
        <v>617500</v>
      </c>
      <c r="J61" s="230">
        <f>'DAFF VAT Summary'!AB23+'SAU VAT Summary'!AB23+'VIC VAT Summary'!AB23+'DISR VAT Summary'!AB23+'EMERGING VAT Summary'!AB23+'GROWTH VAT Summary'!AB24</f>
        <v>617500</v>
      </c>
      <c r="K61" s="230">
        <f>'DAFF VAT Summary'!AC23+'SAU VAT Summary'!AC23+'VIC VAT Summary'!AC23+'DISR VAT Summary'!AC23+'EMERGING VAT Summary'!AC23+'GROWTH VAT Summary'!AC24</f>
        <v>617500</v>
      </c>
      <c r="L61" s="230">
        <f>'DAFF VAT Summary'!AD23+'SAU VAT Summary'!AD23+'VIC VAT Summary'!AD23+'DISR VAT Summary'!AD23+'EMERGING VAT Summary'!AD23+'GROWTH VAT Summary'!AD24</f>
        <v>617500</v>
      </c>
      <c r="M61" s="230">
        <f>'DAFF VAT Summary'!AE23+'SAU VAT Summary'!AE23+'VIC VAT Summary'!AE23+'DISR VAT Summary'!AE23+'EMERGING VAT Summary'!AE23+'GROWTH VAT Summary'!AE24</f>
        <v>617500</v>
      </c>
      <c r="N61" s="230">
        <f>'DAFF VAT Summary'!AF23+'SAU VAT Summary'!AF23+'VIC VAT Summary'!AF23+'DISR VAT Summary'!AF23+'EMERGING VAT Summary'!AF23+'GROWTH VAT Summary'!AF24</f>
        <v>617500</v>
      </c>
      <c r="P61" s="239" t="s">
        <v>4</v>
      </c>
      <c r="Q61" s="230">
        <f>'DAFF VAT Summary'!U45+'SAU VAT Summary'!U45+'VIC VAT Summary'!U45+'DISR VAT Summary'!U45+'EMERGING VAT Summary'!U45+'GROWTH VAT Summary'!U46</f>
        <v>1877366.8619358274</v>
      </c>
      <c r="R61" s="230">
        <f>'DAFF VAT Summary'!V45+'SAU VAT Summary'!V45+'VIC VAT Summary'!V45+'DISR VAT Summary'!V45+'EMERGING VAT Summary'!V45+'GROWTH VAT Summary'!V46</f>
        <v>1892366.8619358274</v>
      </c>
      <c r="S61" s="230">
        <f>'DAFF VAT Summary'!W45+'SAU VAT Summary'!W45+'VIC VAT Summary'!W45+'DISR VAT Summary'!W45+'EMERGING VAT Summary'!W45+'GROWTH VAT Summary'!W46</f>
        <v>1942366.8619358274</v>
      </c>
      <c r="T61" s="230">
        <f>'DAFF VAT Summary'!X45+'SAU VAT Summary'!X45+'VIC VAT Summary'!X45+'DISR VAT Summary'!X45+'EMERGING VAT Summary'!X45+'GROWTH VAT Summary'!X46</f>
        <v>1931619.7354990458</v>
      </c>
      <c r="U61" s="230">
        <f>'DAFF VAT Summary'!Y45+'SAU VAT Summary'!Y45+'VIC VAT Summary'!Y45+'DISR VAT Summary'!Y45+'EMERGING VAT Summary'!Y45+'GROWTH VAT Summary'!Y46</f>
        <v>1931619.7354990458</v>
      </c>
      <c r="V61" s="230">
        <f>'DAFF VAT Summary'!Z45+'SAU VAT Summary'!Z45+'VIC VAT Summary'!Z45+'DISR VAT Summary'!Z45+'EMERGING VAT Summary'!Z45+'GROWTH VAT Summary'!Z46</f>
        <v>1931619.7354990458</v>
      </c>
      <c r="W61" s="230">
        <f>'DAFF VAT Summary'!AA45+'SAU VAT Summary'!AA45+'VIC VAT Summary'!AA45+'DISR VAT Summary'!AA45+'EMERGING VAT Summary'!AA45+'GROWTH VAT Summary'!AA46</f>
        <v>2190240.4251542185</v>
      </c>
      <c r="X61" s="230">
        <f>'DAFF VAT Summary'!AB45+'SAU VAT Summary'!AB45+'VIC VAT Summary'!AB45+'DISR VAT Summary'!AB45+'EMERGING VAT Summary'!AB45+'GROWTH VAT Summary'!AB46</f>
        <v>2190240.4251542185</v>
      </c>
      <c r="Y61" s="230">
        <f>'DAFF VAT Summary'!AC45+'SAU VAT Summary'!AC45+'VIC VAT Summary'!AC45+'DISR VAT Summary'!AC45+'EMERGING VAT Summary'!AC45+'GROWTH VAT Summary'!AC46</f>
        <v>2190240.4251542185</v>
      </c>
      <c r="Z61" s="230">
        <f>'DAFF VAT Summary'!AD45+'SAU VAT Summary'!AD45+'VIC VAT Summary'!AD45+'DISR VAT Summary'!AD45+'EMERGING VAT Summary'!AD45+'GROWTH VAT Summary'!AD46</f>
        <v>2190240.4251542185</v>
      </c>
      <c r="AA61" s="230">
        <f>'DAFF VAT Summary'!AE45+'SAU VAT Summary'!AE45+'VIC VAT Summary'!AE45+'DISR VAT Summary'!AE45+'EMERGING VAT Summary'!AE45+'GROWTH VAT Summary'!AE46</f>
        <v>2190240.4251542185</v>
      </c>
      <c r="AB61" s="230">
        <f>'DAFF VAT Summary'!AF45+'SAU VAT Summary'!AF45+'VIC VAT Summary'!AF45+'DISR VAT Summary'!AF45+'EMERGING VAT Summary'!AF45+'GROWTH VAT Summary'!AF46</f>
        <v>2190240.4251542185</v>
      </c>
    </row>
    <row r="62" spans="2:28" x14ac:dyDescent="0.25">
      <c r="P62" s="221"/>
    </row>
    <row r="63" spans="2:28" x14ac:dyDescent="0.25">
      <c r="D63" s="16"/>
      <c r="E63" s="16"/>
      <c r="F63" s="16"/>
    </row>
    <row r="64" spans="2:28" x14ac:dyDescent="0.25">
      <c r="C64" s="8"/>
    </row>
    <row r="65" spans="2:2" x14ac:dyDescent="0.25">
      <c r="B65" s="16" t="s">
        <v>114</v>
      </c>
    </row>
    <row r="66" spans="2:2" x14ac:dyDescent="0.25">
      <c r="B66" s="8" t="s">
        <v>115</v>
      </c>
    </row>
  </sheetData>
  <pageMargins left="0.7" right="0.7" top="0.75" bottom="0.75" header="0.3" footer="0.3"/>
  <drawing r:id="rId1"/>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5478D-3C5D-41EB-ABFA-3778B32D0963}">
  <sheetPr>
    <tabColor theme="5"/>
  </sheetPr>
  <dimension ref="A1:P92"/>
  <sheetViews>
    <sheetView zoomScale="130" zoomScaleNormal="130" workbookViewId="0">
      <selection activeCell="E5" sqref="E5"/>
    </sheetView>
  </sheetViews>
  <sheetFormatPr defaultRowHeight="15" x14ac:dyDescent="0.25"/>
  <cols>
    <col min="1" max="1" width="24.140625" customWidth="1"/>
    <col min="2" max="2" width="70.28515625" customWidth="1"/>
    <col min="3" max="6" width="14" style="8" customWidth="1"/>
    <col min="7" max="10" width="16.140625" style="8" customWidth="1"/>
    <col min="11" max="11" width="14.140625" customWidth="1"/>
    <col min="12" max="12" width="12.42578125" customWidth="1"/>
    <col min="13" max="13" width="10" customWidth="1"/>
  </cols>
  <sheetData>
    <row r="1" spans="1:16" ht="21" x14ac:dyDescent="0.35">
      <c r="A1" s="11" t="s">
        <v>116</v>
      </c>
      <c r="E1" s="15" t="s">
        <v>117</v>
      </c>
    </row>
    <row r="2" spans="1:16" x14ac:dyDescent="0.25">
      <c r="E2" s="13" t="s">
        <v>118</v>
      </c>
    </row>
    <row r="3" spans="1:16" hidden="1" x14ac:dyDescent="0.25">
      <c r="A3" s="7" t="s">
        <v>29</v>
      </c>
      <c r="B3" t="s">
        <v>30</v>
      </c>
    </row>
    <row r="4" spans="1:16" hidden="1" x14ac:dyDescent="0.25">
      <c r="A4" s="96" t="s">
        <v>16</v>
      </c>
      <c r="B4" t="s">
        <v>119</v>
      </c>
    </row>
    <row r="6" spans="1:16" x14ac:dyDescent="0.25">
      <c r="A6" s="7" t="s">
        <v>120</v>
      </c>
      <c r="C6"/>
      <c r="D6"/>
      <c r="E6"/>
      <c r="F6"/>
      <c r="G6" s="9" t="s">
        <v>38</v>
      </c>
    </row>
    <row r="7" spans="1:16" x14ac:dyDescent="0.25">
      <c r="A7" s="96" t="s">
        <v>36</v>
      </c>
      <c r="B7" s="7" t="s">
        <v>37</v>
      </c>
      <c r="C7" s="7" t="s">
        <v>32</v>
      </c>
      <c r="D7" s="9" t="s">
        <v>121</v>
      </c>
      <c r="E7" s="9" t="s">
        <v>122</v>
      </c>
      <c r="F7" s="9" t="s">
        <v>123</v>
      </c>
      <c r="G7" s="8" t="s">
        <v>5</v>
      </c>
      <c r="H7" s="8" t="s">
        <v>55</v>
      </c>
      <c r="I7" s="8" t="s">
        <v>44</v>
      </c>
      <c r="J7" s="97" t="s">
        <v>85</v>
      </c>
    </row>
    <row r="8" spans="1:16" s="98" customFormat="1" x14ac:dyDescent="0.25">
      <c r="A8" t="s">
        <v>42</v>
      </c>
      <c r="B8" t="s">
        <v>124</v>
      </c>
      <c r="C8" t="s">
        <v>125</v>
      </c>
      <c r="D8" s="289" t="s">
        <v>126</v>
      </c>
      <c r="E8" s="6">
        <v>46083</v>
      </c>
      <c r="F8" s="6">
        <v>47487</v>
      </c>
      <c r="G8" s="266"/>
      <c r="H8" s="266"/>
      <c r="I8" s="266"/>
      <c r="J8" s="266"/>
      <c r="K8"/>
      <c r="L8"/>
      <c r="M8"/>
      <c r="N8"/>
      <c r="O8"/>
      <c r="P8"/>
    </row>
    <row r="9" spans="1:16" x14ac:dyDescent="0.25">
      <c r="B9" t="s">
        <v>127</v>
      </c>
      <c r="C9" t="s">
        <v>125</v>
      </c>
      <c r="D9" s="289" t="s">
        <v>126</v>
      </c>
      <c r="E9" s="6">
        <v>46082</v>
      </c>
      <c r="F9" s="6">
        <v>47391</v>
      </c>
      <c r="G9" s="266"/>
      <c r="H9" s="266"/>
      <c r="I9" s="266"/>
      <c r="J9" s="266"/>
    </row>
    <row r="10" spans="1:16" x14ac:dyDescent="0.25">
      <c r="B10" t="s">
        <v>133</v>
      </c>
      <c r="C10" t="s">
        <v>39</v>
      </c>
      <c r="D10" s="289">
        <v>0.28000000000000003</v>
      </c>
      <c r="E10" s="6">
        <v>46113</v>
      </c>
      <c r="F10" s="6">
        <v>46477</v>
      </c>
      <c r="G10" s="266">
        <v>412500</v>
      </c>
      <c r="H10" s="266"/>
      <c r="I10" s="266"/>
      <c r="J10" s="266">
        <v>412500</v>
      </c>
    </row>
    <row r="11" spans="1:16" x14ac:dyDescent="0.25">
      <c r="B11" t="s">
        <v>63</v>
      </c>
      <c r="C11" t="s">
        <v>34</v>
      </c>
      <c r="D11" s="289">
        <v>0.32</v>
      </c>
      <c r="E11" s="6">
        <v>46113</v>
      </c>
      <c r="F11" s="6">
        <v>46844</v>
      </c>
      <c r="G11" s="266">
        <v>10812528</v>
      </c>
      <c r="H11" s="266"/>
      <c r="I11" s="266"/>
      <c r="J11" s="266">
        <v>10812528</v>
      </c>
    </row>
    <row r="12" spans="1:16" x14ac:dyDescent="0.25">
      <c r="B12" t="s">
        <v>64</v>
      </c>
      <c r="C12" t="s">
        <v>34</v>
      </c>
      <c r="D12" s="289">
        <v>0.4</v>
      </c>
      <c r="E12" s="6">
        <v>46113</v>
      </c>
      <c r="F12" s="6">
        <v>46600</v>
      </c>
      <c r="G12" s="266">
        <v>4188470</v>
      </c>
      <c r="H12" s="266"/>
      <c r="I12" s="266"/>
      <c r="J12" s="266">
        <v>4188470</v>
      </c>
    </row>
    <row r="13" spans="1:16" x14ac:dyDescent="0.25">
      <c r="B13" t="s">
        <v>65</v>
      </c>
      <c r="C13" t="s">
        <v>34</v>
      </c>
      <c r="D13" s="289">
        <v>0.12</v>
      </c>
      <c r="E13" s="6">
        <v>46069</v>
      </c>
      <c r="F13" s="6">
        <v>46630</v>
      </c>
      <c r="G13" s="266">
        <v>3000000</v>
      </c>
      <c r="H13" s="266"/>
      <c r="I13" s="266"/>
      <c r="J13" s="266">
        <v>3000000</v>
      </c>
    </row>
    <row r="14" spans="1:16" x14ac:dyDescent="0.25">
      <c r="B14" t="s">
        <v>54</v>
      </c>
      <c r="C14" t="s">
        <v>34</v>
      </c>
      <c r="D14" s="289">
        <v>0.61499999999999999</v>
      </c>
      <c r="E14" s="6">
        <v>46160</v>
      </c>
      <c r="F14" s="6">
        <v>46290</v>
      </c>
      <c r="G14" s="266"/>
      <c r="H14" s="266">
        <v>465220</v>
      </c>
      <c r="I14" s="266"/>
      <c r="J14" s="266">
        <v>465220</v>
      </c>
    </row>
    <row r="15" spans="1:16" x14ac:dyDescent="0.25">
      <c r="B15" t="s">
        <v>57</v>
      </c>
      <c r="C15" t="s">
        <v>34</v>
      </c>
      <c r="D15" s="289">
        <v>0.43</v>
      </c>
      <c r="E15" s="6">
        <v>46069</v>
      </c>
      <c r="F15" s="6">
        <v>46203</v>
      </c>
      <c r="G15" s="266">
        <v>175220</v>
      </c>
      <c r="H15" s="266"/>
      <c r="I15" s="266"/>
      <c r="J15" s="266">
        <v>175220</v>
      </c>
    </row>
    <row r="16" spans="1:16" x14ac:dyDescent="0.25">
      <c r="B16" t="s">
        <v>45</v>
      </c>
      <c r="C16" t="s">
        <v>34</v>
      </c>
      <c r="D16" s="289">
        <v>0.16400000000000001</v>
      </c>
      <c r="E16" s="6">
        <v>46069</v>
      </c>
      <c r="F16" s="6">
        <v>46108</v>
      </c>
      <c r="G16" s="266"/>
      <c r="H16" s="266"/>
      <c r="I16" s="266">
        <v>55200</v>
      </c>
      <c r="J16" s="266">
        <v>55200</v>
      </c>
    </row>
    <row r="17" spans="1:10" x14ac:dyDescent="0.25">
      <c r="B17" t="s">
        <v>59</v>
      </c>
      <c r="C17" t="s">
        <v>39</v>
      </c>
      <c r="D17" s="289">
        <v>0.14000000000000001</v>
      </c>
      <c r="E17" s="6">
        <v>46113</v>
      </c>
      <c r="F17" s="6">
        <v>46203</v>
      </c>
      <c r="G17" s="266">
        <v>129600</v>
      </c>
      <c r="H17" s="266"/>
      <c r="I17" s="266"/>
      <c r="J17" s="266">
        <v>129600</v>
      </c>
    </row>
    <row r="18" spans="1:10" x14ac:dyDescent="0.25">
      <c r="B18" t="s">
        <v>61</v>
      </c>
      <c r="C18" t="s">
        <v>39</v>
      </c>
      <c r="D18" s="289">
        <v>0.11</v>
      </c>
      <c r="E18" s="6">
        <v>46112</v>
      </c>
      <c r="F18" s="6">
        <v>46203</v>
      </c>
      <c r="G18" s="266">
        <v>112108.24</v>
      </c>
      <c r="H18" s="266"/>
      <c r="I18" s="266"/>
      <c r="J18" s="266">
        <v>112108.24</v>
      </c>
    </row>
    <row r="19" spans="1:10" x14ac:dyDescent="0.25">
      <c r="B19" t="s">
        <v>52</v>
      </c>
      <c r="C19" t="s">
        <v>34</v>
      </c>
      <c r="D19" s="289">
        <v>0.3</v>
      </c>
      <c r="E19" s="6">
        <v>46097</v>
      </c>
      <c r="F19" s="6">
        <v>46203</v>
      </c>
      <c r="G19" s="266"/>
      <c r="H19" s="266"/>
      <c r="I19" s="266">
        <v>1000000</v>
      </c>
      <c r="J19" s="266">
        <v>1000000</v>
      </c>
    </row>
    <row r="20" spans="1:10" x14ac:dyDescent="0.25">
      <c r="A20" t="s">
        <v>66</v>
      </c>
      <c r="B20" t="s">
        <v>83</v>
      </c>
      <c r="C20" t="s">
        <v>39</v>
      </c>
      <c r="D20" s="289">
        <v>0.1</v>
      </c>
      <c r="E20" s="6">
        <v>46113</v>
      </c>
      <c r="F20" s="6">
        <v>46477</v>
      </c>
      <c r="G20" s="266"/>
      <c r="H20" s="266"/>
      <c r="I20" s="266">
        <v>2000000</v>
      </c>
      <c r="J20" s="266">
        <v>2000000</v>
      </c>
    </row>
    <row r="21" spans="1:10" x14ac:dyDescent="0.25">
      <c r="B21" t="s">
        <v>80</v>
      </c>
      <c r="C21" t="s">
        <v>39</v>
      </c>
      <c r="D21" s="289">
        <v>0.13</v>
      </c>
      <c r="E21" s="6">
        <v>46055</v>
      </c>
      <c r="F21" s="6">
        <v>46203</v>
      </c>
      <c r="G21" s="266"/>
      <c r="H21" s="266"/>
      <c r="I21" s="266">
        <v>367840</v>
      </c>
      <c r="J21" s="266">
        <v>367840</v>
      </c>
    </row>
    <row r="22" spans="1:10" x14ac:dyDescent="0.25">
      <c r="B22" t="s">
        <v>72</v>
      </c>
      <c r="C22" t="s">
        <v>34</v>
      </c>
      <c r="D22" s="289">
        <v>0.2</v>
      </c>
      <c r="E22" s="6">
        <v>46083</v>
      </c>
      <c r="F22" s="6">
        <v>46255</v>
      </c>
      <c r="G22" s="266"/>
      <c r="H22" s="266"/>
      <c r="I22" s="266">
        <v>533310.75</v>
      </c>
      <c r="J22" s="266">
        <v>533310.75</v>
      </c>
    </row>
    <row r="23" spans="1:10" x14ac:dyDescent="0.25">
      <c r="B23" t="s">
        <v>128</v>
      </c>
      <c r="C23" t="s">
        <v>125</v>
      </c>
      <c r="D23" s="289" t="s">
        <v>126</v>
      </c>
      <c r="E23" s="6">
        <v>46296</v>
      </c>
      <c r="F23" s="6">
        <v>47391</v>
      </c>
      <c r="G23" s="266"/>
      <c r="H23" s="266"/>
      <c r="I23" s="266"/>
      <c r="J23" s="266"/>
    </row>
    <row r="24" spans="1:10" x14ac:dyDescent="0.25">
      <c r="B24" t="s">
        <v>81</v>
      </c>
      <c r="C24" t="s">
        <v>35</v>
      </c>
      <c r="D24" s="289">
        <v>0.21199999999999999</v>
      </c>
      <c r="E24" s="6">
        <v>46055</v>
      </c>
      <c r="F24" s="6">
        <v>46371</v>
      </c>
      <c r="G24" s="266"/>
      <c r="H24" s="266"/>
      <c r="I24" s="266">
        <v>371616</v>
      </c>
      <c r="J24" s="266">
        <v>371616</v>
      </c>
    </row>
    <row r="25" spans="1:10" x14ac:dyDescent="0.25">
      <c r="B25" t="s">
        <v>67</v>
      </c>
      <c r="C25" t="s">
        <v>39</v>
      </c>
      <c r="D25" s="289">
        <v>0.154</v>
      </c>
      <c r="E25" s="6">
        <v>46204</v>
      </c>
      <c r="F25" s="6">
        <v>46568</v>
      </c>
      <c r="G25" s="266"/>
      <c r="H25" s="266"/>
      <c r="I25" s="266">
        <v>466560</v>
      </c>
      <c r="J25" s="266">
        <v>466560</v>
      </c>
    </row>
    <row r="26" spans="1:10" x14ac:dyDescent="0.25">
      <c r="B26" t="s">
        <v>68</v>
      </c>
      <c r="C26" t="s">
        <v>34</v>
      </c>
      <c r="D26" s="289">
        <v>0.36</v>
      </c>
      <c r="E26" s="6">
        <v>46069</v>
      </c>
      <c r="F26" s="6">
        <v>46250</v>
      </c>
      <c r="G26" s="266"/>
      <c r="H26" s="266"/>
      <c r="I26" s="266">
        <v>161000</v>
      </c>
      <c r="J26" s="266">
        <v>161000</v>
      </c>
    </row>
    <row r="27" spans="1:10" x14ac:dyDescent="0.25">
      <c r="B27" t="s">
        <v>79</v>
      </c>
      <c r="C27" t="s">
        <v>39</v>
      </c>
      <c r="D27" s="289">
        <v>0.17</v>
      </c>
      <c r="E27" s="6">
        <v>46048</v>
      </c>
      <c r="F27" s="6">
        <v>46203</v>
      </c>
      <c r="G27" s="266"/>
      <c r="H27" s="266"/>
      <c r="I27" s="266">
        <v>526240</v>
      </c>
      <c r="J27" s="266">
        <v>526240</v>
      </c>
    </row>
    <row r="28" spans="1:10" x14ac:dyDescent="0.25">
      <c r="B28" t="s">
        <v>82</v>
      </c>
      <c r="C28" t="s">
        <v>34</v>
      </c>
      <c r="D28" s="289">
        <v>0.2</v>
      </c>
      <c r="E28" s="6">
        <v>46083</v>
      </c>
      <c r="F28" s="6">
        <v>46203</v>
      </c>
      <c r="G28" s="266"/>
      <c r="H28" s="266"/>
      <c r="I28" s="266">
        <v>311572</v>
      </c>
      <c r="J28" s="266">
        <v>311572</v>
      </c>
    </row>
    <row r="29" spans="1:10" x14ac:dyDescent="0.25">
      <c r="B29" t="s">
        <v>129</v>
      </c>
      <c r="C29" t="s">
        <v>125</v>
      </c>
      <c r="D29" s="289" t="s">
        <v>126</v>
      </c>
      <c r="E29" s="6">
        <v>46174</v>
      </c>
      <c r="F29" s="6">
        <v>48000</v>
      </c>
      <c r="G29" s="266"/>
      <c r="H29" s="266"/>
      <c r="I29" s="266"/>
      <c r="J29" s="266"/>
    </row>
    <row r="30" spans="1:10" x14ac:dyDescent="0.25">
      <c r="B30" t="s">
        <v>130</v>
      </c>
      <c r="C30" t="s">
        <v>131</v>
      </c>
      <c r="D30" s="289" t="s">
        <v>126</v>
      </c>
      <c r="E30" t="s">
        <v>126</v>
      </c>
      <c r="F30" t="s">
        <v>126</v>
      </c>
      <c r="G30" s="266"/>
      <c r="H30" s="266"/>
      <c r="I30" s="266"/>
      <c r="J30" s="266"/>
    </row>
    <row r="31" spans="1:10" x14ac:dyDescent="0.25">
      <c r="B31" t="s">
        <v>69</v>
      </c>
      <c r="C31" t="s">
        <v>34</v>
      </c>
      <c r="D31" s="289">
        <v>0.28999999999999998</v>
      </c>
      <c r="E31" s="6">
        <v>46076</v>
      </c>
      <c r="F31" s="6">
        <v>46157</v>
      </c>
      <c r="G31" s="266"/>
      <c r="H31" s="266"/>
      <c r="I31" s="266">
        <v>298214</v>
      </c>
      <c r="J31" s="266">
        <v>298214</v>
      </c>
    </row>
    <row r="32" spans="1:10" x14ac:dyDescent="0.25">
      <c r="B32" t="s">
        <v>139</v>
      </c>
      <c r="C32" t="s">
        <v>34</v>
      </c>
      <c r="D32" s="289">
        <v>0.28999999999999998</v>
      </c>
      <c r="E32" s="6">
        <v>46083</v>
      </c>
      <c r="F32" s="6">
        <v>46266</v>
      </c>
      <c r="G32" s="266">
        <v>133000</v>
      </c>
      <c r="H32" s="266"/>
      <c r="I32" s="266"/>
      <c r="J32" s="266">
        <v>133000</v>
      </c>
    </row>
    <row r="33" spans="1:10" x14ac:dyDescent="0.25">
      <c r="B33" t="s">
        <v>141</v>
      </c>
      <c r="C33" t="s">
        <v>34</v>
      </c>
      <c r="D33" s="289">
        <v>0.06</v>
      </c>
      <c r="E33" s="6">
        <v>46090</v>
      </c>
      <c r="F33" s="6">
        <v>46171</v>
      </c>
      <c r="G33" s="266">
        <v>135839</v>
      </c>
      <c r="H33" s="266"/>
      <c r="I33" s="266"/>
      <c r="J33" s="266">
        <v>135839</v>
      </c>
    </row>
    <row r="34" spans="1:10" x14ac:dyDescent="0.25">
      <c r="B34" t="s">
        <v>619</v>
      </c>
      <c r="C34" t="s">
        <v>34</v>
      </c>
      <c r="D34" s="289">
        <v>0.3</v>
      </c>
      <c r="E34" s="6">
        <v>46076</v>
      </c>
      <c r="F34" s="6">
        <v>46203</v>
      </c>
      <c r="G34" s="266">
        <v>444574.24</v>
      </c>
      <c r="H34" s="266"/>
      <c r="I34" s="266"/>
      <c r="J34" s="266">
        <v>444574.24</v>
      </c>
    </row>
    <row r="35" spans="1:10" x14ac:dyDescent="0.25">
      <c r="A35" t="s">
        <v>132</v>
      </c>
      <c r="B35" t="s">
        <v>134</v>
      </c>
      <c r="C35" t="s">
        <v>125</v>
      </c>
      <c r="D35" s="289" t="s">
        <v>126</v>
      </c>
      <c r="E35" s="6">
        <v>46083</v>
      </c>
      <c r="F35" s="6">
        <v>47149</v>
      </c>
      <c r="G35" s="266"/>
      <c r="H35" s="266"/>
      <c r="I35" s="266"/>
      <c r="J35" s="266"/>
    </row>
    <row r="36" spans="1:10" x14ac:dyDescent="0.25">
      <c r="B36" t="s">
        <v>135</v>
      </c>
      <c r="C36" t="s">
        <v>35</v>
      </c>
      <c r="D36" s="289">
        <v>0.15</v>
      </c>
      <c r="E36" s="6">
        <v>46069</v>
      </c>
      <c r="F36" s="6">
        <v>46203</v>
      </c>
      <c r="G36" s="266">
        <v>600000</v>
      </c>
      <c r="H36" s="266"/>
      <c r="I36" s="266"/>
      <c r="J36" s="266">
        <v>600000</v>
      </c>
    </row>
    <row r="37" spans="1:10" x14ac:dyDescent="0.25">
      <c r="B37" t="s">
        <v>136</v>
      </c>
      <c r="C37" t="s">
        <v>34</v>
      </c>
      <c r="D37" s="289">
        <v>0.2</v>
      </c>
      <c r="E37" s="6">
        <v>46097</v>
      </c>
      <c r="F37" s="6">
        <v>46276</v>
      </c>
      <c r="G37" s="266"/>
      <c r="H37" s="266">
        <v>1200000</v>
      </c>
      <c r="I37" s="266"/>
      <c r="J37" s="266">
        <v>1200000</v>
      </c>
    </row>
    <row r="38" spans="1:10" x14ac:dyDescent="0.25">
      <c r="B38" t="s">
        <v>137</v>
      </c>
      <c r="C38" t="s">
        <v>31</v>
      </c>
      <c r="D38" s="289">
        <v>0.25</v>
      </c>
      <c r="E38" s="6">
        <v>46146</v>
      </c>
      <c r="F38" s="6">
        <v>46356</v>
      </c>
      <c r="G38" s="266">
        <v>1000000</v>
      </c>
      <c r="H38" s="266"/>
      <c r="I38" s="266"/>
      <c r="J38" s="266">
        <v>1000000</v>
      </c>
    </row>
    <row r="39" spans="1:10" x14ac:dyDescent="0.25">
      <c r="B39" t="s">
        <v>138</v>
      </c>
      <c r="C39" t="s">
        <v>35</v>
      </c>
      <c r="D39" s="289">
        <v>0.28000000000000003</v>
      </c>
      <c r="E39" s="6">
        <v>46083</v>
      </c>
      <c r="F39" s="6">
        <v>46171</v>
      </c>
      <c r="G39" s="266"/>
      <c r="H39" s="266"/>
      <c r="I39" s="266">
        <v>316800</v>
      </c>
      <c r="J39" s="266">
        <v>316800</v>
      </c>
    </row>
    <row r="40" spans="1:10" x14ac:dyDescent="0.25">
      <c r="B40" t="s">
        <v>140</v>
      </c>
      <c r="C40" t="s">
        <v>34</v>
      </c>
      <c r="D40" s="289" t="s">
        <v>126</v>
      </c>
      <c r="E40" t="s">
        <v>126</v>
      </c>
      <c r="F40" t="s">
        <v>126</v>
      </c>
      <c r="G40" s="266">
        <v>3000000</v>
      </c>
      <c r="H40" s="266"/>
      <c r="I40" s="266"/>
      <c r="J40" s="266">
        <v>3000000</v>
      </c>
    </row>
    <row r="41" spans="1:10" x14ac:dyDescent="0.25">
      <c r="B41" t="s">
        <v>142</v>
      </c>
      <c r="C41" t="s">
        <v>34</v>
      </c>
      <c r="D41" s="289">
        <v>0.3</v>
      </c>
      <c r="E41" s="6">
        <v>46125</v>
      </c>
      <c r="F41" s="6">
        <v>46157</v>
      </c>
      <c r="G41" s="266"/>
      <c r="H41" s="266">
        <v>145440</v>
      </c>
      <c r="I41" s="266"/>
      <c r="J41" s="266">
        <v>145440</v>
      </c>
    </row>
    <row r="42" spans="1:10" x14ac:dyDescent="0.25">
      <c r="B42" t="s">
        <v>143</v>
      </c>
      <c r="C42" t="s">
        <v>125</v>
      </c>
      <c r="D42" s="289" t="s">
        <v>126</v>
      </c>
      <c r="E42" s="6">
        <v>46172</v>
      </c>
      <c r="F42" t="s">
        <v>126</v>
      </c>
      <c r="G42" s="266"/>
      <c r="H42" s="266"/>
      <c r="I42" s="266"/>
      <c r="J42" s="266"/>
    </row>
    <row r="43" spans="1:10" x14ac:dyDescent="0.25">
      <c r="B43" t="s">
        <v>144</v>
      </c>
      <c r="C43" t="s">
        <v>131</v>
      </c>
      <c r="D43" s="289" t="s">
        <v>126</v>
      </c>
      <c r="E43" t="s">
        <v>126</v>
      </c>
      <c r="F43" t="s">
        <v>126</v>
      </c>
      <c r="G43" s="266"/>
      <c r="H43" s="266"/>
      <c r="I43" s="266"/>
      <c r="J43" s="266"/>
    </row>
    <row r="44" spans="1:10" x14ac:dyDescent="0.25">
      <c r="B44" t="s">
        <v>616</v>
      </c>
      <c r="C44" t="s">
        <v>34</v>
      </c>
      <c r="D44" s="289">
        <v>0.25</v>
      </c>
      <c r="E44" s="6">
        <v>46146</v>
      </c>
      <c r="F44" s="6">
        <v>46192</v>
      </c>
      <c r="G44" s="266">
        <v>100000</v>
      </c>
      <c r="H44" s="266"/>
      <c r="I44" s="266"/>
      <c r="J44" s="266">
        <v>100000</v>
      </c>
    </row>
    <row r="45" spans="1:10" x14ac:dyDescent="0.25">
      <c r="A45" t="s">
        <v>85</v>
      </c>
      <c r="C45"/>
      <c r="D45"/>
      <c r="E45"/>
      <c r="F45"/>
      <c r="G45" s="266">
        <v>24243839.479999997</v>
      </c>
      <c r="H45" s="266">
        <v>1810660</v>
      </c>
      <c r="I45" s="266">
        <v>6408352.75</v>
      </c>
      <c r="J45" s="266">
        <v>32462852.229999997</v>
      </c>
    </row>
    <row r="46" spans="1:10" x14ac:dyDescent="0.25">
      <c r="C46"/>
      <c r="D46"/>
      <c r="E46"/>
      <c r="F46"/>
      <c r="G46"/>
      <c r="H46"/>
      <c r="I46"/>
      <c r="J46"/>
    </row>
    <row r="47" spans="1:10" x14ac:dyDescent="0.25">
      <c r="C47"/>
      <c r="D47"/>
      <c r="E47"/>
      <c r="F47"/>
      <c r="G47"/>
      <c r="H47"/>
      <c r="I47"/>
      <c r="J47"/>
    </row>
    <row r="48" spans="1:10" x14ac:dyDescent="0.25">
      <c r="C48"/>
      <c r="D48"/>
      <c r="E48"/>
      <c r="F48"/>
      <c r="G48"/>
      <c r="H48"/>
      <c r="I48"/>
      <c r="J48"/>
    </row>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sheetData>
  <conditionalFormatting pivot="1" sqref="G8:J50">
    <cfRule type="cellIs" dxfId="1201" priority="5" operator="equal">
      <formula>"(blank)"</formula>
    </cfRule>
  </conditionalFormatting>
  <conditionalFormatting sqref="F8:F49">
    <cfRule type="cellIs" dxfId="1200" priority="4" operator="equal">
      <formula>"(blank)"</formula>
    </cfRule>
  </conditionalFormatting>
  <conditionalFormatting sqref="E8:E49">
    <cfRule type="cellIs" dxfId="1199" priority="3" operator="equal">
      <formula>"(blank)"</formula>
    </cfRule>
  </conditionalFormatting>
  <conditionalFormatting sqref="D8:D49">
    <cfRule type="cellIs" dxfId="1198" priority="2" operator="equal">
      <formula>"(blank)"</formula>
    </cfRule>
  </conditionalFormatting>
  <conditionalFormatting sqref="E2">
    <cfRule type="containsText" dxfId="1197" priority="1" operator="containsText" text="(blank)">
      <formula>NOT(ISERROR(SEARCH("(blank)",E2)))</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E32C0-3F60-4ED0-8782-9376BD9D469F}">
  <sheetPr>
    <tabColor theme="4"/>
  </sheetPr>
  <dimension ref="B1:AG72"/>
  <sheetViews>
    <sheetView topLeftCell="A29" zoomScale="85" zoomScaleNormal="85" workbookViewId="0">
      <selection activeCell="K62" sqref="K62"/>
    </sheetView>
  </sheetViews>
  <sheetFormatPr defaultRowHeight="15" x14ac:dyDescent="0.25"/>
  <cols>
    <col min="1" max="1" width="3.140625" customWidth="1"/>
    <col min="2" max="2" width="39" customWidth="1"/>
    <col min="3" max="8" width="14.85546875" customWidth="1"/>
    <col min="9" max="9" width="5.140625" customWidth="1"/>
    <col min="10" max="10" width="21.85546875" customWidth="1"/>
    <col min="11" max="11" width="69.5703125" bestFit="1" customWidth="1"/>
    <col min="12" max="17" width="16" customWidth="1"/>
    <col min="18" max="18" width="14.7109375" customWidth="1"/>
    <col min="19" max="19" width="6.5703125" customWidth="1"/>
    <col min="20" max="20" width="16" customWidth="1"/>
    <col min="21" max="32" width="12.5703125" customWidth="1"/>
    <col min="33" max="33" width="4.7109375" customWidth="1"/>
    <col min="34" max="46" width="12.5703125" customWidth="1"/>
  </cols>
  <sheetData>
    <row r="1" spans="2:33" hidden="1" x14ac:dyDescent="0.25"/>
    <row r="2" spans="2:33" ht="18.75" x14ac:dyDescent="0.3">
      <c r="B2" s="123" t="s">
        <v>145</v>
      </c>
      <c r="L2" s="16" t="s">
        <v>5</v>
      </c>
      <c r="M2" s="16" t="s">
        <v>55</v>
      </c>
      <c r="N2" s="16" t="s">
        <v>44</v>
      </c>
    </row>
    <row r="3" spans="2:33" x14ac:dyDescent="0.25">
      <c r="K3" s="13" t="s">
        <v>146</v>
      </c>
      <c r="L3" t="b">
        <f>CompanyGoodToggle</f>
        <v>1</v>
      </c>
      <c r="M3" t="b">
        <f>CompanyFairToggle</f>
        <v>0</v>
      </c>
      <c r="N3" t="b">
        <f>CompanyRiskToggle</f>
        <v>0</v>
      </c>
      <c r="T3" s="13" t="s">
        <v>92</v>
      </c>
      <c r="AG3" s="112"/>
    </row>
    <row r="4" spans="2:33" x14ac:dyDescent="0.25">
      <c r="T4" s="113" t="s">
        <v>94</v>
      </c>
      <c r="U4" s="112" t="s">
        <v>95</v>
      </c>
      <c r="V4" s="112" t="s">
        <v>96</v>
      </c>
      <c r="W4" s="112" t="s">
        <v>97</v>
      </c>
      <c r="X4" s="112" t="s">
        <v>98</v>
      </c>
      <c r="Y4" s="112" t="s">
        <v>99</v>
      </c>
      <c r="Z4" s="112" t="s">
        <v>100</v>
      </c>
      <c r="AA4" s="112" t="s">
        <v>101</v>
      </c>
      <c r="AB4" s="112" t="s">
        <v>102</v>
      </c>
      <c r="AC4" s="112" t="s">
        <v>103</v>
      </c>
      <c r="AD4" s="112" t="s">
        <v>104</v>
      </c>
      <c r="AE4" s="112" t="s">
        <v>105</v>
      </c>
      <c r="AF4" s="112" t="s">
        <v>106</v>
      </c>
      <c r="AG4" s="112"/>
    </row>
    <row r="5" spans="2:33" x14ac:dyDescent="0.25">
      <c r="K5" s="134" t="s">
        <v>147</v>
      </c>
      <c r="L5" s="135" t="s">
        <v>47</v>
      </c>
      <c r="M5" s="135" t="s">
        <v>48</v>
      </c>
      <c r="N5" s="135" t="s">
        <v>49</v>
      </c>
      <c r="O5" s="135" t="s">
        <v>50</v>
      </c>
      <c r="P5" s="136" t="s">
        <v>1</v>
      </c>
      <c r="T5" s="112" t="s">
        <v>148</v>
      </c>
      <c r="U5" s="112">
        <f>U16</f>
        <v>211173.67500000016</v>
      </c>
      <c r="V5" s="112">
        <f>SUM($U16:V16)</f>
        <v>376948.06500000029</v>
      </c>
      <c r="W5" s="112">
        <f>SUM($U16:W16)</f>
        <v>562307.5075000003</v>
      </c>
      <c r="X5" s="112">
        <f>SUM($U16:X16)</f>
        <v>629192.10250000027</v>
      </c>
      <c r="Y5" s="112">
        <f>SUM($U16:Y16)</f>
        <v>681107.38250000018</v>
      </c>
      <c r="Z5" s="112">
        <f>SUM($U16:Z16)</f>
        <v>734289.4225000001</v>
      </c>
      <c r="AA5" s="112">
        <f>SUM($U16:AA16)</f>
        <v>789523.72250000015</v>
      </c>
      <c r="AB5" s="112">
        <f>SUM($U16:AB16)</f>
        <v>849218.2975000001</v>
      </c>
      <c r="AC5" s="112">
        <f>SUM($U16:AC16)</f>
        <v>914533.7925000001</v>
      </c>
      <c r="AD5" s="112">
        <f>SUM($U16:AD16)</f>
        <v>955411.12250000006</v>
      </c>
      <c r="AE5" s="112">
        <f>SUM($U16:AE16)</f>
        <v>988234.82250000001</v>
      </c>
      <c r="AF5" s="112">
        <f>SUM($U16:AF16)</f>
        <v>1021242.7625</v>
      </c>
      <c r="AG5" s="112"/>
    </row>
    <row r="6" spans="2:33" x14ac:dyDescent="0.25">
      <c r="K6" s="150" t="s">
        <v>149</v>
      </c>
      <c r="L6" s="183">
        <f>SUM(U22:W22)</f>
        <v>562500</v>
      </c>
      <c r="M6" s="183">
        <f>SUM(X22:Z22)</f>
        <v>562500</v>
      </c>
      <c r="N6" s="183">
        <f>SUM(AA22:AC22)</f>
        <v>562500</v>
      </c>
      <c r="O6" s="183">
        <f>SUM(AD22:AF22)</f>
        <v>562500</v>
      </c>
      <c r="P6" s="184">
        <f>SUM(Table15[[#This Row],[Q1]:[Q4]])</f>
        <v>2250000</v>
      </c>
      <c r="T6" s="112" t="s">
        <v>150</v>
      </c>
      <c r="U6" s="112">
        <f>U17+U5</f>
        <v>211173.67500000016</v>
      </c>
      <c r="V6" s="112">
        <f>SUM($U17:V17)+V5</f>
        <v>376948.06500000029</v>
      </c>
      <c r="W6" s="112">
        <f>SUM($U17:W17)+W5</f>
        <v>562307.5075000003</v>
      </c>
      <c r="X6" s="112">
        <f>SUM($U17:X17)+X5</f>
        <v>629192.10250000027</v>
      </c>
      <c r="Y6" s="112">
        <f>SUM($U17:Y17)+Y5</f>
        <v>681107.38250000018</v>
      </c>
      <c r="Z6" s="112">
        <f>SUM($U17:Z17)+Z5</f>
        <v>734289.4225000001</v>
      </c>
      <c r="AA6" s="112">
        <f>SUM($U17:AA17)+AA5</f>
        <v>789523.72250000015</v>
      </c>
      <c r="AB6" s="112">
        <f>SUM($U17:AB17)+AB5</f>
        <v>849218.2975000001</v>
      </c>
      <c r="AC6" s="112">
        <f>SUM($U17:AC17)+AC5</f>
        <v>914533.7925000001</v>
      </c>
      <c r="AD6" s="112">
        <f>SUM($U17:AD17)+AD5</f>
        <v>955411.12250000006</v>
      </c>
      <c r="AE6" s="112">
        <f>SUM($U17:AE17)+AE5</f>
        <v>988234.82250000001</v>
      </c>
      <c r="AF6" s="112">
        <f>SUM($U17:AF17)+AF5</f>
        <v>1021242.7625</v>
      </c>
      <c r="AG6" s="112"/>
    </row>
    <row r="7" spans="2:33" x14ac:dyDescent="0.25">
      <c r="K7" s="179" t="s">
        <v>56</v>
      </c>
      <c r="L7" s="181">
        <f>SUMIFS(Job_Status[Gross Profit Q1],Job_Status[VAT],"DAFF")</f>
        <v>562307.50749999983</v>
      </c>
      <c r="M7" s="181">
        <f>SUMIFS(Job_Status[Gross Profit Q2],Job_Status[VAT],"DAFF")</f>
        <v>171981.9150000005</v>
      </c>
      <c r="N7" s="181">
        <f>SUMIFS(Job_Status[Gross Profit Q3],Job_Status[VAT],"DAFF")</f>
        <v>65615.10000000053</v>
      </c>
      <c r="O7" s="181">
        <f>SUMIFS(Job_Status[Gross Profit Q4],Job_Status[VAT],"DAFF")</f>
        <v>0</v>
      </c>
      <c r="P7" s="181">
        <f>SUM(Table15[[#This Row],[Q1]:[Q4]])</f>
        <v>799904.52250000089</v>
      </c>
      <c r="T7" s="112" t="s">
        <v>108</v>
      </c>
      <c r="U7" s="112">
        <f>U18+U6</f>
        <v>211173.67500000016</v>
      </c>
      <c r="V7" s="112">
        <f>SUM($U18:V18)+V6</f>
        <v>376948.06500000029</v>
      </c>
      <c r="W7" s="112">
        <f>SUM($U18:W18)+W6</f>
        <v>562307.5075000003</v>
      </c>
      <c r="X7" s="112">
        <f>SUM($U18:X18)+X6</f>
        <v>629192.10250000027</v>
      </c>
      <c r="Y7" s="112">
        <f>SUM($U18:Y18)+Y6</f>
        <v>681107.38250000018</v>
      </c>
      <c r="Z7" s="112">
        <f>SUM($U18:Z18)+Z6</f>
        <v>734289.4225000001</v>
      </c>
      <c r="AA7" s="112">
        <f>SUM($U18:AA18)+AA6</f>
        <v>789523.72250000015</v>
      </c>
      <c r="AB7" s="112">
        <f>SUM($U18:AB18)+AB6</f>
        <v>849218.2975000001</v>
      </c>
      <c r="AC7" s="112">
        <f>SUM($U18:AC18)+AC6</f>
        <v>914533.7925000001</v>
      </c>
      <c r="AD7" s="112">
        <f>SUM($U18:AD18)+AD6</f>
        <v>955411.12250000006</v>
      </c>
      <c r="AE7" s="112">
        <f>SUM($U18:AE18)+AE6</f>
        <v>988234.82250000001</v>
      </c>
      <c r="AF7" s="112">
        <f>SUM($U18:AF18)+AF6</f>
        <v>1021242.7625</v>
      </c>
      <c r="AG7" s="112"/>
    </row>
    <row r="8" spans="2:33" x14ac:dyDescent="0.25">
      <c r="K8" s="253" t="s">
        <v>151</v>
      </c>
      <c r="L8" s="254">
        <f>SUM(U16:W16)</f>
        <v>562307.5075000003</v>
      </c>
      <c r="M8" s="254">
        <f>SUM(X16:Z16)</f>
        <v>171981.9149999998</v>
      </c>
      <c r="N8" s="254">
        <f>SUM(AA16:AC16)</f>
        <v>180244.37</v>
      </c>
      <c r="O8" s="254">
        <f>SUM(AD16:AF16)</f>
        <v>106708.96999999997</v>
      </c>
      <c r="P8" s="208">
        <f>SUM(Table15[[#This Row],[Q1]:[Q4]])</f>
        <v>1021242.7625000001</v>
      </c>
      <c r="T8" s="112" t="s">
        <v>109</v>
      </c>
      <c r="U8" s="112">
        <f>U19+U7</f>
        <v>211173.67500000016</v>
      </c>
      <c r="V8" s="112">
        <f>SUM($U19:V19)+V7</f>
        <v>376948.06500000029</v>
      </c>
      <c r="W8" s="112">
        <f>SUM($U19:W19)+W7</f>
        <v>562307.5075000003</v>
      </c>
      <c r="X8" s="112">
        <f>SUM($U19:X19)+X7</f>
        <v>629192.10250000027</v>
      </c>
      <c r="Y8" s="112">
        <f>SUM($U19:Y19)+Y7</f>
        <v>681107.38250000018</v>
      </c>
      <c r="Z8" s="112">
        <f>SUM($U19:Z19)+Z7</f>
        <v>734289.4225000001</v>
      </c>
      <c r="AA8" s="112">
        <f>SUM($U19:AA19)+AA7</f>
        <v>789523.72250000015</v>
      </c>
      <c r="AB8" s="112">
        <f>SUM($U19:AB19)+AB7</f>
        <v>849218.2975000001</v>
      </c>
      <c r="AC8" s="112">
        <f>SUM($U19:AC19)+AC7</f>
        <v>914533.7925000001</v>
      </c>
      <c r="AD8" s="112">
        <f>SUM($U19:AD19)+AD7</f>
        <v>955411.12250000006</v>
      </c>
      <c r="AE8" s="112">
        <f>SUM($U19:AE19)+AE7</f>
        <v>988234.82250000001</v>
      </c>
      <c r="AF8" s="112">
        <f>SUM($U19:AF19)+AF7</f>
        <v>1021242.7625</v>
      </c>
      <c r="AG8" s="112"/>
    </row>
    <row r="9" spans="2:33" x14ac:dyDescent="0.25">
      <c r="K9" s="253" t="s">
        <v>60</v>
      </c>
      <c r="L9" s="176">
        <f>L8-L$6</f>
        <v>-192.49249999970198</v>
      </c>
      <c r="M9" s="176">
        <f>M8-M$6</f>
        <v>-390518.0850000002</v>
      </c>
      <c r="N9" s="176">
        <f>N8-N$6</f>
        <v>-382255.63</v>
      </c>
      <c r="O9" s="176">
        <f>O8-O$6</f>
        <v>-455791.03</v>
      </c>
      <c r="P9" s="176">
        <f>P8-P$6</f>
        <v>-1228757.2374999998</v>
      </c>
      <c r="T9" s="112" t="s">
        <v>152</v>
      </c>
      <c r="U9" s="112">
        <f>U20</f>
        <v>0</v>
      </c>
      <c r="V9" s="112">
        <f>SUM($U20:V20)</f>
        <v>0</v>
      </c>
      <c r="W9" s="112">
        <f>SUM($U20:W20)</f>
        <v>0</v>
      </c>
      <c r="X9" s="112">
        <f>SUM($U20:X20)</f>
        <v>0</v>
      </c>
      <c r="Y9" s="112">
        <f>SUM($U20:Y20)</f>
        <v>0</v>
      </c>
      <c r="Z9" s="112">
        <f>SUM($U20:Z20)</f>
        <v>0</v>
      </c>
      <c r="AA9" s="112">
        <f>SUM($U20:AA20)</f>
        <v>0</v>
      </c>
      <c r="AB9" s="112">
        <f>SUM($U20:AB20)</f>
        <v>0</v>
      </c>
      <c r="AC9" s="112">
        <f>SUM($U20:AC20)</f>
        <v>0</v>
      </c>
      <c r="AD9" s="112">
        <f>SUM($U20:AD20)</f>
        <v>0</v>
      </c>
      <c r="AE9" s="112">
        <f>SUM($U20:AE20)</f>
        <v>0</v>
      </c>
      <c r="AF9" s="112">
        <f>SUM($U20:AF20)</f>
        <v>0</v>
      </c>
      <c r="AG9" s="112"/>
    </row>
    <row r="10" spans="2:33" x14ac:dyDescent="0.25">
      <c r="K10" s="150" t="s">
        <v>153</v>
      </c>
      <c r="L10" s="190">
        <f>SUM(U$16:W17)</f>
        <v>562307.5075000003</v>
      </c>
      <c r="M10" s="190">
        <f>SUM(X$16:Z17)</f>
        <v>171981.9149999998</v>
      </c>
      <c r="N10" s="190">
        <f>SUM(AA$16:AC17)</f>
        <v>180244.37</v>
      </c>
      <c r="O10" s="190">
        <f>SUM(AD$16:AF17)</f>
        <v>106708.96999999997</v>
      </c>
      <c r="P10" s="184">
        <f>SUM(Table15[[#This Row],[Q1]:[Q4]])</f>
        <v>1021242.7625000001</v>
      </c>
      <c r="T10" s="112" t="s">
        <v>110</v>
      </c>
      <c r="U10" s="112">
        <f>U21</f>
        <v>225000</v>
      </c>
      <c r="V10" s="112">
        <f>SUM($U21:V21)</f>
        <v>450000</v>
      </c>
      <c r="W10" s="112">
        <f>SUM($U21:W21)</f>
        <v>675000</v>
      </c>
      <c r="X10" s="112">
        <f>SUM($U21:X21)</f>
        <v>900000</v>
      </c>
      <c r="Y10" s="112">
        <f>SUM($U21:Y21)</f>
        <v>1125000</v>
      </c>
      <c r="Z10" s="112">
        <f>SUM($U21:Z21)</f>
        <v>1350000</v>
      </c>
      <c r="AA10" s="112">
        <f>SUM($U21:AA21)</f>
        <v>1575000</v>
      </c>
      <c r="AB10" s="112">
        <f>SUM($U21:AB21)</f>
        <v>1800000</v>
      </c>
      <c r="AC10" s="112">
        <f>SUM($U21:AC21)</f>
        <v>2025000</v>
      </c>
      <c r="AD10" s="112">
        <f>SUM($U21:AD21)</f>
        <v>2250000</v>
      </c>
      <c r="AE10" s="112">
        <f>SUM($U21:AE21)</f>
        <v>2475000</v>
      </c>
      <c r="AF10" s="112">
        <f>SUM($U21:AF21)</f>
        <v>2700000</v>
      </c>
    </row>
    <row r="11" spans="2:33" x14ac:dyDescent="0.25">
      <c r="K11" s="182" t="s">
        <v>154</v>
      </c>
      <c r="L11" s="176">
        <f>L10-L$6</f>
        <v>-192.49249999970198</v>
      </c>
      <c r="M11" s="176">
        <f>M10-M$6</f>
        <v>-390518.0850000002</v>
      </c>
      <c r="N11" s="176">
        <f>N10-N$6</f>
        <v>-382255.63</v>
      </c>
      <c r="O11" s="176">
        <f>O10-O$6</f>
        <v>-455791.03</v>
      </c>
      <c r="P11" s="176">
        <f>P10-P$6</f>
        <v>-1228757.2374999998</v>
      </c>
      <c r="T11" s="112" t="s">
        <v>111</v>
      </c>
      <c r="U11" s="112">
        <f>U22</f>
        <v>187500</v>
      </c>
      <c r="V11" s="112">
        <f>SUM($U22:V22)</f>
        <v>375000</v>
      </c>
      <c r="W11" s="112">
        <f>SUM($U22:W22)</f>
        <v>562500</v>
      </c>
      <c r="X11" s="112">
        <f>SUM($U22:X22)</f>
        <v>750000</v>
      </c>
      <c r="Y11" s="112">
        <f>SUM($U22:Y22)</f>
        <v>937500</v>
      </c>
      <c r="Z11" s="112">
        <f>SUM($U22:Z22)</f>
        <v>1125000</v>
      </c>
      <c r="AA11" s="112">
        <f>SUM($U22:AA22)</f>
        <v>1312500</v>
      </c>
      <c r="AB11" s="112">
        <f>SUM($U22:AB22)</f>
        <v>1500000</v>
      </c>
      <c r="AC11" s="112">
        <f>SUM($U22:AC22)</f>
        <v>1687500</v>
      </c>
      <c r="AD11" s="112">
        <f>SUM($U22:AD22)</f>
        <v>1875000</v>
      </c>
      <c r="AE11" s="112">
        <f>SUM($U22:AE22)</f>
        <v>2062500</v>
      </c>
      <c r="AF11" s="112">
        <f>SUM($U22:AF22)</f>
        <v>2250000</v>
      </c>
    </row>
    <row r="12" spans="2:33" x14ac:dyDescent="0.25">
      <c r="K12" s="150" t="s">
        <v>155</v>
      </c>
      <c r="L12" s="190">
        <f>SUM(U$16:W18)</f>
        <v>562307.5075000003</v>
      </c>
      <c r="M12" s="190">
        <f>SUM(X$16:Z18)</f>
        <v>171981.9149999998</v>
      </c>
      <c r="N12" s="190">
        <f>SUM(AA$16:AC18)</f>
        <v>180244.37</v>
      </c>
      <c r="O12" s="190">
        <f>SUM(AD$16:AF18)</f>
        <v>106708.96999999997</v>
      </c>
      <c r="P12" s="184">
        <f>SUM(Table15[[#This Row],[Q1]:[Q4]])</f>
        <v>1021242.7625000001</v>
      </c>
      <c r="T12" s="112" t="s">
        <v>4</v>
      </c>
      <c r="U12" s="112">
        <f>U23</f>
        <v>150000</v>
      </c>
      <c r="V12" s="112">
        <f>SUM($U23:V23)</f>
        <v>300000</v>
      </c>
      <c r="W12" s="112">
        <f>SUM($U23:W23)</f>
        <v>450000</v>
      </c>
      <c r="X12" s="112">
        <f>SUM($U23:X23)</f>
        <v>600000</v>
      </c>
      <c r="Y12" s="112">
        <f>SUM($U23:Y23)</f>
        <v>750000</v>
      </c>
      <c r="Z12" s="112">
        <f>SUM($U23:Z23)</f>
        <v>900000</v>
      </c>
      <c r="AA12" s="112">
        <f>SUM($U23:AA23)</f>
        <v>1050000</v>
      </c>
      <c r="AB12" s="112">
        <f>SUM($U23:AB23)</f>
        <v>1200000</v>
      </c>
      <c r="AC12" s="112">
        <f>SUM($U23:AC23)</f>
        <v>1350000</v>
      </c>
      <c r="AD12" s="112">
        <f>SUM($U23:AD23)</f>
        <v>1500000</v>
      </c>
      <c r="AE12" s="112">
        <f>SUM($U23:AE23)</f>
        <v>1650000</v>
      </c>
      <c r="AF12" s="112">
        <f>SUM($U23:AF23)</f>
        <v>1800000</v>
      </c>
    </row>
    <row r="13" spans="2:33" x14ac:dyDescent="0.25">
      <c r="K13" s="182" t="s">
        <v>154</v>
      </c>
      <c r="L13" s="176">
        <f>L12-L$6</f>
        <v>-192.49249999970198</v>
      </c>
      <c r="M13" s="176">
        <f>M12-M$6</f>
        <v>-390518.0850000002</v>
      </c>
      <c r="N13" s="176">
        <f>N12-N$6</f>
        <v>-382255.63</v>
      </c>
      <c r="O13" s="176">
        <f>O12-O$6</f>
        <v>-455791.03</v>
      </c>
      <c r="P13" s="176">
        <f>P12-P$6</f>
        <v>-1228757.2374999998</v>
      </c>
    </row>
    <row r="14" spans="2:33" x14ac:dyDescent="0.25">
      <c r="K14" s="150" t="s">
        <v>156</v>
      </c>
      <c r="L14" s="190">
        <f>SUM(U$16:W20)</f>
        <v>562307.5075000003</v>
      </c>
      <c r="M14" s="190">
        <f>SUM(X$16:Z20)</f>
        <v>171981.9149999998</v>
      </c>
      <c r="N14" s="190">
        <f>SUM(AA$16:AC20)</f>
        <v>180244.37</v>
      </c>
      <c r="O14" s="190">
        <f>SUM(AD$16:AF20)</f>
        <v>106708.96999999997</v>
      </c>
      <c r="P14" s="184">
        <f>SUM(Table15[[#This Row],[Q1]:[Q4]])</f>
        <v>1021242.7625000001</v>
      </c>
      <c r="T14" s="13" t="s">
        <v>112</v>
      </c>
    </row>
    <row r="15" spans="2:33" x14ac:dyDescent="0.25">
      <c r="K15" s="182" t="s">
        <v>154</v>
      </c>
      <c r="L15" s="176">
        <f>L14-L$6</f>
        <v>-192.49249999970198</v>
      </c>
      <c r="M15" s="176">
        <f>M14-M$6</f>
        <v>-390518.0850000002</v>
      </c>
      <c r="N15" s="176">
        <f>N14-N$6</f>
        <v>-382255.63</v>
      </c>
      <c r="O15" s="176">
        <f>O14-O$6</f>
        <v>-455791.03</v>
      </c>
      <c r="P15" s="176">
        <f>P14-P$6</f>
        <v>-1228757.2374999998</v>
      </c>
      <c r="T15" s="13" t="s">
        <v>94</v>
      </c>
      <c r="U15" s="118" t="s">
        <v>95</v>
      </c>
      <c r="V15" s="118" t="s">
        <v>96</v>
      </c>
      <c r="W15" s="118" t="s">
        <v>97</v>
      </c>
      <c r="X15" s="118" t="s">
        <v>98</v>
      </c>
      <c r="Y15" s="118" t="s">
        <v>99</v>
      </c>
      <c r="Z15" s="118" t="s">
        <v>100</v>
      </c>
      <c r="AA15" s="118" t="s">
        <v>101</v>
      </c>
      <c r="AB15" s="118" t="s">
        <v>102</v>
      </c>
      <c r="AC15" s="118" t="s">
        <v>103</v>
      </c>
      <c r="AD15" s="118" t="s">
        <v>104</v>
      </c>
      <c r="AE15" s="118" t="s">
        <v>105</v>
      </c>
      <c r="AF15" s="118" t="s">
        <v>106</v>
      </c>
    </row>
    <row r="16" spans="2:33" x14ac:dyDescent="0.25">
      <c r="T16" t="s">
        <v>148</v>
      </c>
      <c r="U16" s="155">
        <f>SUMIF(Job_Status[VAT],"DAFF",Job_Status[P1])</f>
        <v>211173.67500000016</v>
      </c>
      <c r="V16" s="155">
        <f>SUMIF(Job_Status[VAT],"DAFF",Job_Status[P2])</f>
        <v>165774.3900000001</v>
      </c>
      <c r="W16" s="155">
        <f>SUMIF(Job_Status[VAT],"DAFF",Job_Status[P3])</f>
        <v>185359.44250000003</v>
      </c>
      <c r="X16" s="155">
        <f>SUMIF(Job_Status[VAT],"DAFF",Job_Status[P4])</f>
        <v>66884.594999999943</v>
      </c>
      <c r="Y16" s="155">
        <f>SUMIF(Job_Status[VAT],"DAFF",Job_Status[P5])</f>
        <v>51915.279999999955</v>
      </c>
      <c r="Z16" s="155">
        <f>SUMIF(Job_Status[VAT],"DAFF",Job_Status[P6])</f>
        <v>53182.039999999921</v>
      </c>
      <c r="AA16" s="155">
        <f>SUMIF(Job_Status[VAT],"DAFF",Job_Status[P7])</f>
        <v>55234.299999999988</v>
      </c>
      <c r="AB16" s="155">
        <f>SUMIF(Job_Status[VAT],"DAFF",Job_Status[P8])</f>
        <v>59694.574999999997</v>
      </c>
      <c r="AC16" s="155">
        <f>SUMIF(Job_Status[VAT],"DAFF",Job_Status[P9])</f>
        <v>65315.494999999995</v>
      </c>
      <c r="AD16" s="155">
        <f>SUMIF(Job_Status[VAT],"DAFF",Job_Status[P10])</f>
        <v>40877.33</v>
      </c>
      <c r="AE16" s="155">
        <f>SUMIF(Job_Status[VAT],"DAFF",Job_Status[P11])</f>
        <v>32823.699999999975</v>
      </c>
      <c r="AF16" s="155">
        <f>SUMIF(Job_Status[VAT],"DAFF",Job_Status[P12])</f>
        <v>33007.939999999995</v>
      </c>
    </row>
    <row r="17" spans="11:32" x14ac:dyDescent="0.25">
      <c r="K17" s="188" t="s">
        <v>157</v>
      </c>
      <c r="L17" s="189" t="s">
        <v>47</v>
      </c>
      <c r="M17" s="189" t="s">
        <v>48</v>
      </c>
      <c r="N17" s="189" t="s">
        <v>49</v>
      </c>
      <c r="O17" s="189" t="s">
        <v>50</v>
      </c>
      <c r="P17" s="189" t="s">
        <v>1</v>
      </c>
      <c r="T17" t="s">
        <v>77</v>
      </c>
      <c r="U17" s="155">
        <f>_xlfn.LET(
    _xlpm.s,         GMConSpreadTable8[[#This Row],[STATUS]],
    _xlpm.vatCrit,   "DAFF",
    _xlpm.sumcol,    TotalGMContribution[July],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V17" s="155">
        <f>_xlfn.LET(
    _xlpm.s,         GMConSpreadTable8[[#This Row],[STATUS]],
    _xlpm.vatCrit,   "DAFF",
    _xlpm.sumcol,    TotalGMContribution[August],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W17" s="155">
        <f>_xlfn.LET(
    _xlpm.s,         GMConSpreadTable8[[#This Row],[STATUS]],
    _xlpm.vatCrit,   "DAFF",
    _xlpm.sumcol,    TotalGMContribution[September],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X17" s="155">
        <f>_xlfn.LET(
    _xlpm.s,         GMConSpreadTable8[[#This Row],[STATUS]],
    _xlpm.vatCrit,   "DAFF",
    _xlpm.sumcol,    TotalGMContribution[October],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Y17" s="155">
        <f>_xlfn.LET(
    _xlpm.s,         GMConSpreadTable8[[#This Row],[STATUS]],
    _xlpm.vatCrit,   "DAFF",
    _xlpm.sumcol,    TotalGMContribution[November],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Z17" s="155">
        <f>_xlfn.LET(
    _xlpm.s,         GMConSpreadTable8[[#This Row],[STATUS]],
    _xlpm.vatCrit,   "DAFF",
    _xlpm.sumcol,    TotalGMContribution[December],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AA17" s="155">
        <f>_xlfn.LET(
    _xlpm.s,         GMConSpreadTable8[[#This Row],[STATUS]],
    _xlpm.vatCrit,   "DAFF",
    _xlpm.sumcol,    TotalGMContribution[January],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AB17" s="155">
        <f>_xlfn.LET(
    _xlpm.s,         GMConSpreadTable8[[#This Row],[STATUS]],
    _xlpm.vatCrit,   "DAFF",
    _xlpm.sumcol,    TotalGMContribution[February],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AC17" s="155">
        <f>_xlfn.LET(
    _xlpm.s,         GMConSpreadTable8[[#This Row],[STATUS]],
    _xlpm.vatCrit,   "DAFF",
    _xlpm.sumcol,    TotalGMContribution[March],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AD17" s="155">
        <f>_xlfn.LET(
    _xlpm.s,         GMConSpreadTable8[[#This Row],[STATUS]],
    _xlpm.vatCrit,   "DAFF",
    _xlpm.sumcol,    TotalGMContribution[April],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AE17" s="155">
        <f>_xlfn.LET(
    _xlpm.s,         GMConSpreadTable8[[#This Row],[STATUS]],
    _xlpm.vatCrit,   "DAFF",
    _xlpm.sumcol,    TotalGMContribution[May],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AF17" s="155">
        <f>_xlfn.LET(
    _xlpm.s,         GMConSpreadTable8[[#This Row],[STATUS]],
    _xlpm.vatCrit,   "DAFF",
    _xlpm.sumcol,    TotalGMContribution[June],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row>
    <row r="18" spans="11:32" x14ac:dyDescent="0.25">
      <c r="K18" s="150" t="s">
        <v>158</v>
      </c>
      <c r="L18" s="183">
        <f>SUM(U44:W44)</f>
        <v>1607142.8571428573</v>
      </c>
      <c r="M18" s="183">
        <f>SUM(X44:Z44)</f>
        <v>1607142.8571428573</v>
      </c>
      <c r="N18" s="183">
        <f>SUM(AA44:AC44)</f>
        <v>1607142.8571428573</v>
      </c>
      <c r="O18" s="183">
        <f>SUM(AD44:AF44)</f>
        <v>1607142.8571428573</v>
      </c>
      <c r="P18" s="190">
        <f>SUM(Table34[[#This Row],[Q1]:[Q4]])</f>
        <v>6428571.4285714291</v>
      </c>
      <c r="T18" t="s">
        <v>76</v>
      </c>
      <c r="U18" s="155">
        <f>_xlfn.LET(
    _xlpm.s,         GMConSpreadTable8[[#This Row],[STATUS]],
    _xlpm.vatCrit,   "DAFF",
    _xlpm.sumcol,    TotalGMContribution[July],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V18" s="155">
        <f>_xlfn.LET(
    _xlpm.s,         GMConSpreadTable8[[#This Row],[STATUS]],
    _xlpm.vatCrit,   "DAFF",
    _xlpm.sumcol,    TotalGMContribution[August],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W18" s="155">
        <f>_xlfn.LET(
    _xlpm.s,         GMConSpreadTable8[[#This Row],[STATUS]],
    _xlpm.vatCrit,   "DAFF",
    _xlpm.sumcol,    TotalGMContribution[September],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X18" s="155">
        <f>_xlfn.LET(
    _xlpm.s,         GMConSpreadTable8[[#This Row],[STATUS]],
    _xlpm.vatCrit,   "DAFF",
    _xlpm.sumcol,    TotalGMContribution[October],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Y18" s="155">
        <f>_xlfn.LET(
    _xlpm.s,         GMConSpreadTable8[[#This Row],[STATUS]],
    _xlpm.vatCrit,   "DAFF",
    _xlpm.sumcol,    TotalGMContribution[November],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Z18" s="155">
        <f>_xlfn.LET(
    _xlpm.s,         GMConSpreadTable8[[#This Row],[STATUS]],
    _xlpm.vatCrit,   "DAFF",
    _xlpm.sumcol,    TotalGMContribution[December],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AA18" s="155">
        <f>_xlfn.LET(
    _xlpm.s,         GMConSpreadTable8[[#This Row],[STATUS]],
    _xlpm.vatCrit,   "DAFF",
    _xlpm.sumcol,    TotalGMContribution[January],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AB18" s="155">
        <f>_xlfn.LET(
    _xlpm.s,         GMConSpreadTable8[[#This Row],[STATUS]],
    _xlpm.vatCrit,   "DAFF",
    _xlpm.sumcol,    TotalGMContribution[February],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AC18" s="155">
        <f>_xlfn.LET(
    _xlpm.s,         GMConSpreadTable8[[#This Row],[STATUS]],
    _xlpm.vatCrit,   "DAFF",
    _xlpm.sumcol,    TotalGMContribution[March],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AD18" s="155">
        <f>_xlfn.LET(
    _xlpm.s,         GMConSpreadTable8[[#This Row],[STATUS]],
    _xlpm.vatCrit,   "DAFF",
    _xlpm.sumcol,    TotalGMContribution[April],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AE18" s="155">
        <f>_xlfn.LET(
    _xlpm.s,         GMConSpreadTable8[[#This Row],[STATUS]],
    _xlpm.vatCrit,   "DAFF",
    _xlpm.sumcol,    TotalGMContribution[May],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AF18" s="155">
        <f>_xlfn.LET(
    _xlpm.s,         GMConSpreadTable8[[#This Row],[STATUS]],
    _xlpm.vatCrit,   "DAFF",
    _xlpm.sumcol,    TotalGMContribution[June],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row>
    <row r="19" spans="11:32" x14ac:dyDescent="0.25">
      <c r="K19" s="179" t="s">
        <v>56</v>
      </c>
      <c r="L19" s="180">
        <f>SUMIFS(Job_Status[Revenue Q1],Job_Status[VAT],"DAFF")</f>
        <v>1806921.6074999997</v>
      </c>
      <c r="M19" s="180">
        <f>SUMIFS(Job_Status[Revenue Q2],Job_Status[VAT],"DAFF")</f>
        <v>970384.6875</v>
      </c>
      <c r="N19" s="180">
        <f>SUMIFS(Job_Status[Revenue Q3],Job_Status[VAT],"DAFF")</f>
        <v>380218.51</v>
      </c>
      <c r="O19" s="180">
        <f>SUMIFS(Job_Status[Revenue Q4],Job_Status[VAT],"DAFF")</f>
        <v>0</v>
      </c>
      <c r="P19" s="190">
        <f>SUM(Table34[[#This Row],[Q1]:[Q4]])</f>
        <v>3157524.8049999997</v>
      </c>
      <c r="T19" t="s">
        <v>75</v>
      </c>
      <c r="U19" s="155">
        <f>_xlfn.LET(
    _xlpm.s,         GMConSpreadTable8[[#This Row],[STATUS]],
    _xlpm.vatCrit,   "DAFF",
    _xlpm.sumcol,    TotalGMContribution[July],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V19" s="155">
        <f>_xlfn.LET(
    _xlpm.s,         GMConSpreadTable8[[#This Row],[STATUS]],
    _xlpm.vatCrit,   "DAFF",
    _xlpm.sumcol,    TotalGMContribution[August],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W19" s="155">
        <f>_xlfn.LET(
    _xlpm.s,         GMConSpreadTable8[[#This Row],[STATUS]],
    _xlpm.vatCrit,   "DAFF",
    _xlpm.sumcol,    TotalGMContribution[September],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X19" s="155">
        <f>_xlfn.LET(
    _xlpm.s,         GMConSpreadTable8[[#This Row],[STATUS]],
    _xlpm.vatCrit,   "DAFF",
    _xlpm.sumcol,    TotalGMContribution[October],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Y19" s="155">
        <f>_xlfn.LET(
    _xlpm.s,         GMConSpreadTable8[[#This Row],[STATUS]],
    _xlpm.vatCrit,   "DAFF",
    _xlpm.sumcol,    TotalGMContribution[November],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Z19" s="155">
        <f>_xlfn.LET(
    _xlpm.s,         GMConSpreadTable8[[#This Row],[STATUS]],
    _xlpm.vatCrit,   "DAFF",
    _xlpm.sumcol,    TotalGMContribution[December],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AA19" s="155">
        <f>_xlfn.LET(
    _xlpm.s,         GMConSpreadTable8[[#This Row],[STATUS]],
    _xlpm.vatCrit,   "DAFF",
    _xlpm.sumcol,    TotalGMContribution[January],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AB19" s="155">
        <f>_xlfn.LET(
    _xlpm.s,         GMConSpreadTable8[[#This Row],[STATUS]],
    _xlpm.vatCrit,   "DAFF",
    _xlpm.sumcol,    TotalGMContribution[February],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AC19" s="155">
        <f>_xlfn.LET(
    _xlpm.s,         GMConSpreadTable8[[#This Row],[STATUS]],
    _xlpm.vatCrit,   "DAFF",
    _xlpm.sumcol,    TotalGMContribution[March],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AD19" s="155">
        <f>_xlfn.LET(
    _xlpm.s,         GMConSpreadTable8[[#This Row],[STATUS]],
    _xlpm.vatCrit,   "DAFF",
    _xlpm.sumcol,    TotalGMContribution[April],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AE19" s="155">
        <f>_xlfn.LET(
    _xlpm.s,         GMConSpreadTable8[[#This Row],[STATUS]],
    _xlpm.vatCrit,   "DAFF",
    _xlpm.sumcol,    TotalGMContribution[May],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c r="AF19" s="155">
        <f>_xlfn.LET(
    _xlpm.s,         GMConSpreadTable8[[#This Row],[STATUS]],
    _xlpm.vatCrit,   "DAFF",
    _xlpm.sumcol,    TotalGMContribution[June],
    _xlpm.statuscol, TotalGMContribution[Status],
    _xlpm.vatcol,    TotalGMContribution[VAT],
    _xlpm.oppcol,    TotalGMContribution[Opps Status],
          IF(DAFFGoodToggle=TRUE, SUMIFS(_xlpm.sumcol, _xlpm.statuscol, _xlpm.s, _xlpm.vatcol, _xlpm.vatCrit, _xlpm.oppcol, "Good"), 0) +
          IF(DAFFFairToggle=TRUE, SUMIFS(_xlpm.sumcol, _xlpm.statuscol, _xlpm.s, _xlpm.vatcol, _xlpm.vatCrit, _xlpm.oppcol, "Fair"), 0) +
          IF(DAFFRiskToggle=TRUE, SUMIFS(_xlpm.sumcol, _xlpm.statuscol, _xlpm.s, _xlpm.vatcol, _xlpm.vatCrit, _xlpm.oppcol, "Risk"), 0)
)</f>
        <v>0</v>
      </c>
    </row>
    <row r="20" spans="11:32" x14ac:dyDescent="0.25">
      <c r="K20" s="253" t="s">
        <v>151</v>
      </c>
      <c r="L20" s="191">
        <f>SUM(U38:W38)</f>
        <v>1806921.6075000002</v>
      </c>
      <c r="M20" s="191">
        <f>SUM(X38:Z38)</f>
        <v>970384.6875</v>
      </c>
      <c r="N20" s="191">
        <f>SUM(AA38:AC38)</f>
        <v>1019225.8700000001</v>
      </c>
      <c r="O20" s="191">
        <f>SUM(AD38:AF38)</f>
        <v>685781.76</v>
      </c>
      <c r="P20" s="254">
        <f>SUM(Table34[[#This Row],[Q1]:[Q4]])</f>
        <v>4482313.9249999998</v>
      </c>
      <c r="T20" t="s">
        <v>152</v>
      </c>
      <c r="U20" s="156"/>
      <c r="V20" s="156"/>
      <c r="W20" s="156"/>
      <c r="X20" s="156"/>
      <c r="Y20" s="156"/>
      <c r="Z20" s="156"/>
      <c r="AA20" s="156"/>
      <c r="AB20" s="156"/>
      <c r="AC20" s="156"/>
      <c r="AD20" s="156"/>
      <c r="AE20" s="156"/>
      <c r="AF20" s="156"/>
    </row>
    <row r="21" spans="11:32" x14ac:dyDescent="0.25">
      <c r="K21" s="253" t="s">
        <v>60</v>
      </c>
      <c r="L21" s="191">
        <f>L20-L$18</f>
        <v>199778.75035714288</v>
      </c>
      <c r="M21" s="191">
        <f>M20-M$18</f>
        <v>-636758.16964285728</v>
      </c>
      <c r="N21" s="191">
        <f>N20-N$18</f>
        <v>-587916.98714285716</v>
      </c>
      <c r="O21" s="191">
        <f>O20-O$18</f>
        <v>-921361.09714285727</v>
      </c>
      <c r="P21" s="190">
        <f>SUM(Table34[[#This Row],[Q1]:[Q4]])</f>
        <v>-1946257.5035714288</v>
      </c>
      <c r="T21" t="s">
        <v>110</v>
      </c>
      <c r="U21" s="155" cm="1">
        <f t="array" ref="U21">INDEX('FY2526 VAT Financial KPIs'!$G:$G, MATCH(1, ('FY2526 VAT Financial KPIs'!$A:$A="DAFF")*('FY2526 VAT Financial KPIs'!$D:$D="Gross Margin Contribution"), 0))/12</f>
        <v>225000</v>
      </c>
      <c r="V21" s="155" cm="1">
        <f t="array" ref="V21">INDEX('FY2526 VAT Financial KPIs'!$G:$G, MATCH(1, ('FY2526 VAT Financial KPIs'!$A:$A="DAFF")*('FY2526 VAT Financial KPIs'!$D:$D="Gross Margin Contribution"), 0))/12</f>
        <v>225000</v>
      </c>
      <c r="W21" s="155" cm="1">
        <f t="array" ref="W21">INDEX('FY2526 VAT Financial KPIs'!$G:$G, MATCH(1, ('FY2526 VAT Financial KPIs'!$A:$A="DAFF")*('FY2526 VAT Financial KPIs'!$D:$D="Gross Margin Contribution"), 0))/12</f>
        <v>225000</v>
      </c>
      <c r="X21" s="155" cm="1">
        <f t="array" ref="X21">INDEX('FY2526 VAT Financial KPIs'!$G:$G, MATCH(1, ('FY2526 VAT Financial KPIs'!$A:$A="DAFF")*('FY2526 VAT Financial KPIs'!$D:$D="Gross Margin Contribution"), 0))/12</f>
        <v>225000</v>
      </c>
      <c r="Y21" s="155" cm="1">
        <f t="array" ref="Y21">INDEX('FY2526 VAT Financial KPIs'!$G:$G, MATCH(1, ('FY2526 VAT Financial KPIs'!$A:$A="DAFF")*('FY2526 VAT Financial KPIs'!$D:$D="Gross Margin Contribution"), 0))/12</f>
        <v>225000</v>
      </c>
      <c r="Z21" s="155" cm="1">
        <f t="array" ref="Z21">INDEX('FY2526 VAT Financial KPIs'!$G:$G, MATCH(1, ('FY2526 VAT Financial KPIs'!$A:$A="DAFF")*('FY2526 VAT Financial KPIs'!$D:$D="Gross Margin Contribution"), 0))/12</f>
        <v>225000</v>
      </c>
      <c r="AA21" s="155" cm="1">
        <f t="array" ref="AA21">INDEX('FY2526 VAT Financial KPIs'!$G:$G, MATCH(1, ('FY2526 VAT Financial KPIs'!$A:$A="DAFF")*('FY2526 VAT Financial KPIs'!$D:$D="Gross Margin Contribution"), 0))/12</f>
        <v>225000</v>
      </c>
      <c r="AB21" s="155" cm="1">
        <f t="array" ref="AB21">INDEX('FY2526 VAT Financial KPIs'!$G:$G, MATCH(1, ('FY2526 VAT Financial KPIs'!$A:$A="DAFF")*('FY2526 VAT Financial KPIs'!$D:$D="Gross Margin Contribution"), 0))/12</f>
        <v>225000</v>
      </c>
      <c r="AC21" s="155" cm="1">
        <f t="array" ref="AC21">INDEX('FY2526 VAT Financial KPIs'!$G:$G, MATCH(1, ('FY2526 VAT Financial KPIs'!$A:$A="DAFF")*('FY2526 VAT Financial KPIs'!$D:$D="Gross Margin Contribution"), 0))/12</f>
        <v>225000</v>
      </c>
      <c r="AD21" s="155" cm="1">
        <f t="array" ref="AD21">INDEX('FY2526 VAT Financial KPIs'!$G:$G, MATCH(1, ('FY2526 VAT Financial KPIs'!$A:$A="DAFF")*('FY2526 VAT Financial KPIs'!$D:$D="Gross Margin Contribution"), 0))/12</f>
        <v>225000</v>
      </c>
      <c r="AE21" s="155" cm="1">
        <f t="array" ref="AE21">INDEX('FY2526 VAT Financial KPIs'!$G:$G, MATCH(1, ('FY2526 VAT Financial KPIs'!$A:$A="DAFF")*('FY2526 VAT Financial KPIs'!$D:$D="Gross Margin Contribution"), 0))/12</f>
        <v>225000</v>
      </c>
      <c r="AF21" s="155" cm="1">
        <f t="array" ref="AF21">INDEX('FY2526 VAT Financial KPIs'!$G:$G, MATCH(1, ('FY2526 VAT Financial KPIs'!$A:$A="DAFF")*('FY2526 VAT Financial KPIs'!$D:$D="Gross Margin Contribution"), 0))/12</f>
        <v>225000</v>
      </c>
    </row>
    <row r="22" spans="11:32" x14ac:dyDescent="0.25">
      <c r="K22" s="150" t="s">
        <v>159</v>
      </c>
      <c r="L22" s="256">
        <f>SUM(U$38:W39)</f>
        <v>1806921.6075000002</v>
      </c>
      <c r="M22" s="256">
        <f>SUM(X$38:Z39)</f>
        <v>970384.6875</v>
      </c>
      <c r="N22" s="256">
        <f>SUM(AA$38:AC39)</f>
        <v>1019225.8700000001</v>
      </c>
      <c r="O22" s="256">
        <f>SUM(AD$38:AF39)</f>
        <v>685781.76</v>
      </c>
      <c r="P22" s="190">
        <f>SUM(Table34[[#This Row],[Q1]:[Q4]])</f>
        <v>4482313.9249999998</v>
      </c>
      <c r="T22" t="s">
        <v>111</v>
      </c>
      <c r="U22" s="155" cm="1">
        <f t="array" ref="U22">INDEX('FY2526 VAT Financial KPIs'!$F:$F, MATCH(1, ('FY2526 VAT Financial KPIs'!$A:$A="DAFF")*('FY2526 VAT Financial KPIs'!$D:$D="Gross Margin Contribution"), 0))/12</f>
        <v>187500</v>
      </c>
      <c r="V22" s="155" cm="1">
        <f t="array" ref="V22">INDEX('FY2526 VAT Financial KPIs'!$F:$F, MATCH(1, ('FY2526 VAT Financial KPIs'!$A:$A="DAFF")*('FY2526 VAT Financial KPIs'!$D:$D="Gross Margin Contribution"), 0))/12</f>
        <v>187500</v>
      </c>
      <c r="W22" s="155" cm="1">
        <f t="array" ref="W22">INDEX('FY2526 VAT Financial KPIs'!$F:$F, MATCH(1, ('FY2526 VAT Financial KPIs'!$A:$A="DAFF")*('FY2526 VAT Financial KPIs'!$D:$D="Gross Margin Contribution"), 0))/12</f>
        <v>187500</v>
      </c>
      <c r="X22" s="155" cm="1">
        <f t="array" ref="X22">INDEX('FY2526 VAT Financial KPIs'!$F:$F, MATCH(1, ('FY2526 VAT Financial KPIs'!$A:$A="DAFF")*('FY2526 VAT Financial KPIs'!$D:$D="Gross Margin Contribution"), 0))/12</f>
        <v>187500</v>
      </c>
      <c r="Y22" s="155" cm="1">
        <f t="array" ref="Y22">INDEX('FY2526 VAT Financial KPIs'!$F:$F, MATCH(1, ('FY2526 VAT Financial KPIs'!$A:$A="DAFF")*('FY2526 VAT Financial KPIs'!$D:$D="Gross Margin Contribution"), 0))/12</f>
        <v>187500</v>
      </c>
      <c r="Z22" s="155" cm="1">
        <f t="array" ref="Z22">INDEX('FY2526 VAT Financial KPIs'!$F:$F, MATCH(1, ('FY2526 VAT Financial KPIs'!$A:$A="DAFF")*('FY2526 VAT Financial KPIs'!$D:$D="Gross Margin Contribution"), 0))/12</f>
        <v>187500</v>
      </c>
      <c r="AA22" s="155" cm="1">
        <f t="array" ref="AA22">INDEX('FY2526 VAT Financial KPIs'!$F:$F, MATCH(1, ('FY2526 VAT Financial KPIs'!$A:$A="DAFF")*('FY2526 VAT Financial KPIs'!$D:$D="Gross Margin Contribution"), 0))/12</f>
        <v>187500</v>
      </c>
      <c r="AB22" s="155" cm="1">
        <f t="array" ref="AB22">INDEX('FY2526 VAT Financial KPIs'!$F:$F, MATCH(1, ('FY2526 VAT Financial KPIs'!$A:$A="DAFF")*('FY2526 VAT Financial KPIs'!$D:$D="Gross Margin Contribution"), 0))/12</f>
        <v>187500</v>
      </c>
      <c r="AC22" s="155" cm="1">
        <f t="array" ref="AC22">INDEX('FY2526 VAT Financial KPIs'!$F:$F, MATCH(1, ('FY2526 VAT Financial KPIs'!$A:$A="DAFF")*('FY2526 VAT Financial KPIs'!$D:$D="Gross Margin Contribution"), 0))/12</f>
        <v>187500</v>
      </c>
      <c r="AD22" s="155" cm="1">
        <f t="array" ref="AD22">INDEX('FY2526 VAT Financial KPIs'!$F:$F, MATCH(1, ('FY2526 VAT Financial KPIs'!$A:$A="DAFF")*('FY2526 VAT Financial KPIs'!$D:$D="Gross Margin Contribution"), 0))/12</f>
        <v>187500</v>
      </c>
      <c r="AE22" s="155" cm="1">
        <f t="array" ref="AE22">INDEX('FY2526 VAT Financial KPIs'!$F:$F, MATCH(1, ('FY2526 VAT Financial KPIs'!$A:$A="DAFF")*('FY2526 VAT Financial KPIs'!$D:$D="Gross Margin Contribution"), 0))/12</f>
        <v>187500</v>
      </c>
      <c r="AF22" s="155" cm="1">
        <f t="array" ref="AF22">INDEX('FY2526 VAT Financial KPIs'!$F:$F, MATCH(1, ('FY2526 VAT Financial KPIs'!$A:$A="DAFF")*('FY2526 VAT Financial KPIs'!$D:$D="Gross Margin Contribution"), 0))/12</f>
        <v>187500</v>
      </c>
    </row>
    <row r="23" spans="11:32" x14ac:dyDescent="0.25">
      <c r="K23" s="182" t="s">
        <v>154</v>
      </c>
      <c r="L23" s="191">
        <f>L22-L$18</f>
        <v>199778.75035714288</v>
      </c>
      <c r="M23" s="191">
        <f>M22-M$18</f>
        <v>-636758.16964285728</v>
      </c>
      <c r="N23" s="191">
        <f>N22-N$18</f>
        <v>-587916.98714285716</v>
      </c>
      <c r="O23" s="191">
        <f>O22-O$18</f>
        <v>-921361.09714285727</v>
      </c>
      <c r="P23" s="190">
        <f>SUM(Table34[[#This Row],[Q1]:[Q4]])</f>
        <v>-1946257.5035714288</v>
      </c>
      <c r="T23" t="s">
        <v>4</v>
      </c>
      <c r="U23" s="155" cm="1">
        <f t="array" ref="U23">INDEX('FY2526 VAT Financial KPIs'!$E:$E, MATCH(1, ('FY2526 VAT Financial KPIs'!$A:$A="DAFF")*('FY2526 VAT Financial KPIs'!$D:$D="Gross Margin Contribution"), 0))/12</f>
        <v>150000</v>
      </c>
      <c r="V23" s="155" cm="1">
        <f t="array" ref="V23">INDEX('FY2526 VAT Financial KPIs'!$E:$E, MATCH(1, ('FY2526 VAT Financial KPIs'!$A:$A="DAFF")*('FY2526 VAT Financial KPIs'!$D:$D="Gross Margin Contribution"), 0))/12</f>
        <v>150000</v>
      </c>
      <c r="W23" s="155" cm="1">
        <f t="array" ref="W23">INDEX('FY2526 VAT Financial KPIs'!$E:$E, MATCH(1, ('FY2526 VAT Financial KPIs'!$A:$A="DAFF")*('FY2526 VAT Financial KPIs'!$D:$D="Gross Margin Contribution"), 0))/12</f>
        <v>150000</v>
      </c>
      <c r="X23" s="155" cm="1">
        <f t="array" ref="X23">INDEX('FY2526 VAT Financial KPIs'!$E:$E, MATCH(1, ('FY2526 VAT Financial KPIs'!$A:$A="DAFF")*('FY2526 VAT Financial KPIs'!$D:$D="Gross Margin Contribution"), 0))/12</f>
        <v>150000</v>
      </c>
      <c r="Y23" s="155" cm="1">
        <f t="array" ref="Y23">INDEX('FY2526 VAT Financial KPIs'!$E:$E, MATCH(1, ('FY2526 VAT Financial KPIs'!$A:$A="DAFF")*('FY2526 VAT Financial KPIs'!$D:$D="Gross Margin Contribution"), 0))/12</f>
        <v>150000</v>
      </c>
      <c r="Z23" s="155" cm="1">
        <f t="array" ref="Z23">INDEX('FY2526 VAT Financial KPIs'!$E:$E, MATCH(1, ('FY2526 VAT Financial KPIs'!$A:$A="DAFF")*('FY2526 VAT Financial KPIs'!$D:$D="Gross Margin Contribution"), 0))/12</f>
        <v>150000</v>
      </c>
      <c r="AA23" s="155" cm="1">
        <f t="array" ref="AA23">INDEX('FY2526 VAT Financial KPIs'!$E:$E, MATCH(1, ('FY2526 VAT Financial KPIs'!$A:$A="DAFF")*('FY2526 VAT Financial KPIs'!$D:$D="Gross Margin Contribution"), 0))/12</f>
        <v>150000</v>
      </c>
      <c r="AB23" s="155" cm="1">
        <f t="array" ref="AB23">INDEX('FY2526 VAT Financial KPIs'!$E:$E, MATCH(1, ('FY2526 VAT Financial KPIs'!$A:$A="DAFF")*('FY2526 VAT Financial KPIs'!$D:$D="Gross Margin Contribution"), 0))/12</f>
        <v>150000</v>
      </c>
      <c r="AC23" s="155" cm="1">
        <f t="array" ref="AC23">INDEX('FY2526 VAT Financial KPIs'!$E:$E, MATCH(1, ('FY2526 VAT Financial KPIs'!$A:$A="DAFF")*('FY2526 VAT Financial KPIs'!$D:$D="Gross Margin Contribution"), 0))/12</f>
        <v>150000</v>
      </c>
      <c r="AD23" s="155" cm="1">
        <f t="array" ref="AD23">INDEX('FY2526 VAT Financial KPIs'!$E:$E, MATCH(1, ('FY2526 VAT Financial KPIs'!$A:$A="DAFF")*('FY2526 VAT Financial KPIs'!$D:$D="Gross Margin Contribution"), 0))/12</f>
        <v>150000</v>
      </c>
      <c r="AE23" s="155" cm="1">
        <f t="array" ref="AE23">INDEX('FY2526 VAT Financial KPIs'!$E:$E, MATCH(1, ('FY2526 VAT Financial KPIs'!$A:$A="DAFF")*('FY2526 VAT Financial KPIs'!$D:$D="Gross Margin Contribution"), 0))/12</f>
        <v>150000</v>
      </c>
      <c r="AF23" s="155" cm="1">
        <f t="array" ref="AF23">INDEX('FY2526 VAT Financial KPIs'!$E:$E, MATCH(1, ('FY2526 VAT Financial KPIs'!$A:$A="DAFF")*('FY2526 VAT Financial KPIs'!$D:$D="Gross Margin Contribution"), 0))/12</f>
        <v>150000</v>
      </c>
    </row>
    <row r="24" spans="11:32" x14ac:dyDescent="0.25">
      <c r="K24" s="150" t="s">
        <v>160</v>
      </c>
      <c r="L24" s="256">
        <f>SUM(U$38:W40)</f>
        <v>1806921.6075000002</v>
      </c>
      <c r="M24" s="256">
        <f>SUM(X$38:Z40)</f>
        <v>970384.6875</v>
      </c>
      <c r="N24" s="256">
        <f>SUM(AA$38:AC40)</f>
        <v>1352635.87</v>
      </c>
      <c r="O24" s="256">
        <f>SUM(AD$38:AF40)</f>
        <v>1176871.76</v>
      </c>
      <c r="P24" s="190">
        <f>SUM(Table34[[#This Row],[Q1]:[Q4]])</f>
        <v>5306813.9249999998</v>
      </c>
    </row>
    <row r="25" spans="11:32" x14ac:dyDescent="0.25">
      <c r="K25" s="182" t="s">
        <v>154</v>
      </c>
      <c r="L25" s="191">
        <f>L24-L$18</f>
        <v>199778.75035714288</v>
      </c>
      <c r="M25" s="191">
        <f>M24-M$18</f>
        <v>-636758.16964285728</v>
      </c>
      <c r="N25" s="191">
        <f>N24-N$18</f>
        <v>-254506.98714285716</v>
      </c>
      <c r="O25" s="191">
        <f>O24-O$18</f>
        <v>-430271.09714285727</v>
      </c>
      <c r="P25" s="190">
        <f>SUM(Table34[[#This Row],[Q1]:[Q4]])</f>
        <v>-1121757.5035714288</v>
      </c>
      <c r="T25" s="13" t="s">
        <v>93</v>
      </c>
      <c r="U25" s="112"/>
      <c r="V25" s="112"/>
      <c r="W25" s="112"/>
      <c r="X25" s="112"/>
      <c r="Y25" s="112"/>
      <c r="Z25" s="112"/>
      <c r="AA25" s="112"/>
      <c r="AB25" s="112"/>
      <c r="AC25" s="112"/>
      <c r="AD25" s="112"/>
      <c r="AE25" s="112"/>
      <c r="AF25" s="112"/>
    </row>
    <row r="26" spans="11:32" x14ac:dyDescent="0.25">
      <c r="K26" s="150" t="s">
        <v>161</v>
      </c>
      <c r="L26" s="256">
        <f ca="1">SUM(U$38:W41)</f>
        <v>1806921.6075000002</v>
      </c>
      <c r="M26" s="256">
        <f ca="1">SUM(X$38:Z41)</f>
        <v>970384.6875</v>
      </c>
      <c r="N26" s="256">
        <f ca="1">SUM(AA$38:AC41)</f>
        <v>1352635.87</v>
      </c>
      <c r="O26" s="256">
        <f ca="1">SUM(AD$38:AF41)</f>
        <v>1369728.902857143</v>
      </c>
      <c r="P26" s="190">
        <f ca="1">SUM(Table34[[#This Row],[Q1]:[Q4]])</f>
        <v>5499671.0678571425</v>
      </c>
      <c r="T26" s="113" t="s">
        <v>94</v>
      </c>
      <c r="U26" s="112" t="s">
        <v>95</v>
      </c>
      <c r="V26" s="112" t="s">
        <v>96</v>
      </c>
      <c r="W26" s="112" t="s">
        <v>97</v>
      </c>
      <c r="X26" s="112" t="s">
        <v>98</v>
      </c>
      <c r="Y26" s="112" t="s">
        <v>99</v>
      </c>
      <c r="Z26" s="112" t="s">
        <v>100</v>
      </c>
      <c r="AA26" s="112" t="s">
        <v>101</v>
      </c>
      <c r="AB26" s="112" t="s">
        <v>102</v>
      </c>
      <c r="AC26" s="112" t="s">
        <v>103</v>
      </c>
      <c r="AD26" s="112" t="s">
        <v>104</v>
      </c>
      <c r="AE26" s="112" t="s">
        <v>105</v>
      </c>
      <c r="AF26" s="112" t="s">
        <v>106</v>
      </c>
    </row>
    <row r="27" spans="11:32" x14ac:dyDescent="0.25">
      <c r="K27" s="182" t="s">
        <v>154</v>
      </c>
      <c r="L27" s="191">
        <f ca="1">L26-L$18</f>
        <v>199778.75035714288</v>
      </c>
      <c r="M27" s="191">
        <f ca="1">M26-M$18</f>
        <v>-636758.16964285728</v>
      </c>
      <c r="N27" s="191">
        <f ca="1">N26-N$18</f>
        <v>-254506.98714285716</v>
      </c>
      <c r="O27" s="191">
        <f ca="1">O26-O$18</f>
        <v>-237413.95428571431</v>
      </c>
      <c r="P27" s="190">
        <f ca="1">SUM(Table34[[#This Row],[Q1]:[Q4]])</f>
        <v>-928900.36071428587</v>
      </c>
      <c r="T27" s="112" t="s">
        <v>148</v>
      </c>
      <c r="U27" s="112">
        <f>U38</f>
        <v>655397.70500000007</v>
      </c>
      <c r="V27" s="112">
        <f>SUM($U38:V38)</f>
        <v>1219574.9750000001</v>
      </c>
      <c r="W27" s="112">
        <f>SUM($U38:W38)</f>
        <v>1806921.6075000002</v>
      </c>
      <c r="X27" s="112">
        <f>SUM($U38:X38)</f>
        <v>2167050.67</v>
      </c>
      <c r="Y27" s="112">
        <f>SUM($U38:Y38)</f>
        <v>2480800.67</v>
      </c>
      <c r="Z27" s="112">
        <f>SUM($U38:Z38)</f>
        <v>2777306.2949999999</v>
      </c>
      <c r="AA27" s="112">
        <f>SUM($U38:AA38)</f>
        <v>3092301.2050000001</v>
      </c>
      <c r="AB27" s="112">
        <f>SUM($U38:AB38)</f>
        <v>3417215.605</v>
      </c>
      <c r="AC27" s="112">
        <f>SUM($U38:AC38)</f>
        <v>3796532.165</v>
      </c>
      <c r="AD27" s="112">
        <f>SUM($U38:AD38)</f>
        <v>4047345.125</v>
      </c>
      <c r="AE27" s="112">
        <f>SUM($U38:AE38)</f>
        <v>4264159.5250000004</v>
      </c>
      <c r="AF27" s="112">
        <f>SUM($U38:AF38)</f>
        <v>4482313.9250000007</v>
      </c>
    </row>
    <row r="28" spans="11:32" x14ac:dyDescent="0.25">
      <c r="T28" s="112" t="s">
        <v>150</v>
      </c>
      <c r="U28" s="112">
        <f>U39+U27</f>
        <v>655397.70500000007</v>
      </c>
      <c r="V28" s="112">
        <f>SUM($U39:V39)+V27</f>
        <v>1219574.9750000001</v>
      </c>
      <c r="W28" s="112">
        <f>SUM($U39:W39)+W27</f>
        <v>1806921.6075000002</v>
      </c>
      <c r="X28" s="112">
        <f>SUM($U39:X39)+X27</f>
        <v>2167050.67</v>
      </c>
      <c r="Y28" s="112">
        <f>SUM($U39:Y39)+Y27</f>
        <v>2480800.67</v>
      </c>
      <c r="Z28" s="112">
        <f>SUM($U39:Z39)+Z27</f>
        <v>2777306.2949999999</v>
      </c>
      <c r="AA28" s="112">
        <f>SUM($U39:AA39)+AA27</f>
        <v>3092301.2050000001</v>
      </c>
      <c r="AB28" s="112">
        <f>SUM($U39:AB39)+AB27</f>
        <v>3417215.605</v>
      </c>
      <c r="AC28" s="112">
        <f>SUM($U39:AC39)+AC27</f>
        <v>3796532.165</v>
      </c>
      <c r="AD28" s="112">
        <f>SUM($U39:AD39)+AD27</f>
        <v>4047345.125</v>
      </c>
      <c r="AE28" s="112">
        <f>SUM($U39:AE39)+AE27</f>
        <v>4264159.5250000004</v>
      </c>
      <c r="AF28" s="112">
        <f>SUM($U39:AF39)+AF27</f>
        <v>4482313.9250000007</v>
      </c>
    </row>
    <row r="29" spans="11:32" x14ac:dyDescent="0.25">
      <c r="K29" s="188" t="s">
        <v>162</v>
      </c>
      <c r="L29" s="189" t="s">
        <v>47</v>
      </c>
      <c r="M29" s="189" t="s">
        <v>48</v>
      </c>
      <c r="N29" s="189" t="s">
        <v>49</v>
      </c>
      <c r="O29" s="189" t="s">
        <v>50</v>
      </c>
      <c r="P29" s="193" t="s">
        <v>1</v>
      </c>
      <c r="T29" s="112" t="s">
        <v>108</v>
      </c>
      <c r="U29" s="112">
        <f>U40+U28</f>
        <v>655397.70500000007</v>
      </c>
      <c r="V29" s="112">
        <f>SUM($U40:V40)+V28</f>
        <v>1219574.9750000001</v>
      </c>
      <c r="W29" s="112">
        <f>SUM($U40:W40)+W28</f>
        <v>1806921.6075000002</v>
      </c>
      <c r="X29" s="112">
        <f>SUM($U40:X40)+X28</f>
        <v>2167050.67</v>
      </c>
      <c r="Y29" s="112">
        <f>SUM($U40:Y40)+Y28</f>
        <v>2480800.67</v>
      </c>
      <c r="Z29" s="112">
        <f>SUM($U40:Z40)+Z28</f>
        <v>2777306.2949999999</v>
      </c>
      <c r="AA29" s="112">
        <f>SUM($U40:AA40)+AA28</f>
        <v>3092301.2050000001</v>
      </c>
      <c r="AB29" s="112">
        <f>SUM($U40:AB40)+AB28</f>
        <v>3488335.605</v>
      </c>
      <c r="AC29" s="112">
        <f>SUM($U40:AC40)+AC28</f>
        <v>4129942.165</v>
      </c>
      <c r="AD29" s="112">
        <f>SUM($U40:AD40)+AD28</f>
        <v>4555085.125</v>
      </c>
      <c r="AE29" s="112">
        <f>SUM($U40:AE40)+AE28</f>
        <v>4928389.5250000004</v>
      </c>
      <c r="AF29" s="112">
        <f>SUM($U40:AF40)+AF28</f>
        <v>5306813.9250000007</v>
      </c>
    </row>
    <row r="30" spans="11:32" x14ac:dyDescent="0.25">
      <c r="K30" s="192" t="s">
        <v>163</v>
      </c>
      <c r="L30" s="151">
        <f t="shared" ref="L30:P32" si="0">L6/L18</f>
        <v>0.35</v>
      </c>
      <c r="M30" s="151">
        <f t="shared" si="0"/>
        <v>0.35</v>
      </c>
      <c r="N30" s="151">
        <f t="shared" si="0"/>
        <v>0.35</v>
      </c>
      <c r="O30" s="151">
        <f t="shared" si="0"/>
        <v>0.35</v>
      </c>
      <c r="P30" s="178">
        <f t="shared" si="0"/>
        <v>0.35</v>
      </c>
      <c r="T30" s="112" t="s">
        <v>109</v>
      </c>
      <c r="U30" s="112">
        <f ca="1">U41+U29</f>
        <v>655397.70500000007</v>
      </c>
      <c r="V30" s="112">
        <f ca="1">SUM($U41:V41)+V29</f>
        <v>1219574.9750000001</v>
      </c>
      <c r="W30" s="112">
        <f ca="1">SUM($U41:W41)+W29</f>
        <v>1806921.6075000002</v>
      </c>
      <c r="X30" s="112">
        <f ca="1">SUM($U41:X41)+X29</f>
        <v>2167050.67</v>
      </c>
      <c r="Y30" s="112">
        <f ca="1">SUM($U41:Y41)+Y29</f>
        <v>2480800.67</v>
      </c>
      <c r="Z30" s="112">
        <f ca="1">SUM($U41:Z41)+Z29</f>
        <v>2777306.2949999999</v>
      </c>
      <c r="AA30" s="112">
        <f ca="1">SUM($U41:AA41)+AA29</f>
        <v>3092301.2050000001</v>
      </c>
      <c r="AB30" s="112">
        <f ca="1">SUM($U41:AB41)+AB29</f>
        <v>3488335.605</v>
      </c>
      <c r="AC30" s="112">
        <f ca="1">SUM($U41:AC41)+AC29</f>
        <v>4129942.165</v>
      </c>
      <c r="AD30" s="112">
        <f ca="1">SUM($U41:AD41)+AD29</f>
        <v>4555085.125</v>
      </c>
      <c r="AE30" s="112">
        <f ca="1">SUM($U41:AE41)+AE29</f>
        <v>4928389.5250000004</v>
      </c>
      <c r="AF30" s="112">
        <f ca="1">SUM($U41:AF41)+AF29</f>
        <v>5499671.0678571435</v>
      </c>
    </row>
    <row r="31" spans="11:32" x14ac:dyDescent="0.25">
      <c r="K31" s="179" t="s">
        <v>56</v>
      </c>
      <c r="L31" s="195">
        <f t="shared" si="0"/>
        <v>0.31119640451806369</v>
      </c>
      <c r="M31" s="195">
        <f t="shared" si="0"/>
        <v>0.17723065627001713</v>
      </c>
      <c r="N31" s="195">
        <f t="shared" si="0"/>
        <v>0.17257208230078153</v>
      </c>
      <c r="O31" s="195" t="e">
        <f t="shared" si="0"/>
        <v>#DIV/0!</v>
      </c>
      <c r="P31" s="195">
        <f t="shared" si="0"/>
        <v>0.25333277548076172</v>
      </c>
      <c r="T31" s="112" t="s">
        <v>152</v>
      </c>
      <c r="U31" s="112">
        <f>U42</f>
        <v>0</v>
      </c>
      <c r="V31" s="112">
        <f>SUM($U42:V42)</f>
        <v>0</v>
      </c>
      <c r="W31" s="112">
        <f>SUM($U42:W42)</f>
        <v>0</v>
      </c>
      <c r="X31" s="112">
        <f>SUM($U42:X42)</f>
        <v>0</v>
      </c>
      <c r="Y31" s="112">
        <f>SUM($U42:Y42)</f>
        <v>0</v>
      </c>
      <c r="Z31" s="112">
        <f>SUM($U42:Z42)</f>
        <v>0</v>
      </c>
      <c r="AA31" s="112">
        <f>SUM($U42:AA42)</f>
        <v>0</v>
      </c>
      <c r="AB31" s="112">
        <f>SUM($U42:AB42)</f>
        <v>0</v>
      </c>
      <c r="AC31" s="112">
        <f>SUM($U42:AC42)</f>
        <v>0</v>
      </c>
      <c r="AD31" s="112">
        <f>SUM($U42:AD42)</f>
        <v>0</v>
      </c>
      <c r="AE31" s="112">
        <f>SUM($U42:AE42)</f>
        <v>0</v>
      </c>
      <c r="AF31" s="112">
        <f>SUM($U42:AF42)</f>
        <v>0</v>
      </c>
    </row>
    <row r="32" spans="11:32" x14ac:dyDescent="0.25">
      <c r="K32" s="197" t="s">
        <v>151</v>
      </c>
      <c r="L32" s="198">
        <f t="shared" si="0"/>
        <v>0.31119640451806391</v>
      </c>
      <c r="M32" s="198">
        <f t="shared" si="0"/>
        <v>0.17723065627001641</v>
      </c>
      <c r="N32" s="198">
        <f t="shared" si="0"/>
        <v>0.17684438288443363</v>
      </c>
      <c r="O32" s="198">
        <f t="shared" si="0"/>
        <v>0.1556019366860967</v>
      </c>
      <c r="P32" s="198">
        <f t="shared" si="0"/>
        <v>0.22783829503865019</v>
      </c>
      <c r="T32" s="112" t="s">
        <v>110</v>
      </c>
      <c r="U32" s="112">
        <f>U43</f>
        <v>642857.14285714284</v>
      </c>
      <c r="V32" s="112">
        <f>SUM($U43:V43)</f>
        <v>1285714.2857142857</v>
      </c>
      <c r="W32" s="112">
        <f>SUM($U43:W43)</f>
        <v>1928571.4285714286</v>
      </c>
      <c r="X32" s="112">
        <f>SUM($U43:X43)</f>
        <v>2571428.5714285714</v>
      </c>
      <c r="Y32" s="112">
        <f>SUM($U43:Y43)</f>
        <v>3214285.7142857141</v>
      </c>
      <c r="Z32" s="112">
        <f>SUM($U43:Z43)</f>
        <v>3857142.8571428568</v>
      </c>
      <c r="AA32" s="112">
        <f>SUM($U43:AA43)</f>
        <v>4500000</v>
      </c>
      <c r="AB32" s="112">
        <f>SUM($U43:AB43)</f>
        <v>5142857.1428571427</v>
      </c>
      <c r="AC32" s="112">
        <f>SUM($U43:AC43)</f>
        <v>5785714.2857142854</v>
      </c>
      <c r="AD32" s="112">
        <f>SUM($U43:AD43)</f>
        <v>6428571.4285714282</v>
      </c>
      <c r="AE32" s="112">
        <f>SUM($U43:AE43)</f>
        <v>7071428.5714285709</v>
      </c>
      <c r="AF32" s="112">
        <f>SUM($U43:AF43)</f>
        <v>7714285.7142857136</v>
      </c>
    </row>
    <row r="33" spans="11:32" x14ac:dyDescent="0.25">
      <c r="K33" s="182" t="s">
        <v>60</v>
      </c>
      <c r="L33" s="195">
        <f>L32-L$30</f>
        <v>-3.8803595481936071E-2</v>
      </c>
      <c r="M33" s="195">
        <f>M32-M$30</f>
        <v>-0.17276934372998357</v>
      </c>
      <c r="N33" s="195">
        <f>N32-N$30</f>
        <v>-0.17315561711556635</v>
      </c>
      <c r="O33" s="195">
        <f>O32-O$30</f>
        <v>-0.19439806331390327</v>
      </c>
      <c r="P33" s="195">
        <f>P32-P$30</f>
        <v>-0.12216170496134979</v>
      </c>
      <c r="T33" s="112" t="s">
        <v>111</v>
      </c>
      <c r="U33" s="112">
        <f>U44</f>
        <v>535714.2857142858</v>
      </c>
      <c r="V33" s="112">
        <f>SUM($U44:V44)</f>
        <v>1071428.5714285716</v>
      </c>
      <c r="W33" s="112">
        <f>SUM($U44:W44)</f>
        <v>1607142.8571428573</v>
      </c>
      <c r="X33" s="112">
        <f>SUM($U44:X44)</f>
        <v>2142857.1428571432</v>
      </c>
      <c r="Y33" s="112">
        <f>SUM($U44:Y44)</f>
        <v>2678571.4285714291</v>
      </c>
      <c r="Z33" s="112">
        <f>SUM($U44:Z44)</f>
        <v>3214285.714285715</v>
      </c>
      <c r="AA33" s="112">
        <f>SUM($U44:AA44)</f>
        <v>3750000.0000000009</v>
      </c>
      <c r="AB33" s="112">
        <f>SUM($U44:AB44)</f>
        <v>4285714.2857142864</v>
      </c>
      <c r="AC33" s="112">
        <f>SUM($U44:AC44)</f>
        <v>4821428.5714285718</v>
      </c>
      <c r="AD33" s="112">
        <f>SUM($U44:AD44)</f>
        <v>5357142.8571428573</v>
      </c>
      <c r="AE33" s="112">
        <f>SUM($U44:AE44)</f>
        <v>5892857.1428571427</v>
      </c>
      <c r="AF33" s="112">
        <f>SUM($U44:AF44)</f>
        <v>6428571.4285714282</v>
      </c>
    </row>
    <row r="34" spans="11:32" x14ac:dyDescent="0.25">
      <c r="K34" s="192" t="s">
        <v>164</v>
      </c>
      <c r="L34" s="198">
        <f>L10/L22</f>
        <v>0.31119640451806391</v>
      </c>
      <c r="M34" s="198">
        <f>M10/M22</f>
        <v>0.17723065627001641</v>
      </c>
      <c r="N34" s="198">
        <f>N10/N22</f>
        <v>0.17684438288443363</v>
      </c>
      <c r="O34" s="198">
        <f>O10/O22</f>
        <v>0.1556019366860967</v>
      </c>
      <c r="P34" s="198">
        <f>P10/P22</f>
        <v>0.22783829503865019</v>
      </c>
      <c r="T34" s="112" t="s">
        <v>4</v>
      </c>
      <c r="U34" s="112">
        <f>U45</f>
        <v>428571.42857142858</v>
      </c>
      <c r="V34" s="112">
        <f>SUM($U45:V45)</f>
        <v>857142.85714285716</v>
      </c>
      <c r="W34" s="112">
        <f>SUM($U45:W45)</f>
        <v>1285714.2857142857</v>
      </c>
      <c r="X34" s="112">
        <f>SUM($U45:X45)</f>
        <v>1714285.7142857143</v>
      </c>
      <c r="Y34" s="112">
        <f>SUM($U45:Y45)</f>
        <v>2142857.1428571427</v>
      </c>
      <c r="Z34" s="112">
        <f>SUM($U45:Z45)</f>
        <v>2571428.5714285714</v>
      </c>
      <c r="AA34" s="112">
        <f>SUM($U45:AA45)</f>
        <v>3000000</v>
      </c>
      <c r="AB34" s="112">
        <f>SUM($U45:AB45)</f>
        <v>3428571.4285714286</v>
      </c>
      <c r="AC34" s="112">
        <f>SUM($U45:AC45)</f>
        <v>3857142.8571428573</v>
      </c>
      <c r="AD34" s="112">
        <f>SUM($U45:AD45)</f>
        <v>4285714.2857142854</v>
      </c>
      <c r="AE34" s="112">
        <f>SUM($U45:AE45)</f>
        <v>4714285.7142857136</v>
      </c>
      <c r="AF34" s="112">
        <f>SUM($U45:AF45)</f>
        <v>5142857.1428571418</v>
      </c>
    </row>
    <row r="35" spans="11:32" x14ac:dyDescent="0.25">
      <c r="K35" s="182" t="s">
        <v>154</v>
      </c>
      <c r="L35" s="195">
        <f>L34-L$30</f>
        <v>-3.8803595481936071E-2</v>
      </c>
      <c r="M35" s="195">
        <f>M34-M$30</f>
        <v>-0.17276934372998357</v>
      </c>
      <c r="N35" s="195">
        <f>N34-N$30</f>
        <v>-0.17315561711556635</v>
      </c>
      <c r="O35" s="195">
        <f>O34-O$30</f>
        <v>-0.19439806331390327</v>
      </c>
      <c r="P35" s="195">
        <f>P34-P$30</f>
        <v>-0.12216170496134979</v>
      </c>
    </row>
    <row r="36" spans="11:32" x14ac:dyDescent="0.25">
      <c r="K36" s="192" t="s">
        <v>165</v>
      </c>
      <c r="L36" s="198">
        <f>L12/L24</f>
        <v>0.31119640451806391</v>
      </c>
      <c r="M36" s="198">
        <f>M12/M24</f>
        <v>0.17723065627001641</v>
      </c>
      <c r="N36" s="198">
        <f>N12/N24</f>
        <v>0.13325416987500116</v>
      </c>
      <c r="O36" s="198">
        <f>O12/O24</f>
        <v>9.067170581100524E-2</v>
      </c>
      <c r="P36" s="198">
        <f>P12/P24</f>
        <v>0.19243990404280098</v>
      </c>
      <c r="T36" s="13" t="s">
        <v>113</v>
      </c>
      <c r="W36" s="13"/>
    </row>
    <row r="37" spans="11:32" x14ac:dyDescent="0.25">
      <c r="K37" s="182" t="s">
        <v>154</v>
      </c>
      <c r="L37" s="195">
        <f>L36-L$30</f>
        <v>-3.8803595481936071E-2</v>
      </c>
      <c r="M37" s="195">
        <f>M36-M$30</f>
        <v>-0.17276934372998357</v>
      </c>
      <c r="N37" s="195">
        <f>N36-N$30</f>
        <v>-0.21674583012499882</v>
      </c>
      <c r="O37" s="195">
        <f>O36-O$30</f>
        <v>-0.25932829418899472</v>
      </c>
      <c r="P37" s="195">
        <f>P36-P$30</f>
        <v>-0.157560095957199</v>
      </c>
      <c r="T37" s="13" t="s">
        <v>94</v>
      </c>
      <c r="U37" s="118" t="s">
        <v>95</v>
      </c>
      <c r="V37" s="118" t="s">
        <v>96</v>
      </c>
      <c r="W37" s="118" t="s">
        <v>97</v>
      </c>
      <c r="X37" s="118" t="s">
        <v>98</v>
      </c>
      <c r="Y37" s="118" t="s">
        <v>99</v>
      </c>
      <c r="Z37" s="118" t="s">
        <v>100</v>
      </c>
      <c r="AA37" s="118" t="s">
        <v>101</v>
      </c>
      <c r="AB37" s="118" t="s">
        <v>102</v>
      </c>
      <c r="AC37" s="118" t="s">
        <v>103</v>
      </c>
      <c r="AD37" s="118" t="s">
        <v>104</v>
      </c>
      <c r="AE37" s="118" t="s">
        <v>105</v>
      </c>
      <c r="AF37" s="118" t="s">
        <v>106</v>
      </c>
    </row>
    <row r="38" spans="11:32" x14ac:dyDescent="0.25">
      <c r="K38" s="192" t="s">
        <v>166</v>
      </c>
      <c r="L38" s="198">
        <f ca="1">L14/L26</f>
        <v>0.31119640451806391</v>
      </c>
      <c r="M38" s="198">
        <f ca="1">M14/M26</f>
        <v>0.17723065627001641</v>
      </c>
      <c r="N38" s="198">
        <f ca="1">N14/N26</f>
        <v>0.13325416987500116</v>
      </c>
      <c r="O38" s="198">
        <f ca="1">O14/O26</f>
        <v>7.7905175087868664E-2</v>
      </c>
      <c r="P38" s="198">
        <f ca="1">P14/P26</f>
        <v>0.1856916077160794</v>
      </c>
      <c r="T38" t="s">
        <v>148</v>
      </c>
      <c r="U38" s="112">
        <f>SUMIF(Job_Status[VAT],"DAFF",Job_Status[R1])</f>
        <v>655397.70500000007</v>
      </c>
      <c r="V38" s="112">
        <f>SUMIF(Job_Status[VAT],"DAFF",Job_Status[R2])</f>
        <v>564177.27</v>
      </c>
      <c r="W38" s="112">
        <f>SUMIF(Job_Status[VAT],"DAFF",Job_Status[R3])</f>
        <v>587346.63250000007</v>
      </c>
      <c r="X38" s="112">
        <f>SUMIF(Job_Status[VAT],"DAFF",Job_Status[R4])</f>
        <v>360129.0625</v>
      </c>
      <c r="Y38" s="112">
        <f>SUMIF(Job_Status[VAT],"DAFF",Job_Status[R5])</f>
        <v>313750</v>
      </c>
      <c r="Z38" s="112">
        <f>SUMIF(Job_Status[VAT],"DAFF",Job_Status[R6])</f>
        <v>296505.625</v>
      </c>
      <c r="AA38" s="112">
        <f>SUMIF(Job_Status[VAT],"DAFF",Job_Status[R7])</f>
        <v>314994.91000000003</v>
      </c>
      <c r="AB38" s="112">
        <f>SUMIF(Job_Status[VAT],"DAFF",Job_Status[R8])</f>
        <v>324914.40000000002</v>
      </c>
      <c r="AC38" s="112">
        <f>SUMIF(Job_Status[VAT],"DAFF",Job_Status[R9])</f>
        <v>379316.56</v>
      </c>
      <c r="AD38" s="112">
        <f>SUMIF(Job_Status[VAT],"DAFF",Job_Status[R10])</f>
        <v>250812.96</v>
      </c>
      <c r="AE38" s="112">
        <f>SUMIF(Job_Status[VAT],"DAFF",Job_Status[R11])</f>
        <v>216814.4</v>
      </c>
      <c r="AF38" s="112">
        <f>SUMIF(Job_Status[VAT],"DAFF",Job_Status[R12])</f>
        <v>218154.4</v>
      </c>
    </row>
    <row r="39" spans="11:32" x14ac:dyDescent="0.25">
      <c r="K39" s="194" t="s">
        <v>154</v>
      </c>
      <c r="L39" s="195">
        <f ca="1">L38-L$30</f>
        <v>-3.8803595481936071E-2</v>
      </c>
      <c r="M39" s="195">
        <f ca="1">M38-M$30</f>
        <v>-0.17276934372998357</v>
      </c>
      <c r="N39" s="195">
        <f ca="1">N38-N$30</f>
        <v>-0.21674583012499882</v>
      </c>
      <c r="O39" s="195">
        <f ca="1">O38-O$30</f>
        <v>-0.27209482491213133</v>
      </c>
      <c r="P39" s="195">
        <f ca="1">P38-P$30</f>
        <v>-0.16430839228392058</v>
      </c>
      <c r="T39" t="s">
        <v>77</v>
      </c>
      <c r="U39" s="112">
        <f>SUMIFS(OppSpreadData[July],OppSpreadData[VAT],"DAFF",OppSpreadData[Phase],RevSpreadTable5[[#This Row],[STATUS]])</f>
        <v>0</v>
      </c>
      <c r="V39" s="112">
        <f>SUMIFS(OppSpreadData[August],OppSpreadData[VAT],"DAFF",OppSpreadData[Phase],RevSpreadTable5[[#This Row],[STATUS]])</f>
        <v>0</v>
      </c>
      <c r="W39" s="112">
        <f>SUMIFS(OppSpreadData[September],OppSpreadData[VAT],"DAFF",OppSpreadData[Phase],RevSpreadTable5[[#This Row],[STATUS]])</f>
        <v>0</v>
      </c>
      <c r="X39" s="112">
        <f>SUMIFS(OppSpreadData[October],OppSpreadData[VAT],"DAFF",OppSpreadData[Phase],RevSpreadTable5[[#This Row],[STATUS]])</f>
        <v>0</v>
      </c>
      <c r="Y39" s="112">
        <f>SUMIFS(OppSpreadData[November],OppSpreadData[VAT],"DAFF",OppSpreadData[Phase],RevSpreadTable5[[#This Row],[STATUS]])</f>
        <v>0</v>
      </c>
      <c r="Z39" s="112">
        <f>SUMIFS(OppSpreadData[December],OppSpreadData[VAT],"DAFF",OppSpreadData[Phase],RevSpreadTable5[[#This Row],[STATUS]])</f>
        <v>0</v>
      </c>
      <c r="AA39" s="112">
        <f>SUMIFS(OppSpreadData[January],OppSpreadData[VAT],"DAFF",OppSpreadData[Phase],RevSpreadTable5[[#This Row],[STATUS]])</f>
        <v>0</v>
      </c>
      <c r="AB39" s="112">
        <f>SUMIFS(OppSpreadData[February],OppSpreadData[VAT],"DAFF",OppSpreadData[Phase],RevSpreadTable5[[#This Row],[STATUS]])</f>
        <v>0</v>
      </c>
      <c r="AC39" s="112">
        <f>SUMIFS(OppSpreadData[March],OppSpreadData[VAT],"DAFF",OppSpreadData[Phase],RevSpreadTable5[[#This Row],[STATUS]])</f>
        <v>0</v>
      </c>
      <c r="AD39" s="112">
        <f>SUMIFS(OppSpreadData[April],OppSpreadData[VAT],"DAFF",OppSpreadData[Phase],RevSpreadTable5[[#This Row],[STATUS]])</f>
        <v>0</v>
      </c>
      <c r="AE39" s="112">
        <f>SUMIFS(OppSpreadData[May],OppSpreadData[VAT],"DAFF",OppSpreadData[Phase],RevSpreadTable5[[#This Row],[STATUS]])</f>
        <v>0</v>
      </c>
      <c r="AF39" s="112">
        <f>SUMIFS(OppSpreadData[June],OppSpreadData[VAT],"DAFF",OppSpreadData[Phase],RevSpreadTable5[[#This Row],[STATUS]])</f>
        <v>0</v>
      </c>
    </row>
    <row r="40" spans="11:32" x14ac:dyDescent="0.25">
      <c r="L40" s="186"/>
      <c r="M40" s="186"/>
      <c r="N40" s="186"/>
      <c r="O40" s="186"/>
      <c r="P40" s="187"/>
      <c r="T40" t="s">
        <v>76</v>
      </c>
      <c r="U40" s="112">
        <f>SUMIFS(OppSpreadData[July],OppSpreadData[VAT],"DAFF",OppSpreadData[Phase],RevSpreadTable5[[#This Row],[STATUS]])</f>
        <v>0</v>
      </c>
      <c r="V40" s="112">
        <f>SUMIFS(OppSpreadData[August],OppSpreadData[VAT],"DAFF",OppSpreadData[Phase],RevSpreadTable5[[#This Row],[STATUS]])</f>
        <v>0</v>
      </c>
      <c r="W40" s="112">
        <f>SUMIFS(OppSpreadData[September],OppSpreadData[VAT],"DAFF",OppSpreadData[Phase],RevSpreadTable5[[#This Row],[STATUS]])</f>
        <v>0</v>
      </c>
      <c r="X40" s="112">
        <f>SUMIFS(OppSpreadData[October],OppSpreadData[VAT],"DAFF",OppSpreadData[Phase],RevSpreadTable5[[#This Row],[STATUS]])</f>
        <v>0</v>
      </c>
      <c r="Y40" s="112">
        <f>SUMIFS(OppSpreadData[November],OppSpreadData[VAT],"DAFF",OppSpreadData[Phase],RevSpreadTable5[[#This Row],[STATUS]])</f>
        <v>0</v>
      </c>
      <c r="Z40" s="112">
        <f>SUMIFS(OppSpreadData[December],OppSpreadData[VAT],"DAFF",OppSpreadData[Phase],RevSpreadTable5[[#This Row],[STATUS]])</f>
        <v>0</v>
      </c>
      <c r="AA40" s="112">
        <f>SUMIFS(OppSpreadData[January],OppSpreadData[VAT],"DAFF",OppSpreadData[Phase],RevSpreadTable5[[#This Row],[STATUS]])</f>
        <v>0</v>
      </c>
      <c r="AB40" s="112">
        <f>SUMIFS(OppSpreadData[February],OppSpreadData[VAT],"DAFF",OppSpreadData[Phase],RevSpreadTable5[[#This Row],[STATUS]])</f>
        <v>71120</v>
      </c>
      <c r="AC40" s="112">
        <f>SUMIFS(OppSpreadData[March],OppSpreadData[VAT],"DAFF",OppSpreadData[Phase],RevSpreadTable5[[#This Row],[STATUS]])</f>
        <v>262290</v>
      </c>
      <c r="AD40" s="112">
        <f>SUMIFS(OppSpreadData[April],OppSpreadData[VAT],"DAFF",OppSpreadData[Phase],RevSpreadTable5[[#This Row],[STATUS]])</f>
        <v>174330</v>
      </c>
      <c r="AE40" s="112">
        <f>SUMIFS(OppSpreadData[May],OppSpreadData[VAT],"DAFF",OppSpreadData[Phase],RevSpreadTable5[[#This Row],[STATUS]])</f>
        <v>156490</v>
      </c>
      <c r="AF40" s="112">
        <f>SUMIFS(OppSpreadData[June],OppSpreadData[VAT],"DAFF",OppSpreadData[Phase],RevSpreadTable5[[#This Row],[STATUS]])</f>
        <v>160270</v>
      </c>
    </row>
    <row r="41" spans="11:32" x14ac:dyDescent="0.25">
      <c r="L41" s="186"/>
      <c r="M41" s="186"/>
      <c r="N41" s="186"/>
      <c r="O41" s="186"/>
      <c r="P41" s="187"/>
      <c r="T41" t="s">
        <v>75</v>
      </c>
      <c r="U41" s="112" cm="1">
        <f t="array" aca="1" ref="U41" ca="1">SUM(
_xlfn._xlws.FILTER(
_xlfn.DROP(_xlfn.CHOOSECOLS(QBlockRev,4),1),
_xlfn.DROP(_xlfn.CHOOSECOLS(QBlockRev,3),1)="DAFF", 0
))</f>
        <v>0</v>
      </c>
      <c r="V41" s="112" cm="1">
        <f t="array" aca="1" ref="V41" ca="1">SUM(
  _xlfn._xlws.FILTER(
    _xlfn.DROP(_xlfn.CHOOSECOLS(QBlockRev,5),1),
    _xlfn.DROP(_xlfn.CHOOSECOLS(QBlockRev,3),1)="DAFF", 0
  )
)</f>
        <v>0</v>
      </c>
      <c r="W41" s="112" cm="1">
        <f t="array" aca="1" ref="W41" ca="1">SUM(
  _xlfn._xlws.FILTER(
    _xlfn.DROP(_xlfn.CHOOSECOLS(QBlockRev,6),1),
    _xlfn.DROP(_xlfn.CHOOSECOLS(QBlockRev,3),1)="DAFF", 0
  )
)</f>
        <v>0</v>
      </c>
      <c r="X41" s="112" cm="1">
        <f t="array" aca="1" ref="X41" ca="1">SUM(
  _xlfn._xlws.FILTER(
    _xlfn.DROP(_xlfn.CHOOSECOLS(QBlockRev,7),1),
    _xlfn.DROP(_xlfn.CHOOSECOLS(QBlockRev,3),1)="DAFF", 0
  )
)</f>
        <v>0</v>
      </c>
      <c r="Y41" s="112" cm="1">
        <f t="array" aca="1" ref="Y41" ca="1">SUM(
  _xlfn._xlws.FILTER(
    _xlfn.DROP(_xlfn.CHOOSECOLS(QBlockRev,8),1),
    _xlfn.DROP(_xlfn.CHOOSECOLS(QBlockRev,3),1)="DAFF", 0
  )
)</f>
        <v>0</v>
      </c>
      <c r="Z41" s="112" cm="1">
        <f t="array" aca="1" ref="Z41" ca="1">SUM(
  _xlfn._xlws.FILTER(
    _xlfn.DROP(_xlfn.CHOOSECOLS(QBlockRev,9),1),
    _xlfn.DROP(_xlfn.CHOOSECOLS(QBlockRev,3),1)="DAFF", 0
  )
)</f>
        <v>0</v>
      </c>
      <c r="AA41" s="112" cm="1">
        <f t="array" aca="1" ref="AA41" ca="1">SUM(
  _xlfn._xlws.FILTER(
    _xlfn.DROP(_xlfn.CHOOSECOLS(QBlockRev,10),1),
    _xlfn.DROP(_xlfn.CHOOSECOLS(QBlockRev,3),1)="DAFF", 0
  )
)</f>
        <v>0</v>
      </c>
      <c r="AB41" s="112" cm="1">
        <f t="array" aca="1" ref="AB41" ca="1">SUM(
  _xlfn._xlws.FILTER(
    _xlfn.DROP(_xlfn.CHOOSECOLS(QBlockRev,11),1),
    _xlfn.DROP(_xlfn.CHOOSECOLS(QBlockRev,3),1)="DAFF", 0
  )
)</f>
        <v>0</v>
      </c>
      <c r="AC41" s="112" cm="1">
        <f t="array" aca="1" ref="AC41" ca="1">SUM(
  _xlfn._xlws.FILTER(
    _xlfn.DROP(_xlfn.CHOOSECOLS(QBlockRev,12),1),
    _xlfn.DROP(_xlfn.CHOOSECOLS(QBlockRev,3),1)="DAFF", 0
  )
)</f>
        <v>0</v>
      </c>
      <c r="AD41" s="112" cm="1">
        <f t="array" aca="1" ref="AD41" ca="1">SUM(
  _xlfn._xlws.FILTER(
    _xlfn.DROP(_xlfn.CHOOSECOLS(QBlockRev,13),1),
    _xlfn.DROP(_xlfn.CHOOSECOLS(QBlockRev,3),1)="DAFF", 0
  )
)</f>
        <v>0</v>
      </c>
      <c r="AE41" s="112" cm="1">
        <f t="array" aca="1" ref="AE41" ca="1">SUM(
  _xlfn._xlws.FILTER(
    _xlfn.DROP(_xlfn.CHOOSECOLS(QBlockRev,14),1),
    _xlfn.DROP(_xlfn.CHOOSECOLS(QBlockRev,3),1)="DAFF", 0
  )
)</f>
        <v>0</v>
      </c>
      <c r="AF41" s="112" cm="1">
        <f t="array" aca="1" ref="AF41" ca="1">SUM(
  _xlfn._xlws.FILTER(
    _xlfn.DROP(_xlfn.CHOOSECOLS(QBlockRev,15),1),
    _xlfn.DROP(_xlfn.CHOOSECOLS(QBlockRev,3),1)="DAFF", 0
  )
)</f>
        <v>192857.14285714287</v>
      </c>
    </row>
    <row r="42" spans="11:32" x14ac:dyDescent="0.25">
      <c r="L42" s="174" t="s">
        <v>15</v>
      </c>
      <c r="M42" s="175"/>
      <c r="N42" s="174" t="s">
        <v>167</v>
      </c>
      <c r="O42" s="175"/>
      <c r="P42" s="173" t="s">
        <v>3</v>
      </c>
      <c r="Q42" s="174"/>
      <c r="T42" t="s">
        <v>152</v>
      </c>
      <c r="U42" s="146"/>
      <c r="V42" s="146"/>
      <c r="W42" s="146"/>
      <c r="X42" s="146"/>
      <c r="Y42" s="146"/>
      <c r="Z42" s="146"/>
      <c r="AA42" s="146"/>
      <c r="AB42" s="146"/>
      <c r="AC42" s="146"/>
      <c r="AD42" s="146"/>
      <c r="AE42" s="146"/>
      <c r="AF42" s="146"/>
    </row>
    <row r="43" spans="11:32" x14ac:dyDescent="0.25">
      <c r="K43" s="124" t="s">
        <v>168</v>
      </c>
      <c r="L43" s="125" t="s">
        <v>8</v>
      </c>
      <c r="M43" s="126" t="s">
        <v>169</v>
      </c>
      <c r="N43" s="125" t="s">
        <v>170</v>
      </c>
      <c r="O43" s="126" t="s">
        <v>171</v>
      </c>
      <c r="P43" s="125" t="s">
        <v>172</v>
      </c>
      <c r="Q43" s="126" t="s">
        <v>173</v>
      </c>
      <c r="T43" t="s">
        <v>110</v>
      </c>
      <c r="U43" s="157" cm="1">
        <f t="array" ref="U43">INDEX('FY2526 VAT Financial KPIs'!$G:$G, MATCH(1, ('FY2526 VAT Financial KPIs'!$A:$A="DAFF")*('FY2526 VAT Financial KPIs'!$D:$D="Revenue"), 0))/12</f>
        <v>642857.14285714284</v>
      </c>
      <c r="V43" s="157" cm="1">
        <f t="array" ref="V43">INDEX('FY2526 VAT Financial KPIs'!$G:$G, MATCH(1, ('FY2526 VAT Financial KPIs'!$A:$A="DAFF")*('FY2526 VAT Financial KPIs'!$D:$D="Revenue"), 0))/12</f>
        <v>642857.14285714284</v>
      </c>
      <c r="W43" s="157" cm="1">
        <f t="array" ref="W43">INDEX('FY2526 VAT Financial KPIs'!$G:$G, MATCH(1, ('FY2526 VAT Financial KPIs'!$A:$A="DAFF")*('FY2526 VAT Financial KPIs'!$D:$D="Revenue"), 0))/12</f>
        <v>642857.14285714284</v>
      </c>
      <c r="X43" s="157" cm="1">
        <f t="array" ref="X43">INDEX('FY2526 VAT Financial KPIs'!$G:$G, MATCH(1, ('FY2526 VAT Financial KPIs'!$A:$A="DAFF")*('FY2526 VAT Financial KPIs'!$D:$D="Revenue"), 0))/12</f>
        <v>642857.14285714284</v>
      </c>
      <c r="Y43" s="157" cm="1">
        <f t="array" ref="Y43">INDEX('FY2526 VAT Financial KPIs'!$G:$G, MATCH(1, ('FY2526 VAT Financial KPIs'!$A:$A="DAFF")*('FY2526 VAT Financial KPIs'!$D:$D="Revenue"), 0))/12</f>
        <v>642857.14285714284</v>
      </c>
      <c r="Z43" s="157" cm="1">
        <f t="array" ref="Z43">INDEX('FY2526 VAT Financial KPIs'!$G:$G, MATCH(1, ('FY2526 VAT Financial KPIs'!$A:$A="DAFF")*('FY2526 VAT Financial KPIs'!$D:$D="Revenue"), 0))/12</f>
        <v>642857.14285714284</v>
      </c>
      <c r="AA43" s="157" cm="1">
        <f t="array" ref="AA43">INDEX('FY2526 VAT Financial KPIs'!$G:$G, MATCH(1, ('FY2526 VAT Financial KPIs'!$A:$A="DAFF")*('FY2526 VAT Financial KPIs'!$D:$D="Revenue"), 0))/12</f>
        <v>642857.14285714284</v>
      </c>
      <c r="AB43" s="157" cm="1">
        <f t="array" ref="AB43">INDEX('FY2526 VAT Financial KPIs'!$G:$G, MATCH(1, ('FY2526 VAT Financial KPIs'!$A:$A="DAFF")*('FY2526 VAT Financial KPIs'!$D:$D="Revenue"), 0))/12</f>
        <v>642857.14285714284</v>
      </c>
      <c r="AC43" s="157" cm="1">
        <f t="array" ref="AC43">INDEX('FY2526 VAT Financial KPIs'!$G:$G, MATCH(1, ('FY2526 VAT Financial KPIs'!$A:$A="DAFF")*('FY2526 VAT Financial KPIs'!$D:$D="Revenue"), 0))/12</f>
        <v>642857.14285714284</v>
      </c>
      <c r="AD43" s="157" cm="1">
        <f t="array" ref="AD43">INDEX('FY2526 VAT Financial KPIs'!$G:$G, MATCH(1, ('FY2526 VAT Financial KPIs'!$A:$A="DAFF")*('FY2526 VAT Financial KPIs'!$D:$D="Revenue"), 0))/12</f>
        <v>642857.14285714284</v>
      </c>
      <c r="AE43" s="157" cm="1">
        <f t="array" ref="AE43">INDEX('FY2526 VAT Financial KPIs'!$G:$G, MATCH(1, ('FY2526 VAT Financial KPIs'!$A:$A="DAFF")*('FY2526 VAT Financial KPIs'!$D:$D="Revenue"), 0))/12</f>
        <v>642857.14285714284</v>
      </c>
      <c r="AF43" s="157" cm="1">
        <f t="array" ref="AF43">INDEX('FY2526 VAT Financial KPIs'!$G:$G, MATCH(1, ('FY2526 VAT Financial KPIs'!$A:$A="DAFF")*('FY2526 VAT Financial KPIs'!$D:$D="Revenue"), 0))/12</f>
        <v>642857.14285714284</v>
      </c>
    </row>
    <row r="44" spans="11:32" x14ac:dyDescent="0.25">
      <c r="K44" s="137" t="s">
        <v>31</v>
      </c>
      <c r="L44" s="138">
        <f>SUMIFS(Job_Status[To Date Gross Profit],Job_Status[Work Type],K44,Job_Status[VAT],"DAFF")</f>
        <v>0</v>
      </c>
      <c r="M44" s="139">
        <f>SUMIFS(Job_Status[GP at completion],Job_Status[Work Type],K44,Job_Status[VAT],"DAFF")</f>
        <v>0</v>
      </c>
      <c r="N44" s="140" t="str">
        <f>IFERROR(L44/P44,"")</f>
        <v/>
      </c>
      <c r="O44" s="140" t="str">
        <f>IFERROR(M44/Q44,"")</f>
        <v/>
      </c>
      <c r="P44" s="138">
        <f>SUMIFS(Job_Status[Actual], Job_Status[Work Type],K44,Job_Status[VAT],"DAFF")</f>
        <v>0</v>
      </c>
      <c r="Q44" s="138">
        <f>SUMIFS(Job_Status[Forecasted Revenue], Job_Status[Work Type],K44,Job_Status[VAT],"DAFF")</f>
        <v>0</v>
      </c>
      <c r="T44" t="s">
        <v>111</v>
      </c>
      <c r="U44" s="157" cm="1">
        <f t="array" ref="U44">INDEX('FY2526 VAT Financial KPIs'!$F:$F, MATCH(1, ('FY2526 VAT Financial KPIs'!$A:$A="DAFF")*('FY2526 VAT Financial KPIs'!$D:$D="Revenue"), 0))/12</f>
        <v>535714.2857142858</v>
      </c>
      <c r="V44" s="157" cm="1">
        <f t="array" ref="V44">INDEX('FY2526 VAT Financial KPIs'!$F:$F, MATCH(1, ('FY2526 VAT Financial KPIs'!$A:$A="DAFF")*('FY2526 VAT Financial KPIs'!$D:$D="Revenue"), 0))/12</f>
        <v>535714.2857142858</v>
      </c>
      <c r="W44" s="157" cm="1">
        <f t="array" ref="W44">INDEX('FY2526 VAT Financial KPIs'!$F:$F, MATCH(1, ('FY2526 VAT Financial KPIs'!$A:$A="DAFF")*('FY2526 VAT Financial KPIs'!$D:$D="Revenue"), 0))/12</f>
        <v>535714.2857142858</v>
      </c>
      <c r="X44" s="157" cm="1">
        <f t="array" ref="X44">INDEX('FY2526 VAT Financial KPIs'!$F:$F, MATCH(1, ('FY2526 VAT Financial KPIs'!$A:$A="DAFF")*('FY2526 VAT Financial KPIs'!$D:$D="Revenue"), 0))/12</f>
        <v>535714.2857142858</v>
      </c>
      <c r="Y44" s="157" cm="1">
        <f t="array" ref="Y44">INDEX('FY2526 VAT Financial KPIs'!$F:$F, MATCH(1, ('FY2526 VAT Financial KPIs'!$A:$A="DAFF")*('FY2526 VAT Financial KPIs'!$D:$D="Revenue"), 0))/12</f>
        <v>535714.2857142858</v>
      </c>
      <c r="Z44" s="157" cm="1">
        <f t="array" ref="Z44">INDEX('FY2526 VAT Financial KPIs'!$F:$F, MATCH(1, ('FY2526 VAT Financial KPIs'!$A:$A="DAFF")*('FY2526 VAT Financial KPIs'!$D:$D="Revenue"), 0))/12</f>
        <v>535714.2857142858</v>
      </c>
      <c r="AA44" s="157" cm="1">
        <f t="array" ref="AA44">INDEX('FY2526 VAT Financial KPIs'!$F:$F, MATCH(1, ('FY2526 VAT Financial KPIs'!$A:$A="DAFF")*('FY2526 VAT Financial KPIs'!$D:$D="Revenue"), 0))/12</f>
        <v>535714.2857142858</v>
      </c>
      <c r="AB44" s="157" cm="1">
        <f t="array" ref="AB44">INDEX('FY2526 VAT Financial KPIs'!$F:$F, MATCH(1, ('FY2526 VAT Financial KPIs'!$A:$A="DAFF")*('FY2526 VAT Financial KPIs'!$D:$D="Revenue"), 0))/12</f>
        <v>535714.2857142858</v>
      </c>
      <c r="AC44" s="157" cm="1">
        <f t="array" ref="AC44">INDEX('FY2526 VAT Financial KPIs'!$F:$F, MATCH(1, ('FY2526 VAT Financial KPIs'!$A:$A="DAFF")*('FY2526 VAT Financial KPIs'!$D:$D="Revenue"), 0))/12</f>
        <v>535714.2857142858</v>
      </c>
      <c r="AD44" s="157" cm="1">
        <f t="array" ref="AD44">INDEX('FY2526 VAT Financial KPIs'!$F:$F, MATCH(1, ('FY2526 VAT Financial KPIs'!$A:$A="DAFF")*('FY2526 VAT Financial KPIs'!$D:$D="Revenue"), 0))/12</f>
        <v>535714.2857142858</v>
      </c>
      <c r="AE44" s="157" cm="1">
        <f t="array" ref="AE44">INDEX('FY2526 VAT Financial KPIs'!$F:$F, MATCH(1, ('FY2526 VAT Financial KPIs'!$A:$A="DAFF")*('FY2526 VAT Financial KPIs'!$D:$D="Revenue"), 0))/12</f>
        <v>535714.2857142858</v>
      </c>
      <c r="AF44" s="157" cm="1">
        <f t="array" ref="AF44">INDEX('FY2526 VAT Financial KPIs'!$F:$F, MATCH(1, ('FY2526 VAT Financial KPIs'!$A:$A="DAFF")*('FY2526 VAT Financial KPIs'!$D:$D="Revenue"), 0))/12</f>
        <v>535714.2857142858</v>
      </c>
    </row>
    <row r="45" spans="11:32" x14ac:dyDescent="0.25">
      <c r="K45" s="137" t="s">
        <v>34</v>
      </c>
      <c r="L45" s="138">
        <f>SUMIFS(Job_Status[To Date Gross Profit],Job_Status[Work Type],K45,Job_Status[VAT],"DAFF")</f>
        <v>389195.42000000109</v>
      </c>
      <c r="M45" s="139">
        <f>SUMIFS(Job_Status[GP at completion],Job_Status[Work Type],K45,Job_Status[VAT],"DAFF")</f>
        <v>524047.42000000156</v>
      </c>
      <c r="N45" s="140">
        <f t="shared" ref="N45:N47" si="1">IFERROR(L45/P45,"")</f>
        <v>0.26273244280928626</v>
      </c>
      <c r="O45" s="140">
        <f t="shared" ref="O45:O47" si="2">IFERROR(M45/Q45,"")</f>
        <v>0.23008174846305976</v>
      </c>
      <c r="P45" s="138">
        <f>SUMIFS(Job_Status[Actual], Job_Status[Work Type],K45,Job_Status[VAT],"DAFF")</f>
        <v>1481337.5</v>
      </c>
      <c r="Q45" s="138">
        <f>SUMIFS(Job_Status[Forecasted Revenue], Job_Status[Work Type],K45,Job_Status[VAT],"DAFF")</f>
        <v>2277657.5</v>
      </c>
      <c r="T45" t="s">
        <v>4</v>
      </c>
      <c r="U45" s="157" cm="1">
        <f t="array" ref="U45">INDEX('FY2526 VAT Financial KPIs'!$E:$E, MATCH(1, ('FY2526 VAT Financial KPIs'!$A:$A="DAFF")*('FY2526 VAT Financial KPIs'!$D:$D="Revenue"), 0))/12</f>
        <v>428571.42857142858</v>
      </c>
      <c r="V45" s="157" cm="1">
        <f t="array" ref="V45">INDEX('FY2526 VAT Financial KPIs'!$E:$E, MATCH(1, ('FY2526 VAT Financial KPIs'!$A:$A="DAFF")*('FY2526 VAT Financial KPIs'!$D:$D="Revenue"), 0))/12</f>
        <v>428571.42857142858</v>
      </c>
      <c r="W45" s="157" cm="1">
        <f t="array" ref="W45">INDEX('FY2526 VAT Financial KPIs'!$E:$E, MATCH(1, ('FY2526 VAT Financial KPIs'!$A:$A="DAFF")*('FY2526 VAT Financial KPIs'!$D:$D="Revenue"), 0))/12</f>
        <v>428571.42857142858</v>
      </c>
      <c r="X45" s="157" cm="1">
        <f t="array" ref="X45">INDEX('FY2526 VAT Financial KPIs'!$E:$E, MATCH(1, ('FY2526 VAT Financial KPIs'!$A:$A="DAFF")*('FY2526 VAT Financial KPIs'!$D:$D="Revenue"), 0))/12</f>
        <v>428571.42857142858</v>
      </c>
      <c r="Y45" s="157" cm="1">
        <f t="array" ref="Y45">INDEX('FY2526 VAT Financial KPIs'!$E:$E, MATCH(1, ('FY2526 VAT Financial KPIs'!$A:$A="DAFF")*('FY2526 VAT Financial KPIs'!$D:$D="Revenue"), 0))/12</f>
        <v>428571.42857142858</v>
      </c>
      <c r="Z45" s="157" cm="1">
        <f t="array" ref="Z45">INDEX('FY2526 VAT Financial KPIs'!$E:$E, MATCH(1, ('FY2526 VAT Financial KPIs'!$A:$A="DAFF")*('FY2526 VAT Financial KPIs'!$D:$D="Revenue"), 0))/12</f>
        <v>428571.42857142858</v>
      </c>
      <c r="AA45" s="157" cm="1">
        <f t="array" ref="AA45">INDEX('FY2526 VAT Financial KPIs'!$E:$E, MATCH(1, ('FY2526 VAT Financial KPIs'!$A:$A="DAFF")*('FY2526 VAT Financial KPIs'!$D:$D="Revenue"), 0))/12</f>
        <v>428571.42857142858</v>
      </c>
      <c r="AB45" s="157" cm="1">
        <f t="array" ref="AB45">INDEX('FY2526 VAT Financial KPIs'!$E:$E, MATCH(1, ('FY2526 VAT Financial KPIs'!$A:$A="DAFF")*('FY2526 VAT Financial KPIs'!$D:$D="Revenue"), 0))/12</f>
        <v>428571.42857142858</v>
      </c>
      <c r="AC45" s="157" cm="1">
        <f t="array" ref="AC45">INDEX('FY2526 VAT Financial KPIs'!$E:$E, MATCH(1, ('FY2526 VAT Financial KPIs'!$A:$A="DAFF")*('FY2526 VAT Financial KPIs'!$D:$D="Revenue"), 0))/12</f>
        <v>428571.42857142858</v>
      </c>
      <c r="AD45" s="157" cm="1">
        <f t="array" ref="AD45">INDEX('FY2526 VAT Financial KPIs'!$E:$E, MATCH(1, ('FY2526 VAT Financial KPIs'!$A:$A="DAFF")*('FY2526 VAT Financial KPIs'!$D:$D="Revenue"), 0))/12</f>
        <v>428571.42857142858</v>
      </c>
      <c r="AE45" s="157" cm="1">
        <f t="array" ref="AE45">INDEX('FY2526 VAT Financial KPIs'!$E:$E, MATCH(1, ('FY2526 VAT Financial KPIs'!$A:$A="DAFF")*('FY2526 VAT Financial KPIs'!$D:$D="Revenue"), 0))/12</f>
        <v>428571.42857142858</v>
      </c>
      <c r="AF45" s="157" cm="1">
        <f t="array" ref="AF45">INDEX('FY2526 VAT Financial KPIs'!$E:$E, MATCH(1, ('FY2526 VAT Financial KPIs'!$A:$A="DAFF")*('FY2526 VAT Financial KPIs'!$D:$D="Revenue"), 0))/12</f>
        <v>428571.42857142858</v>
      </c>
    </row>
    <row r="46" spans="11:32" x14ac:dyDescent="0.25">
      <c r="K46" s="137" t="s">
        <v>35</v>
      </c>
      <c r="L46" s="138">
        <f>SUMIFS(Job_Status[To Date Gross Profit],Job_Status[Work Type],K46,Job_Status[VAT],"DAFF")</f>
        <v>332766.98249999952</v>
      </c>
      <c r="M46" s="139">
        <f>SUMIFS(Job_Status[GP at completion],Job_Status[Work Type],K46,Job_Status[VAT],"DAFF")</f>
        <v>392169.53249999939</v>
      </c>
      <c r="N46" s="140">
        <f t="shared" si="1"/>
        <v>0.23156783244165566</v>
      </c>
      <c r="O46" s="140">
        <f t="shared" si="2"/>
        <v>0.21582186401912506</v>
      </c>
      <c r="P46" s="138">
        <f>SUMIFS(Job_Status[Actual], Job_Status[Work Type],K46,Job_Status[VAT],"DAFF")</f>
        <v>1437017.3049999997</v>
      </c>
      <c r="Q46" s="138">
        <f>SUMIFS(Job_Status[Forecasted Revenue], Job_Status[Work Type],K46,Job_Status[VAT],"DAFF")</f>
        <v>1817098.2549999997</v>
      </c>
    </row>
    <row r="47" spans="11:32" x14ac:dyDescent="0.25">
      <c r="K47" s="141" t="s">
        <v>39</v>
      </c>
      <c r="L47" s="142">
        <f>SUMIFS(Job_Status[To Date Gross Profit],Job_Status[Work Type],K47,Job_Status[VAT],"DAFF")</f>
        <v>77942.120000000068</v>
      </c>
      <c r="M47" s="143">
        <f>SUMIFS(Job_Status[GP at completion],Job_Status[Work Type],K47,Job_Status[VAT],"DAFF")</f>
        <v>102957.64000000004</v>
      </c>
      <c r="N47" s="144">
        <f t="shared" si="1"/>
        <v>0.3258858552494045</v>
      </c>
      <c r="O47" s="144">
        <f t="shared" si="2"/>
        <v>0.2670825183532648</v>
      </c>
      <c r="P47" s="142">
        <f>SUMIFS(Job_Status[Actual], Job_Status[Work Type],K47,Job_Status[VAT],"DAFF")</f>
        <v>239170</v>
      </c>
      <c r="Q47" s="142">
        <f>SUMIFS(Job_Status[Forecasted Revenue], Job_Status[Work Type],K47,Job_Status[VAT],"DAFF")</f>
        <v>385490</v>
      </c>
    </row>
    <row r="48" spans="11:32" ht="15.75" thickBot="1" x14ac:dyDescent="0.3">
      <c r="K48" s="127" t="s">
        <v>174</v>
      </c>
      <c r="L48" s="128">
        <f>SUBTOTAL(109,Table14[Earned to Date])</f>
        <v>799904.52250000066</v>
      </c>
      <c r="M48" s="129">
        <f>SUBTOTAL(109,Table14[@Completion])</f>
        <v>1019174.592500001</v>
      </c>
      <c r="N48" s="130">
        <f>Table14[[#Totals],[Earned to Date]]/Table14[[#Totals],[Earned to Date  ]]</f>
        <v>0.25333277548076166</v>
      </c>
      <c r="O48" s="130">
        <f>Table14[[#Totals],[@Completion]]/Table14[[#Totals],[@ Completion  ]]</f>
        <v>0.22748184993258277</v>
      </c>
      <c r="P48" s="128">
        <f>SUBTOTAL(109,Table14[[Earned to Date  ]])</f>
        <v>3157524.8049999997</v>
      </c>
      <c r="Q48" s="131">
        <f>SUBTOTAL(109,Table14[@ Completion  ])</f>
        <v>4480245.7549999999</v>
      </c>
      <c r="T48" s="159" t="s">
        <v>94</v>
      </c>
      <c r="U48" s="160" t="s">
        <v>175</v>
      </c>
      <c r="V48" s="160" t="s">
        <v>176</v>
      </c>
      <c r="W48" s="160" t="s">
        <v>177</v>
      </c>
      <c r="X48" s="160" t="s">
        <v>178</v>
      </c>
      <c r="Y48" s="160" t="s">
        <v>179</v>
      </c>
      <c r="Z48" s="160" t="s">
        <v>180</v>
      </c>
      <c r="AA48" s="160" t="s">
        <v>181</v>
      </c>
      <c r="AB48" s="160" t="s">
        <v>182</v>
      </c>
      <c r="AC48" s="160" t="s">
        <v>183</v>
      </c>
      <c r="AD48" s="160" t="s">
        <v>184</v>
      </c>
      <c r="AE48" s="160" t="s">
        <v>185</v>
      </c>
      <c r="AF48" s="161" t="s">
        <v>186</v>
      </c>
    </row>
    <row r="49" spans="10:28" ht="15.75" thickTop="1" x14ac:dyDescent="0.25">
      <c r="K49" s="13" t="s">
        <v>187</v>
      </c>
      <c r="M49" s="132" cm="1">
        <f t="array" ref="M49">INDEX('FY2526 VAT Financial KPIs'!$F:$F, MATCH(1, ('FY2526 VAT Financial KPIs'!$A:$A="DAFF")*('FY2526 VAT Financial KPIs'!$D:$D="Gross Margin Contribution"), 0))</f>
        <v>2250000</v>
      </c>
      <c r="N49" s="133" cm="1">
        <f t="array" ref="N49">INDEX('FY2526 VAT Financial KPIs'!$F:$F, MATCH(1, ('FY2526 VAT Financial KPIs'!$A:$A="DAFF")*('FY2526 VAT Financial KPIs'!$D:$D="Gross Margin Contribution %"), 0))</f>
        <v>0.35</v>
      </c>
      <c r="O49" s="133" cm="1">
        <f t="array" ref="O49">INDEX('FY2526 VAT Financial KPIs'!$F:$F, MATCH(1, ('FY2526 VAT Financial KPIs'!$A:$A="DAFF")*('FY2526 VAT Financial KPIs'!$D:$D="Gross Margin Contribution %"), 0))</f>
        <v>0.35</v>
      </c>
      <c r="Q49" s="132" cm="1">
        <f t="array" ref="Q49">INDEX('FY2526 VAT Financial KPIs'!$F:$F, MATCH(1, ('FY2526 VAT Financial KPIs'!$A:$A="DAFF")*('FY2526 VAT Financial KPIs'!$D:$D="Revenue"), 0))</f>
        <v>6428571.4285714291</v>
      </c>
    </row>
    <row r="50" spans="10:28" x14ac:dyDescent="0.25">
      <c r="Q50" s="216">
        <f>Q49-Table14[[#Totals],[@ Completion  ]]</f>
        <v>1948325.6735714292</v>
      </c>
      <c r="T50" s="285" t="s">
        <v>188</v>
      </c>
      <c r="U50" s="286"/>
      <c r="V50" s="286"/>
      <c r="W50" s="287"/>
      <c r="Y50" s="285" t="s">
        <v>189</v>
      </c>
      <c r="Z50" s="286"/>
      <c r="AA50" s="286"/>
      <c r="AB50" s="287"/>
    </row>
    <row r="51" spans="10:28" x14ac:dyDescent="0.25">
      <c r="T51" s="165" t="s">
        <v>94</v>
      </c>
      <c r="U51" s="162" t="s">
        <v>110</v>
      </c>
      <c r="V51" s="163" t="s">
        <v>111</v>
      </c>
      <c r="W51" s="166" t="s">
        <v>4</v>
      </c>
      <c r="Y51" s="165" t="s">
        <v>94</v>
      </c>
      <c r="Z51" s="162" t="s">
        <v>110</v>
      </c>
      <c r="AA51" s="163" t="s">
        <v>111</v>
      </c>
      <c r="AB51" s="166" t="s">
        <v>4</v>
      </c>
    </row>
    <row r="52" spans="10:28" x14ac:dyDescent="0.25">
      <c r="J52" s="7" t="s">
        <v>29</v>
      </c>
      <c r="K52" t="s">
        <v>30</v>
      </c>
      <c r="T52" s="167" t="s">
        <v>148</v>
      </c>
      <c r="U52" s="164">
        <f>V5/V$10-1</f>
        <v>-0.16233763333333273</v>
      </c>
      <c r="V52" s="164">
        <f>V5/V$11-1</f>
        <v>5.194840000000811E-3</v>
      </c>
      <c r="W52" s="168">
        <f>V5/V$12-1</f>
        <v>0.25649355000000096</v>
      </c>
      <c r="Y52" s="167" t="s">
        <v>148</v>
      </c>
      <c r="Z52" s="164">
        <f>AF5/AF$10-1</f>
        <v>-0.62176193981481487</v>
      </c>
      <c r="AA52" s="164">
        <f>AF5/AF$10-1</f>
        <v>-0.62176193981481487</v>
      </c>
      <c r="AB52" s="168">
        <f>AF5/AF$12-1</f>
        <v>-0.4326429097222223</v>
      </c>
    </row>
    <row r="53" spans="10:28" x14ac:dyDescent="0.25">
      <c r="J53" s="7" t="s">
        <v>16</v>
      </c>
      <c r="K53" t="s">
        <v>17</v>
      </c>
      <c r="M53" s="13" t="s">
        <v>190</v>
      </c>
      <c r="T53" s="169" t="s">
        <v>77</v>
      </c>
      <c r="U53" s="164">
        <f t="shared" ref="U53:U55" si="3">V6/V$10-1</f>
        <v>-0.16233763333333273</v>
      </c>
      <c r="V53" s="164">
        <f t="shared" ref="V53:V55" si="4">V6/V$11-1</f>
        <v>5.194840000000811E-3</v>
      </c>
      <c r="W53" s="168">
        <f t="shared" ref="W53:W55" si="5">V6/V$12-1</f>
        <v>0.25649355000000096</v>
      </c>
      <c r="Y53" s="169" t="s">
        <v>77</v>
      </c>
      <c r="Z53" s="164">
        <f t="shared" ref="Z53:Z54" si="6">AF6/AF$10-1</f>
        <v>-0.62176193981481487</v>
      </c>
      <c r="AA53" s="164">
        <f t="shared" ref="AA53:AA54" si="7">AF6/AF$10-1</f>
        <v>-0.62176193981481487</v>
      </c>
      <c r="AB53" s="168">
        <f t="shared" ref="AB53:AB54" si="8">AF6/AF$12-1</f>
        <v>-0.4326429097222223</v>
      </c>
    </row>
    <row r="54" spans="10:28" x14ac:dyDescent="0.25">
      <c r="T54" s="167" t="s">
        <v>76</v>
      </c>
      <c r="U54" s="164">
        <f t="shared" si="3"/>
        <v>-0.16233763333333273</v>
      </c>
      <c r="V54" s="164">
        <f t="shared" si="4"/>
        <v>5.194840000000811E-3</v>
      </c>
      <c r="W54" s="168">
        <f t="shared" si="5"/>
        <v>0.25649355000000096</v>
      </c>
      <c r="Y54" s="167" t="s">
        <v>76</v>
      </c>
      <c r="Z54" s="164">
        <f t="shared" si="6"/>
        <v>-0.62176193981481487</v>
      </c>
      <c r="AA54" s="164">
        <f t="shared" si="7"/>
        <v>-0.62176193981481487</v>
      </c>
      <c r="AB54" s="168">
        <f t="shared" si="8"/>
        <v>-0.4326429097222223</v>
      </c>
    </row>
    <row r="55" spans="10:28" x14ac:dyDescent="0.25">
      <c r="J55" s="7" t="s">
        <v>36</v>
      </c>
      <c r="K55" s="7" t="s">
        <v>37</v>
      </c>
      <c r="L55" s="7" t="s">
        <v>32</v>
      </c>
      <c r="M55" s="9" t="s">
        <v>121</v>
      </c>
      <c r="N55" s="9" t="s">
        <v>38</v>
      </c>
      <c r="O55" s="9" t="s">
        <v>122</v>
      </c>
      <c r="P55" s="9" t="s">
        <v>191</v>
      </c>
      <c r="Q55" s="8" t="s">
        <v>3</v>
      </c>
      <c r="R55" t="s">
        <v>15</v>
      </c>
      <c r="T55" s="170" t="s">
        <v>75</v>
      </c>
      <c r="U55" s="171">
        <f t="shared" si="3"/>
        <v>-0.16233763333333273</v>
      </c>
      <c r="V55" s="171">
        <f t="shared" si="4"/>
        <v>5.194840000000811E-3</v>
      </c>
      <c r="W55" s="172">
        <f t="shared" si="5"/>
        <v>0.25649355000000096</v>
      </c>
      <c r="Y55" s="170" t="s">
        <v>75</v>
      </c>
      <c r="Z55" s="171">
        <f t="shared" ref="Z55" si="9">AA8/AA$10-1</f>
        <v>-0.49871509682539672</v>
      </c>
      <c r="AA55" s="171">
        <f t="shared" ref="AA55" si="10">AA8/AA$11-1</f>
        <v>-0.39845811619047611</v>
      </c>
      <c r="AB55" s="172">
        <f t="shared" ref="AB55" si="11">AA8/AA$12-1</f>
        <v>-0.24807264523809514</v>
      </c>
    </row>
    <row r="56" spans="10:28" x14ac:dyDescent="0.25">
      <c r="J56" t="s">
        <v>42</v>
      </c>
      <c r="K56" t="s">
        <v>57</v>
      </c>
      <c r="L56" t="s">
        <v>34</v>
      </c>
      <c r="M56" s="148">
        <v>0.43</v>
      </c>
      <c r="N56" s="8" t="s">
        <v>5</v>
      </c>
      <c r="O56" s="153">
        <v>46069</v>
      </c>
      <c r="P56" s="153">
        <v>46203</v>
      </c>
      <c r="Q56" s="267">
        <v>175220</v>
      </c>
      <c r="R56" s="4">
        <v>75344.600000000006</v>
      </c>
    </row>
    <row r="57" spans="10:28" x14ac:dyDescent="0.25">
      <c r="J57" t="s">
        <v>66</v>
      </c>
      <c r="K57" t="s">
        <v>72</v>
      </c>
      <c r="L57" t="s">
        <v>34</v>
      </c>
      <c r="M57" s="148">
        <v>0.2</v>
      </c>
      <c r="N57" s="8" t="s">
        <v>44</v>
      </c>
      <c r="O57" s="153">
        <v>46083</v>
      </c>
      <c r="P57" s="153">
        <v>46255</v>
      </c>
      <c r="Q57" s="267">
        <v>533310.75</v>
      </c>
      <c r="R57" s="4">
        <v>106662.15000000001</v>
      </c>
    </row>
    <row r="58" spans="10:28" x14ac:dyDescent="0.25">
      <c r="K58" t="s">
        <v>139</v>
      </c>
      <c r="L58" t="s">
        <v>34</v>
      </c>
      <c r="M58" s="148">
        <v>0.28999999999999998</v>
      </c>
      <c r="N58" s="8" t="s">
        <v>5</v>
      </c>
      <c r="O58" s="153">
        <v>46083</v>
      </c>
      <c r="P58" s="153">
        <v>46266</v>
      </c>
      <c r="Q58" s="267">
        <v>133000</v>
      </c>
      <c r="R58" s="4">
        <v>38570</v>
      </c>
    </row>
    <row r="59" spans="10:28" x14ac:dyDescent="0.25">
      <c r="J59" t="s">
        <v>132</v>
      </c>
      <c r="K59" t="s">
        <v>137</v>
      </c>
      <c r="L59" t="s">
        <v>31</v>
      </c>
      <c r="M59" s="148">
        <v>0.25</v>
      </c>
      <c r="N59" s="8" t="s">
        <v>5</v>
      </c>
      <c r="O59" s="153">
        <v>46146</v>
      </c>
      <c r="P59" s="153">
        <v>46356</v>
      </c>
      <c r="Q59" s="267">
        <v>1000000</v>
      </c>
      <c r="R59" s="4">
        <v>250000</v>
      </c>
    </row>
    <row r="60" spans="10:28" x14ac:dyDescent="0.25">
      <c r="K60" t="s">
        <v>616</v>
      </c>
      <c r="L60" t="s">
        <v>34</v>
      </c>
      <c r="M60" s="148">
        <v>0.25</v>
      </c>
      <c r="N60" s="8" t="s">
        <v>5</v>
      </c>
      <c r="O60" s="153">
        <v>46146</v>
      </c>
      <c r="P60" s="153">
        <v>46192</v>
      </c>
      <c r="Q60" s="267">
        <v>100000</v>
      </c>
      <c r="R60" s="4">
        <v>25000</v>
      </c>
    </row>
    <row r="61" spans="10:28" x14ac:dyDescent="0.25">
      <c r="J61" t="s">
        <v>192</v>
      </c>
      <c r="K61" t="s">
        <v>193</v>
      </c>
      <c r="L61" t="s">
        <v>126</v>
      </c>
      <c r="M61" s="148" t="s">
        <v>126</v>
      </c>
      <c r="N61" s="8" t="s">
        <v>126</v>
      </c>
      <c r="O61" s="152" t="s">
        <v>126</v>
      </c>
      <c r="P61" s="152" t="s">
        <v>126</v>
      </c>
      <c r="Q61" s="267">
        <v>0</v>
      </c>
      <c r="R61" s="4">
        <v>0</v>
      </c>
    </row>
    <row r="62" spans="10:28" x14ac:dyDescent="0.25">
      <c r="K62" t="s">
        <v>194</v>
      </c>
      <c r="L62" t="s">
        <v>34</v>
      </c>
      <c r="M62" s="148" t="s">
        <v>126</v>
      </c>
      <c r="N62" s="8" t="s">
        <v>55</v>
      </c>
      <c r="O62" s="152" t="s">
        <v>126</v>
      </c>
      <c r="P62" s="152" t="s">
        <v>126</v>
      </c>
      <c r="Q62" s="267">
        <v>0</v>
      </c>
      <c r="R62" s="4">
        <v>0</v>
      </c>
    </row>
    <row r="63" spans="10:28" x14ac:dyDescent="0.25">
      <c r="K63" t="s">
        <v>195</v>
      </c>
      <c r="L63" t="s">
        <v>34</v>
      </c>
      <c r="M63" s="148" t="s">
        <v>126</v>
      </c>
      <c r="N63" s="8" t="s">
        <v>5</v>
      </c>
      <c r="O63" s="153">
        <v>46055</v>
      </c>
      <c r="P63" s="153">
        <v>46081</v>
      </c>
      <c r="Q63" s="267">
        <v>0</v>
      </c>
      <c r="R63" s="4">
        <v>0</v>
      </c>
    </row>
    <row r="64" spans="10:28" x14ac:dyDescent="0.25">
      <c r="K64" t="s">
        <v>196</v>
      </c>
      <c r="L64" t="s">
        <v>34</v>
      </c>
      <c r="M64" s="148">
        <v>0.25</v>
      </c>
      <c r="N64" s="8" t="s">
        <v>55</v>
      </c>
      <c r="O64" s="153">
        <v>46096</v>
      </c>
      <c r="P64" s="152" t="s">
        <v>126</v>
      </c>
      <c r="Q64" s="267">
        <v>535000</v>
      </c>
      <c r="R64" s="4">
        <v>133750</v>
      </c>
    </row>
    <row r="65" spans="10:18" x14ac:dyDescent="0.25">
      <c r="K65" t="s">
        <v>197</v>
      </c>
      <c r="L65" t="s">
        <v>34</v>
      </c>
      <c r="M65" s="148" t="s">
        <v>126</v>
      </c>
      <c r="N65" s="8" t="s">
        <v>55</v>
      </c>
      <c r="O65" s="153">
        <v>46296</v>
      </c>
      <c r="P65" s="153">
        <v>46568</v>
      </c>
      <c r="Q65" s="267">
        <v>0</v>
      </c>
      <c r="R65" s="4">
        <v>0</v>
      </c>
    </row>
    <row r="66" spans="10:18" x14ac:dyDescent="0.25">
      <c r="K66" t="s">
        <v>198</v>
      </c>
      <c r="L66" t="s">
        <v>34</v>
      </c>
      <c r="M66" s="148">
        <v>0.25</v>
      </c>
      <c r="N66" s="8" t="s">
        <v>55</v>
      </c>
      <c r="O66" s="152" t="s">
        <v>126</v>
      </c>
      <c r="P66" s="152" t="s">
        <v>126</v>
      </c>
      <c r="Q66" s="267">
        <v>25000</v>
      </c>
      <c r="R66" s="4">
        <v>6250</v>
      </c>
    </row>
    <row r="67" spans="10:18" x14ac:dyDescent="0.25">
      <c r="K67" t="s">
        <v>199</v>
      </c>
      <c r="L67" t="s">
        <v>34</v>
      </c>
      <c r="M67" s="148">
        <v>0.25</v>
      </c>
      <c r="N67" s="8" t="s">
        <v>55</v>
      </c>
      <c r="O67" s="152" t="s">
        <v>126</v>
      </c>
      <c r="P67" s="152" t="s">
        <v>126</v>
      </c>
      <c r="Q67" s="267">
        <v>50000</v>
      </c>
      <c r="R67" s="4">
        <v>12500</v>
      </c>
    </row>
    <row r="68" spans="10:18" x14ac:dyDescent="0.25">
      <c r="K68" t="s">
        <v>614</v>
      </c>
      <c r="L68" t="s">
        <v>34</v>
      </c>
      <c r="M68" s="148">
        <v>0.25</v>
      </c>
      <c r="N68" s="8" t="s">
        <v>55</v>
      </c>
      <c r="O68" s="152" t="s">
        <v>126</v>
      </c>
      <c r="P68" s="152" t="s">
        <v>126</v>
      </c>
      <c r="Q68" s="267">
        <v>250000</v>
      </c>
      <c r="R68" s="4">
        <v>62500</v>
      </c>
    </row>
    <row r="69" spans="10:18" x14ac:dyDescent="0.25">
      <c r="K69" t="s">
        <v>615</v>
      </c>
      <c r="L69" t="s">
        <v>34</v>
      </c>
      <c r="M69" s="148">
        <v>0.25</v>
      </c>
      <c r="N69" s="8" t="s">
        <v>55</v>
      </c>
      <c r="O69" s="152" t="s">
        <v>126</v>
      </c>
      <c r="P69" s="152" t="s">
        <v>126</v>
      </c>
      <c r="Q69" s="267">
        <v>250000</v>
      </c>
      <c r="R69" s="4">
        <v>62500</v>
      </c>
    </row>
    <row r="70" spans="10:18" x14ac:dyDescent="0.25">
      <c r="K70" t="s">
        <v>617</v>
      </c>
      <c r="L70" t="s">
        <v>34</v>
      </c>
      <c r="M70" s="148">
        <v>0.25</v>
      </c>
      <c r="N70" s="8" t="s">
        <v>55</v>
      </c>
      <c r="O70" s="152" t="s">
        <v>126</v>
      </c>
      <c r="P70" s="152" t="s">
        <v>126</v>
      </c>
      <c r="Q70" s="267">
        <v>40000</v>
      </c>
      <c r="R70" s="4">
        <v>10000</v>
      </c>
    </row>
    <row r="71" spans="10:18" x14ac:dyDescent="0.25">
      <c r="K71" t="s">
        <v>618</v>
      </c>
      <c r="L71" t="s">
        <v>34</v>
      </c>
      <c r="M71" s="148">
        <v>0.25</v>
      </c>
      <c r="N71" s="8" t="s">
        <v>55</v>
      </c>
      <c r="O71" s="152" t="s">
        <v>126</v>
      </c>
      <c r="P71" s="152" t="s">
        <v>126</v>
      </c>
      <c r="Q71" s="267">
        <v>40000</v>
      </c>
      <c r="R71" s="4">
        <v>10000</v>
      </c>
    </row>
    <row r="72" spans="10:18" x14ac:dyDescent="0.25">
      <c r="J72" t="s">
        <v>85</v>
      </c>
      <c r="Q72" s="267">
        <v>3131530.75</v>
      </c>
      <c r="R72" s="4">
        <v>793076.75</v>
      </c>
    </row>
  </sheetData>
  <mergeCells count="2">
    <mergeCell ref="Y50:AB50"/>
    <mergeCell ref="T50:W50"/>
  </mergeCells>
  <conditionalFormatting pivot="1" sqref="Q56:Q67">
    <cfRule type="cellIs" dxfId="1157" priority="28" operator="equal">
      <formula>0</formula>
    </cfRule>
  </conditionalFormatting>
  <conditionalFormatting sqref="L1:P1 L80:P1048576 L52:P63 L5:P8 L10:P10 L12:P12 L14:P14 L32:P49 L30:P30">
    <cfRule type="containsText" dxfId="1156" priority="18" operator="containsText" text="(blank)">
      <formula>NOT(ISERROR(SEARCH("(blank)",L1)))</formula>
    </cfRule>
  </conditionalFormatting>
  <conditionalFormatting sqref="U52:W55">
    <cfRule type="cellIs" dxfId="1155" priority="15" operator="equal">
      <formula>0</formula>
    </cfRule>
    <cfRule type="cellIs" dxfId="1154" priority="16" operator="greaterThan">
      <formula>0</formula>
    </cfRule>
    <cfRule type="cellIs" dxfId="1153" priority="17" operator="lessThan">
      <formula>0</formula>
    </cfRule>
  </conditionalFormatting>
  <conditionalFormatting sqref="Z52:AB55">
    <cfRule type="cellIs" dxfId="1152" priority="12" operator="equal">
      <formula>0</formula>
    </cfRule>
    <cfRule type="cellIs" dxfId="1151" priority="13" operator="greaterThan">
      <formula>0</formula>
    </cfRule>
    <cfRule type="cellIs" dxfId="1150" priority="14" operator="lessThan">
      <formula>0</formula>
    </cfRule>
  </conditionalFormatting>
  <conditionalFormatting sqref="L6:P15 L32:P41 L30:P30">
    <cfRule type="cellIs" dxfId="1149" priority="11" operator="lessThan">
      <formula>0</formula>
    </cfRule>
  </conditionalFormatting>
  <conditionalFormatting sqref="L29:P29">
    <cfRule type="containsText" dxfId="1148" priority="6" operator="containsText" text="(blank)">
      <formula>NOT(ISERROR(SEARCH("(blank)",L29)))</formula>
    </cfRule>
  </conditionalFormatting>
  <conditionalFormatting sqref="L18:P27">
    <cfRule type="cellIs" dxfId="1147" priority="5" operator="lessThan">
      <formula>0</formula>
    </cfRule>
  </conditionalFormatting>
  <conditionalFormatting sqref="L30:P39">
    <cfRule type="containsErrors" dxfId="1146" priority="4">
      <formula>ISERROR(L30)</formula>
    </cfRule>
  </conditionalFormatting>
  <conditionalFormatting sqref="L9:P9 L11:P11 L13:P13 L15:P15">
    <cfRule type="cellIs" dxfId="1145" priority="3" operator="greaterThan">
      <formula>0</formula>
    </cfRule>
  </conditionalFormatting>
  <conditionalFormatting sqref="L21:P21 L23:P23 L25:P25 L27:P27">
    <cfRule type="cellIs" dxfId="1144" priority="2" operator="greaterThan">
      <formula>0</formula>
    </cfRule>
  </conditionalFormatting>
  <conditionalFormatting sqref="L33:P33 L35:P35 L37:P37 L39:P39">
    <cfRule type="cellIs" dxfId="1143" priority="1" operator="greaterThan">
      <formula>0</formula>
    </cfRule>
  </conditionalFormatting>
  <dataValidations count="2">
    <dataValidation type="list" allowBlank="1" showInputMessage="1" showErrorMessage="1" sqref="X36" xr:uid="{4DBC9C8C-F614-40F6-A973-41E7D6C0B121}">
      <formula1>"All, DAFF, SAU, VIC, GROWTH"</formula1>
    </dataValidation>
    <dataValidation type="list" allowBlank="1" showInputMessage="1" showErrorMessage="1" sqref="L3:N3" xr:uid="{41EAE3F4-9084-4B0D-8BCF-3079022548C7}">
      <formula1>"TRUE, FALSE"</formula1>
    </dataValidation>
  </dataValidations>
  <pageMargins left="0.7" right="0.7" top="0.75" bottom="0.75" header="0.3" footer="0.3"/>
  <drawing r:id="rId2"/>
  <tableParts count="8">
    <tablePart r:id="rId3"/>
    <tablePart r:id="rId4"/>
    <tablePart r:id="rId5"/>
    <tablePart r:id="rId6"/>
    <tablePart r:id="rId7"/>
    <tablePart r:id="rId8"/>
    <tablePart r:id="rId9"/>
    <tablePart r:id="rId1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A69A3-16FF-4C45-925A-799F4F83F073}">
  <sheetPr>
    <tabColor theme="4"/>
  </sheetPr>
  <dimension ref="B1:AG63"/>
  <sheetViews>
    <sheetView topLeftCell="J19" workbookViewId="0">
      <selection activeCell="M51" sqref="M51"/>
    </sheetView>
  </sheetViews>
  <sheetFormatPr defaultRowHeight="15" x14ac:dyDescent="0.25"/>
  <cols>
    <col min="1" max="1" width="3.140625" customWidth="1"/>
    <col min="2" max="2" width="39" customWidth="1"/>
    <col min="3" max="8" width="14.85546875" customWidth="1"/>
    <col min="9" max="9" width="5.140625" customWidth="1"/>
    <col min="10" max="10" width="21.85546875" customWidth="1"/>
    <col min="11" max="11" width="69.5703125" bestFit="1" customWidth="1"/>
    <col min="12" max="17" width="16" customWidth="1"/>
    <col min="18" max="18" width="14.7109375" customWidth="1"/>
    <col min="19" max="19" width="6.5703125" customWidth="1"/>
    <col min="20" max="20" width="16" customWidth="1"/>
    <col min="21" max="32" width="12.5703125" customWidth="1"/>
    <col min="33" max="33" width="4.7109375" customWidth="1"/>
    <col min="34" max="46" width="12.5703125" customWidth="1"/>
  </cols>
  <sheetData>
    <row r="1" spans="2:33" hidden="1" x14ac:dyDescent="0.25"/>
    <row r="2" spans="2:33" ht="18.75" x14ac:dyDescent="0.3">
      <c r="B2" s="123" t="s">
        <v>200</v>
      </c>
      <c r="L2" s="16" t="s">
        <v>5</v>
      </c>
      <c r="M2" s="16" t="s">
        <v>55</v>
      </c>
      <c r="N2" s="16" t="s">
        <v>44</v>
      </c>
    </row>
    <row r="3" spans="2:33" x14ac:dyDescent="0.25">
      <c r="K3" s="13" t="s">
        <v>146</v>
      </c>
      <c r="L3" t="b">
        <f>CompanyGoodToggle</f>
        <v>1</v>
      </c>
      <c r="M3" t="b">
        <f>CompanyFairToggle</f>
        <v>0</v>
      </c>
      <c r="N3" t="b">
        <f>CompanyRiskToggle</f>
        <v>0</v>
      </c>
      <c r="T3" s="13" t="s">
        <v>92</v>
      </c>
      <c r="AG3" s="112"/>
    </row>
    <row r="4" spans="2:33" x14ac:dyDescent="0.25">
      <c r="T4" s="113" t="s">
        <v>94</v>
      </c>
      <c r="U4" s="112" t="s">
        <v>95</v>
      </c>
      <c r="V4" s="112" t="s">
        <v>96</v>
      </c>
      <c r="W4" s="112" t="s">
        <v>97</v>
      </c>
      <c r="X4" s="112" t="s">
        <v>98</v>
      </c>
      <c r="Y4" s="112" t="s">
        <v>99</v>
      </c>
      <c r="Z4" s="112" t="s">
        <v>100</v>
      </c>
      <c r="AA4" s="112" t="s">
        <v>101</v>
      </c>
      <c r="AB4" s="112" t="s">
        <v>102</v>
      </c>
      <c r="AC4" s="112" t="s">
        <v>103</v>
      </c>
      <c r="AD4" s="112" t="s">
        <v>104</v>
      </c>
      <c r="AE4" s="112" t="s">
        <v>105</v>
      </c>
      <c r="AF4" s="112" t="s">
        <v>106</v>
      </c>
      <c r="AG4" s="112"/>
    </row>
    <row r="5" spans="2:33" x14ac:dyDescent="0.25">
      <c r="K5" s="134" t="s">
        <v>147</v>
      </c>
      <c r="L5" s="135" t="s">
        <v>47</v>
      </c>
      <c r="M5" s="135" t="s">
        <v>48</v>
      </c>
      <c r="N5" s="135" t="s">
        <v>49</v>
      </c>
      <c r="O5" s="135" t="s">
        <v>50</v>
      </c>
      <c r="P5" s="136" t="s">
        <v>1</v>
      </c>
      <c r="T5" s="112" t="s">
        <v>148</v>
      </c>
      <c r="U5" s="112">
        <f>U16</f>
        <v>77461.870000000068</v>
      </c>
      <c r="V5" s="112">
        <f>SUM($U16:V16)</f>
        <v>143034.95000000013</v>
      </c>
      <c r="W5" s="112">
        <f>SUM($U16:W16)</f>
        <v>207117.90000000017</v>
      </c>
      <c r="X5" s="112">
        <f>SUM($U16:X16)</f>
        <v>263141.90000000026</v>
      </c>
      <c r="Y5" s="112">
        <f>SUM($U16:Y16)</f>
        <v>312233.59000000032</v>
      </c>
      <c r="Z5" s="112">
        <f>SUM($U16:Z16)</f>
        <v>342981.64000000036</v>
      </c>
      <c r="AA5" s="112">
        <f>SUM($U16:AA16)</f>
        <v>368794.6800000004</v>
      </c>
      <c r="AB5" s="112">
        <f>SUM($U16:AB16)</f>
        <v>411569.48000000039</v>
      </c>
      <c r="AC5" s="112">
        <f>SUM($U16:AC16)</f>
        <v>473410.72000000038</v>
      </c>
      <c r="AD5" s="112">
        <f>SUM($U16:AD16)</f>
        <v>509593.36000000039</v>
      </c>
      <c r="AE5" s="112">
        <f>SUM($U16:AE16)</f>
        <v>548328.56000000041</v>
      </c>
      <c r="AF5" s="112">
        <f>SUM($U16:AF16)</f>
        <v>587063.76000000047</v>
      </c>
      <c r="AG5" s="112"/>
    </row>
    <row r="6" spans="2:33" x14ac:dyDescent="0.25">
      <c r="K6" s="150" t="s">
        <v>149</v>
      </c>
      <c r="L6" s="183">
        <f>SUM(U22:W22)</f>
        <v>337500</v>
      </c>
      <c r="M6" s="183">
        <f>SUM(X22:Z22)</f>
        <v>150000</v>
      </c>
      <c r="N6" s="183">
        <f>SUM(AA22:AC22)</f>
        <v>431250</v>
      </c>
      <c r="O6" s="183">
        <f>SUM(AD22:AF22)</f>
        <v>431250</v>
      </c>
      <c r="P6" s="184">
        <f>SUM(Table1522[[#This Row],[Q1]:[Q4]])</f>
        <v>1350000</v>
      </c>
      <c r="T6" s="112" t="s">
        <v>150</v>
      </c>
      <c r="U6" s="112">
        <f>U17+U5</f>
        <v>77461.870000000068</v>
      </c>
      <c r="V6" s="112">
        <f>SUM($U17:V17)+V5</f>
        <v>143034.95000000013</v>
      </c>
      <c r="W6" s="112">
        <f>SUM($U17:W17)+W5</f>
        <v>207117.90000000017</v>
      </c>
      <c r="X6" s="112">
        <f>SUM($U17:X17)+X5</f>
        <v>263141.90000000026</v>
      </c>
      <c r="Y6" s="112">
        <f>SUM($U17:Y17)+Y5</f>
        <v>312233.59000000032</v>
      </c>
      <c r="Z6" s="112">
        <f>SUM($U17:Z17)+Z5</f>
        <v>342981.64000000036</v>
      </c>
      <c r="AA6" s="112">
        <f>SUM($U17:AA17)+AA5</f>
        <v>368794.6800000004</v>
      </c>
      <c r="AB6" s="112">
        <f>SUM($U17:AB17)+AB5</f>
        <v>411569.48000000039</v>
      </c>
      <c r="AC6" s="112">
        <f>SUM($U17:AC17)+AC5</f>
        <v>474643.84000000037</v>
      </c>
      <c r="AD6" s="112">
        <f>SUM($U17:AD17)+AD5</f>
        <v>520097.20000000042</v>
      </c>
      <c r="AE6" s="112">
        <f>SUM($U17:AE17)+AE5</f>
        <v>569133.20000000042</v>
      </c>
      <c r="AF6" s="112">
        <f>SUM($U17:AF17)+AF5</f>
        <v>618169.20000000042</v>
      </c>
      <c r="AG6" s="112"/>
    </row>
    <row r="7" spans="2:33" x14ac:dyDescent="0.25">
      <c r="K7" s="179" t="s">
        <v>56</v>
      </c>
      <c r="L7" s="181">
        <f>SUMIFS(Job_Status[Gross Profit Q1],Job_Status[VAT],"SAU")</f>
        <v>207117.89999999979</v>
      </c>
      <c r="M7" s="181">
        <f>SUMIFS(Job_Status[Gross Profit Q2],Job_Status[VAT],"SAU")</f>
        <v>135863.73999999851</v>
      </c>
      <c r="N7" s="181">
        <f>SUMIFS(Job_Status[Gross Profit Q3],Job_Status[VAT],"SAU")</f>
        <v>28363.839999999051</v>
      </c>
      <c r="O7" s="181">
        <f>SUMIFS(Job_Status[Gross Profit Q4],Job_Status[VAT],"SAU")</f>
        <v>0</v>
      </c>
      <c r="P7" s="208">
        <f>SUM(Table1522[[#This Row],[Q1]:[Q4]])</f>
        <v>371345.4799999973</v>
      </c>
      <c r="T7" s="112" t="s">
        <v>108</v>
      </c>
      <c r="U7" s="112">
        <f>U18+U6</f>
        <v>77461.870000000068</v>
      </c>
      <c r="V7" s="112">
        <f>SUM($U18:V18)+V6</f>
        <v>143034.95000000013</v>
      </c>
      <c r="W7" s="112">
        <f>SUM($U18:W18)+W6</f>
        <v>207117.90000000017</v>
      </c>
      <c r="X7" s="112">
        <f>SUM($U18:X18)+X6</f>
        <v>263141.90000000026</v>
      </c>
      <c r="Y7" s="112">
        <f>SUM($U18:Y18)+Y6</f>
        <v>312233.59000000032</v>
      </c>
      <c r="Z7" s="112">
        <f>SUM($U18:Z18)+Z6</f>
        <v>342981.64000000036</v>
      </c>
      <c r="AA7" s="112">
        <f>SUM($U18:AA18)+AA6</f>
        <v>368794.6800000004</v>
      </c>
      <c r="AB7" s="112">
        <f>SUM($U18:AB18)+AB6</f>
        <v>411569.48000000039</v>
      </c>
      <c r="AC7" s="112">
        <f>SUM($U18:AC18)+AC6</f>
        <v>474643.84000000037</v>
      </c>
      <c r="AD7" s="112">
        <f>SUM($U18:AD18)+AD6</f>
        <v>520097.20000000042</v>
      </c>
      <c r="AE7" s="112">
        <f>SUM($U18:AE18)+AE6</f>
        <v>569133.20000000042</v>
      </c>
      <c r="AF7" s="112">
        <f>SUM($U18:AF18)+AF6</f>
        <v>618169.20000000042</v>
      </c>
      <c r="AG7" s="112"/>
    </row>
    <row r="8" spans="2:33" x14ac:dyDescent="0.25">
      <c r="K8" s="253" t="s">
        <v>151</v>
      </c>
      <c r="L8" s="254">
        <f>SUM(U16:W16)</f>
        <v>207117.90000000017</v>
      </c>
      <c r="M8" s="254">
        <f>SUM(X16:Z16)</f>
        <v>135863.74000000017</v>
      </c>
      <c r="N8" s="254">
        <f>SUM(AA16:AC16)</f>
        <v>130429.08000000002</v>
      </c>
      <c r="O8" s="254">
        <f>SUM(AD16:AF16)</f>
        <v>113653.04000000001</v>
      </c>
      <c r="P8" s="208">
        <f>SUM(Table1522[[#This Row],[Q1]:[Q4]])</f>
        <v>587063.76000000036</v>
      </c>
      <c r="T8" s="112" t="s">
        <v>109</v>
      </c>
      <c r="U8" s="112">
        <f>U19+U7</f>
        <v>77461.870000000068</v>
      </c>
      <c r="V8" s="112">
        <f>SUM($U19:V19)+V7</f>
        <v>143034.95000000013</v>
      </c>
      <c r="W8" s="112">
        <f>SUM($U19:W19)+W7</f>
        <v>207117.90000000017</v>
      </c>
      <c r="X8" s="112">
        <f>SUM($U19:X19)+X7</f>
        <v>263141.90000000026</v>
      </c>
      <c r="Y8" s="112">
        <f>SUM($U19:Y19)+Y7</f>
        <v>312233.59000000032</v>
      </c>
      <c r="Z8" s="112">
        <f>SUM($U19:Z19)+Z7</f>
        <v>342981.64000000036</v>
      </c>
      <c r="AA8" s="112">
        <f>SUM($U19:AA19)+AA7</f>
        <v>368794.6800000004</v>
      </c>
      <c r="AB8" s="112">
        <f>SUM($U19:AB19)+AB7</f>
        <v>411569.48000000039</v>
      </c>
      <c r="AC8" s="112">
        <f>SUM($U19:AC19)+AC7</f>
        <v>474643.84000000037</v>
      </c>
      <c r="AD8" s="112">
        <f>SUM($U19:AD19)+AD7</f>
        <v>520097.20000000042</v>
      </c>
      <c r="AE8" s="112">
        <f>SUM($U19:AE19)+AE7</f>
        <v>569133.20000000042</v>
      </c>
      <c r="AF8" s="112">
        <f>SUM($U19:AF19)+AF7</f>
        <v>618169.20000000042</v>
      </c>
      <c r="AG8" s="112"/>
    </row>
    <row r="9" spans="2:33" x14ac:dyDescent="0.25">
      <c r="K9" s="253" t="s">
        <v>60</v>
      </c>
      <c r="L9" s="176">
        <f>L8-L$6</f>
        <v>-130382.09999999983</v>
      </c>
      <c r="M9" s="176">
        <f t="shared" ref="M9:P9" si="0">M8-M$6</f>
        <v>-14136.259999999835</v>
      </c>
      <c r="N9" s="176">
        <f t="shared" si="0"/>
        <v>-300820.92</v>
      </c>
      <c r="O9" s="176">
        <f t="shared" si="0"/>
        <v>-317596.95999999996</v>
      </c>
      <c r="P9" s="208">
        <f t="shared" si="0"/>
        <v>-762936.23999999964</v>
      </c>
      <c r="T9" s="112" t="s">
        <v>152</v>
      </c>
      <c r="U9" s="112">
        <f>U20</f>
        <v>0</v>
      </c>
      <c r="V9" s="112">
        <f>SUM($U20:V20)</f>
        <v>0</v>
      </c>
      <c r="W9" s="112">
        <f>SUM($U20:W20)</f>
        <v>0</v>
      </c>
      <c r="X9" s="112">
        <f>SUM($U20:X20)</f>
        <v>0</v>
      </c>
      <c r="Y9" s="112">
        <f>SUM($U20:Y20)</f>
        <v>0</v>
      </c>
      <c r="Z9" s="112">
        <f>SUM($U20:Z20)</f>
        <v>0</v>
      </c>
      <c r="AA9" s="112">
        <f>SUM($U20:AA20)</f>
        <v>0</v>
      </c>
      <c r="AB9" s="112">
        <f>SUM($U20:AB20)</f>
        <v>0</v>
      </c>
      <c r="AC9" s="112">
        <f>SUM($U20:AC20)</f>
        <v>0</v>
      </c>
      <c r="AD9" s="112">
        <f>SUM($U20:AD20)</f>
        <v>0</v>
      </c>
      <c r="AE9" s="112">
        <f>SUM($U20:AE20)</f>
        <v>0</v>
      </c>
      <c r="AF9" s="112">
        <f>SUM($U20:AF20)</f>
        <v>0</v>
      </c>
      <c r="AG9" s="112"/>
    </row>
    <row r="10" spans="2:33" x14ac:dyDescent="0.25">
      <c r="K10" s="150" t="s">
        <v>153</v>
      </c>
      <c r="L10" s="183">
        <f>SUM(U$16:W17)</f>
        <v>207117.90000000017</v>
      </c>
      <c r="M10" s="183">
        <f>SUM(X$16:Z17)</f>
        <v>135863.74000000017</v>
      </c>
      <c r="N10" s="183">
        <f>SUM(AA$16:AC17)</f>
        <v>131662.20000000001</v>
      </c>
      <c r="O10" s="183">
        <f>SUM(AD$16:AF17)</f>
        <v>143525.35999999999</v>
      </c>
      <c r="P10" s="184">
        <f>SUM(Table1522[[#This Row],[Q1]:[Q4]])</f>
        <v>618169.20000000042</v>
      </c>
      <c r="T10" s="112" t="s">
        <v>110</v>
      </c>
      <c r="U10" s="157">
        <f>U21</f>
        <v>150000</v>
      </c>
      <c r="V10" s="157">
        <f>SUM($U21:V21)</f>
        <v>300000</v>
      </c>
      <c r="W10" s="157">
        <f>SUM($U21:W21)</f>
        <v>450000</v>
      </c>
      <c r="X10" s="157">
        <f>SUM($U21:X21)</f>
        <v>500000</v>
      </c>
      <c r="Y10" s="157">
        <f>SUM($U21:Y21)</f>
        <v>550000</v>
      </c>
      <c r="Z10" s="157">
        <f>SUM($U21:Z21)</f>
        <v>600000</v>
      </c>
      <c r="AA10" s="157">
        <f>SUM($U21:AA21)</f>
        <v>800000</v>
      </c>
      <c r="AB10" s="157">
        <f>SUM($U21:AB21)</f>
        <v>1000000</v>
      </c>
      <c r="AC10" s="157">
        <f>SUM($U21:AC21)</f>
        <v>1200000</v>
      </c>
      <c r="AD10" s="157">
        <f>SUM($U21:AD21)</f>
        <v>1400000</v>
      </c>
      <c r="AE10" s="157">
        <f>SUM($U21:AE21)</f>
        <v>1600000</v>
      </c>
      <c r="AF10" s="157">
        <f>SUM($U21:AF21)</f>
        <v>1800000</v>
      </c>
    </row>
    <row r="11" spans="2:33" x14ac:dyDescent="0.25">
      <c r="K11" s="182" t="s">
        <v>154</v>
      </c>
      <c r="L11" s="176">
        <f t="shared" ref="L11:P11" si="1">L10-L$6</f>
        <v>-130382.09999999983</v>
      </c>
      <c r="M11" s="176">
        <f t="shared" si="1"/>
        <v>-14136.259999999835</v>
      </c>
      <c r="N11" s="176">
        <f t="shared" si="1"/>
        <v>-299587.8</v>
      </c>
      <c r="O11" s="176">
        <f t="shared" si="1"/>
        <v>-287724.64</v>
      </c>
      <c r="P11" s="208">
        <f t="shared" si="1"/>
        <v>-731830.79999999958</v>
      </c>
      <c r="T11" s="112" t="s">
        <v>111</v>
      </c>
      <c r="U11" s="157">
        <f>U22</f>
        <v>112500</v>
      </c>
      <c r="V11" s="157">
        <f>SUM($U22:V22)</f>
        <v>225000</v>
      </c>
      <c r="W11" s="157">
        <f>SUM($U22:W22)</f>
        <v>337500</v>
      </c>
      <c r="X11" s="157">
        <f>SUM($U22:X22)</f>
        <v>387500</v>
      </c>
      <c r="Y11" s="157">
        <f>SUM($U22:Y22)</f>
        <v>437500</v>
      </c>
      <c r="Z11" s="157">
        <f>SUM($U22:Z22)</f>
        <v>487500</v>
      </c>
      <c r="AA11" s="157">
        <f>SUM($U22:AA22)</f>
        <v>631250</v>
      </c>
      <c r="AB11" s="157">
        <f>SUM($U22:AB22)</f>
        <v>775000</v>
      </c>
      <c r="AC11" s="157">
        <f>SUM($U22:AC22)</f>
        <v>918750</v>
      </c>
      <c r="AD11" s="157">
        <f>SUM($U22:AD22)</f>
        <v>1062500</v>
      </c>
      <c r="AE11" s="157">
        <f>SUM($U22:AE22)</f>
        <v>1206250</v>
      </c>
      <c r="AF11" s="157">
        <f>SUM($U22:AF22)</f>
        <v>1350000</v>
      </c>
    </row>
    <row r="12" spans="2:33" x14ac:dyDescent="0.25">
      <c r="K12" s="150" t="s">
        <v>155</v>
      </c>
      <c r="L12" s="183">
        <f>SUM(U$16:W18)</f>
        <v>207117.90000000017</v>
      </c>
      <c r="M12" s="183">
        <f>SUM(X$16:Z18)</f>
        <v>135863.74000000017</v>
      </c>
      <c r="N12" s="183">
        <f>SUM(AA$16:AC18)</f>
        <v>131662.20000000001</v>
      </c>
      <c r="O12" s="183">
        <f>SUM(AD$16:AF18)</f>
        <v>143525.35999999999</v>
      </c>
      <c r="P12" s="184">
        <f>SUM(Table1522[[#This Row],[Q1]:[Q4]])</f>
        <v>618169.20000000042</v>
      </c>
      <c r="T12" s="112" t="s">
        <v>4</v>
      </c>
      <c r="U12" s="157">
        <f>U23</f>
        <v>75000</v>
      </c>
      <c r="V12" s="157">
        <f>SUM($U23:V23)</f>
        <v>150000</v>
      </c>
      <c r="W12" s="157">
        <f>SUM($U23:W23)</f>
        <v>225000</v>
      </c>
      <c r="X12" s="157">
        <f>SUM($U23:X23)</f>
        <v>275000</v>
      </c>
      <c r="Y12" s="157">
        <f>SUM($U23:Y23)</f>
        <v>325000</v>
      </c>
      <c r="Z12" s="157">
        <f>SUM($U23:Z23)</f>
        <v>375000</v>
      </c>
      <c r="AA12" s="157">
        <f>SUM($U23:AA23)</f>
        <v>462500</v>
      </c>
      <c r="AB12" s="157">
        <f>SUM($U23:AB23)</f>
        <v>550000</v>
      </c>
      <c r="AC12" s="157">
        <f>SUM($U23:AC23)</f>
        <v>637500</v>
      </c>
      <c r="AD12" s="157">
        <f>SUM($U23:AD23)</f>
        <v>725000</v>
      </c>
      <c r="AE12" s="157">
        <f>SUM($U23:AE23)</f>
        <v>812500</v>
      </c>
      <c r="AF12" s="157">
        <f>SUM($U23:AF23)</f>
        <v>900000</v>
      </c>
    </row>
    <row r="13" spans="2:33" x14ac:dyDescent="0.25">
      <c r="K13" s="182" t="s">
        <v>154</v>
      </c>
      <c r="L13" s="176">
        <f t="shared" ref="L13:P13" si="2">L12-L$6</f>
        <v>-130382.09999999983</v>
      </c>
      <c r="M13" s="176">
        <f t="shared" si="2"/>
        <v>-14136.259999999835</v>
      </c>
      <c r="N13" s="176">
        <f t="shared" si="2"/>
        <v>-299587.8</v>
      </c>
      <c r="O13" s="176">
        <f t="shared" si="2"/>
        <v>-287724.64</v>
      </c>
      <c r="P13" s="208">
        <f t="shared" si="2"/>
        <v>-731830.79999999958</v>
      </c>
    </row>
    <row r="14" spans="2:33" x14ac:dyDescent="0.25">
      <c r="K14" s="150" t="s">
        <v>156</v>
      </c>
      <c r="L14" s="183">
        <f>SUM(U$16:W19)</f>
        <v>207117.90000000017</v>
      </c>
      <c r="M14" s="183">
        <f>SUM(X$16:Z19)</f>
        <v>135863.74000000017</v>
      </c>
      <c r="N14" s="183">
        <f>SUM(AA$16:AC19)</f>
        <v>131662.20000000001</v>
      </c>
      <c r="O14" s="183">
        <f>SUM(AD$16:AF19)</f>
        <v>143525.35999999999</v>
      </c>
      <c r="P14" s="184">
        <f>SUM(Table1522[[#This Row],[Q1]:[Q4]])</f>
        <v>618169.20000000042</v>
      </c>
      <c r="T14" s="13" t="s">
        <v>112</v>
      </c>
    </row>
    <row r="15" spans="2:33" x14ac:dyDescent="0.25">
      <c r="K15" s="182" t="s">
        <v>154</v>
      </c>
      <c r="L15" s="176">
        <f t="shared" ref="L15:P15" si="3">L14-L$6</f>
        <v>-130382.09999999983</v>
      </c>
      <c r="M15" s="176">
        <f t="shared" si="3"/>
        <v>-14136.259999999835</v>
      </c>
      <c r="N15" s="176">
        <f t="shared" si="3"/>
        <v>-299587.8</v>
      </c>
      <c r="O15" s="176">
        <f t="shared" si="3"/>
        <v>-287724.64</v>
      </c>
      <c r="P15" s="208">
        <f t="shared" si="3"/>
        <v>-731830.79999999958</v>
      </c>
      <c r="T15" s="13" t="s">
        <v>94</v>
      </c>
      <c r="U15" s="118" t="s">
        <v>95</v>
      </c>
      <c r="V15" s="118" t="s">
        <v>96</v>
      </c>
      <c r="W15" s="118" t="s">
        <v>97</v>
      </c>
      <c r="X15" s="118" t="s">
        <v>98</v>
      </c>
      <c r="Y15" s="118" t="s">
        <v>99</v>
      </c>
      <c r="Z15" s="118" t="s">
        <v>100</v>
      </c>
      <c r="AA15" s="118" t="s">
        <v>101</v>
      </c>
      <c r="AB15" s="118" t="s">
        <v>102</v>
      </c>
      <c r="AC15" s="118" t="s">
        <v>103</v>
      </c>
      <c r="AD15" s="118" t="s">
        <v>104</v>
      </c>
      <c r="AE15" s="118" t="s">
        <v>105</v>
      </c>
      <c r="AF15" s="118" t="s">
        <v>106</v>
      </c>
    </row>
    <row r="16" spans="2:33" x14ac:dyDescent="0.25">
      <c r="K16" s="150"/>
      <c r="L16" s="176"/>
      <c r="M16" s="176"/>
      <c r="N16" s="176"/>
      <c r="O16" s="176"/>
      <c r="P16" s="177"/>
      <c r="T16" s="112" t="s">
        <v>148</v>
      </c>
      <c r="U16" s="155">
        <f>SUMIF(Job_Status[VAT],"SAU",Job_Status[P1])</f>
        <v>77461.870000000068</v>
      </c>
      <c r="V16" s="155">
        <f>SUMIF(Job_Status[VAT],"SAU",Job_Status[P2])</f>
        <v>65573.080000000075</v>
      </c>
      <c r="W16" s="155">
        <f>SUMIF(Job_Status[VAT],"SAU",Job_Status[P3])</f>
        <v>64082.950000000048</v>
      </c>
      <c r="X16" s="155">
        <f>SUMIF(Job_Status[VAT],"SAU",Job_Status[P4])</f>
        <v>56024.000000000073</v>
      </c>
      <c r="Y16" s="155">
        <f>SUMIF(Job_Status[VAT],"SAU",Job_Status[P5])</f>
        <v>49091.690000000061</v>
      </c>
      <c r="Z16" s="155">
        <f>SUMIF(Job_Status[VAT],"SAU",Job_Status[P6])</f>
        <v>30748.050000000017</v>
      </c>
      <c r="AA16" s="155">
        <f>SUMIF(Job_Status[VAT],"SAU",Job_Status[P7])</f>
        <v>25813.040000000034</v>
      </c>
      <c r="AB16" s="155">
        <f>SUMIF(Job_Status[VAT],"SAU",Job_Status[P8])</f>
        <v>42774.799999999988</v>
      </c>
      <c r="AC16" s="155">
        <f>SUMIF(Job_Status[VAT],"SAU",Job_Status[P9])</f>
        <v>61841.239999999991</v>
      </c>
      <c r="AD16" s="155">
        <f>SUMIF(Job_Status[VAT],"SAU",Job_Status[P10])</f>
        <v>36182.639999999992</v>
      </c>
      <c r="AE16" s="155">
        <f>SUMIF(Job_Status[VAT],"SAU",Job_Status[P11])</f>
        <v>38735.199999999997</v>
      </c>
      <c r="AF16" s="155">
        <f>SUMIF(Job_Status[VAT],"SAU",Job_Status[P12])</f>
        <v>38735.200000000012</v>
      </c>
    </row>
    <row r="17" spans="11:32" x14ac:dyDescent="0.25">
      <c r="K17" s="201" t="s">
        <v>157</v>
      </c>
      <c r="L17" s="189" t="s">
        <v>47</v>
      </c>
      <c r="M17" s="189" t="s">
        <v>48</v>
      </c>
      <c r="N17" s="189" t="s">
        <v>49</v>
      </c>
      <c r="O17" s="189" t="s">
        <v>50</v>
      </c>
      <c r="P17" s="189" t="s">
        <v>1</v>
      </c>
      <c r="T17" s="112" t="s">
        <v>77</v>
      </c>
      <c r="U17" s="155">
        <f>_xlfn.LET(
    _xlpm.s,         GMConSpreadTable819[[#This Row],[STATUS]],
    _xlpm.vatCrit,   "SAU",
    _xlpm.sumcol,    TotalGMContribution[July],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c r="V17" s="155">
        <f>_xlfn.LET(
    _xlpm.s,         GMConSpreadTable819[[#This Row],[STATUS]],
    _xlpm.vatCrit,   "SAU",
    _xlpm.sumcol,    TotalGMContribution[August],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c r="W17" s="155">
        <f>_xlfn.LET(
    _xlpm.s,         GMConSpreadTable819[[#This Row],[STATUS]],
    _xlpm.vatCrit,   "SAU",
    _xlpm.sumcol,    TotalGMContribution[September],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c r="X17" s="155">
        <f>_xlfn.LET(
    _xlpm.s,         GMConSpreadTable819[[#This Row],[STATUS]],
    _xlpm.vatCrit,   "SAU",
    _xlpm.sumcol,    TotalGMContribution[October],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c r="Y17" s="155">
        <f>_xlfn.LET(
    _xlpm.s,         GMConSpreadTable819[[#This Row],[STATUS]],
    _xlpm.vatCrit,   "SAU",
    _xlpm.sumcol,    TotalGMContribution[November],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c r="Z17" s="155">
        <f>_xlfn.LET(
    _xlpm.s,         GMConSpreadTable819[[#This Row],[STATUS]],
    _xlpm.vatCrit,   "SAU",
    _xlpm.sumcol,    TotalGMContribution[December],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c r="AA17" s="155">
        <f>_xlfn.LET(
    _xlpm.s,         GMConSpreadTable819[[#This Row],[STATUS]],
    _xlpm.vatCrit,   "SAU",
    _xlpm.sumcol,    TotalGMContribution[January],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c r="AB17" s="155">
        <f>_xlfn.LET(
    _xlpm.s,         GMConSpreadTable819[[#This Row],[STATUS]],
    _xlpm.vatCrit,   "SAU",
    _xlpm.sumcol,    TotalGMContribution[February],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c r="AC17" s="155">
        <f>_xlfn.LET(
    _xlpm.s,         GMConSpreadTable819[[#This Row],[STATUS]],
    _xlpm.vatCrit,   "SAU",
    _xlpm.sumcol,    TotalGMContribution[March],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1233.1199999999999</v>
      </c>
      <c r="AD17" s="155">
        <f>_xlfn.LET(
    _xlpm.s,         GMConSpreadTable819[[#This Row],[STATUS]],
    _xlpm.vatCrit,   "SAU",
    _xlpm.sumcol,    TotalGMContribution[April],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9270.7199999999993</v>
      </c>
      <c r="AE17" s="155">
        <f>_xlfn.LET(
    _xlpm.s,         GMConSpreadTable819[[#This Row],[STATUS]],
    _xlpm.vatCrit,   "SAU",
    _xlpm.sumcol,    TotalGMContribution[May],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10300.799999999999</v>
      </c>
      <c r="AF17" s="155">
        <f>_xlfn.LET(
    _xlpm.s,         GMConSpreadTable819[[#This Row],[STATUS]],
    _xlpm.vatCrit,   "SAU",
    _xlpm.sumcol,    TotalGMContribution[June],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10300.799999999999</v>
      </c>
    </row>
    <row r="18" spans="11:32" x14ac:dyDescent="0.25">
      <c r="K18" s="150" t="s">
        <v>158</v>
      </c>
      <c r="L18" s="183">
        <f>SUM(U44:W44)</f>
        <v>2250000</v>
      </c>
      <c r="M18" s="183">
        <f>SUM(X44:Z44)</f>
        <v>1000000.0000000001</v>
      </c>
      <c r="N18" s="183">
        <f>SUM(AA44:AC44)</f>
        <v>2875000</v>
      </c>
      <c r="O18" s="183">
        <f>SUM(AD44:AF44)</f>
        <v>2875000</v>
      </c>
      <c r="P18" s="184">
        <f>SUM(Table36[[#This Row],[Q1]:[Q4]])</f>
        <v>9000000</v>
      </c>
      <c r="T18" s="112" t="s">
        <v>76</v>
      </c>
      <c r="U18" s="155">
        <f>_xlfn.LET(
    _xlpm.s,         GMConSpreadTable819[[#This Row],[STATUS]],
    _xlpm.vatCrit,   "SAU",
    _xlpm.sumcol,    TotalGMContribution[July],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c r="V18" s="155">
        <f>_xlfn.LET(
    _xlpm.s,         GMConSpreadTable819[[#This Row],[STATUS]],
    _xlpm.vatCrit,   "SAU",
    _xlpm.sumcol,    TotalGMContribution[August],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c r="W18" s="155">
        <f>_xlfn.LET(
    _xlpm.s,         GMConSpreadTable819[[#This Row],[STATUS]],
    _xlpm.vatCrit,   "SAU",
    _xlpm.sumcol,    TotalGMContribution[September],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c r="X18" s="155">
        <f>_xlfn.LET(
    _xlpm.s,         GMConSpreadTable819[[#This Row],[STATUS]],
    _xlpm.vatCrit,   "SAU",
    _xlpm.sumcol,    TotalGMContribution[October],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c r="Y18" s="155">
        <f>_xlfn.LET(
    _xlpm.s,         GMConSpreadTable819[[#This Row],[STATUS]],
    _xlpm.vatCrit,   "SAU",
    _xlpm.sumcol,    TotalGMContribution[November],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c r="Z18" s="155">
        <f>_xlfn.LET(
    _xlpm.s,         GMConSpreadTable819[[#This Row],[STATUS]],
    _xlpm.vatCrit,   "SAU",
    _xlpm.sumcol,    TotalGMContribution[December],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c r="AA18" s="155">
        <f>_xlfn.LET(
    _xlpm.s,         GMConSpreadTable819[[#This Row],[STATUS]],
    _xlpm.vatCrit,   "SAU",
    _xlpm.sumcol,    TotalGMContribution[January],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c r="AB18" s="155">
        <f>_xlfn.LET(
    _xlpm.s,         GMConSpreadTable819[[#This Row],[STATUS]],
    _xlpm.vatCrit,   "SAU",
    _xlpm.sumcol,    TotalGMContribution[February],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c r="AC18" s="155">
        <f>_xlfn.LET(
    _xlpm.s,         GMConSpreadTable819[[#This Row],[STATUS]],
    _xlpm.vatCrit,   "SAU",
    _xlpm.sumcol,    TotalGMContribution[March],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c r="AD18" s="155">
        <f>_xlfn.LET(
    _xlpm.s,         GMConSpreadTable819[[#This Row],[STATUS]],
    _xlpm.vatCrit,   "SAU",
    _xlpm.sumcol,    TotalGMContribution[April],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c r="AE18" s="155">
        <f>_xlfn.LET(
    _xlpm.s,         GMConSpreadTable819[[#This Row],[STATUS]],
    _xlpm.vatCrit,   "SAU",
    _xlpm.sumcol,    TotalGMContribution[May],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c r="AF18" s="155">
        <f>_xlfn.LET(
    _xlpm.s,         GMConSpreadTable819[[#This Row],[STATUS]],
    _xlpm.vatCrit,   "SAU",
    _xlpm.sumcol,    TotalGMContribution[June],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row>
    <row r="19" spans="11:32" x14ac:dyDescent="0.25">
      <c r="K19" s="179" t="s">
        <v>56</v>
      </c>
      <c r="L19" s="181">
        <f>SUMIFS(Job_Status[Revenue Q1],Job_Status[VAT],"SAU")</f>
        <v>1511893.65</v>
      </c>
      <c r="M19" s="181">
        <f>SUMIFS(Job_Status[Revenue Q2],Job_Status[VAT],"SAU")</f>
        <v>1067419.169999999</v>
      </c>
      <c r="N19" s="181">
        <f>SUMIFS(Job_Status[Revenue Q3],Job_Status[VAT],"SAU")</f>
        <v>236537.08999999985</v>
      </c>
      <c r="O19" s="181">
        <f>SUMIFS(Job_Status[Revenue Q4],Job_Status[VAT],"SAU")</f>
        <v>0</v>
      </c>
      <c r="P19" s="181">
        <f>SUM(Table36[[#This Row],[Q1]:[Q4]])</f>
        <v>2815849.9099999988</v>
      </c>
      <c r="T19" s="112" t="s">
        <v>75</v>
      </c>
      <c r="U19" s="155">
        <f>_xlfn.LET(
    _xlpm.s,         GMConSpreadTable819[[#This Row],[STATUS]],
    _xlpm.vatCrit,   "SAU",
    _xlpm.sumcol,    TotalGMContribution[July],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c r="V19" s="155">
        <f>_xlfn.LET(
    _xlpm.s,         GMConSpreadTable819[[#This Row],[STATUS]],
    _xlpm.vatCrit,   "SAU",
    _xlpm.sumcol,    TotalGMContribution[August],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c r="W19" s="155">
        <f>_xlfn.LET(
    _xlpm.s,         GMConSpreadTable819[[#This Row],[STATUS]],
    _xlpm.vatCrit,   "SAU",
    _xlpm.sumcol,    TotalGMContribution[September],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c r="X19" s="155">
        <f>_xlfn.LET(
    _xlpm.s,         GMConSpreadTable819[[#This Row],[STATUS]],
    _xlpm.vatCrit,   "SAU",
    _xlpm.sumcol,    TotalGMContribution[October],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c r="Y19" s="155">
        <f>_xlfn.LET(
    _xlpm.s,         GMConSpreadTable819[[#This Row],[STATUS]],
    _xlpm.vatCrit,   "SAU",
    _xlpm.sumcol,    TotalGMContribution[November],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c r="Z19" s="155">
        <f>_xlfn.LET(
    _xlpm.s,         GMConSpreadTable819[[#This Row],[STATUS]],
    _xlpm.vatCrit,   "SAU",
    _xlpm.sumcol,    TotalGMContribution[December],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c r="AA19" s="155">
        <f>_xlfn.LET(
    _xlpm.s,         GMConSpreadTable819[[#This Row],[STATUS]],
    _xlpm.vatCrit,   "SAU",
    _xlpm.sumcol,    TotalGMContribution[January],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c r="AB19" s="155">
        <f>_xlfn.LET(
    _xlpm.s,         GMConSpreadTable819[[#This Row],[STATUS]],
    _xlpm.vatCrit,   "SAU",
    _xlpm.sumcol,    TotalGMContribution[February],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c r="AC19" s="155">
        <f>_xlfn.LET(
    _xlpm.s,         GMConSpreadTable819[[#This Row],[STATUS]],
    _xlpm.vatCrit,   "SAU",
    _xlpm.sumcol,    TotalGMContribution[March],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c r="AD19" s="155">
        <f>_xlfn.LET(
    _xlpm.s,         GMConSpreadTable819[[#This Row],[STATUS]],
    _xlpm.vatCrit,   "SAU",
    _xlpm.sumcol,    TotalGMContribution[April],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c r="AE19" s="155">
        <f>_xlfn.LET(
    _xlpm.s,         GMConSpreadTable819[[#This Row],[STATUS]],
    _xlpm.vatCrit,   "SAU",
    _xlpm.sumcol,    TotalGMContribution[May],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c r="AF19" s="155">
        <f>_xlfn.LET(
    _xlpm.s,         GMConSpreadTable819[[#This Row],[STATUS]],
    _xlpm.vatCrit,   "SAU",
    _xlpm.sumcol,    TotalGMContribution[June],
    _xlpm.statuscol, TotalGMContribution[Status],
    _xlpm.vatcol,    TotalGMContribution[VAT],
    _xlpm.oppcol,    TotalGMContribution[Opps Status],
          IF(SAUGoodToggle=TRUE, SUMIFS(_xlpm.sumcol, _xlpm.statuscol, _xlpm.s, _xlpm.vatcol, _xlpm.vatCrit, _xlpm.oppcol, "Good"), 0) +
          IF(SAUFairToggle=TRUE, SUMIFS(_xlpm.sumcol, _xlpm.statuscol, _xlpm.s, _xlpm.vatcol, _xlpm.vatCrit, _xlpm.oppcol, "Fair"), 0) +
          IF(SAURiskToggle=TRUE, SUMIFS(_xlpm.sumcol, _xlpm.statuscol, _xlpm.s, _xlpm.vatcol, _xlpm.vatCrit, _xlpm.oppcol, "Risk"), 0)
)</f>
        <v>0</v>
      </c>
    </row>
    <row r="20" spans="11:32" x14ac:dyDescent="0.25">
      <c r="K20" s="253" t="s">
        <v>151</v>
      </c>
      <c r="L20" s="176">
        <f>SUM(U38:W38)</f>
        <v>1511893.6500000001</v>
      </c>
      <c r="M20" s="176">
        <f>SUM(X38:Z38)</f>
        <v>1067419.17</v>
      </c>
      <c r="N20" s="176">
        <f>SUM(AA38:AC38)</f>
        <v>1037438.5700000001</v>
      </c>
      <c r="O20" s="176">
        <f>SUM(AD38:AF38)</f>
        <v>951886.4800000001</v>
      </c>
      <c r="P20" s="255">
        <f>SUM(Table36[[#This Row],[Q1]:[Q4]])</f>
        <v>4568637.870000001</v>
      </c>
      <c r="T20" s="112" t="s">
        <v>152</v>
      </c>
      <c r="U20" s="156"/>
      <c r="V20" s="156"/>
      <c r="W20" s="156"/>
      <c r="X20" s="156"/>
      <c r="Y20" s="156"/>
      <c r="Z20" s="156"/>
      <c r="AA20" s="156"/>
      <c r="AB20" s="156"/>
      <c r="AC20" s="156"/>
      <c r="AD20" s="156"/>
      <c r="AE20" s="156"/>
      <c r="AF20" s="156"/>
    </row>
    <row r="21" spans="11:32" x14ac:dyDescent="0.25">
      <c r="K21" s="253" t="s">
        <v>60</v>
      </c>
      <c r="L21" s="176">
        <f>L20-L$18</f>
        <v>-738106.34999999986</v>
      </c>
      <c r="M21" s="176">
        <f>M20-M$18</f>
        <v>67419.169999999809</v>
      </c>
      <c r="N21" s="176">
        <f>N20-N$18</f>
        <v>-1837561.43</v>
      </c>
      <c r="O21" s="176">
        <f>O20-O$18</f>
        <v>-1923113.52</v>
      </c>
      <c r="P21" s="205">
        <f>SUM(Table36[[#This Row],[Q1]:[Q4]])</f>
        <v>-4431362.13</v>
      </c>
      <c r="T21" s="112" t="s">
        <v>110</v>
      </c>
      <c r="U21" s="158" cm="1">
        <f t="array" ref="U21">INDEX('FY2526 VAT Financial KPIs'!$G:$G, MATCH(1, ('FY2526 VAT Financial KPIs'!$A:$A="SAU")*('FY2526 VAT Financial KPIs'!$D:$D="Gross Margin Contribution"), 0))/12</f>
        <v>150000</v>
      </c>
      <c r="V21" s="158" cm="1">
        <f t="array" ref="V21">INDEX('FY2526 VAT Financial KPIs'!$G:$G, MATCH(1, ('FY2526 VAT Financial KPIs'!$A:$A="SAU")*('FY2526 VAT Financial KPIs'!$D:$D="Gross Margin Contribution"), 0))/12</f>
        <v>150000</v>
      </c>
      <c r="W21" s="158" cm="1">
        <f t="array" ref="W21">INDEX('FY2526 VAT Financial KPIs'!$G:$G, MATCH(1, ('FY2526 VAT Financial KPIs'!$A:$A="SAU")*('FY2526 VAT Financial KPIs'!$D:$D="Gross Margin Contribution"), 0))/12</f>
        <v>150000</v>
      </c>
      <c r="X21" s="158">
        <v>50000</v>
      </c>
      <c r="Y21" s="158">
        <v>50000</v>
      </c>
      <c r="Z21" s="158">
        <v>50000</v>
      </c>
      <c r="AA21" s="158">
        <v>200000</v>
      </c>
      <c r="AB21" s="158">
        <v>200000</v>
      </c>
      <c r="AC21" s="158">
        <v>200000</v>
      </c>
      <c r="AD21" s="158">
        <v>200000</v>
      </c>
      <c r="AE21" s="158">
        <v>200000</v>
      </c>
      <c r="AF21" s="158">
        <v>200000</v>
      </c>
    </row>
    <row r="22" spans="11:32" x14ac:dyDescent="0.25">
      <c r="K22" s="150" t="s">
        <v>159</v>
      </c>
      <c r="L22" s="183">
        <f>SUM(U$38:W39)</f>
        <v>1511893.6500000001</v>
      </c>
      <c r="M22" s="183">
        <f>SUM(X$38:Z39)</f>
        <v>1067419.17</v>
      </c>
      <c r="N22" s="183">
        <f>SUM(AA$38:AC39)</f>
        <v>1047272.0900000001</v>
      </c>
      <c r="O22" s="183">
        <f>SUM(AD$38:AF39)</f>
        <v>1183761.2000000002</v>
      </c>
      <c r="P22" s="207">
        <f>SUM(Table36[[#This Row],[Q1]:[Q4]])</f>
        <v>4810346.1100000003</v>
      </c>
      <c r="T22" s="112" t="s">
        <v>111</v>
      </c>
      <c r="U22" s="158" cm="1">
        <f t="array" ref="U22">INDEX('FY2526 VAT Financial KPIs'!$F:$F, MATCH(1, ('FY2526 VAT Financial KPIs'!$A:$A="SAU")*('FY2526 VAT Financial KPIs'!$D:$D="Gross Margin Contribution"), 0))/12</f>
        <v>112500</v>
      </c>
      <c r="V22" s="158" cm="1">
        <f t="array" ref="V22">INDEX('FY2526 VAT Financial KPIs'!$F:$F, MATCH(1, ('FY2526 VAT Financial KPIs'!$A:$A="SAU")*('FY2526 VAT Financial KPIs'!$D:$D="Gross Margin Contribution"), 0))/12</f>
        <v>112500</v>
      </c>
      <c r="W22" s="158" cm="1">
        <f t="array" ref="W22">INDEX('FY2526 VAT Financial KPIs'!$F:$F, MATCH(1, ('FY2526 VAT Financial KPIs'!$A:$A="SAU")*('FY2526 VAT Financial KPIs'!$D:$D="Gross Margin Contribution"), 0))/12</f>
        <v>112500</v>
      </c>
      <c r="X22" s="158">
        <v>50000</v>
      </c>
      <c r="Y22" s="158">
        <v>50000</v>
      </c>
      <c r="Z22" s="158">
        <v>50000</v>
      </c>
      <c r="AA22" s="158">
        <v>143750</v>
      </c>
      <c r="AB22" s="158">
        <v>143750</v>
      </c>
      <c r="AC22" s="158">
        <v>143750</v>
      </c>
      <c r="AD22" s="158">
        <v>143750</v>
      </c>
      <c r="AE22" s="158">
        <v>143750</v>
      </c>
      <c r="AF22" s="158">
        <v>143750</v>
      </c>
    </row>
    <row r="23" spans="11:32" x14ac:dyDescent="0.25">
      <c r="K23" s="182" t="s">
        <v>154</v>
      </c>
      <c r="L23" s="176">
        <f>L22-L$18</f>
        <v>-738106.34999999986</v>
      </c>
      <c r="M23" s="176">
        <f>M22-M$18</f>
        <v>67419.169999999809</v>
      </c>
      <c r="N23" s="176">
        <f>N22-N$18</f>
        <v>-1827727.91</v>
      </c>
      <c r="O23" s="176">
        <f>O22-O$18</f>
        <v>-1691238.7999999998</v>
      </c>
      <c r="P23" s="205">
        <f>SUM(Table36[[#This Row],[Q1]:[Q4]])</f>
        <v>-4189653.8899999997</v>
      </c>
      <c r="T23" s="112" t="s">
        <v>4</v>
      </c>
      <c r="U23" s="158" cm="1">
        <f t="array" ref="U23">INDEX('FY2526 VAT Financial KPIs'!$E:$E, MATCH(1, ('FY2526 VAT Financial KPIs'!$A:$A="SAU")*('FY2526 VAT Financial KPIs'!$D:$D="Gross Margin Contribution"), 0))/12</f>
        <v>75000</v>
      </c>
      <c r="V23" s="158" cm="1">
        <f t="array" ref="V23">INDEX('FY2526 VAT Financial KPIs'!$E:$E, MATCH(1, ('FY2526 VAT Financial KPIs'!$A:$A="SAU")*('FY2526 VAT Financial KPIs'!$D:$D="Gross Margin Contribution"), 0))/12</f>
        <v>75000</v>
      </c>
      <c r="W23" s="158" cm="1">
        <f t="array" ref="W23">INDEX('FY2526 VAT Financial KPIs'!$E:$E, MATCH(1, ('FY2526 VAT Financial KPIs'!$A:$A="SAU")*('FY2526 VAT Financial KPIs'!$D:$D="Gross Margin Contribution"), 0))/12</f>
        <v>75000</v>
      </c>
      <c r="X23" s="158">
        <v>50000</v>
      </c>
      <c r="Y23" s="158">
        <v>50000</v>
      </c>
      <c r="Z23" s="158">
        <v>50000</v>
      </c>
      <c r="AA23" s="158">
        <v>87500</v>
      </c>
      <c r="AB23" s="158">
        <v>87500</v>
      </c>
      <c r="AC23" s="158">
        <v>87500</v>
      </c>
      <c r="AD23" s="158">
        <v>87500</v>
      </c>
      <c r="AE23" s="158">
        <v>87500</v>
      </c>
      <c r="AF23" s="158">
        <v>87500</v>
      </c>
    </row>
    <row r="24" spans="11:32" x14ac:dyDescent="0.25">
      <c r="K24" s="150" t="s">
        <v>160</v>
      </c>
      <c r="L24" s="183">
        <f>SUM(U$38:W40)</f>
        <v>1511893.6500000001</v>
      </c>
      <c r="M24" s="183">
        <f>SUM(X$38:Z40)</f>
        <v>1067419.17</v>
      </c>
      <c r="N24" s="183">
        <f>SUM(AA$38:AC40)</f>
        <v>1532112.0899999999</v>
      </c>
      <c r="O24" s="183">
        <f>SUM(AD$38:AF40)</f>
        <v>2444345.1999999997</v>
      </c>
      <c r="P24" s="205">
        <f>SUM(Table36[[#This Row],[Q1]:[Q4]])</f>
        <v>6555770.1099999994</v>
      </c>
    </row>
    <row r="25" spans="11:32" x14ac:dyDescent="0.25">
      <c r="K25" s="182" t="s">
        <v>154</v>
      </c>
      <c r="L25" s="176">
        <f>L24-L$18</f>
        <v>-738106.34999999986</v>
      </c>
      <c r="M25" s="176">
        <f>M24-M$18</f>
        <v>67419.169999999809</v>
      </c>
      <c r="N25" s="176">
        <f>N24-N$18</f>
        <v>-1342887.9100000001</v>
      </c>
      <c r="O25" s="176">
        <f>O24-O$18</f>
        <v>-430654.80000000028</v>
      </c>
      <c r="P25" s="205">
        <f>SUM(Table36[[#This Row],[Q1]:[Q4]])</f>
        <v>-2444229.8900000006</v>
      </c>
      <c r="T25" s="13" t="s">
        <v>93</v>
      </c>
      <c r="U25" s="112"/>
      <c r="V25" s="112"/>
      <c r="W25" s="112"/>
      <c r="X25" s="112"/>
      <c r="Y25" s="112"/>
      <c r="Z25" s="112"/>
      <c r="AA25" s="112"/>
      <c r="AB25" s="112"/>
      <c r="AC25" s="112"/>
      <c r="AD25" s="112"/>
      <c r="AE25" s="112"/>
      <c r="AF25" s="112"/>
    </row>
    <row r="26" spans="11:32" x14ac:dyDescent="0.25">
      <c r="K26" s="150" t="s">
        <v>161</v>
      </c>
      <c r="L26" s="183">
        <f ca="1">SUM(U$38:W41)</f>
        <v>1511893.6500000001</v>
      </c>
      <c r="M26" s="183">
        <f ca="1">SUM(X$38:Z41)</f>
        <v>1067419.17</v>
      </c>
      <c r="N26" s="183">
        <f ca="1">SUM(AA$38:AC41)</f>
        <v>1532112.0899999999</v>
      </c>
      <c r="O26" s="183">
        <f ca="1">SUM(AD$38:AF41)</f>
        <v>2444345.1999999997</v>
      </c>
      <c r="P26" s="205">
        <f ca="1">SUM(Table36[[#This Row],[Q1]:[Q4]])</f>
        <v>6555770.1099999994</v>
      </c>
      <c r="T26" s="113" t="s">
        <v>94</v>
      </c>
      <c r="U26" s="112" t="s">
        <v>95</v>
      </c>
      <c r="V26" s="112" t="s">
        <v>96</v>
      </c>
      <c r="W26" s="112" t="s">
        <v>97</v>
      </c>
      <c r="X26" s="112" t="s">
        <v>98</v>
      </c>
      <c r="Y26" s="112" t="s">
        <v>99</v>
      </c>
      <c r="Z26" s="112" t="s">
        <v>100</v>
      </c>
      <c r="AA26" s="112" t="s">
        <v>101</v>
      </c>
      <c r="AB26" s="112" t="s">
        <v>102</v>
      </c>
      <c r="AC26" s="112" t="s">
        <v>103</v>
      </c>
      <c r="AD26" s="112" t="s">
        <v>104</v>
      </c>
      <c r="AE26" s="112" t="s">
        <v>105</v>
      </c>
      <c r="AF26" s="112" t="s">
        <v>106</v>
      </c>
    </row>
    <row r="27" spans="11:32" x14ac:dyDescent="0.25">
      <c r="K27" s="182" t="s">
        <v>154</v>
      </c>
      <c r="L27" s="176">
        <f ca="1">L26-L$18</f>
        <v>-738106.34999999986</v>
      </c>
      <c r="M27" s="176">
        <f ca="1">M26-M$18</f>
        <v>67419.169999999809</v>
      </c>
      <c r="N27" s="176">
        <f ca="1">N26-N$18</f>
        <v>-1342887.9100000001</v>
      </c>
      <c r="O27" s="176">
        <f ca="1">O26-O$18</f>
        <v>-430654.80000000028</v>
      </c>
      <c r="P27" s="206">
        <f ca="1">SUM(Table36[[#This Row],[Q1]:[Q4]])</f>
        <v>-2444229.8900000006</v>
      </c>
      <c r="T27" s="112" t="s">
        <v>148</v>
      </c>
      <c r="U27" s="112">
        <f>U38</f>
        <v>546403.82000000007</v>
      </c>
      <c r="V27" s="112">
        <f>SUM($U38:V38)</f>
        <v>1036559.8600000001</v>
      </c>
      <c r="W27" s="112">
        <f>SUM($U38:W38)</f>
        <v>1511893.6500000001</v>
      </c>
      <c r="X27" s="112">
        <f>SUM($U38:X38)</f>
        <v>1935282.6500000001</v>
      </c>
      <c r="Y27" s="112">
        <f>SUM($U38:Y38)</f>
        <v>2323802.12</v>
      </c>
      <c r="Z27" s="112">
        <f>SUM($U38:Z38)</f>
        <v>2579312.8200000003</v>
      </c>
      <c r="AA27" s="112">
        <f>SUM($U38:AA38)</f>
        <v>2798339.91</v>
      </c>
      <c r="AB27" s="112">
        <f>SUM($U38:AB38)</f>
        <v>3131713.31</v>
      </c>
      <c r="AC27" s="112">
        <f>SUM($U38:AC38)</f>
        <v>3616751.39</v>
      </c>
      <c r="AD27" s="112">
        <f>SUM($U38:AD38)</f>
        <v>3919249.0700000003</v>
      </c>
      <c r="AE27" s="112">
        <f>SUM($U38:AE38)</f>
        <v>4243943.4700000007</v>
      </c>
      <c r="AF27" s="112">
        <f>SUM($U38:AF38)</f>
        <v>4568637.870000001</v>
      </c>
    </row>
    <row r="28" spans="11:32" x14ac:dyDescent="0.25">
      <c r="K28" s="150"/>
      <c r="L28" s="176"/>
      <c r="M28" s="176"/>
      <c r="N28" s="176"/>
      <c r="O28" s="176"/>
      <c r="P28" s="177"/>
      <c r="T28" s="112" t="s">
        <v>150</v>
      </c>
      <c r="U28" s="112">
        <f>U39+U27</f>
        <v>546403.82000000007</v>
      </c>
      <c r="V28" s="112">
        <f>SUM($U39:V39)+V27</f>
        <v>1036559.8600000001</v>
      </c>
      <c r="W28" s="112">
        <f>SUM($U39:W39)+W27</f>
        <v>1511893.6500000001</v>
      </c>
      <c r="X28" s="112">
        <f>SUM($U39:X39)+X27</f>
        <v>1935282.6500000001</v>
      </c>
      <c r="Y28" s="112">
        <f>SUM($U39:Y39)+Y27</f>
        <v>2323802.12</v>
      </c>
      <c r="Z28" s="112">
        <f>SUM($U39:Z39)+Z27</f>
        <v>2579312.8200000003</v>
      </c>
      <c r="AA28" s="112">
        <f>SUM($U39:AA39)+AA27</f>
        <v>2798339.91</v>
      </c>
      <c r="AB28" s="112">
        <f>SUM($U39:AB39)+AB27</f>
        <v>3131713.31</v>
      </c>
      <c r="AC28" s="112">
        <f>SUM($U39:AC39)+AC27</f>
        <v>3626584.91</v>
      </c>
      <c r="AD28" s="112">
        <f>SUM($U39:AD39)+AD27</f>
        <v>4001043.7100000004</v>
      </c>
      <c r="AE28" s="112">
        <f>SUM($U39:AE39)+AE27</f>
        <v>4405694.9100000011</v>
      </c>
      <c r="AF28" s="112">
        <f>SUM($U39:AF39)+AF27</f>
        <v>4810346.1100000013</v>
      </c>
    </row>
    <row r="29" spans="11:32" x14ac:dyDescent="0.25">
      <c r="K29" s="201" t="s">
        <v>162</v>
      </c>
      <c r="L29" s="189" t="s">
        <v>47</v>
      </c>
      <c r="M29" s="189" t="s">
        <v>48</v>
      </c>
      <c r="N29" s="189" t="s">
        <v>49</v>
      </c>
      <c r="O29" s="189" t="s">
        <v>50</v>
      </c>
      <c r="P29" s="189" t="s">
        <v>1</v>
      </c>
      <c r="T29" s="112" t="s">
        <v>108</v>
      </c>
      <c r="U29" s="112">
        <f>U40+U28</f>
        <v>546403.82000000007</v>
      </c>
      <c r="V29" s="112">
        <f>SUM($U40:V40)+V28</f>
        <v>1036559.8600000001</v>
      </c>
      <c r="W29" s="112">
        <f>SUM($U40:W40)+W28</f>
        <v>1511893.6500000001</v>
      </c>
      <c r="X29" s="112">
        <f>SUM($U40:X40)+X28</f>
        <v>1935282.6500000001</v>
      </c>
      <c r="Y29" s="112">
        <f>SUM($U40:Y40)+Y28</f>
        <v>2323802.12</v>
      </c>
      <c r="Z29" s="112">
        <f>SUM($U40:Z40)+Z28</f>
        <v>2579312.8200000003</v>
      </c>
      <c r="AA29" s="112">
        <f>SUM($U40:AA40)+AA28</f>
        <v>2798339.91</v>
      </c>
      <c r="AB29" s="112">
        <f>SUM($U40:AB40)+AB28</f>
        <v>3131713.31</v>
      </c>
      <c r="AC29" s="112">
        <f>SUM($U40:AC40)+AC28</f>
        <v>4111424.9099999997</v>
      </c>
      <c r="AD29" s="112">
        <f>SUM($U40:AD40)+AD28</f>
        <v>4873755.71</v>
      </c>
      <c r="AE29" s="112">
        <f>SUM($U40:AE40)+AE28</f>
        <v>5666278.9100000001</v>
      </c>
      <c r="AF29" s="112">
        <f>SUM($U40:AF40)+AF28</f>
        <v>6555770.1100000003</v>
      </c>
    </row>
    <row r="30" spans="11:32" x14ac:dyDescent="0.25">
      <c r="K30" s="150" t="s">
        <v>163</v>
      </c>
      <c r="L30" s="202">
        <f>L6/L18</f>
        <v>0.15</v>
      </c>
      <c r="M30" s="202">
        <f t="shared" ref="M30:P30" si="4">M6/M18</f>
        <v>0.15</v>
      </c>
      <c r="N30" s="202">
        <f t="shared" si="4"/>
        <v>0.15</v>
      </c>
      <c r="O30" s="202">
        <f t="shared" si="4"/>
        <v>0.15</v>
      </c>
      <c r="P30" s="202">
        <f t="shared" si="4"/>
        <v>0.15</v>
      </c>
      <c r="T30" s="112" t="s">
        <v>109</v>
      </c>
      <c r="U30" s="112">
        <f ca="1">U41+U29</f>
        <v>546403.82000000007</v>
      </c>
      <c r="V30" s="112">
        <f ca="1">SUM($U41:V41)+V29</f>
        <v>1036559.8600000001</v>
      </c>
      <c r="W30" s="112">
        <f ca="1">SUM($U41:W41)+W29</f>
        <v>1511893.6500000001</v>
      </c>
      <c r="X30" s="112">
        <f ca="1">SUM($U41:X41)+X29</f>
        <v>1935282.6500000001</v>
      </c>
      <c r="Y30" s="112">
        <f ca="1">SUM($U41:Y41)+Y29</f>
        <v>2323802.12</v>
      </c>
      <c r="Z30" s="112">
        <f ca="1">SUM($U41:Z41)+Z29</f>
        <v>2579312.8200000003</v>
      </c>
      <c r="AA30" s="112">
        <f ca="1">SUM($U41:AA41)+AA29</f>
        <v>2798339.91</v>
      </c>
      <c r="AB30" s="112">
        <f ca="1">SUM($U41:AB41)+AB29</f>
        <v>3131713.31</v>
      </c>
      <c r="AC30" s="112">
        <f ca="1">SUM($U41:AC41)+AC29</f>
        <v>4111424.9099999997</v>
      </c>
      <c r="AD30" s="112">
        <f ca="1">SUM($U41:AD41)+AD29</f>
        <v>4873755.71</v>
      </c>
      <c r="AE30" s="112">
        <f ca="1">SUM($U41:AE41)+AE29</f>
        <v>5666278.9100000001</v>
      </c>
      <c r="AF30" s="112">
        <f ca="1">SUM($U41:AF41)+AF29</f>
        <v>6555770.1100000003</v>
      </c>
    </row>
    <row r="31" spans="11:32" x14ac:dyDescent="0.25">
      <c r="K31" s="150" t="s">
        <v>201</v>
      </c>
      <c r="L31" s="203">
        <f>IFERROR(L7/L19,"")</f>
        <v>0.13699237376914691</v>
      </c>
      <c r="M31" s="203">
        <f>IFERROR(M7/M19,"")</f>
        <v>0.12728246205283969</v>
      </c>
      <c r="N31" s="203">
        <f>IFERROR(N7/N19,"")</f>
        <v>0.1199128644053204</v>
      </c>
      <c r="O31" s="203" t="str">
        <f>IFERROR(O7/O19,"")</f>
        <v/>
      </c>
      <c r="P31" s="204">
        <f>P7/P19</f>
        <v>0.13187687265618411</v>
      </c>
      <c r="T31" s="112" t="s">
        <v>152</v>
      </c>
      <c r="U31" s="112">
        <f>U42</f>
        <v>0</v>
      </c>
      <c r="V31" s="112">
        <f>SUM($U42:V42)</f>
        <v>0</v>
      </c>
      <c r="W31" s="112">
        <f>SUM($U42:W42)</f>
        <v>0</v>
      </c>
      <c r="X31" s="112">
        <f>SUM($U42:X42)</f>
        <v>0</v>
      </c>
      <c r="Y31" s="112">
        <f>SUM($U42:Y42)</f>
        <v>0</v>
      </c>
      <c r="Z31" s="112">
        <f>SUM($U42:Z42)</f>
        <v>0</v>
      </c>
      <c r="AA31" s="112">
        <f>SUM($U42:AA42)</f>
        <v>0</v>
      </c>
      <c r="AB31" s="112">
        <f>SUM($U42:AB42)</f>
        <v>0</v>
      </c>
      <c r="AC31" s="112">
        <f>SUM($U42:AC42)</f>
        <v>0</v>
      </c>
      <c r="AD31" s="112">
        <f>SUM($U42:AD42)</f>
        <v>0</v>
      </c>
      <c r="AE31" s="112">
        <f>SUM($U42:AE42)</f>
        <v>0</v>
      </c>
      <c r="AF31" s="112">
        <f>SUM($U42:AF42)</f>
        <v>0</v>
      </c>
    </row>
    <row r="32" spans="11:32" x14ac:dyDescent="0.25">
      <c r="K32" s="196" t="s">
        <v>202</v>
      </c>
      <c r="L32" s="145">
        <f>L8/L20</f>
        <v>0.13699237376914716</v>
      </c>
      <c r="M32" s="145">
        <f t="shared" ref="M32:P38" si="5">M8/M20</f>
        <v>0.12728246205284113</v>
      </c>
      <c r="N32" s="145">
        <f t="shared" si="5"/>
        <v>0.12572221987081125</v>
      </c>
      <c r="O32" s="145">
        <f t="shared" si="5"/>
        <v>0.11939768279931867</v>
      </c>
      <c r="P32" s="145">
        <f t="shared" si="5"/>
        <v>0.12849864154367749</v>
      </c>
      <c r="T32" s="112" t="s">
        <v>110</v>
      </c>
      <c r="U32" s="157">
        <f>U43</f>
        <v>1000000</v>
      </c>
      <c r="V32" s="157">
        <f>SUM($U43:V43)</f>
        <v>2000000</v>
      </c>
      <c r="W32" s="157">
        <f>SUM($U43:W43)</f>
        <v>3000000</v>
      </c>
      <c r="X32" s="157">
        <f>SUM($U43:X43)</f>
        <v>3333333.3333333335</v>
      </c>
      <c r="Y32" s="157">
        <f>SUM($U43:Y43)</f>
        <v>3666666.666666667</v>
      </c>
      <c r="Z32" s="157">
        <f>SUM($U43:Z43)</f>
        <v>4000000.0000000005</v>
      </c>
      <c r="AA32" s="157">
        <f>SUM($U43:AA43)</f>
        <v>5333333.333333334</v>
      </c>
      <c r="AB32" s="157">
        <f>SUM($U43:AB43)</f>
        <v>6666666.6666666679</v>
      </c>
      <c r="AC32" s="157">
        <f>SUM($U43:AC43)</f>
        <v>8000000.0000000019</v>
      </c>
      <c r="AD32" s="157">
        <f>SUM($U43:AD43)</f>
        <v>9333333.3333333358</v>
      </c>
      <c r="AE32" s="157">
        <f>SUM($U43:AE43)</f>
        <v>10666666.66666667</v>
      </c>
      <c r="AF32" s="157">
        <f>SUM($U43:AF43)</f>
        <v>12000000.000000004</v>
      </c>
    </row>
    <row r="33" spans="11:32" x14ac:dyDescent="0.25">
      <c r="K33" s="199" t="s">
        <v>154</v>
      </c>
      <c r="L33" s="145">
        <f>L32-L$30</f>
        <v>-1.3007626230852831E-2</v>
      </c>
      <c r="M33" s="145">
        <f t="shared" ref="M33:P33" si="6">M32-M$30</f>
        <v>-2.2717537947158861E-2</v>
      </c>
      <c r="N33" s="145">
        <f t="shared" si="6"/>
        <v>-2.4277780129188742E-2</v>
      </c>
      <c r="O33" s="145">
        <f t="shared" si="6"/>
        <v>-3.0602317200681323E-2</v>
      </c>
      <c r="P33" s="145">
        <f t="shared" si="6"/>
        <v>-2.1501358456322506E-2</v>
      </c>
      <c r="T33" s="112" t="s">
        <v>111</v>
      </c>
      <c r="U33" s="157">
        <f>U44</f>
        <v>750000</v>
      </c>
      <c r="V33" s="157">
        <f>SUM($U44:V44)</f>
        <v>1500000</v>
      </c>
      <c r="W33" s="157">
        <f>SUM($U44:W44)</f>
        <v>2250000</v>
      </c>
      <c r="X33" s="157">
        <f>SUM($U44:X44)</f>
        <v>2583333.3333333335</v>
      </c>
      <c r="Y33" s="157">
        <f>SUM($U44:Y44)</f>
        <v>2916666.666666667</v>
      </c>
      <c r="Z33" s="157">
        <f>SUM($U44:Z44)</f>
        <v>3250000.0000000005</v>
      </c>
      <c r="AA33" s="157">
        <f>SUM($U44:AA44)</f>
        <v>4208333.333333334</v>
      </c>
      <c r="AB33" s="157">
        <f>SUM($U44:AB44)</f>
        <v>5166666.666666667</v>
      </c>
      <c r="AC33" s="157">
        <f>SUM($U44:AC44)</f>
        <v>6125000</v>
      </c>
      <c r="AD33" s="157">
        <f>SUM($U44:AD44)</f>
        <v>7083333.333333333</v>
      </c>
      <c r="AE33" s="157">
        <f>SUM($U44:AE44)</f>
        <v>8041666.666666666</v>
      </c>
      <c r="AF33" s="157">
        <f>SUM($U44:AF44)</f>
        <v>9000000</v>
      </c>
    </row>
    <row r="34" spans="11:32" x14ac:dyDescent="0.25">
      <c r="K34" s="150" t="s">
        <v>164</v>
      </c>
      <c r="L34" s="145">
        <f t="shared" ref="L34:O34" si="7">L10/L22</f>
        <v>0.13699237376914716</v>
      </c>
      <c r="M34" s="145">
        <f t="shared" si="7"/>
        <v>0.12728246205284113</v>
      </c>
      <c r="N34" s="145">
        <f t="shared" si="7"/>
        <v>0.12571919108433416</v>
      </c>
      <c r="O34" s="145">
        <f t="shared" si="7"/>
        <v>0.12124519708873713</v>
      </c>
      <c r="P34" s="145">
        <f t="shared" si="5"/>
        <v>0.12850825821346157</v>
      </c>
      <c r="T34" s="112" t="s">
        <v>4</v>
      </c>
      <c r="U34" s="157">
        <f>U45</f>
        <v>517241.37931034487</v>
      </c>
      <c r="V34" s="157">
        <f>RevCumulativeSpreadTable618[[#This Row],[July]]+V45</f>
        <v>1034482.7586206897</v>
      </c>
      <c r="W34" s="157">
        <f>RevCumulativeSpreadTable618[[#This Row],[August]]+W45</f>
        <v>1551724.1379310347</v>
      </c>
      <c r="X34" s="157">
        <f>RevCumulativeSpreadTable618[[#This Row],[September]]+X45</f>
        <v>1896551.7241379311</v>
      </c>
      <c r="Y34" s="157">
        <f>RevCumulativeSpreadTable618[[#This Row],[October]]+Y45</f>
        <v>2241379.3103448278</v>
      </c>
      <c r="Z34" s="157">
        <f>RevCumulativeSpreadTable618[[#This Row],[November]]+Z45</f>
        <v>2586206.8965517245</v>
      </c>
      <c r="AA34" s="157">
        <f>RevCumulativeSpreadTable618[[#This Row],[December]]+AA45</f>
        <v>3189655.1724137934</v>
      </c>
      <c r="AB34" s="157">
        <f>RevCumulativeSpreadTable618[[#This Row],[January]]+AB45</f>
        <v>3793103.4482758623</v>
      </c>
      <c r="AC34" s="157">
        <f>RevCumulativeSpreadTable618[[#This Row],[February]]+AC45</f>
        <v>4396551.7241379311</v>
      </c>
      <c r="AD34" s="157">
        <f>RevCumulativeSpreadTable618[[#This Row],[March]]+AD45</f>
        <v>5000000</v>
      </c>
      <c r="AE34" s="157">
        <f>RevCumulativeSpreadTable618[[#This Row],[April]]+AE45</f>
        <v>5603448.2758620689</v>
      </c>
      <c r="AF34" s="157">
        <f>RevCumulativeSpreadTable618[[#This Row],[May]]+AF45</f>
        <v>6206896.5517241377</v>
      </c>
    </row>
    <row r="35" spans="11:32" x14ac:dyDescent="0.25">
      <c r="K35" s="199" t="s">
        <v>154</v>
      </c>
      <c r="L35" s="145">
        <f t="shared" ref="L35:P35" si="8">L34-L$30</f>
        <v>-1.3007626230852831E-2</v>
      </c>
      <c r="M35" s="145">
        <f t="shared" si="8"/>
        <v>-2.2717537947158861E-2</v>
      </c>
      <c r="N35" s="145">
        <f t="shared" si="8"/>
        <v>-2.4280808915665836E-2</v>
      </c>
      <c r="O35" s="145">
        <f t="shared" si="8"/>
        <v>-2.8754802911262867E-2</v>
      </c>
      <c r="P35" s="145">
        <f t="shared" si="8"/>
        <v>-2.1491741786538426E-2</v>
      </c>
    </row>
    <row r="36" spans="11:32" x14ac:dyDescent="0.25">
      <c r="K36" s="150" t="s">
        <v>165</v>
      </c>
      <c r="L36" s="145">
        <f t="shared" ref="L36:O36" si="9">L12/L24</f>
        <v>0.13699237376914716</v>
      </c>
      <c r="M36" s="145">
        <f t="shared" si="9"/>
        <v>0.12728246205284113</v>
      </c>
      <c r="N36" s="145">
        <f t="shared" si="9"/>
        <v>8.5935096302255556E-2</v>
      </c>
      <c r="O36" s="145">
        <f t="shared" si="9"/>
        <v>5.8717303922539259E-2</v>
      </c>
      <c r="P36" s="145">
        <f t="shared" si="5"/>
        <v>9.4293910498335104E-2</v>
      </c>
      <c r="T36" s="13" t="s">
        <v>113</v>
      </c>
      <c r="W36" s="13"/>
    </row>
    <row r="37" spans="11:32" x14ac:dyDescent="0.25">
      <c r="K37" s="199" t="s">
        <v>154</v>
      </c>
      <c r="L37" s="145">
        <f t="shared" ref="L37:P37" si="10">L36-L$30</f>
        <v>-1.3007626230852831E-2</v>
      </c>
      <c r="M37" s="145">
        <f t="shared" si="10"/>
        <v>-2.2717537947158861E-2</v>
      </c>
      <c r="N37" s="145">
        <f t="shared" si="10"/>
        <v>-6.4064903697744438E-2</v>
      </c>
      <c r="O37" s="145">
        <f t="shared" si="10"/>
        <v>-9.1282696077460729E-2</v>
      </c>
      <c r="P37" s="145">
        <f t="shared" si="10"/>
        <v>-5.570608950166489E-2</v>
      </c>
      <c r="T37" s="13" t="s">
        <v>94</v>
      </c>
      <c r="U37" s="118" t="s">
        <v>95</v>
      </c>
      <c r="V37" s="118" t="s">
        <v>96</v>
      </c>
      <c r="W37" s="118" t="s">
        <v>97</v>
      </c>
      <c r="X37" s="118" t="s">
        <v>98</v>
      </c>
      <c r="Y37" s="118" t="s">
        <v>99</v>
      </c>
      <c r="Z37" s="118" t="s">
        <v>100</v>
      </c>
      <c r="AA37" s="118" t="s">
        <v>101</v>
      </c>
      <c r="AB37" s="118" t="s">
        <v>102</v>
      </c>
      <c r="AC37" s="118" t="s">
        <v>103</v>
      </c>
      <c r="AD37" s="118" t="s">
        <v>104</v>
      </c>
      <c r="AE37" s="118" t="s">
        <v>105</v>
      </c>
      <c r="AF37" s="118" t="s">
        <v>106</v>
      </c>
    </row>
    <row r="38" spans="11:32" x14ac:dyDescent="0.25">
      <c r="K38" s="150" t="s">
        <v>166</v>
      </c>
      <c r="L38" s="145">
        <f t="shared" ref="L38:O38" ca="1" si="11">L14/L26</f>
        <v>0.13699237376914716</v>
      </c>
      <c r="M38" s="145">
        <f t="shared" ca="1" si="11"/>
        <v>0.12728246205284113</v>
      </c>
      <c r="N38" s="145">
        <f t="shared" ca="1" si="11"/>
        <v>8.5935096302255556E-2</v>
      </c>
      <c r="O38" s="145">
        <f t="shared" ca="1" si="11"/>
        <v>5.8717303922539259E-2</v>
      </c>
      <c r="P38" s="145">
        <f t="shared" ca="1" si="5"/>
        <v>9.4293910498335104E-2</v>
      </c>
      <c r="T38" s="112" t="s">
        <v>148</v>
      </c>
      <c r="U38" s="112">
        <f>SUMIF(Job_Status[VAT],"SAU",Job_Status[R1])</f>
        <v>546403.82000000007</v>
      </c>
      <c r="V38" s="112">
        <f>SUMIF(Job_Status[VAT],"SAU",Job_Status[R2])</f>
        <v>490156.0400000001</v>
      </c>
      <c r="W38" s="112">
        <f>SUMIF(Job_Status[VAT],"SAU",Job_Status[R3])</f>
        <v>475333.79</v>
      </c>
      <c r="X38" s="112">
        <f>SUMIF(Job_Status[VAT],"SAU",Job_Status[R4])</f>
        <v>423389</v>
      </c>
      <c r="Y38" s="112">
        <f>SUMIF(Job_Status[VAT],"SAU",Job_Status[R5])</f>
        <v>388519.47000000003</v>
      </c>
      <c r="Z38" s="112">
        <f>SUMIF(Job_Status[VAT],"SAU",Job_Status[R6])</f>
        <v>255510.7</v>
      </c>
      <c r="AA38" s="112">
        <f>SUMIF(Job_Status[VAT],"SAU",Job_Status[R7])</f>
        <v>219027.09</v>
      </c>
      <c r="AB38" s="112">
        <f>SUMIF(Job_Status[VAT],"SAU",Job_Status[R8])</f>
        <v>333373.40000000002</v>
      </c>
      <c r="AC38" s="112">
        <f>SUMIF(Job_Status[VAT],"SAU",Job_Status[R9])</f>
        <v>485038.08000000002</v>
      </c>
      <c r="AD38" s="112">
        <f>SUMIF(Job_Status[VAT],"SAU",Job_Status[R10])</f>
        <v>302497.68</v>
      </c>
      <c r="AE38" s="112">
        <f>SUMIF(Job_Status[VAT],"SAU",Job_Status[R11])</f>
        <v>324694.40000000002</v>
      </c>
      <c r="AF38" s="112">
        <f>SUMIF(Job_Status[VAT],"SAU",Job_Status[R12])</f>
        <v>324694.40000000002</v>
      </c>
    </row>
    <row r="39" spans="11:32" x14ac:dyDescent="0.25">
      <c r="K39" s="200" t="s">
        <v>154</v>
      </c>
      <c r="L39" s="145">
        <f t="shared" ref="L39:P39" ca="1" si="12">L38-L$30</f>
        <v>-1.3007626230852831E-2</v>
      </c>
      <c r="M39" s="145">
        <f t="shared" ca="1" si="12"/>
        <v>-2.2717537947158861E-2</v>
      </c>
      <c r="N39" s="145">
        <f t="shared" ca="1" si="12"/>
        <v>-6.4064903697744438E-2</v>
      </c>
      <c r="O39" s="145">
        <f t="shared" ca="1" si="12"/>
        <v>-9.1282696077460729E-2</v>
      </c>
      <c r="P39" s="145">
        <f t="shared" ca="1" si="12"/>
        <v>-5.570608950166489E-2</v>
      </c>
      <c r="T39" s="112" t="s">
        <v>77</v>
      </c>
      <c r="U39" s="112">
        <f>SUMIFS(OppSpreadData[July],OppSpreadData[VAT],"SAU",OppSpreadData[Phase],RevSpreadTable517[[#This Row],[STATUS]])</f>
        <v>0</v>
      </c>
      <c r="V39" s="112">
        <f>SUMIFS(OppSpreadData[August],OppSpreadData[VAT],"SAU",OppSpreadData[Phase],RevSpreadTable517[[#This Row],[STATUS]])</f>
        <v>0</v>
      </c>
      <c r="W39" s="112">
        <f>SUMIFS(OppSpreadData[September],OppSpreadData[VAT],"SAU",OppSpreadData[Phase],RevSpreadTable517[[#This Row],[STATUS]])</f>
        <v>0</v>
      </c>
      <c r="X39" s="112">
        <f>SUMIFS(OppSpreadData[October],OppSpreadData[VAT],"SAU",OppSpreadData[Phase],RevSpreadTable517[[#This Row],[STATUS]])</f>
        <v>0</v>
      </c>
      <c r="Y39" s="112">
        <f>SUMIFS(OppSpreadData[November],OppSpreadData[VAT],"SAU",OppSpreadData[Phase],RevSpreadTable517[[#This Row],[STATUS]])</f>
        <v>0</v>
      </c>
      <c r="Z39" s="112">
        <f>SUMIFS(OppSpreadData[December],OppSpreadData[VAT],"SAU",OppSpreadData[Phase],RevSpreadTable517[[#This Row],[STATUS]])</f>
        <v>0</v>
      </c>
      <c r="AA39" s="112">
        <f>SUMIFS(OppSpreadData[January],OppSpreadData[VAT],"SAU",OppSpreadData[Phase],RevSpreadTable517[[#This Row],[STATUS]])</f>
        <v>0</v>
      </c>
      <c r="AB39" s="112">
        <f>SUMIFS(OppSpreadData[February],OppSpreadData[VAT],"SAU",OppSpreadData[Phase],RevSpreadTable517[[#This Row],[STATUS]])</f>
        <v>0</v>
      </c>
      <c r="AC39" s="112">
        <f>SUMIFS(OppSpreadData[March],OppSpreadData[VAT],"SAU",OppSpreadData[Phase],RevSpreadTable517[[#This Row],[STATUS]])</f>
        <v>9833.52</v>
      </c>
      <c r="AD39" s="112">
        <f>SUMIFS(OppSpreadData[April],OppSpreadData[VAT],"SAU",OppSpreadData[Phase],RevSpreadTable517[[#This Row],[STATUS]])</f>
        <v>71961.119999999995</v>
      </c>
      <c r="AE39" s="112">
        <f>SUMIFS(OppSpreadData[May],OppSpreadData[VAT],"SAU",OppSpreadData[Phase],RevSpreadTable517[[#This Row],[STATUS]])</f>
        <v>79956.799999999988</v>
      </c>
      <c r="AF39" s="112">
        <f>SUMIFS(OppSpreadData[June],OppSpreadData[VAT],"SAU",OppSpreadData[Phase],RevSpreadTable517[[#This Row],[STATUS]])</f>
        <v>79956.799999999988</v>
      </c>
    </row>
    <row r="40" spans="11:32" x14ac:dyDescent="0.25">
      <c r="T40" s="112" t="s">
        <v>76</v>
      </c>
      <c r="U40" s="112">
        <f>SUMIFS(OppSpreadData[July],OppSpreadData[VAT],"SAU",OppSpreadData[Phase],RevSpreadTable517[[#This Row],[STATUS]])</f>
        <v>0</v>
      </c>
      <c r="V40" s="112">
        <f>SUMIFS(OppSpreadData[August],OppSpreadData[VAT],"SAU",OppSpreadData[Phase],RevSpreadTable517[[#This Row],[STATUS]])</f>
        <v>0</v>
      </c>
      <c r="W40" s="112">
        <f>SUMIFS(OppSpreadData[September],OppSpreadData[VAT],"SAU",OppSpreadData[Phase],RevSpreadTable517[[#This Row],[STATUS]])</f>
        <v>0</v>
      </c>
      <c r="X40" s="112">
        <f>SUMIFS(OppSpreadData[October],OppSpreadData[VAT],"SAU",OppSpreadData[Phase],RevSpreadTable517[[#This Row],[STATUS]])</f>
        <v>0</v>
      </c>
      <c r="Y40" s="112">
        <f>SUMIFS(OppSpreadData[November],OppSpreadData[VAT],"SAU",OppSpreadData[Phase],RevSpreadTable517[[#This Row],[STATUS]])</f>
        <v>0</v>
      </c>
      <c r="Z40" s="112">
        <f>SUMIFS(OppSpreadData[December],OppSpreadData[VAT],"SAU",OppSpreadData[Phase],RevSpreadTable517[[#This Row],[STATUS]])</f>
        <v>0</v>
      </c>
      <c r="AA40" s="112">
        <f>SUMIFS(OppSpreadData[January],OppSpreadData[VAT],"SAU",OppSpreadData[Phase],RevSpreadTable517[[#This Row],[STATUS]])</f>
        <v>0</v>
      </c>
      <c r="AB40" s="112">
        <f>SUMIFS(OppSpreadData[February],OppSpreadData[VAT],"SAU",OppSpreadData[Phase],RevSpreadTable517[[#This Row],[STATUS]])</f>
        <v>0</v>
      </c>
      <c r="AC40" s="112">
        <f>SUMIFS(OppSpreadData[March],OppSpreadData[VAT],"SAU",OppSpreadData[Phase],RevSpreadTable517[[#This Row],[STATUS]])</f>
        <v>484839.99999999971</v>
      </c>
      <c r="AD40" s="112">
        <f>SUMIFS(OppSpreadData[April],OppSpreadData[VAT],"SAU",OppSpreadData[Phase],RevSpreadTable517[[#This Row],[STATUS]])</f>
        <v>387871.99999999988</v>
      </c>
      <c r="AE40" s="112">
        <f>SUMIFS(OppSpreadData[May],OppSpreadData[VAT],"SAU",OppSpreadData[Phase],RevSpreadTable517[[#This Row],[STATUS]])</f>
        <v>387871.99999999988</v>
      </c>
      <c r="AF40" s="112">
        <f>SUMIFS(OppSpreadData[June],OppSpreadData[VAT],"SAU",OppSpreadData[Phase],RevSpreadTable517[[#This Row],[STATUS]])</f>
        <v>484839.99999999971</v>
      </c>
    </row>
    <row r="41" spans="11:32" x14ac:dyDescent="0.25">
      <c r="L41" s="276" t="s">
        <v>15</v>
      </c>
      <c r="M41" s="288"/>
      <c r="N41" s="276" t="s">
        <v>167</v>
      </c>
      <c r="O41" s="288"/>
      <c r="P41" s="275" t="s">
        <v>3</v>
      </c>
      <c r="Q41" s="276"/>
      <c r="T41" s="112" t="s">
        <v>75</v>
      </c>
      <c r="U41" s="112" cm="1">
        <f t="array" aca="1" ref="U41" ca="1">SUM(
_xlfn._xlws.FILTER(
_xlfn.DROP(_xlfn.CHOOSECOLS(QBlockRev,4),1),
_xlfn.DROP(_xlfn.CHOOSECOLS(QBlockRev,3),1)="SAU", 0
))</f>
        <v>0</v>
      </c>
      <c r="V41" s="112" cm="1">
        <f t="array" aca="1" ref="V41" ca="1">SUM(
  _xlfn._xlws.FILTER(
    _xlfn.DROP(_xlfn.CHOOSECOLS(QBlockRev,5),1),
    _xlfn.DROP(_xlfn.CHOOSECOLS(QBlockRev,3),1)="SAU", 0
  )
)</f>
        <v>0</v>
      </c>
      <c r="W41" s="112" cm="1">
        <f t="array" aca="1" ref="W41" ca="1">SUM(
  _xlfn._xlws.FILTER(
    _xlfn.DROP(_xlfn.CHOOSECOLS(QBlockRev,6),1),
    _xlfn.DROP(_xlfn.CHOOSECOLS(QBlockRev,3),1)="SAU", 0
  )
)</f>
        <v>0</v>
      </c>
      <c r="X41" s="112" cm="1">
        <f t="array" aca="1" ref="X41" ca="1">SUM(
  _xlfn._xlws.FILTER(
    _xlfn.DROP(_xlfn.CHOOSECOLS(QBlockRev,7),1),
    _xlfn.DROP(_xlfn.CHOOSECOLS(QBlockRev,3),1)="SAU", 0
  )
)</f>
        <v>0</v>
      </c>
      <c r="Y41" s="112" cm="1">
        <f t="array" aca="1" ref="Y41" ca="1">SUM(
  _xlfn._xlws.FILTER(
    _xlfn.DROP(_xlfn.CHOOSECOLS(QBlockRev,8),1),
    _xlfn.DROP(_xlfn.CHOOSECOLS(QBlockRev,3),1)="SAU", 0
  )
)</f>
        <v>0</v>
      </c>
      <c r="Z41" s="112" cm="1">
        <f t="array" aca="1" ref="Z41" ca="1">SUM(
  _xlfn._xlws.FILTER(
    _xlfn.DROP(_xlfn.CHOOSECOLS(QBlockRev,9),1),
    _xlfn.DROP(_xlfn.CHOOSECOLS(QBlockRev,3),1)="SAU", 0
  )
)</f>
        <v>0</v>
      </c>
      <c r="AA41" s="112" cm="1">
        <f t="array" aca="1" ref="AA41" ca="1">SUM(
  _xlfn._xlws.FILTER(
    _xlfn.DROP(_xlfn.CHOOSECOLS(QBlockRev,10),1),
    _xlfn.DROP(_xlfn.CHOOSECOLS(QBlockRev,3),1)="SAU", 0
  )
)</f>
        <v>0</v>
      </c>
      <c r="AB41" s="112" cm="1">
        <f t="array" aca="1" ref="AB41" ca="1">SUM(
  _xlfn._xlws.FILTER(
    _xlfn.DROP(_xlfn.CHOOSECOLS(QBlockRev,11),1),
    _xlfn.DROP(_xlfn.CHOOSECOLS(QBlockRev,3),1)="SAU", 0
  )
)</f>
        <v>0</v>
      </c>
      <c r="AC41" s="112" cm="1">
        <f t="array" aca="1" ref="AC41" ca="1">SUM(
  _xlfn._xlws.FILTER(
    _xlfn.DROP(_xlfn.CHOOSECOLS(QBlockRev,12),1),
    _xlfn.DROP(_xlfn.CHOOSECOLS(QBlockRev,3),1)="SAU", 0
  )
)</f>
        <v>0</v>
      </c>
      <c r="AD41" s="112" cm="1">
        <f t="array" aca="1" ref="AD41" ca="1">SUM(
  _xlfn._xlws.FILTER(
    _xlfn.DROP(_xlfn.CHOOSECOLS(QBlockRev,13),1),
    _xlfn.DROP(_xlfn.CHOOSECOLS(QBlockRev,3),1)="SAU", 0
  )
)</f>
        <v>0</v>
      </c>
      <c r="AE41" s="112" cm="1">
        <f t="array" aca="1" ref="AE41" ca="1">SUM(
  _xlfn._xlws.FILTER(
    _xlfn.DROP(_xlfn.CHOOSECOLS(QBlockRev,14),1),
    _xlfn.DROP(_xlfn.CHOOSECOLS(QBlockRev,3),1)="SAU", 0
  )
)</f>
        <v>0</v>
      </c>
      <c r="AF41" s="112" cm="1">
        <f t="array" aca="1" ref="AF41" ca="1">SUM(
  _xlfn._xlws.FILTER(
    _xlfn.DROP(_xlfn.CHOOSECOLS(QBlockRev,15),1),
    _xlfn.DROP(_xlfn.CHOOSECOLS(QBlockRev,3),1)="SAU", 0
  )
)</f>
        <v>0</v>
      </c>
    </row>
    <row r="42" spans="11:32" x14ac:dyDescent="0.25">
      <c r="K42" s="124" t="s">
        <v>168</v>
      </c>
      <c r="L42" s="125" t="s">
        <v>8</v>
      </c>
      <c r="M42" s="126" t="s">
        <v>169</v>
      </c>
      <c r="N42" s="125" t="s">
        <v>170</v>
      </c>
      <c r="O42" s="126" t="s">
        <v>171</v>
      </c>
      <c r="P42" s="125" t="s">
        <v>172</v>
      </c>
      <c r="Q42" s="126" t="s">
        <v>173</v>
      </c>
      <c r="T42" s="112" t="s">
        <v>152</v>
      </c>
      <c r="U42" s="146"/>
      <c r="V42" s="146"/>
      <c r="W42" s="146"/>
      <c r="X42" s="146"/>
      <c r="Y42" s="146"/>
      <c r="Z42" s="146"/>
      <c r="AA42" s="146"/>
      <c r="AB42" s="146"/>
      <c r="AC42" s="146"/>
      <c r="AD42" s="146"/>
      <c r="AE42" s="146"/>
      <c r="AF42" s="146"/>
    </row>
    <row r="43" spans="11:32" x14ac:dyDescent="0.25">
      <c r="K43" s="137" t="s">
        <v>31</v>
      </c>
      <c r="L43" s="138">
        <f>SUMIFS(Job_Status[To Date Gross Profit],Job_Status[Work Type],K43,Job_Status[VAT],"SAU")</f>
        <v>0</v>
      </c>
      <c r="M43" s="139">
        <f>SUMIFS(Job_Status[GP at completion],Job_Status[Work Type],K43,Job_Status[VAT],"SAU")</f>
        <v>0</v>
      </c>
      <c r="N43" s="140" t="str">
        <f>IFERROR(L43/P43,"")</f>
        <v/>
      </c>
      <c r="O43" s="140" t="str">
        <f>IFERROR(M43/Q43,"")</f>
        <v/>
      </c>
      <c r="P43" s="138">
        <f>SUMIFS(Job_Status[Actual], Job_Status[Work Type],K43,Job_Status[VAT],"SAU")</f>
        <v>0</v>
      </c>
      <c r="Q43" s="138">
        <f>SUMIFS(Job_Status[Forecasted Revenue], Job_Status[Work Type],K43,Job_Status[VAT],"SAU")</f>
        <v>0</v>
      </c>
      <c r="T43" s="112" t="s">
        <v>110</v>
      </c>
      <c r="U43" s="157" cm="1">
        <f t="array" ref="U43">INDEX('FY2526 VAT Financial KPIs'!$G:$G, MATCH(1, ('FY2526 VAT Financial KPIs'!$A:$A="SAU")*('FY2526 VAT Financial KPIs'!$D:$D="Revenue"), 0))/12</f>
        <v>1000000</v>
      </c>
      <c r="V43" s="157" cm="1">
        <f t="array" ref="V43">INDEX('FY2526 VAT Financial KPIs'!$G:$G, MATCH(1, ('FY2526 VAT Financial KPIs'!$A:$A="SAU")*('FY2526 VAT Financial KPIs'!$D:$D="Revenue"), 0))/12</f>
        <v>1000000</v>
      </c>
      <c r="W43" s="157" cm="1">
        <f t="array" ref="W43">INDEX('FY2526 VAT Financial KPIs'!$G:$G, MATCH(1, ('FY2526 VAT Financial KPIs'!$A:$A="SAU")*('FY2526 VAT Financial KPIs'!$D:$D="Revenue"), 0))/12</f>
        <v>1000000</v>
      </c>
      <c r="X43" s="157">
        <f>1000000/3</f>
        <v>333333.33333333331</v>
      </c>
      <c r="Y43" s="157">
        <f t="shared" ref="Y43:Z43" si="13">1000000/3</f>
        <v>333333.33333333331</v>
      </c>
      <c r="Z43" s="157">
        <f t="shared" si="13"/>
        <v>333333.33333333331</v>
      </c>
      <c r="AA43" s="157">
        <f>200000/0.15</f>
        <v>1333333.3333333335</v>
      </c>
      <c r="AB43" s="157">
        <f t="shared" ref="AB43:AF43" si="14">200000/0.15</f>
        <v>1333333.3333333335</v>
      </c>
      <c r="AC43" s="157">
        <f t="shared" si="14"/>
        <v>1333333.3333333335</v>
      </c>
      <c r="AD43" s="157">
        <f t="shared" si="14"/>
        <v>1333333.3333333335</v>
      </c>
      <c r="AE43" s="157">
        <f t="shared" si="14"/>
        <v>1333333.3333333335</v>
      </c>
      <c r="AF43" s="157">
        <f t="shared" si="14"/>
        <v>1333333.3333333335</v>
      </c>
    </row>
    <row r="44" spans="11:32" x14ac:dyDescent="0.25">
      <c r="K44" s="137" t="s">
        <v>34</v>
      </c>
      <c r="L44" s="138">
        <f>SUMIFS(Job_Status[To Date Gross Profit],Job_Status[Work Type],K44,Job_Status[VAT],"SAU")</f>
        <v>0</v>
      </c>
      <c r="M44" s="139">
        <f>SUMIFS(Job_Status[GP at completion],Job_Status[Work Type],K44,Job_Status[VAT],"SAU")</f>
        <v>0</v>
      </c>
      <c r="N44" s="140" t="str">
        <f t="shared" ref="N44:O46" si="15">IFERROR(L44/P44,"")</f>
        <v/>
      </c>
      <c r="O44" s="140" t="str">
        <f t="shared" si="15"/>
        <v/>
      </c>
      <c r="P44" s="138">
        <f>SUMIFS(Job_Status[Actual], Job_Status[Work Type],K44,Job_Status[VAT],"SAU")</f>
        <v>0</v>
      </c>
      <c r="Q44" s="138">
        <f>SUMIFS(Job_Status[Forecasted Revenue], Job_Status[Work Type],K44,Job_Status[VAT],"SAU")</f>
        <v>0</v>
      </c>
      <c r="T44" s="112" t="s">
        <v>111</v>
      </c>
      <c r="U44" s="157" cm="1">
        <f t="array" ref="U44">INDEX('FY2526 VAT Financial KPIs'!$F:$F, MATCH(1, ('FY2526 VAT Financial KPIs'!$A:$A="SAU")*('FY2526 VAT Financial KPIs'!$D:$D="Revenue"), 0))/12</f>
        <v>750000</v>
      </c>
      <c r="V44" s="157" cm="1">
        <f t="array" ref="V44">INDEX('FY2526 VAT Financial KPIs'!$F:$F, MATCH(1, ('FY2526 VAT Financial KPIs'!$A:$A="SAU")*('FY2526 VAT Financial KPIs'!$D:$D="Revenue"), 0))/12</f>
        <v>750000</v>
      </c>
      <c r="W44" s="157" cm="1">
        <f t="array" ref="W44">INDEX('FY2526 VAT Financial KPIs'!$F:$F, MATCH(1, ('FY2526 VAT Financial KPIs'!$A:$A="SAU")*('FY2526 VAT Financial KPIs'!$D:$D="Revenue"), 0))/12</f>
        <v>750000</v>
      </c>
      <c r="X44" s="157">
        <f>X22/0.15</f>
        <v>333333.33333333337</v>
      </c>
      <c r="Y44" s="157">
        <f t="shared" ref="Y44:Z44" si="16">Y22/0.15</f>
        <v>333333.33333333337</v>
      </c>
      <c r="Z44" s="157">
        <f t="shared" si="16"/>
        <v>333333.33333333337</v>
      </c>
      <c r="AA44" s="157">
        <f>AA22/0.15</f>
        <v>958333.33333333337</v>
      </c>
      <c r="AB44" s="157">
        <f t="shared" ref="AB44:AF44" si="17">AB22/0.15</f>
        <v>958333.33333333337</v>
      </c>
      <c r="AC44" s="157">
        <f t="shared" si="17"/>
        <v>958333.33333333337</v>
      </c>
      <c r="AD44" s="157">
        <f t="shared" si="17"/>
        <v>958333.33333333337</v>
      </c>
      <c r="AE44" s="157">
        <f t="shared" si="17"/>
        <v>958333.33333333337</v>
      </c>
      <c r="AF44" s="157">
        <f t="shared" si="17"/>
        <v>958333.33333333337</v>
      </c>
    </row>
    <row r="45" spans="11:32" x14ac:dyDescent="0.25">
      <c r="K45" s="137" t="s">
        <v>35</v>
      </c>
      <c r="L45" s="138">
        <f>SUMIFS(Job_Status[To Date Gross Profit],Job_Status[Work Type],K45,Job_Status[VAT],"SAU")</f>
        <v>0</v>
      </c>
      <c r="M45" s="139">
        <f>SUMIFS(Job_Status[GP at completion],Job_Status[Work Type],K45,Job_Status[VAT],"SAU")</f>
        <v>0</v>
      </c>
      <c r="N45" s="140" t="str">
        <f t="shared" si="15"/>
        <v/>
      </c>
      <c r="O45" s="140" t="str">
        <f t="shared" si="15"/>
        <v/>
      </c>
      <c r="P45" s="138">
        <f>SUMIFS(Job_Status[Actual], Job_Status[Work Type],K45,Job_Status[VAT],"SAU")</f>
        <v>0</v>
      </c>
      <c r="Q45" s="138">
        <f>SUMIFS(Job_Status[Forecasted Revenue], Job_Status[Work Type],K45,Job_Status[VAT],"SAU")</f>
        <v>0</v>
      </c>
      <c r="T45" s="112" t="s">
        <v>4</v>
      </c>
      <c r="U45" s="157" cm="1">
        <f t="array" ref="U45">INDEX('FY2526 VAT Financial KPIs'!$E:$E, MATCH(1, ('FY2526 VAT Financial KPIs'!$A:$A="SAU")*('FY2526 VAT Financial KPIs'!$D:$D="Revenue"), 0))/12</f>
        <v>517241.37931034487</v>
      </c>
      <c r="V45" s="157" cm="1">
        <f t="array" ref="V45">INDEX('FY2526 VAT Financial KPIs'!$E:$E, MATCH(1, ('FY2526 VAT Financial KPIs'!$A:$A="SAU")*('FY2526 VAT Financial KPIs'!$D:$D="Revenue"), 0))/12</f>
        <v>517241.37931034487</v>
      </c>
      <c r="W45" s="157" cm="1">
        <f t="array" ref="W45">INDEX('FY2526 VAT Financial KPIs'!$E:$E, MATCH(1, ('FY2526 VAT Financial KPIs'!$A:$A="SAU")*('FY2526 VAT Financial KPIs'!$D:$D="Revenue"), 0))/12</f>
        <v>517241.37931034487</v>
      </c>
      <c r="X45" s="157">
        <f>X23/0.145</f>
        <v>344827.58620689658</v>
      </c>
      <c r="Y45" s="157">
        <f t="shared" ref="Y45:Z45" si="18">Y23/0.145</f>
        <v>344827.58620689658</v>
      </c>
      <c r="Z45" s="157">
        <f t="shared" si="18"/>
        <v>344827.58620689658</v>
      </c>
      <c r="AA45" s="157">
        <f>AA23/0.145</f>
        <v>603448.27586206899</v>
      </c>
      <c r="AB45" s="157">
        <f t="shared" ref="AB45:AF45" si="19">AB23/0.145</f>
        <v>603448.27586206899</v>
      </c>
      <c r="AC45" s="157">
        <f t="shared" si="19"/>
        <v>603448.27586206899</v>
      </c>
      <c r="AD45" s="157">
        <f t="shared" si="19"/>
        <v>603448.27586206899</v>
      </c>
      <c r="AE45" s="157">
        <f t="shared" si="19"/>
        <v>603448.27586206899</v>
      </c>
      <c r="AF45" s="157">
        <f t="shared" si="19"/>
        <v>603448.27586206899</v>
      </c>
    </row>
    <row r="46" spans="11:32" x14ac:dyDescent="0.25">
      <c r="K46" s="141" t="s">
        <v>39</v>
      </c>
      <c r="L46" s="142">
        <f>SUMIFS(Job_Status[To Date Gross Profit],Job_Status[Work Type],K46,Job_Status[VAT],"SAU")</f>
        <v>371345.47999999736</v>
      </c>
      <c r="M46" s="143">
        <f>SUMIFS(Job_Status[GP at completion],Job_Status[Work Type],K46,Job_Status[VAT],"SAU")</f>
        <v>587063.75999999722</v>
      </c>
      <c r="N46" s="144">
        <f t="shared" si="15"/>
        <v>0.13187687265618414</v>
      </c>
      <c r="O46" s="144">
        <f t="shared" si="15"/>
        <v>0.12849864154367688</v>
      </c>
      <c r="P46" s="142">
        <f>SUMIFS(Job_Status[Actual], Job_Status[Work Type],K46,Job_Status[VAT],"SAU")</f>
        <v>2815849.9099999983</v>
      </c>
      <c r="Q46" s="142">
        <f>SUMIFS(Job_Status[Forecasted Revenue], Job_Status[Work Type],K46,Job_Status[VAT],"SAU")</f>
        <v>4568637.8699999982</v>
      </c>
    </row>
    <row r="47" spans="11:32" ht="15.75" thickBot="1" x14ac:dyDescent="0.3">
      <c r="K47" s="127" t="s">
        <v>174</v>
      </c>
      <c r="L47" s="128">
        <f>SUBTOTAL(109,Table1421[Earned to Date])</f>
        <v>371345.47999999736</v>
      </c>
      <c r="M47" s="129">
        <f>SUBTOTAL(109,Table1421[@Completion])</f>
        <v>587063.75999999722</v>
      </c>
      <c r="N47" s="130">
        <f>Table1421[[#Totals],[Earned to Date]]/Table1421[[#Totals],[Earned to Date  ]]</f>
        <v>0.13187687265618414</v>
      </c>
      <c r="O47" s="130">
        <f>Table1421[[#Totals],[@Completion]]/Table1421[[#Totals],[@ Completion  ]]</f>
        <v>0.12849864154367688</v>
      </c>
      <c r="P47" s="128">
        <f>SUBTOTAL(109,Table1421[[Earned to Date  ]])</f>
        <v>2815849.9099999983</v>
      </c>
      <c r="Q47" s="131">
        <f>SUBTOTAL(109,Table1421[@ Completion  ])</f>
        <v>4568637.8699999982</v>
      </c>
    </row>
    <row r="48" spans="11:32" ht="15.75" thickTop="1" x14ac:dyDescent="0.25">
      <c r="K48" s="13" t="s">
        <v>187</v>
      </c>
      <c r="M48" s="132" cm="1">
        <f t="array" ref="M48">INDEX('FY2526 VAT Financial KPIs'!$F:$F, MATCH(1, ('FY2526 VAT Financial KPIs'!$A:$A="SAU")*('FY2526 VAT Financial KPIs'!$D:$D="Gross Margin Contribution"), 0))</f>
        <v>1350000</v>
      </c>
      <c r="N48" s="133" cm="1">
        <f t="array" ref="N48">INDEX('FY2526 VAT Financial KPIs'!$F:$F, MATCH(1, ('FY2526 VAT Financial KPIs'!$A:$A="SAU")*('FY2526 VAT Financial KPIs'!$D:$D="Gross Margin Contribution %"), 0))</f>
        <v>0.15</v>
      </c>
      <c r="O48" s="133" cm="1">
        <f t="array" ref="O48">INDEX('FY2526 VAT Financial KPIs'!$F:$F, MATCH(1, ('FY2526 VAT Financial KPIs'!$A:$A="SAU")*('FY2526 VAT Financial KPIs'!$D:$D="Gross Margin Contribution %"), 0))</f>
        <v>0.15</v>
      </c>
      <c r="Q48" s="132" cm="1">
        <f t="array" ref="Q48">INDEX('FY2526 VAT Financial KPIs'!$F:$F, MATCH(1, ('FY2526 VAT Financial KPIs'!$A:$A="SAU")*('FY2526 VAT Financial KPIs'!$D:$D="Revenue"), 0))</f>
        <v>9000000</v>
      </c>
    </row>
    <row r="50" spans="10:18" x14ac:dyDescent="0.25">
      <c r="J50" s="7" t="s">
        <v>29</v>
      </c>
      <c r="K50" t="s">
        <v>30</v>
      </c>
    </row>
    <row r="51" spans="10:18" x14ac:dyDescent="0.25">
      <c r="J51" s="7" t="s">
        <v>16</v>
      </c>
      <c r="K51" t="s">
        <v>18</v>
      </c>
      <c r="M51" s="13" t="s">
        <v>190</v>
      </c>
    </row>
    <row r="53" spans="10:18" x14ac:dyDescent="0.25">
      <c r="J53" s="7" t="s">
        <v>36</v>
      </c>
      <c r="K53" s="7" t="s">
        <v>37</v>
      </c>
      <c r="L53" s="7" t="s">
        <v>32</v>
      </c>
      <c r="M53" s="9" t="s">
        <v>121</v>
      </c>
      <c r="N53" s="9" t="s">
        <v>38</v>
      </c>
      <c r="O53" s="9" t="s">
        <v>122</v>
      </c>
      <c r="P53" s="9" t="s">
        <v>191</v>
      </c>
      <c r="Q53" s="8" t="s">
        <v>3</v>
      </c>
      <c r="R53" t="s">
        <v>15</v>
      </c>
    </row>
    <row r="54" spans="10:18" x14ac:dyDescent="0.25">
      <c r="J54" t="s">
        <v>42</v>
      </c>
      <c r="K54" t="s">
        <v>133</v>
      </c>
      <c r="L54" t="s">
        <v>39</v>
      </c>
      <c r="M54" s="148">
        <v>0.28000000000000003</v>
      </c>
      <c r="N54" s="8" t="s">
        <v>5</v>
      </c>
      <c r="O54" s="153">
        <v>46113</v>
      </c>
      <c r="P54" s="153">
        <v>46477</v>
      </c>
      <c r="Q54" s="267">
        <v>412500</v>
      </c>
      <c r="R54" s="4">
        <v>115500.00000000001</v>
      </c>
    </row>
    <row r="55" spans="10:18" x14ac:dyDescent="0.25">
      <c r="K55" t="s">
        <v>59</v>
      </c>
      <c r="L55" t="s">
        <v>39</v>
      </c>
      <c r="M55" s="148">
        <v>0.14000000000000001</v>
      </c>
      <c r="N55" s="8" t="s">
        <v>5</v>
      </c>
      <c r="O55" s="153">
        <v>46113</v>
      </c>
      <c r="P55" s="153">
        <v>46203</v>
      </c>
      <c r="Q55" s="267">
        <v>129600</v>
      </c>
      <c r="R55" s="4">
        <v>18144</v>
      </c>
    </row>
    <row r="56" spans="10:18" x14ac:dyDescent="0.25">
      <c r="K56" t="s">
        <v>61</v>
      </c>
      <c r="L56" t="s">
        <v>39</v>
      </c>
      <c r="M56" s="148">
        <v>0.11</v>
      </c>
      <c r="N56" s="8" t="s">
        <v>5</v>
      </c>
      <c r="O56" s="153">
        <v>46112</v>
      </c>
      <c r="P56" s="153">
        <v>46203</v>
      </c>
      <c r="Q56" s="267">
        <v>112108.24</v>
      </c>
      <c r="R56" s="4">
        <v>12331.9064</v>
      </c>
    </row>
    <row r="57" spans="10:18" x14ac:dyDescent="0.25">
      <c r="J57" t="s">
        <v>66</v>
      </c>
      <c r="K57" t="s">
        <v>83</v>
      </c>
      <c r="L57" t="s">
        <v>39</v>
      </c>
      <c r="M57" s="148">
        <v>0.1</v>
      </c>
      <c r="N57" s="8" t="s">
        <v>44</v>
      </c>
      <c r="O57" s="153">
        <v>46113</v>
      </c>
      <c r="P57" s="153">
        <v>46477</v>
      </c>
      <c r="Q57" s="267">
        <v>2000000</v>
      </c>
      <c r="R57" s="4">
        <v>200000</v>
      </c>
    </row>
    <row r="58" spans="10:18" x14ac:dyDescent="0.25">
      <c r="J58" t="s">
        <v>192</v>
      </c>
      <c r="K58" t="s">
        <v>203</v>
      </c>
      <c r="L58" t="s">
        <v>34</v>
      </c>
      <c r="M58" s="148" t="s">
        <v>126</v>
      </c>
      <c r="N58" s="8" t="s">
        <v>55</v>
      </c>
      <c r="O58" s="153">
        <v>46204</v>
      </c>
      <c r="P58" s="153">
        <v>46934</v>
      </c>
      <c r="Q58" s="267">
        <v>3000000</v>
      </c>
      <c r="R58" s="4">
        <v>0</v>
      </c>
    </row>
    <row r="59" spans="10:18" x14ac:dyDescent="0.25">
      <c r="K59" t="s">
        <v>204</v>
      </c>
      <c r="L59" t="s">
        <v>34</v>
      </c>
      <c r="M59" s="148">
        <v>0.27500000000000002</v>
      </c>
      <c r="N59" s="8" t="s">
        <v>55</v>
      </c>
      <c r="O59" s="153">
        <v>46083</v>
      </c>
      <c r="P59" s="153">
        <v>46265</v>
      </c>
      <c r="Q59" s="267">
        <v>559300</v>
      </c>
      <c r="R59" s="4">
        <v>153807.5</v>
      </c>
    </row>
    <row r="60" spans="10:18" x14ac:dyDescent="0.25">
      <c r="K60" t="s">
        <v>205</v>
      </c>
      <c r="L60" t="s">
        <v>31</v>
      </c>
      <c r="M60" s="148" t="s">
        <v>126</v>
      </c>
      <c r="N60" s="8" t="s">
        <v>44</v>
      </c>
      <c r="O60" s="153">
        <v>46083</v>
      </c>
      <c r="P60" s="152" t="s">
        <v>126</v>
      </c>
      <c r="Q60" s="267">
        <v>0</v>
      </c>
      <c r="R60" s="4">
        <v>0</v>
      </c>
    </row>
    <row r="61" spans="10:18" x14ac:dyDescent="0.25">
      <c r="K61" t="s">
        <v>206</v>
      </c>
      <c r="L61" t="s">
        <v>34</v>
      </c>
      <c r="M61" s="148" t="s">
        <v>126</v>
      </c>
      <c r="N61" s="8" t="s">
        <v>55</v>
      </c>
      <c r="O61" s="153">
        <v>46083</v>
      </c>
      <c r="P61" s="153">
        <v>46374</v>
      </c>
      <c r="Q61" s="267">
        <v>3000000</v>
      </c>
      <c r="R61" s="4">
        <v>0</v>
      </c>
    </row>
    <row r="62" spans="10:18" x14ac:dyDescent="0.25">
      <c r="K62" t="s">
        <v>621</v>
      </c>
      <c r="L62" t="s">
        <v>39</v>
      </c>
      <c r="M62" s="148" t="s">
        <v>126</v>
      </c>
      <c r="N62" s="8" t="s">
        <v>55</v>
      </c>
      <c r="O62" s="153">
        <v>46132</v>
      </c>
      <c r="P62" s="152" t="s">
        <v>126</v>
      </c>
      <c r="Q62" s="267">
        <v>0</v>
      </c>
      <c r="R62" s="4">
        <v>0</v>
      </c>
    </row>
    <row r="63" spans="10:18" x14ac:dyDescent="0.25">
      <c r="J63" t="s">
        <v>85</v>
      </c>
      <c r="Q63" s="267">
        <v>9213508.2400000002</v>
      </c>
      <c r="R63" s="4">
        <v>499783.40639999998</v>
      </c>
    </row>
  </sheetData>
  <mergeCells count="3">
    <mergeCell ref="L41:M41"/>
    <mergeCell ref="N41:O41"/>
    <mergeCell ref="P41:Q41"/>
  </mergeCells>
  <conditionalFormatting pivot="1" sqref="Q54:Q62">
    <cfRule type="cellIs" dxfId="1022" priority="14" operator="equal">
      <formula>0</formula>
    </cfRule>
  </conditionalFormatting>
  <conditionalFormatting sqref="L1:P1 L50:P50 L41:P48 L5:P8 L18:P19 P6:P15 L30:P31 L52:P1048576 L51 N51:P51">
    <cfRule type="containsText" dxfId="1021" priority="13" operator="containsText" text="(blank)">
      <formula>NOT(ISERROR(SEARCH("(blank)",L1)))</formula>
    </cfRule>
  </conditionalFormatting>
  <conditionalFormatting sqref="L29:P29">
    <cfRule type="containsText" dxfId="1020" priority="8" operator="containsText" text="(blank)">
      <formula>NOT(ISERROR(SEARCH("(blank)",L29)))</formula>
    </cfRule>
  </conditionalFormatting>
  <conditionalFormatting sqref="L6:P15">
    <cfRule type="cellIs" dxfId="1019" priority="7" operator="lessThan">
      <formula>0</formula>
    </cfRule>
  </conditionalFormatting>
  <conditionalFormatting sqref="L18:P27">
    <cfRule type="cellIs" dxfId="1018" priority="6" operator="lessThan">
      <formula>0</formula>
    </cfRule>
  </conditionalFormatting>
  <conditionalFormatting sqref="L30:P39">
    <cfRule type="cellIs" dxfId="1017" priority="5" operator="lessThan">
      <formula>0</formula>
    </cfRule>
  </conditionalFormatting>
  <conditionalFormatting sqref="L9:P9 L11:P11 L13:P13 L15:P15">
    <cfRule type="cellIs" dxfId="1016" priority="4" operator="greaterThan">
      <formula>0</formula>
    </cfRule>
  </conditionalFormatting>
  <conditionalFormatting sqref="L21:P21 L23:P23 L25:P25 L27:P27">
    <cfRule type="cellIs" dxfId="1015" priority="3" operator="greaterThan">
      <formula>0</formula>
    </cfRule>
  </conditionalFormatting>
  <conditionalFormatting sqref="L33:P33 L35:P35 L37:P37 L39:P39">
    <cfRule type="cellIs" dxfId="1014" priority="2" operator="greaterThan">
      <formula>0</formula>
    </cfRule>
  </conditionalFormatting>
  <conditionalFormatting sqref="M51">
    <cfRule type="containsText" dxfId="1013" priority="1" operator="containsText" text="(blank)">
      <formula>NOT(ISERROR(SEARCH("(blank)",M51)))</formula>
    </cfRule>
  </conditionalFormatting>
  <dataValidations count="2">
    <dataValidation type="list" allowBlank="1" showInputMessage="1" showErrorMessage="1" sqref="L3:N3" xr:uid="{2D9BC6B7-EC58-4CD0-B36A-B1A452150705}">
      <formula1>"TRUE, FALSE"</formula1>
    </dataValidation>
    <dataValidation type="list" allowBlank="1" showInputMessage="1" showErrorMessage="1" sqref="X36" xr:uid="{01C50B03-C99E-4B36-BC3B-BBE4A6CF5E08}">
      <formula1>"All, DAFF, SAU, VIC, GROWTH"</formula1>
    </dataValidation>
  </dataValidations>
  <pageMargins left="0.7" right="0.7" top="0.75" bottom="0.75" header="0.3" footer="0.3"/>
  <drawing r:id="rId2"/>
  <tableParts count="8">
    <tablePart r:id="rId3"/>
    <tablePart r:id="rId4"/>
    <tablePart r:id="rId5"/>
    <tablePart r:id="rId6"/>
    <tablePart r:id="rId7"/>
    <tablePart r:id="rId8"/>
    <tablePart r:id="rId9"/>
    <tablePart r:id="rId1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DE2F7-1B01-4165-A521-EA512CC4BC4E}">
  <sheetPr>
    <tabColor theme="4"/>
  </sheetPr>
  <dimension ref="B1:AG68"/>
  <sheetViews>
    <sheetView topLeftCell="K2" zoomScale="85" zoomScaleNormal="85" workbookViewId="0">
      <selection activeCell="M53" sqref="M53"/>
    </sheetView>
  </sheetViews>
  <sheetFormatPr defaultRowHeight="15" x14ac:dyDescent="0.25"/>
  <cols>
    <col min="1" max="1" width="3.140625" customWidth="1"/>
    <col min="2" max="2" width="39" customWidth="1"/>
    <col min="3" max="8" width="14.85546875" customWidth="1"/>
    <col min="9" max="9" width="5.140625" customWidth="1"/>
    <col min="10" max="10" width="21.85546875" customWidth="1"/>
    <col min="11" max="11" width="69.5703125" bestFit="1" customWidth="1"/>
    <col min="12" max="17" width="16" customWidth="1"/>
    <col min="18" max="18" width="14.7109375" customWidth="1"/>
    <col min="19" max="19" width="6.5703125" customWidth="1"/>
    <col min="20" max="20" width="16" customWidth="1"/>
    <col min="21" max="32" width="12.5703125" customWidth="1"/>
    <col min="33" max="33" width="4.7109375" customWidth="1"/>
    <col min="34" max="46" width="12.5703125" customWidth="1"/>
  </cols>
  <sheetData>
    <row r="1" spans="2:33" hidden="1" x14ac:dyDescent="0.25"/>
    <row r="2" spans="2:33" ht="18.75" x14ac:dyDescent="0.3">
      <c r="B2" s="123" t="s">
        <v>207</v>
      </c>
      <c r="L2" s="16" t="s">
        <v>5</v>
      </c>
      <c r="M2" s="16" t="s">
        <v>55</v>
      </c>
      <c r="N2" s="16" t="s">
        <v>44</v>
      </c>
    </row>
    <row r="3" spans="2:33" x14ac:dyDescent="0.25">
      <c r="K3" s="13" t="s">
        <v>146</v>
      </c>
      <c r="L3" t="b">
        <f>CompanyGoodToggle</f>
        <v>1</v>
      </c>
      <c r="M3" t="b">
        <f>CompanyFairToggle</f>
        <v>0</v>
      </c>
      <c r="N3" t="b">
        <f>CompanyRiskToggle</f>
        <v>0</v>
      </c>
      <c r="T3" s="13" t="s">
        <v>92</v>
      </c>
      <c r="AG3" s="112"/>
    </row>
    <row r="4" spans="2:33" x14ac:dyDescent="0.25">
      <c r="T4" s="113" t="s">
        <v>94</v>
      </c>
      <c r="U4" s="112" t="s">
        <v>95</v>
      </c>
      <c r="V4" s="112" t="s">
        <v>96</v>
      </c>
      <c r="W4" s="112" t="s">
        <v>97</v>
      </c>
      <c r="X4" s="112" t="s">
        <v>98</v>
      </c>
      <c r="Y4" s="112" t="s">
        <v>99</v>
      </c>
      <c r="Z4" s="112" t="s">
        <v>100</v>
      </c>
      <c r="AA4" s="112" t="s">
        <v>101</v>
      </c>
      <c r="AB4" s="112" t="s">
        <v>102</v>
      </c>
      <c r="AC4" s="112" t="s">
        <v>103</v>
      </c>
      <c r="AD4" s="112" t="s">
        <v>104</v>
      </c>
      <c r="AE4" s="112" t="s">
        <v>105</v>
      </c>
      <c r="AF4" s="112" t="s">
        <v>106</v>
      </c>
      <c r="AG4" s="112"/>
    </row>
    <row r="5" spans="2:33" x14ac:dyDescent="0.25">
      <c r="K5" s="134" t="s">
        <v>147</v>
      </c>
      <c r="L5" s="135" t="s">
        <v>47</v>
      </c>
      <c r="M5" s="135" t="s">
        <v>48</v>
      </c>
      <c r="N5" s="135" t="s">
        <v>49</v>
      </c>
      <c r="O5" s="135" t="s">
        <v>50</v>
      </c>
      <c r="P5" s="136" t="s">
        <v>1</v>
      </c>
      <c r="T5" s="112" t="s">
        <v>148</v>
      </c>
      <c r="U5" s="112">
        <f>U16</f>
        <v>-1120.31</v>
      </c>
      <c r="V5" s="112">
        <f>SUM($U16:V16)</f>
        <v>85668.039999999979</v>
      </c>
      <c r="W5" s="112">
        <f>SUM($U16:W16)</f>
        <v>291061.87000000011</v>
      </c>
      <c r="X5" s="112">
        <f>SUM($U16:X16)</f>
        <v>526050.88499999978</v>
      </c>
      <c r="Y5" s="112">
        <f>SUM($U16:Y16)</f>
        <v>715547.44499999983</v>
      </c>
      <c r="Z5" s="112">
        <f>SUM($U16:Z16)</f>
        <v>849033.33499999996</v>
      </c>
      <c r="AA5" s="112">
        <f>SUM($U16:AA16)</f>
        <v>976437.31</v>
      </c>
      <c r="AB5" s="112">
        <f>SUM($U16:AB16)</f>
        <v>1026935.03</v>
      </c>
      <c r="AC5" s="112">
        <f>SUM($U16:AC16)</f>
        <v>1026935.03</v>
      </c>
      <c r="AD5" s="112">
        <f>SUM($U16:AD16)</f>
        <v>1026935.03</v>
      </c>
      <c r="AE5" s="112">
        <f>SUM($U16:AE16)</f>
        <v>1026935.03</v>
      </c>
      <c r="AF5" s="112">
        <f>SUM($U16:AF16)</f>
        <v>1026935.03</v>
      </c>
      <c r="AG5" s="112"/>
    </row>
    <row r="6" spans="2:33" x14ac:dyDescent="0.25">
      <c r="K6" s="150" t="s">
        <v>149</v>
      </c>
      <c r="L6" s="183">
        <f>SUM(U22:W22)</f>
        <v>562500</v>
      </c>
      <c r="M6" s="183">
        <f>SUM(X22:Z22)</f>
        <v>450000</v>
      </c>
      <c r="N6" s="183">
        <f>SUM(AA22:AC22)</f>
        <v>618750</v>
      </c>
      <c r="O6" s="183">
        <f>SUM(AD22:AF22)</f>
        <v>618750</v>
      </c>
      <c r="P6" s="184">
        <f>SUM(Table152228[[#This Row],[Q1]:[Q4]])</f>
        <v>2250000</v>
      </c>
      <c r="T6" s="112" t="s">
        <v>150</v>
      </c>
      <c r="U6" s="112">
        <f>U17+U5</f>
        <v>-1120.31</v>
      </c>
      <c r="V6" s="112">
        <f>SUM($U17:V17)+V5</f>
        <v>85668.039999999979</v>
      </c>
      <c r="W6" s="112">
        <f>SUM($U17:W17)+W5</f>
        <v>291061.87000000011</v>
      </c>
      <c r="X6" s="112">
        <f>SUM($U17:X17)+X5</f>
        <v>526050.88499999978</v>
      </c>
      <c r="Y6" s="112">
        <f>SUM($U17:Y17)+Y5</f>
        <v>715547.44499999983</v>
      </c>
      <c r="Z6" s="112">
        <f>SUM($U17:Z17)+Z5</f>
        <v>849033.33499999996</v>
      </c>
      <c r="AA6" s="112">
        <f>SUM($U17:AA17)+AA5</f>
        <v>976437.31</v>
      </c>
      <c r="AB6" s="112">
        <f>SUM($U17:AB17)+AB5</f>
        <v>1026935.03</v>
      </c>
      <c r="AC6" s="112">
        <f>SUM($U17:AC17)+AC5</f>
        <v>1026935.03</v>
      </c>
      <c r="AD6" s="112">
        <f>SUM($U17:AD17)+AD5</f>
        <v>1026935.03</v>
      </c>
      <c r="AE6" s="112">
        <f>SUM($U17:AE17)+AE5</f>
        <v>1026935.03</v>
      </c>
      <c r="AF6" s="112">
        <f>SUM($U17:AF17)+AF5</f>
        <v>1026935.03</v>
      </c>
      <c r="AG6" s="112"/>
    </row>
    <row r="7" spans="2:33" x14ac:dyDescent="0.25">
      <c r="K7" s="179" t="s">
        <v>56</v>
      </c>
      <c r="L7" s="181">
        <f>SUMIFS(Job_Status[Gross Profit Q1],Job_Status[VAT],"Vic Gov")</f>
        <v>291061.86999999941</v>
      </c>
      <c r="M7" s="181">
        <f>SUMIFS(Job_Status[Gross Profit Q2],Job_Status[VAT],"Vic Gov")</f>
        <v>557971.46499998984</v>
      </c>
      <c r="N7" s="181">
        <f>SUMIFS(Job_Status[Gross Profit Q3],Job_Status[VAT],"Vic Gov")</f>
        <v>159114.57499999576</v>
      </c>
      <c r="O7" s="181">
        <f>SUMIFS(Job_Status[Gross Profit Q4],Job_Status[VAT],"Vic Gov")</f>
        <v>0</v>
      </c>
      <c r="P7" s="184">
        <f>SUM(Table152228[[#This Row],[Q1]:[Q4]])</f>
        <v>1008147.909999985</v>
      </c>
      <c r="T7" s="112" t="s">
        <v>108</v>
      </c>
      <c r="U7" s="112">
        <f>U18+U6</f>
        <v>-1120.31</v>
      </c>
      <c r="V7" s="112">
        <f>SUM($U18:V18)+V6</f>
        <v>85668.039999999979</v>
      </c>
      <c r="W7" s="112">
        <f>SUM($U18:W18)+W6</f>
        <v>291061.87000000011</v>
      </c>
      <c r="X7" s="112">
        <f>SUM($U18:X18)+X6</f>
        <v>526050.88499999978</v>
      </c>
      <c r="Y7" s="112">
        <f>SUM($U18:Y18)+Y6</f>
        <v>715547.44499999983</v>
      </c>
      <c r="Z7" s="112">
        <f>SUM($U18:Z18)+Z6</f>
        <v>849033.33499999996</v>
      </c>
      <c r="AA7" s="112">
        <f>SUM($U18:AA18)+AA6</f>
        <v>976437.31</v>
      </c>
      <c r="AB7" s="112">
        <f>SUM($U18:AB18)+AB6</f>
        <v>1026935.03</v>
      </c>
      <c r="AC7" s="112">
        <f>SUM($U18:AC18)+AC6</f>
        <v>1026935.03</v>
      </c>
      <c r="AD7" s="112">
        <f>SUM($U18:AD18)+AD6</f>
        <v>1026935.03</v>
      </c>
      <c r="AE7" s="112">
        <f>SUM($U18:AE18)+AE6</f>
        <v>1026935.03</v>
      </c>
      <c r="AF7" s="112">
        <f>SUM($U18:AF18)+AF6</f>
        <v>1026935.03</v>
      </c>
      <c r="AG7" s="112"/>
    </row>
    <row r="8" spans="2:33" x14ac:dyDescent="0.25">
      <c r="K8" s="253" t="s">
        <v>151</v>
      </c>
      <c r="L8" s="180">
        <f>SUM(U16:W16)</f>
        <v>291061.87000000011</v>
      </c>
      <c r="M8" s="180">
        <f>SUM(X16:Z16)</f>
        <v>557971.46499999985</v>
      </c>
      <c r="N8" s="180">
        <f>SUM(AA16:AC16)</f>
        <v>177901.69500000015</v>
      </c>
      <c r="O8" s="180">
        <f>SUM(AD16:AF16)</f>
        <v>0</v>
      </c>
      <c r="P8" s="184">
        <f>SUM(Table152228[[#This Row],[Q1]:[Q4]])</f>
        <v>1026935.0300000001</v>
      </c>
      <c r="T8" s="112" t="s">
        <v>109</v>
      </c>
      <c r="U8" s="112">
        <f>U19+U7</f>
        <v>-1120.31</v>
      </c>
      <c r="V8" s="112">
        <f>SUM($U19:V19)+V7</f>
        <v>85668.039999999979</v>
      </c>
      <c r="W8" s="112">
        <f>SUM($U19:W19)+W7</f>
        <v>291061.87000000011</v>
      </c>
      <c r="X8" s="112">
        <f>SUM($U19:X19)+X7</f>
        <v>526050.88499999978</v>
      </c>
      <c r="Y8" s="112">
        <f>SUM($U19:Y19)+Y7</f>
        <v>715547.44499999983</v>
      </c>
      <c r="Z8" s="112">
        <f>SUM($U19:Z19)+Z7</f>
        <v>849033.33499999996</v>
      </c>
      <c r="AA8" s="112">
        <f>SUM($U19:AA19)+AA7</f>
        <v>976437.31</v>
      </c>
      <c r="AB8" s="112">
        <f>SUM($U19:AB19)+AB7</f>
        <v>1026935.03</v>
      </c>
      <c r="AC8" s="112">
        <f>SUM($U19:AC19)+AC7</f>
        <v>1026935.03</v>
      </c>
      <c r="AD8" s="112">
        <f>SUM($U19:AD19)+AD7</f>
        <v>1026935.03</v>
      </c>
      <c r="AE8" s="112">
        <f>SUM($U19:AE19)+AE7</f>
        <v>1026935.03</v>
      </c>
      <c r="AF8" s="112">
        <f>SUM($U19:AF19)+AF7</f>
        <v>1026935.03</v>
      </c>
      <c r="AG8" s="112"/>
    </row>
    <row r="9" spans="2:33" x14ac:dyDescent="0.25">
      <c r="K9" s="253" t="s">
        <v>60</v>
      </c>
      <c r="L9" s="176">
        <f>L8-L$6</f>
        <v>-271438.12999999989</v>
      </c>
      <c r="M9" s="176">
        <f t="shared" ref="M9:O9" si="0">M8-M$6</f>
        <v>107971.46499999985</v>
      </c>
      <c r="N9" s="176">
        <f t="shared" si="0"/>
        <v>-440848.30499999982</v>
      </c>
      <c r="O9" s="176">
        <f t="shared" si="0"/>
        <v>-618750</v>
      </c>
      <c r="P9" s="184">
        <f>SUM(Table152228[[#This Row],[Q1]:[Q4]])</f>
        <v>-1223064.9699999997</v>
      </c>
      <c r="T9" s="112" t="s">
        <v>152</v>
      </c>
      <c r="U9" s="112">
        <f>U20</f>
        <v>0</v>
      </c>
      <c r="V9" s="112">
        <f>SUM($U20:V20)</f>
        <v>0</v>
      </c>
      <c r="W9" s="112">
        <f>SUM($U20:W20)</f>
        <v>0</v>
      </c>
      <c r="X9" s="112">
        <f>SUM($U20:X20)</f>
        <v>0</v>
      </c>
      <c r="Y9" s="112">
        <f>SUM($U20:Y20)</f>
        <v>0</v>
      </c>
      <c r="Z9" s="112">
        <f>SUM($U20:Z20)</f>
        <v>0</v>
      </c>
      <c r="AA9" s="112">
        <f>SUM($U20:AA20)</f>
        <v>0</v>
      </c>
      <c r="AB9" s="112">
        <f>SUM($U20:AB20)</f>
        <v>0</v>
      </c>
      <c r="AC9" s="112">
        <f>SUM($U20:AC20)</f>
        <v>0</v>
      </c>
      <c r="AD9" s="112">
        <f>SUM($U20:AD20)</f>
        <v>0</v>
      </c>
      <c r="AE9" s="112">
        <f>SUM($U20:AE20)</f>
        <v>0</v>
      </c>
      <c r="AF9" s="112">
        <f>SUM($U20:AF20)</f>
        <v>0</v>
      </c>
      <c r="AG9" s="112"/>
    </row>
    <row r="10" spans="2:33" x14ac:dyDescent="0.25">
      <c r="K10" s="150" t="s">
        <v>153</v>
      </c>
      <c r="L10" s="176">
        <f>SUM(U$16:W17)</f>
        <v>291061.87000000011</v>
      </c>
      <c r="M10" s="176">
        <f>SUM(X$16:Z17)</f>
        <v>557971.46499999985</v>
      </c>
      <c r="N10" s="176">
        <f>SUM(AA$16:AC17)</f>
        <v>177901.69500000015</v>
      </c>
      <c r="O10" s="176">
        <f>SUM(AD$16:AF17)</f>
        <v>0</v>
      </c>
      <c r="P10" s="184">
        <f>SUM(Table152228[[#This Row],[Q1]:[Q4]])</f>
        <v>1026935.0300000001</v>
      </c>
      <c r="T10" s="112" t="s">
        <v>110</v>
      </c>
      <c r="U10" s="157">
        <f>U21</f>
        <v>225000</v>
      </c>
      <c r="V10" s="157">
        <f>SUM($U21:V21)</f>
        <v>450000</v>
      </c>
      <c r="W10" s="157">
        <f>SUM($U21:W21)</f>
        <v>675000</v>
      </c>
      <c r="X10" s="157">
        <f>SUM($U21:X21)</f>
        <v>825000</v>
      </c>
      <c r="Y10" s="157">
        <f>SUM($U21:Y21)</f>
        <v>975000</v>
      </c>
      <c r="Z10" s="157">
        <f>SUM($U21:Z21)</f>
        <v>1125000</v>
      </c>
      <c r="AA10" s="157">
        <f>SUM($U21:AA21)</f>
        <v>1387500</v>
      </c>
      <c r="AB10" s="157">
        <f>SUM($U21:AB21)</f>
        <v>1650000</v>
      </c>
      <c r="AC10" s="157">
        <f>SUM($U21:AC21)</f>
        <v>1912500</v>
      </c>
      <c r="AD10" s="157">
        <f>SUM($U21:AD21)</f>
        <v>2175000</v>
      </c>
      <c r="AE10" s="157">
        <f>SUM($U21:AE21)</f>
        <v>2437500</v>
      </c>
      <c r="AF10" s="157">
        <f>SUM($U21:AF21)</f>
        <v>2700000</v>
      </c>
    </row>
    <row r="11" spans="2:33" x14ac:dyDescent="0.25">
      <c r="K11" s="182" t="s">
        <v>154</v>
      </c>
      <c r="L11" s="176">
        <f t="shared" ref="L11:O11" si="1">L10-L$6</f>
        <v>-271438.12999999989</v>
      </c>
      <c r="M11" s="176">
        <f t="shared" si="1"/>
        <v>107971.46499999985</v>
      </c>
      <c r="N11" s="176">
        <f t="shared" si="1"/>
        <v>-440848.30499999982</v>
      </c>
      <c r="O11" s="176">
        <f t="shared" si="1"/>
        <v>-618750</v>
      </c>
      <c r="P11" s="184">
        <f>SUM(Table152228[[#This Row],[Q1]:[Q4]])</f>
        <v>-1223064.9699999997</v>
      </c>
      <c r="T11" s="112" t="s">
        <v>111</v>
      </c>
      <c r="U11" s="157">
        <f t="shared" ref="U11:U12" si="2">U22</f>
        <v>187500</v>
      </c>
      <c r="V11" s="157">
        <f>SUM($U22:V22)</f>
        <v>375000</v>
      </c>
      <c r="W11" s="157">
        <f>SUM($U22:W22)</f>
        <v>562500</v>
      </c>
      <c r="X11" s="157">
        <f>SUM($U22:X22)</f>
        <v>712500</v>
      </c>
      <c r="Y11" s="157">
        <f>SUM($U22:Y22)</f>
        <v>862500</v>
      </c>
      <c r="Z11" s="157">
        <f>SUM($U22:Z22)</f>
        <v>1012500</v>
      </c>
      <c r="AA11" s="157">
        <f>SUM($U22:AA22)</f>
        <v>1218750</v>
      </c>
      <c r="AB11" s="157">
        <f>SUM($U22:AB22)</f>
        <v>1425000</v>
      </c>
      <c r="AC11" s="157">
        <f>SUM($U22:AC22)</f>
        <v>1631250</v>
      </c>
      <c r="AD11" s="157">
        <f>SUM($U22:AD22)</f>
        <v>1837500</v>
      </c>
      <c r="AE11" s="157">
        <f>SUM($U22:AE22)</f>
        <v>2043750</v>
      </c>
      <c r="AF11" s="157">
        <f>SUM($U22:AF22)</f>
        <v>2250000</v>
      </c>
    </row>
    <row r="12" spans="2:33" x14ac:dyDescent="0.25">
      <c r="K12" s="150" t="s">
        <v>155</v>
      </c>
      <c r="L12" s="176">
        <f>SUM(U$16:W18)</f>
        <v>291061.87000000011</v>
      </c>
      <c r="M12" s="176">
        <f>SUM(X$16:Z18)</f>
        <v>557971.46499999985</v>
      </c>
      <c r="N12" s="176">
        <f>SUM(AA$16:AC18)</f>
        <v>177901.69500000015</v>
      </c>
      <c r="O12" s="176">
        <f>SUM(AD$16:AF18)</f>
        <v>0</v>
      </c>
      <c r="P12" s="184">
        <f>SUM(Table152228[[#This Row],[Q1]:[Q4]])</f>
        <v>1026935.0300000001</v>
      </c>
      <c r="T12" s="112" t="s">
        <v>4</v>
      </c>
      <c r="U12" s="157">
        <f t="shared" si="2"/>
        <v>150000</v>
      </c>
      <c r="V12" s="157">
        <f>SUM($U23:V23)</f>
        <v>300000</v>
      </c>
      <c r="W12" s="157">
        <f>SUM($U23:W23)</f>
        <v>450000</v>
      </c>
      <c r="X12" s="157">
        <f>SUM($U23:X23)</f>
        <v>600000</v>
      </c>
      <c r="Y12" s="157">
        <f>SUM($U23:Y23)</f>
        <v>750000</v>
      </c>
      <c r="Z12" s="157">
        <f>SUM($U23:Z23)</f>
        <v>900000</v>
      </c>
      <c r="AA12" s="157">
        <f>SUM($U23:AA23)</f>
        <v>1050000</v>
      </c>
      <c r="AB12" s="157">
        <f>SUM($U23:AB23)</f>
        <v>1200000</v>
      </c>
      <c r="AC12" s="157">
        <f>SUM($U23:AC23)</f>
        <v>1350000</v>
      </c>
      <c r="AD12" s="157">
        <f>SUM($U23:AD23)</f>
        <v>1500000</v>
      </c>
      <c r="AE12" s="157">
        <f>SUM($U23:AE23)</f>
        <v>1650000</v>
      </c>
      <c r="AF12" s="157">
        <f>SUM($U23:AF23)</f>
        <v>1800000</v>
      </c>
    </row>
    <row r="13" spans="2:33" x14ac:dyDescent="0.25">
      <c r="K13" s="182" t="s">
        <v>154</v>
      </c>
      <c r="L13" s="176">
        <f t="shared" ref="L13:O13" si="3">L12-L$6</f>
        <v>-271438.12999999989</v>
      </c>
      <c r="M13" s="176">
        <f t="shared" si="3"/>
        <v>107971.46499999985</v>
      </c>
      <c r="N13" s="176">
        <f t="shared" si="3"/>
        <v>-440848.30499999982</v>
      </c>
      <c r="O13" s="176">
        <f t="shared" si="3"/>
        <v>-618750</v>
      </c>
      <c r="P13" s="184">
        <f>SUM(Table152228[[#This Row],[Q1]:[Q4]])</f>
        <v>-1223064.9699999997</v>
      </c>
    </row>
    <row r="14" spans="2:33" x14ac:dyDescent="0.25">
      <c r="K14" s="150" t="s">
        <v>156</v>
      </c>
      <c r="L14" s="176">
        <f>SUM(U$16:W19)</f>
        <v>291061.87000000011</v>
      </c>
      <c r="M14" s="176">
        <f>SUM(X$16:Z19)</f>
        <v>557971.46499999985</v>
      </c>
      <c r="N14" s="176">
        <f>SUM(AA$16:AC19)</f>
        <v>177901.69500000015</v>
      </c>
      <c r="O14" s="176">
        <f>SUM(AD$16:AF19)</f>
        <v>0</v>
      </c>
      <c r="P14" s="184">
        <f>SUM(Table152228[[#This Row],[Q1]:[Q4]])</f>
        <v>1026935.0300000001</v>
      </c>
      <c r="T14" s="13" t="s">
        <v>112</v>
      </c>
    </row>
    <row r="15" spans="2:33" x14ac:dyDescent="0.25">
      <c r="K15" s="182" t="s">
        <v>154</v>
      </c>
      <c r="L15" s="176">
        <f t="shared" ref="L15:O15" si="4">L14-L$6</f>
        <v>-271438.12999999989</v>
      </c>
      <c r="M15" s="176">
        <f t="shared" si="4"/>
        <v>107971.46499999985</v>
      </c>
      <c r="N15" s="176">
        <f t="shared" si="4"/>
        <v>-440848.30499999982</v>
      </c>
      <c r="O15" s="176">
        <f t="shared" si="4"/>
        <v>-618750</v>
      </c>
      <c r="P15" s="184">
        <f>SUM(Table152228[[#This Row],[Q1]:[Q4]])</f>
        <v>-1223064.9699999997</v>
      </c>
      <c r="T15" s="13" t="s">
        <v>94</v>
      </c>
      <c r="U15" s="118" t="s">
        <v>95</v>
      </c>
      <c r="V15" s="118" t="s">
        <v>96</v>
      </c>
      <c r="W15" s="118" t="s">
        <v>97</v>
      </c>
      <c r="X15" s="118" t="s">
        <v>98</v>
      </c>
      <c r="Y15" s="118" t="s">
        <v>99</v>
      </c>
      <c r="Z15" s="118" t="s">
        <v>100</v>
      </c>
      <c r="AA15" s="118" t="s">
        <v>101</v>
      </c>
      <c r="AB15" s="118" t="s">
        <v>102</v>
      </c>
      <c r="AC15" s="118" t="s">
        <v>103</v>
      </c>
      <c r="AD15" s="118" t="s">
        <v>104</v>
      </c>
      <c r="AE15" s="118" t="s">
        <v>105</v>
      </c>
      <c r="AF15" s="118" t="s">
        <v>106</v>
      </c>
    </row>
    <row r="16" spans="2:33" x14ac:dyDescent="0.25">
      <c r="T16" s="155" t="s">
        <v>148</v>
      </c>
      <c r="U16" s="155">
        <f>SUMIF(Job_Status[VAT],"Vic Gov",Job_Status[P1])</f>
        <v>-1120.31</v>
      </c>
      <c r="V16" s="155">
        <f>SUMIF(Job_Status[VAT],"Vic Gov",Job_Status[P2])</f>
        <v>86788.349999999977</v>
      </c>
      <c r="W16" s="155">
        <f>SUMIF(Job_Status[VAT],"Vic Gov",Job_Status[P3])</f>
        <v>205393.83000000013</v>
      </c>
      <c r="X16" s="155">
        <f>SUMIF(Job_Status[VAT],"Vic Gov",Job_Status[P4])</f>
        <v>234989.01499999966</v>
      </c>
      <c r="Y16" s="155">
        <f>SUMIF(Job_Status[VAT],"Vic Gov",Job_Status[P5])</f>
        <v>189496.56</v>
      </c>
      <c r="Z16" s="155">
        <f>SUMIF(Job_Status[VAT],"Vic Gov",Job_Status[P6])</f>
        <v>133485.89000000013</v>
      </c>
      <c r="AA16" s="155">
        <f>SUMIF(Job_Status[VAT],"Vic Gov",Job_Status[P7])</f>
        <v>127403.97500000015</v>
      </c>
      <c r="AB16" s="155">
        <f>SUMIF(Job_Status[VAT],"Vic Gov",Job_Status[P8])</f>
        <v>50497.72</v>
      </c>
      <c r="AC16" s="155">
        <f>SUMIF(Job_Status[VAT],"Vic Gov",Job_Status[P9])</f>
        <v>0</v>
      </c>
      <c r="AD16" s="155">
        <f>SUMIF(Job_Status[VAT],"Vic Gov",Job_Status[P10])</f>
        <v>0</v>
      </c>
      <c r="AE16" s="155">
        <f>SUMIF(Job_Status[VAT],"Vic Gov",Job_Status[P11])</f>
        <v>0</v>
      </c>
      <c r="AF16" s="155">
        <f>SUMIF(Job_Status[VAT],"Vic Gov",Job_Status[P12])</f>
        <v>0</v>
      </c>
    </row>
    <row r="17" spans="11:32" x14ac:dyDescent="0.25">
      <c r="K17" s="185" t="s">
        <v>157</v>
      </c>
      <c r="L17" s="214" t="s">
        <v>47</v>
      </c>
      <c r="M17" s="214" t="s">
        <v>48</v>
      </c>
      <c r="N17" s="214" t="s">
        <v>49</v>
      </c>
      <c r="O17" s="214" t="s">
        <v>50</v>
      </c>
      <c r="P17" s="215" t="s">
        <v>1</v>
      </c>
      <c r="T17" s="155" t="s">
        <v>77</v>
      </c>
      <c r="U17" s="155">
        <f>_xlfn.LET(
    _xlpm.s,         GMConSpreadTable81925[[#This Row],[STATUS]],
    _xlpm.vatCrit,   "Vic Gov",
    _xlpm.sumcol,    TotalGMContribution[July],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V17" s="155">
        <f>_xlfn.LET(
    _xlpm.s,         GMConSpreadTable81925[[#This Row],[STATUS]],
    _xlpm.vatCrit,   "Vic Gov",
    _xlpm.sumcol,    TotalGMContribution[August],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W17" s="155">
        <f>_xlfn.LET(
    _xlpm.s,         GMConSpreadTable81925[[#This Row],[STATUS]],
    _xlpm.vatCrit,   "Vic Gov",
    _xlpm.sumcol,    TotalGMContribution[September],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X17" s="155">
        <f>_xlfn.LET(
    _xlpm.s,         GMConSpreadTable81925[[#This Row],[STATUS]],
    _xlpm.vatCrit,   "Vic Gov",
    _xlpm.sumcol,    TotalGMContribution[October],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Y17" s="155">
        <f>_xlfn.LET(
    _xlpm.s,         GMConSpreadTable81925[[#This Row],[STATUS]],
    _xlpm.vatCrit,   "Vic Gov",
    _xlpm.sumcol,    TotalGMContribution[November],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Z17" s="155">
        <f>_xlfn.LET(
    _xlpm.s,         GMConSpreadTable81925[[#This Row],[STATUS]],
    _xlpm.vatCrit,   "Vic Gov",
    _xlpm.sumcol,    TotalGMContribution[December],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AA17" s="155">
        <f>_xlfn.LET(
    _xlpm.s,         GMConSpreadTable81925[[#This Row],[STATUS]],
    _xlpm.vatCrit,   "Vic Gov",
    _xlpm.sumcol,    TotalGMContribution[January],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AB17" s="155">
        <f>_xlfn.LET(
    _xlpm.s,         GMConSpreadTable81925[[#This Row],[STATUS]],
    _xlpm.vatCrit,   "Vic Gov",
    _xlpm.sumcol,    TotalGMContribution[February],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AC17" s="155">
        <f>_xlfn.LET(
    _xlpm.s,         GMConSpreadTable81925[[#This Row],[STATUS]],
    _xlpm.vatCrit,   "Vic Gov",
    _xlpm.sumcol,    TotalGMContribution[March],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AD17" s="155">
        <f>_xlfn.LET(
    _xlpm.s,         GMConSpreadTable81925[[#This Row],[STATUS]],
    _xlpm.vatCrit,   "Vic Gov",
    _xlpm.sumcol,    TotalGMContribution[April],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AE17" s="155">
        <f>_xlfn.LET(
    _xlpm.s,         GMConSpreadTable81925[[#This Row],[STATUS]],
    _xlpm.vatCrit,   "Vic Gov",
    _xlpm.sumcol,    TotalGMContribution[May],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AF17" s="155">
        <f>_xlfn.LET(
    _xlpm.s,         GMConSpreadTable81925[[#This Row],[STATUS]],
    _xlpm.vatCrit,   "Vic Gov",
    _xlpm.sumcol,    TotalGMContribution[June],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row>
    <row r="18" spans="11:32" x14ac:dyDescent="0.25">
      <c r="K18" s="150" t="s">
        <v>158</v>
      </c>
      <c r="L18" s="183">
        <f>SUM(U44:W44)</f>
        <v>1704545.4545454544</v>
      </c>
      <c r="M18" s="183">
        <f>SUM(X44:Z44)</f>
        <v>1363636.3636363635</v>
      </c>
      <c r="N18" s="183">
        <f>SUM(AA44:AC44)</f>
        <v>1875000</v>
      </c>
      <c r="O18" s="183">
        <f>SUM(AD44:AF44)</f>
        <v>1875000</v>
      </c>
      <c r="P18" s="184">
        <f>SUM(Table38[[#This Row],[Q1]:[Q4]])</f>
        <v>6818181.8181818184</v>
      </c>
      <c r="T18" s="155" t="s">
        <v>76</v>
      </c>
      <c r="U18" s="155">
        <f>_xlfn.LET(
    _xlpm.s,         GMConSpreadTable81925[[#This Row],[STATUS]],
    _xlpm.vatCrit,   "Vic Gov",
    _xlpm.sumcol,    TotalGMContribution[July],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V18" s="155">
        <f>_xlfn.LET(
    _xlpm.s,         GMConSpreadTable81925[[#This Row],[STATUS]],
    _xlpm.vatCrit,   "Vic Gov",
    _xlpm.sumcol,    TotalGMContribution[August],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W18" s="155">
        <f>_xlfn.LET(
    _xlpm.s,         GMConSpreadTable81925[[#This Row],[STATUS]],
    _xlpm.vatCrit,   "Vic Gov",
    _xlpm.sumcol,    TotalGMContribution[September],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X18" s="155">
        <f>_xlfn.LET(
    _xlpm.s,         GMConSpreadTable81925[[#This Row],[STATUS]],
    _xlpm.vatCrit,   "Vic Gov",
    _xlpm.sumcol,    TotalGMContribution[October],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Y18" s="155">
        <f>_xlfn.LET(
    _xlpm.s,         GMConSpreadTable81925[[#This Row],[STATUS]],
    _xlpm.vatCrit,   "Vic Gov",
    _xlpm.sumcol,    TotalGMContribution[November],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Z18" s="155">
        <f>_xlfn.LET(
    _xlpm.s,         GMConSpreadTable81925[[#This Row],[STATUS]],
    _xlpm.vatCrit,   "Vic Gov",
    _xlpm.sumcol,    TotalGMContribution[December],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AA18" s="155">
        <f>_xlfn.LET(
    _xlpm.s,         GMConSpreadTable81925[[#This Row],[STATUS]],
    _xlpm.vatCrit,   "Vic Gov",
    _xlpm.sumcol,    TotalGMContribution[January],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AB18" s="155">
        <f>_xlfn.LET(
    _xlpm.s,         GMConSpreadTable81925[[#This Row],[STATUS]],
    _xlpm.vatCrit,   "Vic Gov",
    _xlpm.sumcol,    TotalGMContribution[February],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AC18" s="155">
        <f>_xlfn.LET(
    _xlpm.s,         GMConSpreadTable81925[[#This Row],[STATUS]],
    _xlpm.vatCrit,   "Vic Gov",
    _xlpm.sumcol,    TotalGMContribution[March],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AD18" s="155">
        <f>_xlfn.LET(
    _xlpm.s,         GMConSpreadTable81925[[#This Row],[STATUS]],
    _xlpm.vatCrit,   "Vic Gov",
    _xlpm.sumcol,    TotalGMContribution[April],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AE18" s="155">
        <f>_xlfn.LET(
    _xlpm.s,         GMConSpreadTable81925[[#This Row],[STATUS]],
    _xlpm.vatCrit,   "Vic Gov",
    _xlpm.sumcol,    TotalGMContribution[May],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AF18" s="155">
        <f>_xlfn.LET(
    _xlpm.s,         GMConSpreadTable81925[[#This Row],[STATUS]],
    _xlpm.vatCrit,   "Vic Gov",
    _xlpm.sumcol,    TotalGMContribution[June],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row>
    <row r="19" spans="11:32" x14ac:dyDescent="0.25">
      <c r="K19" s="179" t="s">
        <v>56</v>
      </c>
      <c r="L19" s="181">
        <f>SUMIFS(Job_Status[Revenue Q1],Job_Status[VAT],"Vic Gov")</f>
        <v>964354.47</v>
      </c>
      <c r="M19" s="181">
        <f>SUMIFS(Job_Status[Revenue Q2],Job_Status[VAT],"Vic Gov")</f>
        <v>1752303.625</v>
      </c>
      <c r="N19" s="181">
        <f>SUMIFS(Job_Status[Revenue Q3],Job_Status[VAT],"Vic Gov")</f>
        <v>477465.625</v>
      </c>
      <c r="O19" s="181">
        <f>SUMIFS(Job_Status[Revenue Q4],Job_Status[VAT],"Vic Gov")</f>
        <v>0</v>
      </c>
      <c r="P19" s="184">
        <f>SUM(Table38[[#This Row],[Q1]:[Q4]])</f>
        <v>3194123.7199999997</v>
      </c>
      <c r="T19" s="155" t="s">
        <v>75</v>
      </c>
      <c r="U19" s="155">
        <f>_xlfn.LET(
    _xlpm.s,         GMConSpreadTable81925[[#This Row],[STATUS]],
    _xlpm.vatCrit,   "Vic Gov",
    _xlpm.sumcol,    TotalGMContribution[July],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V19" s="155">
        <f>_xlfn.LET(
    _xlpm.s,         GMConSpreadTable81925[[#This Row],[STATUS]],
    _xlpm.vatCrit,   "Vic Gov",
    _xlpm.sumcol,    TotalGMContribution[August],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W19" s="155">
        <f>_xlfn.LET(
    _xlpm.s,         GMConSpreadTable81925[[#This Row],[STATUS]],
    _xlpm.vatCrit,   "Vic Gov",
    _xlpm.sumcol,    TotalGMContribution[September],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X19" s="155">
        <f>_xlfn.LET(
    _xlpm.s,         GMConSpreadTable81925[[#This Row],[STATUS]],
    _xlpm.vatCrit,   "Vic Gov",
    _xlpm.sumcol,    TotalGMContribution[October],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Y19" s="155">
        <f>_xlfn.LET(
    _xlpm.s,         GMConSpreadTable81925[[#This Row],[STATUS]],
    _xlpm.vatCrit,   "Vic Gov",
    _xlpm.sumcol,    TotalGMContribution[November],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Z19" s="155">
        <f>_xlfn.LET(
    _xlpm.s,         GMConSpreadTable81925[[#This Row],[STATUS]],
    _xlpm.vatCrit,   "Vic Gov",
    _xlpm.sumcol,    TotalGMContribution[December],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AA19" s="155">
        <f>_xlfn.LET(
    _xlpm.s,         GMConSpreadTable81925[[#This Row],[STATUS]],
    _xlpm.vatCrit,   "Vic Gov",
    _xlpm.sumcol,    TotalGMContribution[January],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AB19" s="155">
        <f>_xlfn.LET(
    _xlpm.s,         GMConSpreadTable81925[[#This Row],[STATUS]],
    _xlpm.vatCrit,   "Vic Gov",
    _xlpm.sumcol,    TotalGMContribution[February],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AC19" s="155">
        <f>_xlfn.LET(
    _xlpm.s,         GMConSpreadTable81925[[#This Row],[STATUS]],
    _xlpm.vatCrit,   "Vic Gov",
    _xlpm.sumcol,    TotalGMContribution[March],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AD19" s="155">
        <f>_xlfn.LET(
    _xlpm.s,         GMConSpreadTable81925[[#This Row],[STATUS]],
    _xlpm.vatCrit,   "Vic Gov",
    _xlpm.sumcol,    TotalGMContribution[April],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AE19" s="155">
        <f>_xlfn.LET(
    _xlpm.s,         GMConSpreadTable81925[[#This Row],[STATUS]],
    _xlpm.vatCrit,   "Vic Gov",
    _xlpm.sumcol,    TotalGMContribution[May],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c r="AF19" s="155">
        <f>_xlfn.LET(
    _xlpm.s,         GMConSpreadTable81925[[#This Row],[STATUS]],
    _xlpm.vatCrit,   "Vic Gov",
    _xlpm.sumcol,    TotalGMContribution[June],
    _xlpm.statuscol, TotalGMContribution[Status],
    _xlpm.vatcol,    TotalGMContribution[VAT],
    _xlpm.oppcol,    TotalGMContribution[Opps Status],
          IF(VICGoodToggle=TRUE, SUMIFS(_xlpm.sumcol, _xlpm.statuscol, _xlpm.s, _xlpm.vatcol, _xlpm.vatCrit, _xlpm.oppcol, "Good"), 0) +
          IF(VICFairToggle=TRUE, SUMIFS(_xlpm.sumcol, _xlpm.statuscol, _xlpm.s, _xlpm.vatcol, _xlpm.vatCrit, _xlpm.oppcol, "Fair"), 0) +
          IF(VICRiskToggle=TRUE, SUMIFS(_xlpm.sumcol, _xlpm.statuscol, _xlpm.s, _xlpm.vatcol, _xlpm.vatCrit, _xlpm.oppcol, "Risk"), 0)
)</f>
        <v>0</v>
      </c>
    </row>
    <row r="20" spans="11:32" x14ac:dyDescent="0.25">
      <c r="K20" s="253" t="s">
        <v>151</v>
      </c>
      <c r="L20" s="216">
        <f>SUM(U38:W38)</f>
        <v>964354.47</v>
      </c>
      <c r="M20" s="216">
        <f>SUM(X38:Z38)</f>
        <v>1752303.625</v>
      </c>
      <c r="N20" s="216">
        <f>SUM(AA38:AC38)</f>
        <v>537335.625</v>
      </c>
      <c r="O20" s="216">
        <f>SUM(AD38:AF38)</f>
        <v>0</v>
      </c>
      <c r="P20" s="257">
        <f>SUM(Table38[[#This Row],[Q1]:[Q4]])</f>
        <v>3253993.7199999997</v>
      </c>
      <c r="T20" s="155" t="s">
        <v>152</v>
      </c>
      <c r="U20" s="156"/>
      <c r="V20" s="156"/>
      <c r="W20" s="156"/>
      <c r="X20" s="156"/>
      <c r="Y20" s="156"/>
      <c r="Z20" s="156"/>
      <c r="AA20" s="156"/>
      <c r="AB20" s="156"/>
      <c r="AC20" s="156"/>
      <c r="AD20" s="156"/>
      <c r="AE20" s="156"/>
      <c r="AF20" s="156"/>
    </row>
    <row r="21" spans="11:32" x14ac:dyDescent="0.25">
      <c r="K21" s="253" t="s">
        <v>60</v>
      </c>
      <c r="L21" s="216">
        <f>L20-L$18</f>
        <v>-740190.98454545438</v>
      </c>
      <c r="M21" s="216">
        <f t="shared" ref="M21:O21" si="5">M20-M$18</f>
        <v>388667.26136363647</v>
      </c>
      <c r="N21" s="216">
        <f t="shared" si="5"/>
        <v>-1337664.375</v>
      </c>
      <c r="O21" s="216">
        <f t="shared" si="5"/>
        <v>-1875000</v>
      </c>
      <c r="P21" s="257">
        <f>SUM(Table38[[#This Row],[Q1]:[Q4]])</f>
        <v>-3564188.0981818177</v>
      </c>
      <c r="T21" s="155" t="s">
        <v>110</v>
      </c>
      <c r="U21" s="158">
        <f>'FY2526 VAT Financial KPIs'!$G12*'VIC VAT Summary'!U43</f>
        <v>225000</v>
      </c>
      <c r="V21" s="158">
        <f>'FY2526 VAT Financial KPIs'!$G12*'VIC VAT Summary'!V43</f>
        <v>225000</v>
      </c>
      <c r="W21" s="158">
        <f>'FY2526 VAT Financial KPIs'!$G12*'VIC VAT Summary'!W43</f>
        <v>225000</v>
      </c>
      <c r="X21" s="158">
        <f>'FY2526 VAT Financial KPIs'!$G12*'VIC VAT Summary'!X43</f>
        <v>150000</v>
      </c>
      <c r="Y21" s="158">
        <f>'FY2526 VAT Financial KPIs'!$G12*'VIC VAT Summary'!Y43</f>
        <v>150000</v>
      </c>
      <c r="Z21" s="158">
        <f>'FY2526 VAT Financial KPIs'!$G12*'VIC VAT Summary'!Z43</f>
        <v>150000</v>
      </c>
      <c r="AA21" s="158">
        <f>'FY2526 VAT Financial KPIs'!$G12*'VIC VAT Summary'!AA43</f>
        <v>262500</v>
      </c>
      <c r="AB21" s="158">
        <f>'FY2526 VAT Financial KPIs'!$G12*'VIC VAT Summary'!AB43</f>
        <v>262500</v>
      </c>
      <c r="AC21" s="158">
        <f>'FY2526 VAT Financial KPIs'!$G12*'VIC VAT Summary'!AC43</f>
        <v>262500</v>
      </c>
      <c r="AD21" s="158">
        <f>'FY2526 VAT Financial KPIs'!$G12*'VIC VAT Summary'!AD43</f>
        <v>262500</v>
      </c>
      <c r="AE21" s="158">
        <f>'FY2526 VAT Financial KPIs'!$G12*'VIC VAT Summary'!AE43</f>
        <v>262500</v>
      </c>
      <c r="AF21" s="158">
        <f>'FY2526 VAT Financial KPIs'!$G12*'VIC VAT Summary'!AF43</f>
        <v>262500</v>
      </c>
    </row>
    <row r="22" spans="11:32" x14ac:dyDescent="0.25">
      <c r="K22" s="150" t="s">
        <v>159</v>
      </c>
      <c r="L22" s="216">
        <f>SUM(U$38:W39)</f>
        <v>964354.47</v>
      </c>
      <c r="M22" s="216">
        <f>SUM(X$38:Z39)</f>
        <v>1752303.625</v>
      </c>
      <c r="N22" s="216">
        <f>SUM(AA$38:AC39)</f>
        <v>537335.625</v>
      </c>
      <c r="O22" s="216">
        <f>SUM(AD$38:AF39)</f>
        <v>0</v>
      </c>
      <c r="P22" s="257">
        <f>SUM(Table38[[#This Row],[Q1]:[Q4]])</f>
        <v>3253993.7199999997</v>
      </c>
      <c r="T22" s="155" t="s">
        <v>111</v>
      </c>
      <c r="U22" s="158">
        <f>'FY2526 VAT Financial KPIs'!$F12*'VIC VAT Summary'!U44</f>
        <v>187500</v>
      </c>
      <c r="V22" s="158">
        <f>'FY2526 VAT Financial KPIs'!$F12*'VIC VAT Summary'!V44</f>
        <v>187500</v>
      </c>
      <c r="W22" s="158">
        <f>'FY2526 VAT Financial KPIs'!$F12*'VIC VAT Summary'!W44</f>
        <v>187500</v>
      </c>
      <c r="X22" s="158">
        <f>'FY2526 VAT Financial KPIs'!$F12*'VIC VAT Summary'!X44</f>
        <v>150000</v>
      </c>
      <c r="Y22" s="158">
        <f>'FY2526 VAT Financial KPIs'!$F12*'VIC VAT Summary'!Y44</f>
        <v>150000</v>
      </c>
      <c r="Z22" s="158">
        <f>'FY2526 VAT Financial KPIs'!$F12*'VIC VAT Summary'!Z44</f>
        <v>150000</v>
      </c>
      <c r="AA22" s="158">
        <f>'FY2526 VAT Financial KPIs'!$F12*'VIC VAT Summary'!AA44</f>
        <v>206250</v>
      </c>
      <c r="AB22" s="158">
        <f>'FY2526 VAT Financial KPIs'!$F12*'VIC VAT Summary'!AB44</f>
        <v>206250</v>
      </c>
      <c r="AC22" s="158">
        <f>'FY2526 VAT Financial KPIs'!$F12*'VIC VAT Summary'!AC44</f>
        <v>206250</v>
      </c>
      <c r="AD22" s="158">
        <f>'FY2526 VAT Financial KPIs'!$F12*'VIC VAT Summary'!AD44</f>
        <v>206250</v>
      </c>
      <c r="AE22" s="158">
        <f>'FY2526 VAT Financial KPIs'!$F12*'VIC VAT Summary'!AE44</f>
        <v>206250</v>
      </c>
      <c r="AF22" s="158">
        <f>'FY2526 VAT Financial KPIs'!$F12*'VIC VAT Summary'!AF44</f>
        <v>206250</v>
      </c>
    </row>
    <row r="23" spans="11:32" x14ac:dyDescent="0.25">
      <c r="K23" s="182" t="s">
        <v>154</v>
      </c>
      <c r="L23" s="216">
        <f t="shared" ref="L23:O23" si="6">L22-L$18</f>
        <v>-740190.98454545438</v>
      </c>
      <c r="M23" s="216">
        <f t="shared" si="6"/>
        <v>388667.26136363647</v>
      </c>
      <c r="N23" s="216">
        <f t="shared" si="6"/>
        <v>-1337664.375</v>
      </c>
      <c r="O23" s="216">
        <f t="shared" si="6"/>
        <v>-1875000</v>
      </c>
      <c r="P23" s="257">
        <f>SUM(Table38[[#This Row],[Q1]:[Q4]])</f>
        <v>-3564188.0981818177</v>
      </c>
      <c r="T23" s="155" t="s">
        <v>4</v>
      </c>
      <c r="U23" s="158">
        <f>'FY2526 VAT Financial KPIs'!$E12*'VIC VAT Summary'!U45</f>
        <v>150000</v>
      </c>
      <c r="V23" s="158">
        <f>'FY2526 VAT Financial KPIs'!$E12*'VIC VAT Summary'!V45</f>
        <v>150000</v>
      </c>
      <c r="W23" s="158">
        <f>'FY2526 VAT Financial KPIs'!$E12*'VIC VAT Summary'!W45</f>
        <v>150000</v>
      </c>
      <c r="X23" s="158">
        <f>'FY2526 VAT Financial KPIs'!$E12*'VIC VAT Summary'!X45</f>
        <v>150000</v>
      </c>
      <c r="Y23" s="158">
        <f>'FY2526 VAT Financial KPIs'!$E12*'VIC VAT Summary'!Y45</f>
        <v>150000</v>
      </c>
      <c r="Z23" s="158">
        <f>'FY2526 VAT Financial KPIs'!$E12*'VIC VAT Summary'!Z45</f>
        <v>150000</v>
      </c>
      <c r="AA23" s="158">
        <f>'FY2526 VAT Financial KPIs'!$E12*'VIC VAT Summary'!AA45</f>
        <v>150000</v>
      </c>
      <c r="AB23" s="158">
        <f>'FY2526 VAT Financial KPIs'!$E12*'VIC VAT Summary'!AB45</f>
        <v>150000</v>
      </c>
      <c r="AC23" s="158">
        <f>'FY2526 VAT Financial KPIs'!$E12*'VIC VAT Summary'!AC45</f>
        <v>150000</v>
      </c>
      <c r="AD23" s="158">
        <f>'FY2526 VAT Financial KPIs'!$E12*'VIC VAT Summary'!AD45</f>
        <v>150000</v>
      </c>
      <c r="AE23" s="158">
        <f>'FY2526 VAT Financial KPIs'!$E12*'VIC VAT Summary'!AE45</f>
        <v>150000</v>
      </c>
      <c r="AF23" s="158">
        <f>'FY2526 VAT Financial KPIs'!$E12*'VIC VAT Summary'!AF45</f>
        <v>150000</v>
      </c>
    </row>
    <row r="24" spans="11:32" x14ac:dyDescent="0.25">
      <c r="K24" s="150" t="s">
        <v>160</v>
      </c>
      <c r="L24" s="216">
        <f>SUM(U$38:W40)</f>
        <v>964354.47</v>
      </c>
      <c r="M24" s="216">
        <f>SUM(X$38:Z40)</f>
        <v>1752303.625</v>
      </c>
      <c r="N24" s="216">
        <f>SUM(AA$38:AC40)</f>
        <v>537335.625</v>
      </c>
      <c r="O24" s="216">
        <f>SUM(AD$38:AF40)</f>
        <v>0</v>
      </c>
      <c r="P24" s="257">
        <f>SUM(Table38[[#This Row],[Q1]:[Q4]])</f>
        <v>3253993.7199999997</v>
      </c>
    </row>
    <row r="25" spans="11:32" x14ac:dyDescent="0.25">
      <c r="K25" s="182" t="s">
        <v>154</v>
      </c>
      <c r="L25" s="216">
        <f t="shared" ref="L25:O25" si="7">L24-L$18</f>
        <v>-740190.98454545438</v>
      </c>
      <c r="M25" s="216">
        <f t="shared" si="7"/>
        <v>388667.26136363647</v>
      </c>
      <c r="N25" s="216">
        <f t="shared" si="7"/>
        <v>-1337664.375</v>
      </c>
      <c r="O25" s="216">
        <f t="shared" si="7"/>
        <v>-1875000</v>
      </c>
      <c r="P25" s="257">
        <f>SUM(Table38[[#This Row],[Q1]:[Q4]])</f>
        <v>-3564188.0981818177</v>
      </c>
      <c r="T25" s="13" t="s">
        <v>93</v>
      </c>
      <c r="U25" s="112"/>
      <c r="V25" s="112"/>
      <c r="W25" s="112"/>
      <c r="X25" s="112"/>
      <c r="Y25" s="112"/>
      <c r="Z25" s="112"/>
      <c r="AA25" s="112"/>
      <c r="AB25" s="112"/>
      <c r="AC25" s="112"/>
      <c r="AD25" s="112"/>
      <c r="AE25" s="112"/>
      <c r="AF25" s="112"/>
    </row>
    <row r="26" spans="11:32" x14ac:dyDescent="0.25">
      <c r="K26" s="150" t="s">
        <v>161</v>
      </c>
      <c r="L26" s="216">
        <f ca="1">SUM(U$38:W41)</f>
        <v>964354.47</v>
      </c>
      <c r="M26" s="216">
        <f ca="1">SUM(X$38:Z41)</f>
        <v>1752303.625</v>
      </c>
      <c r="N26" s="216">
        <f ca="1">SUM(AA$38:AC41)</f>
        <v>657335.625</v>
      </c>
      <c r="O26" s="216">
        <f ca="1">SUM(AD$38:AF41)</f>
        <v>1171200</v>
      </c>
      <c r="P26" s="257">
        <f ca="1">SUM(Table38[[#This Row],[Q1]:[Q4]])</f>
        <v>4545193.72</v>
      </c>
      <c r="T26" s="113" t="s">
        <v>94</v>
      </c>
      <c r="U26" s="112" t="s">
        <v>95</v>
      </c>
      <c r="V26" s="112" t="s">
        <v>96</v>
      </c>
      <c r="W26" s="112" t="s">
        <v>97</v>
      </c>
      <c r="X26" s="112" t="s">
        <v>98</v>
      </c>
      <c r="Y26" s="112" t="s">
        <v>99</v>
      </c>
      <c r="Z26" s="112" t="s">
        <v>100</v>
      </c>
      <c r="AA26" s="112" t="s">
        <v>101</v>
      </c>
      <c r="AB26" s="112" t="s">
        <v>102</v>
      </c>
      <c r="AC26" s="112" t="s">
        <v>103</v>
      </c>
      <c r="AD26" s="112" t="s">
        <v>104</v>
      </c>
      <c r="AE26" s="112" t="s">
        <v>105</v>
      </c>
      <c r="AF26" s="112" t="s">
        <v>106</v>
      </c>
    </row>
    <row r="27" spans="11:32" x14ac:dyDescent="0.25">
      <c r="K27" s="182" t="s">
        <v>154</v>
      </c>
      <c r="L27" s="216">
        <f t="shared" ref="L27:O27" ca="1" si="8">L26-L$18</f>
        <v>-740190.98454545438</v>
      </c>
      <c r="M27" s="216">
        <f t="shared" ca="1" si="8"/>
        <v>388667.26136363647</v>
      </c>
      <c r="N27" s="216">
        <f t="shared" ca="1" si="8"/>
        <v>-1217664.375</v>
      </c>
      <c r="O27" s="216">
        <f t="shared" ca="1" si="8"/>
        <v>-703800</v>
      </c>
      <c r="P27" s="257">
        <f ca="1">SUM(Table38[[#This Row],[Q1]:[Q4]])</f>
        <v>-2272988.0981818177</v>
      </c>
      <c r="T27" s="112" t="s">
        <v>148</v>
      </c>
      <c r="U27" s="112">
        <f>U38</f>
        <v>394.92</v>
      </c>
      <c r="V27" s="112">
        <f>SUM($U38:V38)</f>
        <v>274664.51999999996</v>
      </c>
      <c r="W27" s="112">
        <f>SUM($U38:W38)</f>
        <v>964354.47</v>
      </c>
      <c r="X27" s="112">
        <f>SUM($U38:X38)</f>
        <v>1698759.5449999999</v>
      </c>
      <c r="Y27" s="112">
        <f>SUM($U38:Y38)</f>
        <v>2288439.0049999999</v>
      </c>
      <c r="Z27" s="112">
        <f>SUM($U38:Z38)</f>
        <v>2716658.0949999997</v>
      </c>
      <c r="AA27" s="112">
        <f>SUM($U38:AA38)</f>
        <v>3113573.7199999997</v>
      </c>
      <c r="AB27" s="112">
        <f>SUM($U38:AB38)</f>
        <v>3253993.7199999997</v>
      </c>
      <c r="AC27" s="112">
        <f>SUM($U38:AC38)</f>
        <v>3253993.7199999997</v>
      </c>
      <c r="AD27" s="112">
        <f>SUM($U38:AD38)</f>
        <v>3253993.7199999997</v>
      </c>
      <c r="AE27" s="112">
        <f>SUM($U38:AE38)</f>
        <v>3253993.7199999997</v>
      </c>
      <c r="AF27" s="112">
        <f>SUM($U38:AF38)</f>
        <v>3253993.7199999997</v>
      </c>
    </row>
    <row r="28" spans="11:32" x14ac:dyDescent="0.25">
      <c r="T28" s="112" t="s">
        <v>150</v>
      </c>
      <c r="U28" s="112">
        <f>U39+U27</f>
        <v>394.92</v>
      </c>
      <c r="V28" s="112">
        <f>SUM($U39:V39)+V27</f>
        <v>274664.51999999996</v>
      </c>
      <c r="W28" s="112">
        <f>SUM($U39:W39)+W27</f>
        <v>964354.47</v>
      </c>
      <c r="X28" s="112">
        <f>SUM($U39:X39)+X27</f>
        <v>1698759.5449999999</v>
      </c>
      <c r="Y28" s="112">
        <f>SUM($U39:Y39)+Y27</f>
        <v>2288439.0049999999</v>
      </c>
      <c r="Z28" s="112">
        <f>SUM($U39:Z39)+Z27</f>
        <v>2716658.0949999997</v>
      </c>
      <c r="AA28" s="112">
        <f>SUM($U39:AA39)+AA27</f>
        <v>3113573.7199999997</v>
      </c>
      <c r="AB28" s="112">
        <f>SUM($U39:AB39)+AB27</f>
        <v>3253993.7199999997</v>
      </c>
      <c r="AC28" s="112">
        <f>SUM($U39:AC39)+AC27</f>
        <v>3253993.7199999997</v>
      </c>
      <c r="AD28" s="112">
        <f>SUM($U39:AD39)+AD27</f>
        <v>3253993.7199999997</v>
      </c>
      <c r="AE28" s="112">
        <f>SUM($U39:AE39)+AE27</f>
        <v>3253993.7199999997</v>
      </c>
      <c r="AF28" s="112">
        <f>SUM($U39:AF39)+AF27</f>
        <v>3253993.7199999997</v>
      </c>
    </row>
    <row r="29" spans="11:32" x14ac:dyDescent="0.25">
      <c r="K29" s="185" t="s">
        <v>162</v>
      </c>
      <c r="L29" s="214" t="s">
        <v>47</v>
      </c>
      <c r="M29" s="214" t="s">
        <v>48</v>
      </c>
      <c r="N29" s="214" t="s">
        <v>49</v>
      </c>
      <c r="O29" s="214" t="s">
        <v>50</v>
      </c>
      <c r="P29" s="215" t="s">
        <v>1</v>
      </c>
      <c r="T29" s="112" t="s">
        <v>108</v>
      </c>
      <c r="U29" s="112">
        <f>U40+U28</f>
        <v>394.92</v>
      </c>
      <c r="V29" s="112">
        <f>SUM($U40:V40)+V28</f>
        <v>274664.51999999996</v>
      </c>
      <c r="W29" s="112">
        <f>SUM($U40:W40)+W28</f>
        <v>964354.47</v>
      </c>
      <c r="X29" s="112">
        <f>SUM($U40:X40)+X28</f>
        <v>1698759.5449999999</v>
      </c>
      <c r="Y29" s="112">
        <f>SUM($U40:Y40)+Y28</f>
        <v>2288439.0049999999</v>
      </c>
      <c r="Z29" s="112">
        <f>SUM($U40:Z40)+Z28</f>
        <v>2716658.0949999997</v>
      </c>
      <c r="AA29" s="112">
        <f>SUM($U40:AA40)+AA28</f>
        <v>3113573.7199999997</v>
      </c>
      <c r="AB29" s="112">
        <f>SUM($U40:AB40)+AB28</f>
        <v>3253993.7199999997</v>
      </c>
      <c r="AC29" s="112">
        <f>SUM($U40:AC40)+AC28</f>
        <v>3253993.7199999997</v>
      </c>
      <c r="AD29" s="112">
        <f>SUM($U40:AD40)+AD28</f>
        <v>3253993.7199999997</v>
      </c>
      <c r="AE29" s="112">
        <f>SUM($U40:AE40)+AE28</f>
        <v>3253993.7199999997</v>
      </c>
      <c r="AF29" s="112">
        <f>SUM($U40:AF40)+AF28</f>
        <v>3253993.7199999997</v>
      </c>
    </row>
    <row r="30" spans="11:32" x14ac:dyDescent="0.25">
      <c r="K30" s="209" t="s">
        <v>163</v>
      </c>
      <c r="L30" s="151">
        <f>L6/L18</f>
        <v>0.33</v>
      </c>
      <c r="M30" s="151">
        <f t="shared" ref="M30:P30" si="9">M6/M18</f>
        <v>0.33</v>
      </c>
      <c r="N30" s="151">
        <f t="shared" si="9"/>
        <v>0.33</v>
      </c>
      <c r="O30" s="151">
        <f t="shared" si="9"/>
        <v>0.33</v>
      </c>
      <c r="P30" s="151">
        <f t="shared" si="9"/>
        <v>0.33</v>
      </c>
      <c r="T30" s="112" t="s">
        <v>109</v>
      </c>
      <c r="U30" s="112">
        <f ca="1">U41+U29</f>
        <v>394.92</v>
      </c>
      <c r="V30" s="112">
        <f ca="1">SUM($U41:V41)+V29</f>
        <v>274664.51999999996</v>
      </c>
      <c r="W30" s="112">
        <f ca="1">SUM($U41:W41)+W29</f>
        <v>964354.47</v>
      </c>
      <c r="X30" s="112">
        <f ca="1">SUM($U41:X41)+X29</f>
        <v>1698759.5449999999</v>
      </c>
      <c r="Y30" s="112">
        <f ca="1">SUM($U41:Y41)+Y29</f>
        <v>2288439.0049999999</v>
      </c>
      <c r="Z30" s="112">
        <f ca="1">SUM($U41:Z41)+Z29</f>
        <v>2716658.0949999997</v>
      </c>
      <c r="AA30" s="112">
        <f ca="1">SUM($U41:AA41)+AA29</f>
        <v>3113573.7199999997</v>
      </c>
      <c r="AB30" s="112">
        <f ca="1">SUM($U41:AB41)+AB29</f>
        <v>3253993.7199999997</v>
      </c>
      <c r="AC30" s="112">
        <f ca="1">SUM($U41:AC41)+AC29</f>
        <v>3373993.7199999997</v>
      </c>
      <c r="AD30" s="112">
        <f ca="1">SUM($U41:AD41)+AD29</f>
        <v>3799593.7199999997</v>
      </c>
      <c r="AE30" s="112">
        <f ca="1">SUM($U41:AE41)+AE29</f>
        <v>4225193.72</v>
      </c>
      <c r="AF30" s="112">
        <f ca="1">SUM($U41:AF41)+AF29</f>
        <v>4545193.72</v>
      </c>
    </row>
    <row r="31" spans="11:32" x14ac:dyDescent="0.25">
      <c r="K31" s="210" t="s">
        <v>201</v>
      </c>
      <c r="L31" s="145">
        <f>IFERROR(L7/L19,"")</f>
        <v>0.30182041879268667</v>
      </c>
      <c r="M31" s="145">
        <f>IFERROR(M7/M19,"")</f>
        <v>0.3184216804892987</v>
      </c>
      <c r="N31" s="145">
        <f>IFERROR(N7/N19,"")</f>
        <v>0.33324823122082509</v>
      </c>
      <c r="O31" s="145" t="str">
        <f>IFERROR(O7/O19,"")</f>
        <v/>
      </c>
      <c r="P31" s="149">
        <f>P7/P19</f>
        <v>0.31562581739945411</v>
      </c>
      <c r="T31" s="155" t="s">
        <v>152</v>
      </c>
      <c r="U31" s="112">
        <f>U42</f>
        <v>0</v>
      </c>
      <c r="V31" s="112">
        <f>SUM($U42:V42)</f>
        <v>0</v>
      </c>
      <c r="W31" s="112">
        <f>SUM($U42:W42)</f>
        <v>0</v>
      </c>
      <c r="X31" s="112">
        <f>SUM($U42:X42)</f>
        <v>0</v>
      </c>
      <c r="Y31" s="112">
        <f>SUM($U42:Y42)</f>
        <v>0</v>
      </c>
      <c r="Z31" s="112">
        <f>SUM($U42:Z42)</f>
        <v>0</v>
      </c>
      <c r="AA31" s="112">
        <f>SUM($U42:AA42)</f>
        <v>0</v>
      </c>
      <c r="AB31" s="112">
        <f>SUM($U42:AB42)</f>
        <v>0</v>
      </c>
      <c r="AC31" s="112">
        <f>SUM($U42:AC42)</f>
        <v>0</v>
      </c>
      <c r="AD31" s="112">
        <f>SUM($U42:AD42)</f>
        <v>0</v>
      </c>
      <c r="AE31" s="112">
        <f>SUM($U42:AE42)</f>
        <v>0</v>
      </c>
      <c r="AF31" s="112">
        <f>SUM($U42:AF42)</f>
        <v>0</v>
      </c>
    </row>
    <row r="32" spans="11:32" x14ac:dyDescent="0.25">
      <c r="K32" s="211" t="s">
        <v>202</v>
      </c>
      <c r="L32" s="217">
        <f>L8/L20</f>
        <v>0.30182041879268745</v>
      </c>
      <c r="M32" s="217">
        <f t="shared" ref="M32:P38" si="10">M8/M20</f>
        <v>0.31842168048930436</v>
      </c>
      <c r="N32" s="217">
        <f t="shared" si="10"/>
        <v>0.33108114690888057</v>
      </c>
      <c r="O32" s="217" t="e">
        <f t="shared" si="10"/>
        <v>#DIV/0!</v>
      </c>
      <c r="P32" s="217">
        <f t="shared" si="10"/>
        <v>0.31559219788537274</v>
      </c>
      <c r="T32" s="155" t="s">
        <v>110</v>
      </c>
      <c r="U32" s="157">
        <f>U43</f>
        <v>681818.18181818177</v>
      </c>
      <c r="V32" s="157">
        <f>SUM($U43:V43)</f>
        <v>1363636.3636363635</v>
      </c>
      <c r="W32" s="157">
        <f>SUM($U43:W43)</f>
        <v>2045454.5454545454</v>
      </c>
      <c r="X32" s="157">
        <f>SUM($U43:X43)</f>
        <v>2500000</v>
      </c>
      <c r="Y32" s="157">
        <f>SUM($U43:Y43)</f>
        <v>2954545.4545454546</v>
      </c>
      <c r="Z32" s="157">
        <f>SUM($U43:Z43)</f>
        <v>3409090.9090909092</v>
      </c>
      <c r="AA32" s="157">
        <f>SUM($U43:AA43)</f>
        <v>4204545.4545454551</v>
      </c>
      <c r="AB32" s="157">
        <f>SUM($U43:AB43)</f>
        <v>5000000</v>
      </c>
      <c r="AC32" s="157">
        <f>SUM($U43:AC43)</f>
        <v>5795454.5454545449</v>
      </c>
      <c r="AD32" s="157">
        <f>SUM($U43:AD43)</f>
        <v>6590909.0909090899</v>
      </c>
      <c r="AE32" s="157">
        <f>SUM($U43:AE43)</f>
        <v>7386363.6363636348</v>
      </c>
      <c r="AF32" s="157">
        <f>SUM($U43:AF43)</f>
        <v>8181818.1818181798</v>
      </c>
    </row>
    <row r="33" spans="11:32" x14ac:dyDescent="0.25">
      <c r="K33" s="212" t="s">
        <v>154</v>
      </c>
      <c r="L33" s="217">
        <f>L32-L$30</f>
        <v>-2.8179581207312565E-2</v>
      </c>
      <c r="M33" s="217">
        <f t="shared" ref="M33:P33" si="11">M32-M$30</f>
        <v>-1.1578319510695656E-2</v>
      </c>
      <c r="N33" s="217">
        <f t="shared" si="11"/>
        <v>1.0811469088805592E-3</v>
      </c>
      <c r="O33" s="217" t="e">
        <f t="shared" si="11"/>
        <v>#DIV/0!</v>
      </c>
      <c r="P33" s="217">
        <f t="shared" si="11"/>
        <v>-1.4407802114627277E-2</v>
      </c>
      <c r="T33" s="155" t="s">
        <v>111</v>
      </c>
      <c r="U33" s="157">
        <f t="shared" ref="U33:U34" si="12">U44</f>
        <v>568181.81818181812</v>
      </c>
      <c r="V33" s="157">
        <f>SUM($U44:V44)</f>
        <v>1136363.6363636362</v>
      </c>
      <c r="W33" s="157">
        <f>SUM($U44:W44)</f>
        <v>1704545.4545454544</v>
      </c>
      <c r="X33" s="157">
        <f>SUM($U44:X44)</f>
        <v>2159090.9090909087</v>
      </c>
      <c r="Y33" s="157">
        <f>SUM($U44:Y44)</f>
        <v>2613636.3636363633</v>
      </c>
      <c r="Z33" s="157">
        <f>SUM($U44:Z44)</f>
        <v>3068181.8181818179</v>
      </c>
      <c r="AA33" s="157">
        <f>SUM($U44:AA44)</f>
        <v>3693181.8181818179</v>
      </c>
      <c r="AB33" s="157">
        <f>SUM($U44:AB44)</f>
        <v>4318181.8181818184</v>
      </c>
      <c r="AC33" s="157">
        <f>SUM($U44:AC44)</f>
        <v>4943181.8181818184</v>
      </c>
      <c r="AD33" s="157">
        <f>SUM($U44:AD44)</f>
        <v>5568181.8181818184</v>
      </c>
      <c r="AE33" s="157">
        <f>SUM($U44:AE44)</f>
        <v>6193181.8181818184</v>
      </c>
      <c r="AF33" s="157">
        <f>SUM($U44:AF44)</f>
        <v>6818181.8181818184</v>
      </c>
    </row>
    <row r="34" spans="11:32" x14ac:dyDescent="0.25">
      <c r="K34" s="209" t="s">
        <v>164</v>
      </c>
      <c r="L34" s="217">
        <f>L10/L22</f>
        <v>0.30182041879268745</v>
      </c>
      <c r="M34" s="217">
        <f t="shared" si="10"/>
        <v>0.31842168048930436</v>
      </c>
      <c r="N34" s="217">
        <f t="shared" si="10"/>
        <v>0.33108114690888057</v>
      </c>
      <c r="O34" s="217" t="e">
        <f t="shared" si="10"/>
        <v>#DIV/0!</v>
      </c>
      <c r="P34" s="217">
        <f t="shared" si="10"/>
        <v>0.31559219788537274</v>
      </c>
      <c r="T34" s="155" t="s">
        <v>4</v>
      </c>
      <c r="U34" s="157">
        <f t="shared" si="12"/>
        <v>500000</v>
      </c>
      <c r="V34" s="157">
        <f>SUM($U45:V45)</f>
        <v>1000000</v>
      </c>
      <c r="W34" s="157">
        <f>SUM($U45:W45)</f>
        <v>1500000</v>
      </c>
      <c r="X34" s="157">
        <f>SUM($U45:X45)</f>
        <v>2000000</v>
      </c>
      <c r="Y34" s="157">
        <f>SUM($U45:Y45)</f>
        <v>2500000</v>
      </c>
      <c r="Z34" s="157">
        <f>SUM($U45:Z45)</f>
        <v>3000000</v>
      </c>
      <c r="AA34" s="157">
        <f>SUM($U45:AA45)</f>
        <v>3500000</v>
      </c>
      <c r="AB34" s="157">
        <f>SUM($U45:AB45)</f>
        <v>4000000</v>
      </c>
      <c r="AC34" s="157">
        <f>SUM($U45:AC45)</f>
        <v>4500000</v>
      </c>
      <c r="AD34" s="157">
        <f>SUM($U45:AD45)</f>
        <v>5000000</v>
      </c>
      <c r="AE34" s="157">
        <f>SUM($U45:AE45)</f>
        <v>5500000</v>
      </c>
      <c r="AF34" s="157">
        <f>SUM($U45:AF45)</f>
        <v>6000000</v>
      </c>
    </row>
    <row r="35" spans="11:32" x14ac:dyDescent="0.25">
      <c r="K35" s="212" t="s">
        <v>154</v>
      </c>
      <c r="L35" s="217">
        <f t="shared" ref="L35:P35" si="13">L34-L$30</f>
        <v>-2.8179581207312565E-2</v>
      </c>
      <c r="M35" s="217">
        <f t="shared" si="13"/>
        <v>-1.1578319510695656E-2</v>
      </c>
      <c r="N35" s="217">
        <f t="shared" si="13"/>
        <v>1.0811469088805592E-3</v>
      </c>
      <c r="O35" s="217" t="e">
        <f t="shared" si="13"/>
        <v>#DIV/0!</v>
      </c>
      <c r="P35" s="217">
        <f t="shared" si="13"/>
        <v>-1.4407802114627277E-2</v>
      </c>
    </row>
    <row r="36" spans="11:32" x14ac:dyDescent="0.25">
      <c r="K36" s="209" t="s">
        <v>165</v>
      </c>
      <c r="L36" s="217">
        <f>L12/L24</f>
        <v>0.30182041879268745</v>
      </c>
      <c r="M36" s="217">
        <f t="shared" si="10"/>
        <v>0.31842168048930436</v>
      </c>
      <c r="N36" s="217">
        <f t="shared" si="10"/>
        <v>0.33108114690888057</v>
      </c>
      <c r="O36" s="217" t="e">
        <f t="shared" si="10"/>
        <v>#DIV/0!</v>
      </c>
      <c r="P36" s="217">
        <f t="shared" si="10"/>
        <v>0.31559219788537274</v>
      </c>
      <c r="T36" s="13" t="s">
        <v>113</v>
      </c>
      <c r="W36" s="13"/>
    </row>
    <row r="37" spans="11:32" x14ac:dyDescent="0.25">
      <c r="K37" s="212" t="s">
        <v>154</v>
      </c>
      <c r="L37" s="217">
        <f t="shared" ref="L37:P37" si="14">L36-L$30</f>
        <v>-2.8179581207312565E-2</v>
      </c>
      <c r="M37" s="217">
        <f t="shared" si="14"/>
        <v>-1.1578319510695656E-2</v>
      </c>
      <c r="N37" s="217">
        <f t="shared" si="14"/>
        <v>1.0811469088805592E-3</v>
      </c>
      <c r="O37" s="217" t="e">
        <f t="shared" si="14"/>
        <v>#DIV/0!</v>
      </c>
      <c r="P37" s="217">
        <f t="shared" si="14"/>
        <v>-1.4407802114627277E-2</v>
      </c>
      <c r="T37" s="13" t="s">
        <v>94</v>
      </c>
      <c r="U37" s="118" t="s">
        <v>95</v>
      </c>
      <c r="V37" s="118" t="s">
        <v>96</v>
      </c>
      <c r="W37" s="118" t="s">
        <v>97</v>
      </c>
      <c r="X37" s="118" t="s">
        <v>98</v>
      </c>
      <c r="Y37" s="118" t="s">
        <v>99</v>
      </c>
      <c r="Z37" s="118" t="s">
        <v>100</v>
      </c>
      <c r="AA37" s="118" t="s">
        <v>101</v>
      </c>
      <c r="AB37" s="118" t="s">
        <v>102</v>
      </c>
      <c r="AC37" s="118" t="s">
        <v>103</v>
      </c>
      <c r="AD37" s="118" t="s">
        <v>104</v>
      </c>
      <c r="AE37" s="118" t="s">
        <v>105</v>
      </c>
      <c r="AF37" s="118" t="s">
        <v>106</v>
      </c>
    </row>
    <row r="38" spans="11:32" x14ac:dyDescent="0.25">
      <c r="K38" s="209" t="s">
        <v>166</v>
      </c>
      <c r="L38" s="217">
        <f ca="1">L14/L26</f>
        <v>0.30182041879268745</v>
      </c>
      <c r="M38" s="217">
        <f t="shared" ca="1" si="10"/>
        <v>0.31842168048930436</v>
      </c>
      <c r="N38" s="217">
        <f t="shared" ca="1" si="10"/>
        <v>0.27064058029716576</v>
      </c>
      <c r="O38" s="217">
        <f t="shared" ca="1" si="10"/>
        <v>0</v>
      </c>
      <c r="P38" s="217">
        <f t="shared" ca="1" si="10"/>
        <v>0.2259386713224624</v>
      </c>
      <c r="T38" s="112" t="s">
        <v>148</v>
      </c>
      <c r="U38" s="112">
        <f>SUMIF(Job_Status[VAT],"Vic Gov",Job_Status[R1])</f>
        <v>394.92</v>
      </c>
      <c r="V38" s="112">
        <f>SUMIF(Job_Status[VAT],"Vic Gov",Job_Status[R2])</f>
        <v>274269.59999999998</v>
      </c>
      <c r="W38" s="112">
        <f>SUMIF(Job_Status[VAT],"Vic Gov",Job_Status[R3])</f>
        <v>689689.95</v>
      </c>
      <c r="X38" s="112">
        <f>SUMIF(Job_Status[VAT],"Vic Gov",Job_Status[R4])</f>
        <v>734405.07499999995</v>
      </c>
      <c r="Y38" s="112">
        <f>SUMIF(Job_Status[VAT],"Vic Gov",Job_Status[R5])</f>
        <v>589679.46</v>
      </c>
      <c r="Z38" s="112">
        <f>SUMIF(Job_Status[VAT],"Vic Gov",Job_Status[R6])</f>
        <v>428219.09</v>
      </c>
      <c r="AA38" s="112">
        <f>SUMIF(Job_Status[VAT],"Vic Gov",Job_Status[R7])</f>
        <v>396915.625</v>
      </c>
      <c r="AB38" s="112">
        <f>SUMIF(Job_Status[VAT],"Vic Gov",Job_Status[R8])</f>
        <v>140420</v>
      </c>
      <c r="AC38" s="112">
        <f>SUMIF(Job_Status[VAT],"Vic Gov",Job_Status[R9])</f>
        <v>0</v>
      </c>
      <c r="AD38" s="112">
        <f>SUMIF(Job_Status[VAT],"Vic Gov",Job_Status[R10])</f>
        <v>0</v>
      </c>
      <c r="AE38" s="112">
        <f>SUMIF(Job_Status[VAT],"Vic Gov",Job_Status[R11])</f>
        <v>0</v>
      </c>
      <c r="AF38" s="112">
        <f>SUMIF(Job_Status[VAT],"Vic Gov",Job_Status[R12])</f>
        <v>0</v>
      </c>
    </row>
    <row r="39" spans="11:32" x14ac:dyDescent="0.25">
      <c r="K39" s="213" t="s">
        <v>154</v>
      </c>
      <c r="L39" s="217">
        <f t="shared" ref="L39:P39" ca="1" si="15">L38-L$30</f>
        <v>-2.8179581207312565E-2</v>
      </c>
      <c r="M39" s="217">
        <f t="shared" ca="1" si="15"/>
        <v>-1.1578319510695656E-2</v>
      </c>
      <c r="N39" s="217">
        <f t="shared" ca="1" si="15"/>
        <v>-5.935941970283426E-2</v>
      </c>
      <c r="O39" s="217">
        <f t="shared" ca="1" si="15"/>
        <v>-0.33</v>
      </c>
      <c r="P39" s="217">
        <f t="shared" ca="1" si="15"/>
        <v>-0.10406132867753762</v>
      </c>
      <c r="T39" s="112" t="s">
        <v>77</v>
      </c>
      <c r="U39" s="112">
        <f>SUMIFS(OppSpreadData[July],OppSpreadData[VAT],"Vic Gov",OppSpreadData[Phase],RevSpreadTable51723[[#This Row],[STATUS]])</f>
        <v>0</v>
      </c>
      <c r="V39" s="112">
        <f>SUMIFS(OppSpreadData[August],OppSpreadData[VAT],"Vic Gov",OppSpreadData[Phase],RevSpreadTable51723[[#This Row],[STATUS]])</f>
        <v>0</v>
      </c>
      <c r="W39" s="112">
        <f>SUMIFS(OppSpreadData[September],OppSpreadData[VAT],"Vic Gov",OppSpreadData[Phase],RevSpreadTable51723[[#This Row],[STATUS]])</f>
        <v>0</v>
      </c>
      <c r="X39" s="112">
        <f>SUMIFS(OppSpreadData[October],OppSpreadData[VAT],"Vic Gov",OppSpreadData[Phase],RevSpreadTable51723[[#This Row],[STATUS]])</f>
        <v>0</v>
      </c>
      <c r="Y39" s="112">
        <f>SUMIFS(OppSpreadData[November],OppSpreadData[VAT],"Vic Gov",OppSpreadData[Phase],RevSpreadTable51723[[#This Row],[STATUS]])</f>
        <v>0</v>
      </c>
      <c r="Z39" s="112">
        <f>SUMIFS(OppSpreadData[December],OppSpreadData[VAT],"Vic Gov",OppSpreadData[Phase],RevSpreadTable51723[[#This Row],[STATUS]])</f>
        <v>0</v>
      </c>
      <c r="AA39" s="112">
        <f>SUMIFS(OppSpreadData[January],OppSpreadData[VAT],"Vic Gov",OppSpreadData[Phase],RevSpreadTable51723[[#This Row],[STATUS]])</f>
        <v>0</v>
      </c>
      <c r="AB39" s="112">
        <f>SUMIFS(OppSpreadData[February],OppSpreadData[VAT],"Vic Gov",OppSpreadData[Phase],RevSpreadTable51723[[#This Row],[STATUS]])</f>
        <v>0</v>
      </c>
      <c r="AC39" s="112">
        <f>SUMIFS(OppSpreadData[March],OppSpreadData[VAT],"Vic Gov",OppSpreadData[Phase],RevSpreadTable51723[[#This Row],[STATUS]])</f>
        <v>0</v>
      </c>
      <c r="AD39" s="112">
        <f>SUMIFS(OppSpreadData[April],OppSpreadData[VAT],"Vic Gov",OppSpreadData[Phase],RevSpreadTable51723[[#This Row],[STATUS]])</f>
        <v>0</v>
      </c>
      <c r="AE39" s="112">
        <f>SUMIFS(OppSpreadData[May],OppSpreadData[VAT],"Vic Gov",OppSpreadData[Phase],RevSpreadTable51723[[#This Row],[STATUS]])</f>
        <v>0</v>
      </c>
      <c r="AF39" s="112">
        <f>SUMIFS(OppSpreadData[June],OppSpreadData[VAT],"Vic Gov",OppSpreadData[Phase],RevSpreadTable51723[[#This Row],[STATUS]])</f>
        <v>0</v>
      </c>
    </row>
    <row r="40" spans="11:32" x14ac:dyDescent="0.25">
      <c r="T40" s="112" t="s">
        <v>76</v>
      </c>
      <c r="U40" s="112">
        <f>SUMIFS(OppSpreadData[July],OppSpreadData[VAT],"Vic Gov",OppSpreadData[Phase],RevSpreadTable51723[[#This Row],[STATUS]])</f>
        <v>0</v>
      </c>
      <c r="V40" s="112">
        <f>SUMIFS(OppSpreadData[August],OppSpreadData[VAT],"Vic Gov",OppSpreadData[Phase],RevSpreadTable51723[[#This Row],[STATUS]])</f>
        <v>0</v>
      </c>
      <c r="W40" s="112">
        <f>SUMIFS(OppSpreadData[September],OppSpreadData[VAT],"Vic Gov",OppSpreadData[Phase],RevSpreadTable51723[[#This Row],[STATUS]])</f>
        <v>0</v>
      </c>
      <c r="X40" s="112">
        <f>SUMIFS(OppSpreadData[October],OppSpreadData[VAT],"Vic Gov",OppSpreadData[Phase],RevSpreadTable51723[[#This Row],[STATUS]])</f>
        <v>0</v>
      </c>
      <c r="Y40" s="112">
        <f>SUMIFS(OppSpreadData[November],OppSpreadData[VAT],"Vic Gov",OppSpreadData[Phase],RevSpreadTable51723[[#This Row],[STATUS]])</f>
        <v>0</v>
      </c>
      <c r="Z40" s="112">
        <f>SUMIFS(OppSpreadData[December],OppSpreadData[VAT],"Vic Gov",OppSpreadData[Phase],RevSpreadTable51723[[#This Row],[STATUS]])</f>
        <v>0</v>
      </c>
      <c r="AA40" s="112">
        <f>SUMIFS(OppSpreadData[January],OppSpreadData[VAT],"Vic Gov",OppSpreadData[Phase],RevSpreadTable51723[[#This Row],[STATUS]])</f>
        <v>0</v>
      </c>
      <c r="AB40" s="112">
        <f>SUMIFS(OppSpreadData[February],OppSpreadData[VAT],"Vic Gov",OppSpreadData[Phase],RevSpreadTable51723[[#This Row],[STATUS]])</f>
        <v>0</v>
      </c>
      <c r="AC40" s="112">
        <f>SUMIFS(OppSpreadData[March],OppSpreadData[VAT],"Vic Gov",OppSpreadData[Phase],RevSpreadTable51723[[#This Row],[STATUS]])</f>
        <v>0</v>
      </c>
      <c r="AD40" s="112">
        <f>SUMIFS(OppSpreadData[April],OppSpreadData[VAT],"Vic Gov",OppSpreadData[Phase],RevSpreadTable51723[[#This Row],[STATUS]])</f>
        <v>0</v>
      </c>
      <c r="AE40" s="112">
        <f>SUMIFS(OppSpreadData[May],OppSpreadData[VAT],"Vic Gov",OppSpreadData[Phase],RevSpreadTable51723[[#This Row],[STATUS]])</f>
        <v>0</v>
      </c>
      <c r="AF40" s="112">
        <f>SUMIFS(OppSpreadData[June],OppSpreadData[VAT],"Vic Gov",OppSpreadData[Phase],RevSpreadTable51723[[#This Row],[STATUS]])</f>
        <v>0</v>
      </c>
    </row>
    <row r="41" spans="11:32" x14ac:dyDescent="0.25">
      <c r="L41" s="174" t="s">
        <v>15</v>
      </c>
      <c r="M41" s="175"/>
      <c r="N41" s="174" t="s">
        <v>167</v>
      </c>
      <c r="O41" s="175"/>
      <c r="P41" s="173" t="s">
        <v>3</v>
      </c>
      <c r="Q41" s="174"/>
      <c r="T41" s="112" t="s">
        <v>75</v>
      </c>
      <c r="U41" s="112" cm="1">
        <f t="array" aca="1" ref="U41" ca="1">SUM(
_xlfn._xlws.FILTER(
_xlfn.DROP(_xlfn.CHOOSECOLS(QBlockRev,4),1),
_xlfn.DROP(_xlfn.CHOOSECOLS(QBlockRev,3),1)="Vic Gov", 0
))</f>
        <v>0</v>
      </c>
      <c r="V41" s="112" cm="1">
        <f t="array" aca="1" ref="V41" ca="1">SUM(
  _xlfn._xlws.FILTER(
    _xlfn.DROP(_xlfn.CHOOSECOLS(QBlockRev,5),1),
    _xlfn.DROP(_xlfn.CHOOSECOLS(QBlockRev,3),1)="Vic Gov", 0
  )
)</f>
        <v>0</v>
      </c>
      <c r="W41" s="112" cm="1">
        <f t="array" aca="1" ref="W41" ca="1">SUM(
  _xlfn._xlws.FILTER(
    _xlfn.DROP(_xlfn.CHOOSECOLS(QBlockRev,6),1),
    _xlfn.DROP(_xlfn.CHOOSECOLS(QBlockRev,3),1)="Vic Gov", 0
  )
)</f>
        <v>0</v>
      </c>
      <c r="X41" s="112" cm="1">
        <f t="array" aca="1" ref="X41" ca="1">SUM(
  _xlfn._xlws.FILTER(
    _xlfn.DROP(_xlfn.CHOOSECOLS(QBlockRev,7),1),
    _xlfn.DROP(_xlfn.CHOOSECOLS(QBlockRev,3),1)="Vic Gov", 0
  )
)</f>
        <v>0</v>
      </c>
      <c r="Y41" s="112" cm="1">
        <f t="array" aca="1" ref="Y41" ca="1">SUM(
  _xlfn._xlws.FILTER(
    _xlfn.DROP(_xlfn.CHOOSECOLS(QBlockRev,8),1),
    _xlfn.DROP(_xlfn.CHOOSECOLS(QBlockRev,3),1)="Vic Gov", 0
  )
)</f>
        <v>0</v>
      </c>
      <c r="Z41" s="112" cm="1">
        <f t="array" aca="1" ref="Z41" ca="1">SUM(
  _xlfn._xlws.FILTER(
    _xlfn.DROP(_xlfn.CHOOSECOLS(QBlockRev,9),1),
    _xlfn.DROP(_xlfn.CHOOSECOLS(QBlockRev,3),1)="Vic Gov", 0
  )
)</f>
        <v>0</v>
      </c>
      <c r="AA41" s="112" cm="1">
        <f t="array" aca="1" ref="AA41" ca="1">SUM(
  _xlfn._xlws.FILTER(
    _xlfn.DROP(_xlfn.CHOOSECOLS(QBlockRev,10),1),
    _xlfn.DROP(_xlfn.CHOOSECOLS(QBlockRev,3),1)="Vic Gov", 0
  )
)</f>
        <v>0</v>
      </c>
      <c r="AB41" s="112" cm="1">
        <f t="array" aca="1" ref="AB41" ca="1">SUM(
  _xlfn._xlws.FILTER(
    _xlfn.DROP(_xlfn.CHOOSECOLS(QBlockRev,11),1),
    _xlfn.DROP(_xlfn.CHOOSECOLS(QBlockRev,3),1)="Vic Gov", 0
  )
)</f>
        <v>0</v>
      </c>
      <c r="AC41" s="112" cm="1">
        <f t="array" aca="1" ref="AC41" ca="1">SUM(
  _xlfn._xlws.FILTER(
    _xlfn.DROP(_xlfn.CHOOSECOLS(QBlockRev,12),1),
    _xlfn.DROP(_xlfn.CHOOSECOLS(QBlockRev,3),1)="Vic Gov", 0
  )
)</f>
        <v>120000</v>
      </c>
      <c r="AD41" s="112" cm="1">
        <f t="array" aca="1" ref="AD41" ca="1">SUM(
  _xlfn._xlws.FILTER(
    _xlfn.DROP(_xlfn.CHOOSECOLS(QBlockRev,13),1),
    _xlfn.DROP(_xlfn.CHOOSECOLS(QBlockRev,3),1)="Vic Gov", 0
  )
)</f>
        <v>425600</v>
      </c>
      <c r="AE41" s="112" cm="1">
        <f t="array" aca="1" ref="AE41" ca="1">SUM(
  _xlfn._xlws.FILTER(
    _xlfn.DROP(_xlfn.CHOOSECOLS(QBlockRev,14),1),
    _xlfn.DROP(_xlfn.CHOOSECOLS(QBlockRev,3),1)="Vic Gov", 0
  )
)</f>
        <v>425600</v>
      </c>
      <c r="AF41" s="112" cm="1">
        <f t="array" aca="1" ref="AF41" ca="1">SUM(
  _xlfn._xlws.FILTER(
    _xlfn.DROP(_xlfn.CHOOSECOLS(QBlockRev,15),1),
    _xlfn.DROP(_xlfn.CHOOSECOLS(QBlockRev,3),1)="Vic Gov", 0
  )
)</f>
        <v>320000</v>
      </c>
    </row>
    <row r="42" spans="11:32" x14ac:dyDescent="0.25">
      <c r="K42" s="124" t="s">
        <v>168</v>
      </c>
      <c r="L42" s="125" t="s">
        <v>8</v>
      </c>
      <c r="M42" s="126" t="s">
        <v>169</v>
      </c>
      <c r="N42" s="125" t="s">
        <v>170</v>
      </c>
      <c r="O42" s="126" t="s">
        <v>171</v>
      </c>
      <c r="P42" s="125" t="s">
        <v>172</v>
      </c>
      <c r="Q42" s="126" t="s">
        <v>173</v>
      </c>
      <c r="T42" s="155" t="s">
        <v>152</v>
      </c>
      <c r="U42" s="146"/>
      <c r="V42" s="146"/>
      <c r="W42" s="146"/>
      <c r="X42" s="146"/>
      <c r="Y42" s="146"/>
      <c r="Z42" s="146"/>
      <c r="AA42" s="146"/>
      <c r="AB42" s="146"/>
      <c r="AC42" s="146"/>
      <c r="AD42" s="146"/>
      <c r="AE42" s="146"/>
      <c r="AF42" s="146"/>
    </row>
    <row r="43" spans="11:32" x14ac:dyDescent="0.25">
      <c r="K43" s="137" t="s">
        <v>31</v>
      </c>
      <c r="L43" s="138">
        <f>SUMIFS(Job_Status[To Date Gross Profit],Job_Status[Work Type],K43,Job_Status[VAT],"Vic Gov")</f>
        <v>0</v>
      </c>
      <c r="M43" s="139">
        <f>SUMIFS(Job_Status[GP at completion],Job_Status[Work Type],K43,Job_Status[VAT],"Vic Gov")</f>
        <v>0</v>
      </c>
      <c r="N43" s="140" t="str">
        <f>IFERROR(L43/P43,"")</f>
        <v/>
      </c>
      <c r="O43" s="140" t="str">
        <f>IFERROR(M43/Q43,"")</f>
        <v/>
      </c>
      <c r="P43" s="138">
        <f>SUMIFS(Job_Status[Actual], Job_Status[Work Type],K43,Job_Status[VAT],"Vic Gov")</f>
        <v>0</v>
      </c>
      <c r="Q43" s="138">
        <f>SUMIFS(Job_Status[Forecasted Revenue], Job_Status[Work Type],K43,Job_Status[VAT],"Vic Gov")</f>
        <v>0</v>
      </c>
      <c r="T43" s="155" t="s">
        <v>110</v>
      </c>
      <c r="U43" s="157">
        <v>681818.18181818177</v>
      </c>
      <c r="V43" s="157">
        <v>681818.18181818177</v>
      </c>
      <c r="W43" s="157">
        <v>681818.18181818177</v>
      </c>
      <c r="X43" s="157">
        <v>454545.45454545453</v>
      </c>
      <c r="Y43" s="157">
        <v>454545.45454545453</v>
      </c>
      <c r="Z43" s="157">
        <v>454545.45454545453</v>
      </c>
      <c r="AA43" s="157">
        <v>795454.54545454541</v>
      </c>
      <c r="AB43" s="157">
        <v>795454.54545454541</v>
      </c>
      <c r="AC43" s="157">
        <v>795454.54545454541</v>
      </c>
      <c r="AD43" s="157">
        <v>795454.54545454541</v>
      </c>
      <c r="AE43" s="157">
        <v>795454.54545454541</v>
      </c>
      <c r="AF43" s="157">
        <v>795454.54545454541</v>
      </c>
    </row>
    <row r="44" spans="11:32" x14ac:dyDescent="0.25">
      <c r="K44" s="137" t="s">
        <v>34</v>
      </c>
      <c r="L44" s="138">
        <f>SUMIFS(Job_Status[To Date Gross Profit],Job_Status[Work Type],K44,Job_Status[VAT],"Vic Gov")</f>
        <v>1008147.9099999851</v>
      </c>
      <c r="M44" s="139">
        <f>SUMIFS(Job_Status[GP at completion],Job_Status[Work Type],K44,Job_Status[VAT],"Vic Gov")</f>
        <v>1026935.0299999852</v>
      </c>
      <c r="N44" s="140">
        <f t="shared" ref="N44:O46" si="16">IFERROR(L44/P44,"")</f>
        <v>0.31562581739945411</v>
      </c>
      <c r="O44" s="140">
        <f t="shared" si="16"/>
        <v>0.31559219788536813</v>
      </c>
      <c r="P44" s="138">
        <f>SUMIFS(Job_Status[Actual], Job_Status[Work Type],K44,Job_Status[VAT],"Vic Gov")</f>
        <v>3194123.72</v>
      </c>
      <c r="Q44" s="138">
        <f>SUMIFS(Job_Status[Forecasted Revenue], Job_Status[Work Type],K44,Job_Status[VAT],"Vic Gov")</f>
        <v>3253993.72</v>
      </c>
      <c r="T44" s="155" t="s">
        <v>111</v>
      </c>
      <c r="U44" s="157">
        <v>568181.81818181812</v>
      </c>
      <c r="V44" s="157">
        <v>568181.81818181812</v>
      </c>
      <c r="W44" s="157">
        <v>568181.81818181812</v>
      </c>
      <c r="X44" s="157">
        <v>454545.45454545453</v>
      </c>
      <c r="Y44" s="157">
        <v>454545.45454545453</v>
      </c>
      <c r="Z44" s="157">
        <v>454545.45454545453</v>
      </c>
      <c r="AA44" s="157">
        <v>625000</v>
      </c>
      <c r="AB44" s="157">
        <v>625000</v>
      </c>
      <c r="AC44" s="157">
        <v>625000</v>
      </c>
      <c r="AD44" s="157">
        <v>625000</v>
      </c>
      <c r="AE44" s="157">
        <v>625000</v>
      </c>
      <c r="AF44" s="157">
        <v>625000</v>
      </c>
    </row>
    <row r="45" spans="11:32" x14ac:dyDescent="0.25">
      <c r="K45" s="137" t="s">
        <v>35</v>
      </c>
      <c r="L45" s="138">
        <f>SUMIFS(Job_Status[To Date Gross Profit],Job_Status[Work Type],K45,Job_Status[VAT],"Vic Gov")</f>
        <v>0</v>
      </c>
      <c r="M45" s="139">
        <f>SUMIFS(Job_Status[GP at completion],Job_Status[Work Type],K45,Job_Status[VAT],"Vic Gov")</f>
        <v>0</v>
      </c>
      <c r="N45" s="140" t="str">
        <f t="shared" si="16"/>
        <v/>
      </c>
      <c r="O45" s="140" t="str">
        <f t="shared" si="16"/>
        <v/>
      </c>
      <c r="P45" s="138">
        <f>SUMIFS(Job_Status[Actual], Job_Status[Work Type],K45,Job_Status[VAT],"Vic Gov")</f>
        <v>0</v>
      </c>
      <c r="Q45" s="138">
        <f>SUMIFS(Job_Status[Forecasted Revenue], Job_Status[Work Type],K45,Job_Status[VAT],"Vic Gov")</f>
        <v>0</v>
      </c>
      <c r="T45" s="155" t="s">
        <v>4</v>
      </c>
      <c r="U45" s="157" cm="1">
        <f t="array" ref="U45">INDEX('FY2526 VAT Financial KPIs'!$E:$E, MATCH(1, ('FY2526 VAT Financial KPIs'!$A:$A="Vic Gov")*('FY2526 VAT Financial KPIs'!$D:$D="Revenue"), 0))/12</f>
        <v>500000</v>
      </c>
      <c r="V45" s="157" cm="1">
        <f t="array" ref="V45">INDEX('FY2526 VAT Financial KPIs'!$E:$E, MATCH(1, ('FY2526 VAT Financial KPIs'!$A:$A="Vic Gov")*('FY2526 VAT Financial KPIs'!$D:$D="Revenue"), 0))/12</f>
        <v>500000</v>
      </c>
      <c r="W45" s="157" cm="1">
        <f t="array" ref="W45">INDEX('FY2526 VAT Financial KPIs'!$E:$E, MATCH(1, ('FY2526 VAT Financial KPIs'!$A:$A="Vic Gov")*('FY2526 VAT Financial KPIs'!$D:$D="Revenue"), 0))/12</f>
        <v>500000</v>
      </c>
      <c r="X45" s="157" cm="1">
        <f t="array" ref="X45">INDEX('FY2526 VAT Financial KPIs'!$E:$E, MATCH(1, ('FY2526 VAT Financial KPIs'!$A:$A="Vic Gov")*('FY2526 VAT Financial KPIs'!$D:$D="Revenue"), 0))/12</f>
        <v>500000</v>
      </c>
      <c r="Y45" s="157" cm="1">
        <f t="array" ref="Y45">INDEX('FY2526 VAT Financial KPIs'!$E:$E, MATCH(1, ('FY2526 VAT Financial KPIs'!$A:$A="Vic Gov")*('FY2526 VAT Financial KPIs'!$D:$D="Revenue"), 0))/12</f>
        <v>500000</v>
      </c>
      <c r="Z45" s="157" cm="1">
        <f t="array" ref="Z45">INDEX('FY2526 VAT Financial KPIs'!$E:$E, MATCH(1, ('FY2526 VAT Financial KPIs'!$A:$A="Vic Gov")*('FY2526 VAT Financial KPIs'!$D:$D="Revenue"), 0))/12</f>
        <v>500000</v>
      </c>
      <c r="AA45" s="157" cm="1">
        <f t="array" ref="AA45">INDEX('FY2526 VAT Financial KPIs'!$E:$E, MATCH(1, ('FY2526 VAT Financial KPIs'!$A:$A="Vic Gov")*('FY2526 VAT Financial KPIs'!$D:$D="Revenue"), 0))/12</f>
        <v>500000</v>
      </c>
      <c r="AB45" s="157" cm="1">
        <f t="array" ref="AB45">INDEX('FY2526 VAT Financial KPIs'!$E:$E, MATCH(1, ('FY2526 VAT Financial KPIs'!$A:$A="Vic Gov")*('FY2526 VAT Financial KPIs'!$D:$D="Revenue"), 0))/12</f>
        <v>500000</v>
      </c>
      <c r="AC45" s="157" cm="1">
        <f t="array" ref="AC45">INDEX('FY2526 VAT Financial KPIs'!$E:$E, MATCH(1, ('FY2526 VAT Financial KPIs'!$A:$A="Vic Gov")*('FY2526 VAT Financial KPIs'!$D:$D="Revenue"), 0))/12</f>
        <v>500000</v>
      </c>
      <c r="AD45" s="157" cm="1">
        <f t="array" ref="AD45">INDEX('FY2526 VAT Financial KPIs'!$E:$E, MATCH(1, ('FY2526 VAT Financial KPIs'!$A:$A="Vic Gov")*('FY2526 VAT Financial KPIs'!$D:$D="Revenue"), 0))/12</f>
        <v>500000</v>
      </c>
      <c r="AE45" s="157" cm="1">
        <f t="array" ref="AE45">INDEX('FY2526 VAT Financial KPIs'!$E:$E, MATCH(1, ('FY2526 VAT Financial KPIs'!$A:$A="Vic Gov")*('FY2526 VAT Financial KPIs'!$D:$D="Revenue"), 0))/12</f>
        <v>500000</v>
      </c>
      <c r="AF45" s="157" cm="1">
        <f t="array" ref="AF45">INDEX('FY2526 VAT Financial KPIs'!$E:$E, MATCH(1, ('FY2526 VAT Financial KPIs'!$A:$A="Vic Gov")*('FY2526 VAT Financial KPIs'!$D:$D="Revenue"), 0))/12</f>
        <v>500000</v>
      </c>
    </row>
    <row r="46" spans="11:32" x14ac:dyDescent="0.25">
      <c r="K46" s="141" t="s">
        <v>39</v>
      </c>
      <c r="L46" s="142">
        <f>SUMIFS(Job_Status[To Date Gross Profit],Job_Status[Work Type],K46,Job_Status[VAT],"Vic Gov")</f>
        <v>0</v>
      </c>
      <c r="M46" s="143">
        <f>SUMIFS(Job_Status[GP at completion],Job_Status[Work Type],K46,Job_Status[VAT],"Vic Gov")</f>
        <v>0</v>
      </c>
      <c r="N46" s="144" t="str">
        <f t="shared" si="16"/>
        <v/>
      </c>
      <c r="O46" s="144" t="str">
        <f t="shared" si="16"/>
        <v/>
      </c>
      <c r="P46" s="142">
        <f>SUMIFS(Job_Status[Actual], Job_Status[Work Type],K46,Job_Status[VAT],"Vic Gov")</f>
        <v>0</v>
      </c>
      <c r="Q46" s="142">
        <f>SUMIFS(Job_Status[Forecasted Revenue], Job_Status[Work Type],K46,Job_Status[VAT],"Vic Gov")</f>
        <v>0</v>
      </c>
    </row>
    <row r="47" spans="11:32" ht="15.75" thickBot="1" x14ac:dyDescent="0.3">
      <c r="K47" s="127" t="s">
        <v>174</v>
      </c>
      <c r="L47" s="128">
        <f>SUBTOTAL(109,Table142127[Earned to Date])</f>
        <v>1008147.9099999851</v>
      </c>
      <c r="M47" s="129">
        <f>SUBTOTAL(109,Table142127[@Completion])</f>
        <v>1026935.0299999852</v>
      </c>
      <c r="N47" s="130">
        <f>Table142127[[#Totals],[Earned to Date]]/Table142127[[#Totals],[Earned to Date  ]]</f>
        <v>0.31562581739945411</v>
      </c>
      <c r="O47" s="130">
        <f>Table142127[[#Totals],[@Completion]]/Table142127[[#Totals],[@ Completion  ]]</f>
        <v>0.31559219788536813</v>
      </c>
      <c r="P47" s="128">
        <f>SUBTOTAL(109,Table142127[[Earned to Date  ]])</f>
        <v>3194123.72</v>
      </c>
      <c r="Q47" s="131">
        <f>SUBTOTAL(109,Table142127[@ Completion  ])</f>
        <v>3253993.72</v>
      </c>
    </row>
    <row r="48" spans="11:32" ht="15.75" thickTop="1" x14ac:dyDescent="0.25">
      <c r="K48" s="13" t="s">
        <v>187</v>
      </c>
      <c r="M48" s="132" cm="1">
        <f t="array" ref="M48">INDEX('FY2526 VAT Financial KPIs'!$F:$F, MATCH(1, ('FY2526 VAT Financial KPIs'!$A:$A="Vic Gov")*('FY2526 VAT Financial KPIs'!$D:$D="Gross Margin Contribution"), 0))</f>
        <v>2250000</v>
      </c>
      <c r="N48" s="133" cm="1">
        <f t="array" ref="N48">INDEX('FY2526 VAT Financial KPIs'!$F:$F, MATCH(1, ('FY2526 VAT Financial KPIs'!$A:$A="Vic Gov")*('FY2526 VAT Financial KPIs'!$D:$D="Gross Margin Contribution %"), 0))</f>
        <v>0.33</v>
      </c>
      <c r="O48" s="133" cm="1">
        <f t="array" ref="O48">INDEX('FY2526 VAT Financial KPIs'!$F:$F, MATCH(1, ('FY2526 VAT Financial KPIs'!$A:$A="Vic Gov")*('FY2526 VAT Financial KPIs'!$D:$D="Gross Margin Contribution %"), 0))</f>
        <v>0.33</v>
      </c>
      <c r="Q48" s="132" cm="1">
        <f t="array" ref="Q48">INDEX('FY2526 VAT Financial KPIs'!$F:$F, MATCH(1, ('FY2526 VAT Financial KPIs'!$A:$A="Vic Gov")*('FY2526 VAT Financial KPIs'!$D:$D="Revenue"), 0))</f>
        <v>6818181.8181818174</v>
      </c>
    </row>
    <row r="52" spans="10:18" x14ac:dyDescent="0.25">
      <c r="J52" s="7" t="s">
        <v>29</v>
      </c>
      <c r="K52" t="s">
        <v>30</v>
      </c>
    </row>
    <row r="53" spans="10:18" x14ac:dyDescent="0.25">
      <c r="J53" s="7" t="s">
        <v>16</v>
      </c>
      <c r="K53" t="s">
        <v>208</v>
      </c>
      <c r="M53" s="13" t="s">
        <v>190</v>
      </c>
    </row>
    <row r="55" spans="10:18" x14ac:dyDescent="0.25">
      <c r="J55" s="7" t="s">
        <v>36</v>
      </c>
      <c r="K55" s="7" t="s">
        <v>37</v>
      </c>
      <c r="L55" s="7" t="s">
        <v>32</v>
      </c>
      <c r="M55" s="9" t="s">
        <v>121</v>
      </c>
      <c r="N55" s="9" t="s">
        <v>38</v>
      </c>
      <c r="O55" s="9" t="s">
        <v>122</v>
      </c>
      <c r="P55" s="9" t="s">
        <v>191</v>
      </c>
      <c r="Q55" s="8" t="s">
        <v>3</v>
      </c>
      <c r="R55" t="s">
        <v>15</v>
      </c>
    </row>
    <row r="56" spans="10:18" x14ac:dyDescent="0.25">
      <c r="J56" t="s">
        <v>42</v>
      </c>
      <c r="K56" t="s">
        <v>65</v>
      </c>
      <c r="L56" t="s">
        <v>34</v>
      </c>
      <c r="M56" s="148">
        <v>0.12</v>
      </c>
      <c r="N56" s="8" t="s">
        <v>5</v>
      </c>
      <c r="O56" s="153">
        <v>46069</v>
      </c>
      <c r="P56" s="153">
        <v>46630</v>
      </c>
      <c r="Q56" s="267">
        <v>3000000</v>
      </c>
      <c r="R56" s="4">
        <v>360000</v>
      </c>
    </row>
    <row r="57" spans="10:18" x14ac:dyDescent="0.25">
      <c r="J57" t="s">
        <v>66</v>
      </c>
      <c r="K57" t="s">
        <v>141</v>
      </c>
      <c r="L57" t="s">
        <v>34</v>
      </c>
      <c r="M57" s="148">
        <v>0.06</v>
      </c>
      <c r="N57" s="8" t="s">
        <v>5</v>
      </c>
      <c r="O57" s="153">
        <v>46090</v>
      </c>
      <c r="P57" s="153">
        <v>46171</v>
      </c>
      <c r="Q57" s="267">
        <v>135839</v>
      </c>
      <c r="R57" s="4">
        <v>8150.34</v>
      </c>
    </row>
    <row r="58" spans="10:18" x14ac:dyDescent="0.25">
      <c r="J58" t="s">
        <v>132</v>
      </c>
      <c r="K58" t="s">
        <v>135</v>
      </c>
      <c r="L58" t="s">
        <v>35</v>
      </c>
      <c r="M58" s="148">
        <v>0.15</v>
      </c>
      <c r="N58" s="8" t="s">
        <v>5</v>
      </c>
      <c r="O58" s="153">
        <v>46069</v>
      </c>
      <c r="P58" s="153">
        <v>46203</v>
      </c>
      <c r="Q58" s="267">
        <v>600000</v>
      </c>
      <c r="R58" s="4">
        <v>90000</v>
      </c>
    </row>
    <row r="59" spans="10:18" x14ac:dyDescent="0.25">
      <c r="K59" t="s">
        <v>136</v>
      </c>
      <c r="L59" t="s">
        <v>34</v>
      </c>
      <c r="M59" s="148">
        <v>0.2</v>
      </c>
      <c r="N59" s="8" t="s">
        <v>55</v>
      </c>
      <c r="O59" s="153">
        <v>46097</v>
      </c>
      <c r="P59" s="153">
        <v>46276</v>
      </c>
      <c r="Q59" s="267">
        <v>1200000</v>
      </c>
      <c r="R59" s="4">
        <v>240000</v>
      </c>
    </row>
    <row r="60" spans="10:18" x14ac:dyDescent="0.25">
      <c r="K60" t="s">
        <v>138</v>
      </c>
      <c r="L60" t="s">
        <v>35</v>
      </c>
      <c r="M60" s="148">
        <v>0.28000000000000003</v>
      </c>
      <c r="N60" s="8" t="s">
        <v>44</v>
      </c>
      <c r="O60" s="153">
        <v>46083</v>
      </c>
      <c r="P60" s="153">
        <v>46171</v>
      </c>
      <c r="Q60" s="267">
        <v>316800</v>
      </c>
      <c r="R60" s="4">
        <v>88704.000000000015</v>
      </c>
    </row>
    <row r="61" spans="10:18" x14ac:dyDescent="0.25">
      <c r="J61" t="s">
        <v>192</v>
      </c>
      <c r="K61" t="s">
        <v>209</v>
      </c>
      <c r="L61" t="s">
        <v>31</v>
      </c>
      <c r="M61" s="148" t="s">
        <v>126</v>
      </c>
      <c r="N61" s="8" t="s">
        <v>126</v>
      </c>
      <c r="O61" s="152" t="s">
        <v>126</v>
      </c>
      <c r="P61" s="152" t="s">
        <v>126</v>
      </c>
      <c r="Q61" s="267">
        <v>0</v>
      </c>
      <c r="R61" s="4">
        <v>0</v>
      </c>
    </row>
    <row r="62" spans="10:18" x14ac:dyDescent="0.25">
      <c r="K62" t="s">
        <v>210</v>
      </c>
      <c r="L62" t="s">
        <v>34</v>
      </c>
      <c r="M62" s="148" t="s">
        <v>126</v>
      </c>
      <c r="N62" s="8" t="s">
        <v>126</v>
      </c>
      <c r="O62" s="152" t="s">
        <v>126</v>
      </c>
      <c r="P62" s="152" t="s">
        <v>126</v>
      </c>
      <c r="Q62" s="267">
        <v>0</v>
      </c>
      <c r="R62" s="4">
        <v>0</v>
      </c>
    </row>
    <row r="63" spans="10:18" x14ac:dyDescent="0.25">
      <c r="K63" t="s">
        <v>211</v>
      </c>
      <c r="L63" t="s">
        <v>31</v>
      </c>
      <c r="M63" s="148" t="s">
        <v>126</v>
      </c>
      <c r="N63" s="8" t="s">
        <v>126</v>
      </c>
      <c r="O63" s="152" t="s">
        <v>126</v>
      </c>
      <c r="P63" s="152" t="s">
        <v>126</v>
      </c>
      <c r="Q63" s="267">
        <v>0</v>
      </c>
      <c r="R63" s="4">
        <v>0</v>
      </c>
    </row>
    <row r="64" spans="10:18" x14ac:dyDescent="0.25">
      <c r="K64" t="s">
        <v>212</v>
      </c>
      <c r="L64" t="s">
        <v>34</v>
      </c>
      <c r="M64" s="148" t="s">
        <v>126</v>
      </c>
      <c r="N64" s="8" t="s">
        <v>126</v>
      </c>
      <c r="O64" s="152" t="s">
        <v>126</v>
      </c>
      <c r="P64" s="152" t="s">
        <v>126</v>
      </c>
      <c r="Q64" s="267">
        <v>0</v>
      </c>
      <c r="R64" s="4">
        <v>0</v>
      </c>
    </row>
    <row r="65" spans="10:18" x14ac:dyDescent="0.25">
      <c r="K65" t="s">
        <v>213</v>
      </c>
      <c r="L65" t="s">
        <v>34</v>
      </c>
      <c r="M65" s="148" t="s">
        <v>126</v>
      </c>
      <c r="N65" s="8" t="s">
        <v>126</v>
      </c>
      <c r="O65" s="152" t="s">
        <v>126</v>
      </c>
      <c r="P65" s="152" t="s">
        <v>126</v>
      </c>
      <c r="Q65" s="267">
        <v>0</v>
      </c>
      <c r="R65" s="4">
        <v>0</v>
      </c>
    </row>
    <row r="66" spans="10:18" x14ac:dyDescent="0.25">
      <c r="K66" t="s">
        <v>214</v>
      </c>
      <c r="L66" t="s">
        <v>34</v>
      </c>
      <c r="M66" s="148" t="s">
        <v>126</v>
      </c>
      <c r="N66" s="8" t="s">
        <v>126</v>
      </c>
      <c r="O66" s="153">
        <v>46173</v>
      </c>
      <c r="P66" s="153">
        <v>46537</v>
      </c>
      <c r="Q66" s="267">
        <v>0</v>
      </c>
      <c r="R66" s="4">
        <v>0</v>
      </c>
    </row>
    <row r="67" spans="10:18" x14ac:dyDescent="0.25">
      <c r="K67" t="s">
        <v>215</v>
      </c>
      <c r="L67" t="s">
        <v>34</v>
      </c>
      <c r="M67" s="148" t="s">
        <v>126</v>
      </c>
      <c r="N67" s="8" t="s">
        <v>126</v>
      </c>
      <c r="O67" s="152" t="s">
        <v>126</v>
      </c>
      <c r="P67" s="152" t="s">
        <v>126</v>
      </c>
      <c r="Q67" s="267">
        <v>0</v>
      </c>
      <c r="R67" s="4">
        <v>0</v>
      </c>
    </row>
    <row r="68" spans="10:18" x14ac:dyDescent="0.25">
      <c r="J68" t="s">
        <v>85</v>
      </c>
      <c r="Q68" s="267">
        <v>5252639</v>
      </c>
      <c r="R68" s="4">
        <v>786854.34000000008</v>
      </c>
    </row>
  </sheetData>
  <conditionalFormatting pivot="1" sqref="Q56:Q61">
    <cfRule type="cellIs" dxfId="890" priority="15" operator="equal">
      <formula>0</formula>
    </cfRule>
  </conditionalFormatting>
  <conditionalFormatting sqref="L1:P1 L51:P52 L41:P48 L5:P6 L18:P19 L7:O8 P7:P15 L40:M40 O40:P40 L33:P33 L35:P35 L37:P37 L39:P39 L30:P31 L54:P1048576 L53 N53:P53">
    <cfRule type="containsText" dxfId="889" priority="14" operator="containsText" text="(blank)">
      <formula>NOT(ISERROR(SEARCH("(blank)",L1)))</formula>
    </cfRule>
  </conditionalFormatting>
  <conditionalFormatting sqref="L17:P17">
    <cfRule type="containsText" dxfId="888" priority="9" operator="containsText" text="(blank)">
      <formula>NOT(ISERROR(SEARCH("(blank)",L17)))</formula>
    </cfRule>
  </conditionalFormatting>
  <conditionalFormatting sqref="L29:P29">
    <cfRule type="containsText" dxfId="887" priority="8" operator="containsText" text="(blank)">
      <formula>NOT(ISERROR(SEARCH("(blank)",L29)))</formula>
    </cfRule>
  </conditionalFormatting>
  <conditionalFormatting sqref="L6:P15">
    <cfRule type="cellIs" dxfId="886" priority="7" operator="lessThan">
      <formula>0</formula>
    </cfRule>
  </conditionalFormatting>
  <conditionalFormatting sqref="L18:P27">
    <cfRule type="cellIs" dxfId="885" priority="6" operator="lessThan">
      <formula>0</formula>
    </cfRule>
  </conditionalFormatting>
  <conditionalFormatting sqref="L30:P39">
    <cfRule type="containsErrors" dxfId="884" priority="4">
      <formula>ISERROR(L30)</formula>
    </cfRule>
    <cfRule type="cellIs" dxfId="883" priority="5" operator="lessThan">
      <formula>0</formula>
    </cfRule>
  </conditionalFormatting>
  <conditionalFormatting sqref="L9:P9 L11:P11 L13:P13 L15:P15">
    <cfRule type="cellIs" dxfId="882" priority="3" operator="greaterThan">
      <formula>0</formula>
    </cfRule>
  </conditionalFormatting>
  <conditionalFormatting sqref="L21:P21 L23:P23 L25:P25 L27:P27 L33:P33 L35:P35 L37:P37 L39:P39">
    <cfRule type="cellIs" dxfId="881" priority="2" operator="greaterThan">
      <formula>0</formula>
    </cfRule>
  </conditionalFormatting>
  <conditionalFormatting sqref="M53">
    <cfRule type="containsText" dxfId="880" priority="1" operator="containsText" text="(blank)">
      <formula>NOT(ISERROR(SEARCH("(blank)",M53)))</formula>
    </cfRule>
  </conditionalFormatting>
  <dataValidations count="2">
    <dataValidation type="list" allowBlank="1" showInputMessage="1" showErrorMessage="1" sqref="X36" xr:uid="{5BC99F55-0D33-4963-BD5D-B900F63DB659}">
      <formula1>"All, DAFF, SAU, VIC, GROWTH"</formula1>
    </dataValidation>
    <dataValidation type="list" allowBlank="1" showInputMessage="1" showErrorMessage="1" sqref="L3:N3" xr:uid="{53A0E8FC-5380-43A6-8F68-C0DFB713E00C}">
      <formula1>"TRUE, FALSE"</formula1>
    </dataValidation>
  </dataValidations>
  <pageMargins left="0.7" right="0.7" top="0.75" bottom="0.75" header="0.3" footer="0.3"/>
  <drawing r:id="rId2"/>
  <tableParts count="8">
    <tablePart r:id="rId3"/>
    <tablePart r:id="rId4"/>
    <tablePart r:id="rId5"/>
    <tablePart r:id="rId6"/>
    <tablePart r:id="rId7"/>
    <tablePart r:id="rId8"/>
    <tablePart r:id="rId9"/>
    <tablePart r:id="rId10"/>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76356-BBC6-4980-967A-39BA6E9E3EDD}">
  <sheetPr>
    <tabColor theme="4"/>
  </sheetPr>
  <dimension ref="B1:AG57"/>
  <sheetViews>
    <sheetView topLeftCell="B2" zoomScale="85" zoomScaleNormal="85" workbookViewId="0">
      <selection activeCell="M51" sqref="M51"/>
    </sheetView>
  </sheetViews>
  <sheetFormatPr defaultRowHeight="15" x14ac:dyDescent="0.25"/>
  <cols>
    <col min="1" max="1" width="3.140625" customWidth="1"/>
    <col min="2" max="2" width="39" customWidth="1"/>
    <col min="3" max="8" width="14.85546875" customWidth="1"/>
    <col min="9" max="9" width="5.140625" customWidth="1"/>
    <col min="10" max="10" width="21.85546875" customWidth="1"/>
    <col min="11" max="11" width="69.5703125" bestFit="1" customWidth="1"/>
    <col min="12" max="17" width="16" customWidth="1"/>
    <col min="18" max="18" width="14.7109375" customWidth="1"/>
    <col min="19" max="19" width="6.5703125" customWidth="1"/>
    <col min="20" max="20" width="16" customWidth="1"/>
    <col min="21" max="32" width="12.5703125" customWidth="1"/>
    <col min="33" max="33" width="4.7109375" customWidth="1"/>
    <col min="34" max="46" width="12.5703125" customWidth="1"/>
  </cols>
  <sheetData>
    <row r="1" spans="2:33" hidden="1" x14ac:dyDescent="0.25"/>
    <row r="2" spans="2:33" ht="18.75" x14ac:dyDescent="0.3">
      <c r="B2" s="123" t="s">
        <v>216</v>
      </c>
      <c r="L2" s="16" t="s">
        <v>5</v>
      </c>
      <c r="M2" s="16" t="s">
        <v>55</v>
      </c>
      <c r="N2" s="16" t="s">
        <v>44</v>
      </c>
    </row>
    <row r="3" spans="2:33" x14ac:dyDescent="0.25">
      <c r="K3" s="13" t="s">
        <v>146</v>
      </c>
      <c r="L3" t="b">
        <f>CompanyGoodToggle</f>
        <v>1</v>
      </c>
      <c r="M3" t="b">
        <f>CompanyFairToggle</f>
        <v>0</v>
      </c>
      <c r="N3" t="b">
        <f>CompanyRiskToggle</f>
        <v>0</v>
      </c>
      <c r="T3" s="13" t="s">
        <v>92</v>
      </c>
      <c r="AG3" s="112"/>
    </row>
    <row r="4" spans="2:33" x14ac:dyDescent="0.25">
      <c r="T4" s="113" t="s">
        <v>94</v>
      </c>
      <c r="U4" s="112" t="s">
        <v>95</v>
      </c>
      <c r="V4" s="112" t="s">
        <v>96</v>
      </c>
      <c r="W4" s="112" t="s">
        <v>97</v>
      </c>
      <c r="X4" s="112" t="s">
        <v>98</v>
      </c>
      <c r="Y4" s="112" t="s">
        <v>99</v>
      </c>
      <c r="Z4" s="112" t="s">
        <v>100</v>
      </c>
      <c r="AA4" s="112" t="s">
        <v>101</v>
      </c>
      <c r="AB4" s="112" t="s">
        <v>102</v>
      </c>
      <c r="AC4" s="112" t="s">
        <v>103</v>
      </c>
      <c r="AD4" s="112" t="s">
        <v>104</v>
      </c>
      <c r="AE4" s="112" t="s">
        <v>105</v>
      </c>
      <c r="AF4" s="112" t="s">
        <v>106</v>
      </c>
      <c r="AG4" s="112"/>
    </row>
    <row r="5" spans="2:33" x14ac:dyDescent="0.25">
      <c r="K5" s="134" t="s">
        <v>147</v>
      </c>
      <c r="L5" s="135" t="s">
        <v>47</v>
      </c>
      <c r="M5" s="135" t="s">
        <v>48</v>
      </c>
      <c r="N5" s="135" t="s">
        <v>49</v>
      </c>
      <c r="O5" s="135" t="s">
        <v>50</v>
      </c>
      <c r="P5" s="136" t="s">
        <v>1</v>
      </c>
      <c r="T5" s="112" t="s">
        <v>148</v>
      </c>
      <c r="U5" s="112">
        <f>U16</f>
        <v>7094.5</v>
      </c>
      <c r="V5" s="112">
        <f>SUM($U16:V16)</f>
        <v>21866.5</v>
      </c>
      <c r="W5" s="112">
        <f>SUM($U16:W16)</f>
        <v>61240.460000000006</v>
      </c>
      <c r="X5" s="112">
        <f>SUM($U16:X16)</f>
        <v>156669.33749999991</v>
      </c>
      <c r="Y5" s="112">
        <f>SUM($U16:Y16)</f>
        <v>247264.23250000007</v>
      </c>
      <c r="Z5" s="112">
        <f>SUM($U16:Z16)</f>
        <v>342410.24250000005</v>
      </c>
      <c r="AA5" s="112">
        <f>SUM($U16:AA16)</f>
        <v>456107.53250000032</v>
      </c>
      <c r="AB5" s="112">
        <f>SUM($U16:AB16)</f>
        <v>605119.2744055033</v>
      </c>
      <c r="AC5" s="112">
        <f>SUM($U16:AC16)</f>
        <v>750077.49737437442</v>
      </c>
      <c r="AD5" s="112">
        <f>SUM($U16:AD16)</f>
        <v>827347.48404741357</v>
      </c>
      <c r="AE5" s="112">
        <f>SUM($U16:AE16)</f>
        <v>916424.37932909408</v>
      </c>
      <c r="AF5" s="112">
        <f>SUM($U16:AF16)</f>
        <v>1019510.1405030361</v>
      </c>
      <c r="AG5" s="112"/>
    </row>
    <row r="6" spans="2:33" x14ac:dyDescent="0.25">
      <c r="K6" s="150" t="s">
        <v>149</v>
      </c>
      <c r="L6" s="183">
        <f>SUM(U22:W22)</f>
        <v>37500</v>
      </c>
      <c r="M6" s="183">
        <f>SUM(X22:Z22)</f>
        <v>387500</v>
      </c>
      <c r="N6" s="183">
        <f>SUM(AA22:AC22)</f>
        <v>387500</v>
      </c>
      <c r="O6" s="183">
        <f>SUM(AD22:AF22)</f>
        <v>387500</v>
      </c>
      <c r="P6" s="184">
        <f>SUM(Table152248[[#This Row],[Q1]:[Q4]])</f>
        <v>1200000</v>
      </c>
      <c r="T6" s="112" t="s">
        <v>150</v>
      </c>
      <c r="U6" s="112">
        <f>U17+U5</f>
        <v>7094.5</v>
      </c>
      <c r="V6" s="112">
        <f>SUM($U17:V17)+V5</f>
        <v>21866.5</v>
      </c>
      <c r="W6" s="112">
        <f>SUM($U17:W17)+W5</f>
        <v>61240.460000000006</v>
      </c>
      <c r="X6" s="112">
        <f>SUM($U17:X17)+X5</f>
        <v>156669.33749999991</v>
      </c>
      <c r="Y6" s="112">
        <f>SUM($U17:Y17)+Y5</f>
        <v>247264.23250000007</v>
      </c>
      <c r="Z6" s="112">
        <f>SUM($U17:Z17)+Z5</f>
        <v>342410.24250000005</v>
      </c>
      <c r="AA6" s="112">
        <f>SUM($U17:AA17)+AA5</f>
        <v>456107.53250000032</v>
      </c>
      <c r="AB6" s="112">
        <f>SUM($U17:AB17)+AB5</f>
        <v>605119.2744055033</v>
      </c>
      <c r="AC6" s="112">
        <f>SUM($U17:AC17)+AC5</f>
        <v>750077.49737437442</v>
      </c>
      <c r="AD6" s="112">
        <f>SUM($U17:AD17)+AD5</f>
        <v>827347.48404741357</v>
      </c>
      <c r="AE6" s="112">
        <f>SUM($U17:AE17)+AE5</f>
        <v>916424.37932909408</v>
      </c>
      <c r="AF6" s="112">
        <f>SUM($U17:AF17)+AF5</f>
        <v>1019510.1405030361</v>
      </c>
      <c r="AG6" s="112"/>
    </row>
    <row r="7" spans="2:33" x14ac:dyDescent="0.25">
      <c r="K7" s="179" t="s">
        <v>56</v>
      </c>
      <c r="L7" s="181">
        <f>SUMIFS(Job_Status[Gross Profit Q1],Job_Status[VAT],"DISR")</f>
        <v>61240.460000000006</v>
      </c>
      <c r="M7" s="181">
        <f>SUMIFS(Job_Status[Gross Profit Q2],Job_Status[VAT],"DISR")</f>
        <v>281169.78249999974</v>
      </c>
      <c r="N7" s="181">
        <f>SUMIFS(Job_Status[Gross Profit Q3],Job_Status[VAT],"DISR")</f>
        <v>137703.88750000211</v>
      </c>
      <c r="O7" s="181">
        <f>SUMIFS(Job_Status[Gross Profit Q4],Job_Status[VAT],"DISR")</f>
        <v>0</v>
      </c>
      <c r="P7" s="208">
        <f>SUM(Table152248[[#This Row],[Q1]:[Q4]])</f>
        <v>480114.13000000187</v>
      </c>
      <c r="T7" s="112" t="s">
        <v>108</v>
      </c>
      <c r="U7" s="112">
        <f>U18+U6</f>
        <v>7094.5</v>
      </c>
      <c r="V7" s="112">
        <f>SUM($U18:V18)+V6</f>
        <v>21866.5</v>
      </c>
      <c r="W7" s="112">
        <f>SUM($U18:W18)+W6</f>
        <v>61240.460000000006</v>
      </c>
      <c r="X7" s="112">
        <f>SUM($U18:X18)+X6</f>
        <v>156669.33749999991</v>
      </c>
      <c r="Y7" s="112">
        <f>SUM($U18:Y18)+Y6</f>
        <v>247264.23250000007</v>
      </c>
      <c r="Z7" s="112">
        <f>SUM($U18:Z18)+Z6</f>
        <v>342410.24250000005</v>
      </c>
      <c r="AA7" s="112">
        <f>SUM($U18:AA18)+AA6</f>
        <v>456107.53250000032</v>
      </c>
      <c r="AB7" s="112">
        <f>SUM($U18:AB18)+AB6</f>
        <v>605119.2744055033</v>
      </c>
      <c r="AC7" s="112">
        <f>SUM($U18:AC18)+AC6</f>
        <v>750077.49737437442</v>
      </c>
      <c r="AD7" s="112">
        <f>SUM($U18:AD18)+AD6</f>
        <v>827347.48404741357</v>
      </c>
      <c r="AE7" s="112">
        <f>SUM($U18:AE18)+AE6</f>
        <v>916424.37932909408</v>
      </c>
      <c r="AF7" s="112">
        <f>SUM($U18:AF18)+AF6</f>
        <v>1019510.1405030361</v>
      </c>
      <c r="AG7" s="112"/>
    </row>
    <row r="8" spans="2:33" x14ac:dyDescent="0.25">
      <c r="K8" s="253" t="s">
        <v>151</v>
      </c>
      <c r="L8" s="254">
        <f>SUM(U16:W16)</f>
        <v>61240.460000000006</v>
      </c>
      <c r="M8" s="254">
        <f>SUM(X16:Z16)</f>
        <v>281169.78250000009</v>
      </c>
      <c r="N8" s="254">
        <f>SUM(AA16:AC16)</f>
        <v>407667.25487437437</v>
      </c>
      <c r="O8" s="254">
        <f>SUM(AD16:AF16)</f>
        <v>269432.64312866167</v>
      </c>
      <c r="P8" s="208">
        <f>SUM(Table152248[[#This Row],[Q1]:[Q4]])</f>
        <v>1019510.1405030361</v>
      </c>
      <c r="T8" s="112" t="s">
        <v>109</v>
      </c>
      <c r="U8" s="112">
        <f>U19+U7</f>
        <v>7094.5</v>
      </c>
      <c r="V8" s="112">
        <f>SUM($U19:V19)+V7</f>
        <v>21866.5</v>
      </c>
      <c r="W8" s="112">
        <f>SUM($U19:W19)+W7</f>
        <v>61240.460000000006</v>
      </c>
      <c r="X8" s="112">
        <f>SUM($U19:X19)+X7</f>
        <v>156669.33749999991</v>
      </c>
      <c r="Y8" s="112">
        <f>SUM($U19:Y19)+Y7</f>
        <v>247264.23250000007</v>
      </c>
      <c r="Z8" s="112">
        <f>SUM($U19:Z19)+Z7</f>
        <v>342410.24250000005</v>
      </c>
      <c r="AA8" s="112">
        <f>SUM($U19:AA19)+AA7</f>
        <v>456107.53250000032</v>
      </c>
      <c r="AB8" s="112">
        <f>SUM($U19:AB19)+AB7</f>
        <v>605119.2744055033</v>
      </c>
      <c r="AC8" s="112">
        <f>SUM($U19:AC19)+AC7</f>
        <v>750077.49737437442</v>
      </c>
      <c r="AD8" s="112">
        <f>SUM($U19:AD19)+AD7</f>
        <v>827347.48404741357</v>
      </c>
      <c r="AE8" s="112">
        <f>SUM($U19:AE19)+AE7</f>
        <v>916424.37932909408</v>
      </c>
      <c r="AF8" s="112">
        <f>SUM($U19:AF19)+AF7</f>
        <v>1019510.1405030361</v>
      </c>
      <c r="AG8" s="112"/>
    </row>
    <row r="9" spans="2:33" x14ac:dyDescent="0.25">
      <c r="K9" s="253" t="s">
        <v>60</v>
      </c>
      <c r="L9" s="176">
        <f>L8-L$6</f>
        <v>23740.460000000006</v>
      </c>
      <c r="M9" s="176">
        <f t="shared" ref="M9:P9" si="0">M8-M$6</f>
        <v>-106330.21749999991</v>
      </c>
      <c r="N9" s="176">
        <f t="shared" si="0"/>
        <v>20167.254874374368</v>
      </c>
      <c r="O9" s="176">
        <f t="shared" si="0"/>
        <v>-118067.35687133833</v>
      </c>
      <c r="P9" s="208">
        <f t="shared" si="0"/>
        <v>-180489.85949696391</v>
      </c>
      <c r="T9" s="112" t="s">
        <v>152</v>
      </c>
      <c r="U9" s="112">
        <f>U20</f>
        <v>0</v>
      </c>
      <c r="V9" s="112">
        <f>SUM($U20:V20)</f>
        <v>0</v>
      </c>
      <c r="W9" s="112">
        <f>SUM($U20:W20)</f>
        <v>0</v>
      </c>
      <c r="X9" s="112">
        <f>SUM($U20:X20)</f>
        <v>0</v>
      </c>
      <c r="Y9" s="112">
        <f>SUM($U20:Y20)</f>
        <v>0</v>
      </c>
      <c r="Z9" s="112">
        <f>SUM($U20:Z20)</f>
        <v>0</v>
      </c>
      <c r="AA9" s="112">
        <f>SUM($U20:AA20)</f>
        <v>0</v>
      </c>
      <c r="AB9" s="112">
        <f>SUM($U20:AB20)</f>
        <v>0</v>
      </c>
      <c r="AC9" s="112">
        <f>SUM($U20:AC20)</f>
        <v>0</v>
      </c>
      <c r="AD9" s="112">
        <f>SUM($U20:AD20)</f>
        <v>0</v>
      </c>
      <c r="AE9" s="112">
        <f>SUM($U20:AE20)</f>
        <v>0</v>
      </c>
      <c r="AF9" s="112">
        <f>SUM($U20:AF20)</f>
        <v>0</v>
      </c>
      <c r="AG9" s="112"/>
    </row>
    <row r="10" spans="2:33" x14ac:dyDescent="0.25">
      <c r="K10" s="150" t="s">
        <v>153</v>
      </c>
      <c r="L10" s="183">
        <f>SUM(U$16:W17)</f>
        <v>61240.460000000006</v>
      </c>
      <c r="M10" s="183">
        <f>SUM(X$16:Z17)</f>
        <v>281169.78250000009</v>
      </c>
      <c r="N10" s="183">
        <f>SUM(AA$16:AC17)</f>
        <v>407667.25487437437</v>
      </c>
      <c r="O10" s="183">
        <f>SUM(AD$16:AF17)</f>
        <v>269432.64312866167</v>
      </c>
      <c r="P10" s="184">
        <f>SUM(Table152248[[#This Row],[Q1]:[Q4]])</f>
        <v>1019510.1405030361</v>
      </c>
      <c r="T10" s="112" t="s">
        <v>110</v>
      </c>
      <c r="U10" s="157">
        <f>U21</f>
        <v>4500</v>
      </c>
      <c r="V10" s="157">
        <f>SUM($U21:V21)</f>
        <v>13500</v>
      </c>
      <c r="W10" s="157">
        <f>SUM($U21:W21)</f>
        <v>37500</v>
      </c>
      <c r="X10" s="157">
        <f>SUM($U21:X21)</f>
        <v>199999.99999999997</v>
      </c>
      <c r="Y10" s="157">
        <f>SUM($U21:Y21)</f>
        <v>362499.99999999994</v>
      </c>
      <c r="Z10" s="157">
        <f>SUM($U21:Z21)</f>
        <v>524999.99999999988</v>
      </c>
      <c r="AA10" s="157">
        <f>SUM($U21:AA21)</f>
        <v>687499.99999999988</v>
      </c>
      <c r="AB10" s="157">
        <f>SUM($U21:AB21)</f>
        <v>849999.99999999988</v>
      </c>
      <c r="AC10" s="157">
        <f>SUM($U21:AC21)</f>
        <v>1012499.9999999999</v>
      </c>
      <c r="AD10" s="157">
        <f>SUM($U21:AD21)</f>
        <v>1174999.9999999998</v>
      </c>
      <c r="AE10" s="157">
        <f>SUM($U21:AE21)</f>
        <v>1337499.9999999998</v>
      </c>
      <c r="AF10" s="157">
        <f>SUM($U21:AF21)</f>
        <v>1499999.9999999998</v>
      </c>
    </row>
    <row r="11" spans="2:33" x14ac:dyDescent="0.25">
      <c r="K11" s="182" t="s">
        <v>154</v>
      </c>
      <c r="L11" s="176">
        <f t="shared" ref="L11:P11" si="1">L10-L$6</f>
        <v>23740.460000000006</v>
      </c>
      <c r="M11" s="176">
        <f t="shared" si="1"/>
        <v>-106330.21749999991</v>
      </c>
      <c r="N11" s="176">
        <f t="shared" si="1"/>
        <v>20167.254874374368</v>
      </c>
      <c r="O11" s="176">
        <f t="shared" si="1"/>
        <v>-118067.35687133833</v>
      </c>
      <c r="P11" s="208">
        <f t="shared" si="1"/>
        <v>-180489.85949696391</v>
      </c>
      <c r="T11" s="112" t="s">
        <v>111</v>
      </c>
      <c r="U11" s="157">
        <f>U22</f>
        <v>4500</v>
      </c>
      <c r="V11" s="157">
        <f>SUM($U22:V22)</f>
        <v>13500</v>
      </c>
      <c r="W11" s="157">
        <f>SUM($U22:W22)</f>
        <v>37500</v>
      </c>
      <c r="X11" s="157">
        <f>SUM($U22:X22)</f>
        <v>166666.66666666666</v>
      </c>
      <c r="Y11" s="157">
        <f>SUM($U22:Y22)</f>
        <v>295833.33333333331</v>
      </c>
      <c r="Z11" s="157">
        <f>SUM($U22:Z22)</f>
        <v>425000</v>
      </c>
      <c r="AA11" s="157">
        <f>SUM($U22:AA22)</f>
        <v>554166.66666666663</v>
      </c>
      <c r="AB11" s="157">
        <f>SUM($U22:AB22)</f>
        <v>683333.33333333326</v>
      </c>
      <c r="AC11" s="157">
        <f>SUM($U22:AC22)</f>
        <v>812499.99999999988</v>
      </c>
      <c r="AD11" s="157">
        <f>SUM($U22:AD22)</f>
        <v>941666.66666666651</v>
      </c>
      <c r="AE11" s="157">
        <f>SUM($U22:AE22)</f>
        <v>1070833.3333333333</v>
      </c>
      <c r="AF11" s="157">
        <f>SUM($U22:AF22)</f>
        <v>1200000</v>
      </c>
    </row>
    <row r="12" spans="2:33" x14ac:dyDescent="0.25">
      <c r="K12" s="150" t="s">
        <v>155</v>
      </c>
      <c r="L12" s="183">
        <f>SUM(U$16:W18)</f>
        <v>61240.460000000006</v>
      </c>
      <c r="M12" s="183">
        <f>SUM(X$16:Z18)</f>
        <v>281169.78250000009</v>
      </c>
      <c r="N12" s="183">
        <f>SUM(AA$16:AC18)</f>
        <v>407667.25487437437</v>
      </c>
      <c r="O12" s="183">
        <f>SUM(AD$16:AF18)</f>
        <v>269432.64312866167</v>
      </c>
      <c r="P12" s="184">
        <f>SUM(Table152248[[#This Row],[Q1]:[Q4]])</f>
        <v>1019510.1405030361</v>
      </c>
      <c r="T12" s="112" t="s">
        <v>4</v>
      </c>
      <c r="U12" s="157">
        <f>U23</f>
        <v>4500</v>
      </c>
      <c r="V12" s="157">
        <f>SUM($U23:V23)</f>
        <v>13500</v>
      </c>
      <c r="W12" s="157">
        <f>SUM($U23:W23)</f>
        <v>37500</v>
      </c>
      <c r="X12" s="157">
        <f>SUM($U23:X23)</f>
        <v>110000</v>
      </c>
      <c r="Y12" s="157">
        <f>SUM($U23:Y23)</f>
        <v>182500</v>
      </c>
      <c r="Z12" s="157">
        <f>SUM($U23:Z23)</f>
        <v>255000</v>
      </c>
      <c r="AA12" s="157">
        <f>SUM($U23:AA23)</f>
        <v>327500</v>
      </c>
      <c r="AB12" s="157">
        <f>SUM($U23:AB23)</f>
        <v>400000</v>
      </c>
      <c r="AC12" s="157">
        <f>SUM($U23:AC23)</f>
        <v>472500</v>
      </c>
      <c r="AD12" s="157">
        <f>SUM($U23:AD23)</f>
        <v>545000</v>
      </c>
      <c r="AE12" s="157">
        <f>SUM($U23:AE23)</f>
        <v>617500</v>
      </c>
      <c r="AF12" s="157">
        <f>SUM($U23:AF23)</f>
        <v>690000</v>
      </c>
    </row>
    <row r="13" spans="2:33" x14ac:dyDescent="0.25">
      <c r="K13" s="182" t="s">
        <v>154</v>
      </c>
      <c r="L13" s="176">
        <f t="shared" ref="L13:P13" si="2">L12-L$6</f>
        <v>23740.460000000006</v>
      </c>
      <c r="M13" s="176">
        <f t="shared" si="2"/>
        <v>-106330.21749999991</v>
      </c>
      <c r="N13" s="176">
        <f t="shared" si="2"/>
        <v>20167.254874374368</v>
      </c>
      <c r="O13" s="176">
        <f t="shared" si="2"/>
        <v>-118067.35687133833</v>
      </c>
      <c r="P13" s="208">
        <f t="shared" si="2"/>
        <v>-180489.85949696391</v>
      </c>
    </row>
    <row r="14" spans="2:33" x14ac:dyDescent="0.25">
      <c r="K14" s="150" t="s">
        <v>156</v>
      </c>
      <c r="L14" s="183">
        <f>SUM(U$16:W19)</f>
        <v>61240.460000000006</v>
      </c>
      <c r="M14" s="183">
        <f>SUM(X$16:Z19)</f>
        <v>281169.78250000009</v>
      </c>
      <c r="N14" s="183">
        <f>SUM(AA$16:AC19)</f>
        <v>407667.25487437437</v>
      </c>
      <c r="O14" s="183">
        <f>SUM(AD$16:AF19)</f>
        <v>269432.64312866167</v>
      </c>
      <c r="P14" s="184">
        <f>SUM(Table152248[[#This Row],[Q1]:[Q4]])</f>
        <v>1019510.1405030361</v>
      </c>
      <c r="T14" s="13" t="s">
        <v>112</v>
      </c>
    </row>
    <row r="15" spans="2:33" x14ac:dyDescent="0.25">
      <c r="K15" s="182" t="s">
        <v>154</v>
      </c>
      <c r="L15" s="176">
        <f t="shared" ref="L15:P15" si="3">L14-L$6</f>
        <v>23740.460000000006</v>
      </c>
      <c r="M15" s="176">
        <f t="shared" si="3"/>
        <v>-106330.21749999991</v>
      </c>
      <c r="N15" s="176">
        <f t="shared" si="3"/>
        <v>20167.254874374368</v>
      </c>
      <c r="O15" s="176">
        <f t="shared" si="3"/>
        <v>-118067.35687133833</v>
      </c>
      <c r="P15" s="208">
        <f t="shared" si="3"/>
        <v>-180489.85949696391</v>
      </c>
      <c r="T15" s="13" t="s">
        <v>94</v>
      </c>
      <c r="U15" s="118" t="s">
        <v>95</v>
      </c>
      <c r="V15" s="118" t="s">
        <v>96</v>
      </c>
      <c r="W15" s="118" t="s">
        <v>97</v>
      </c>
      <c r="X15" s="118" t="s">
        <v>98</v>
      </c>
      <c r="Y15" s="118" t="s">
        <v>99</v>
      </c>
      <c r="Z15" s="118" t="s">
        <v>100</v>
      </c>
      <c r="AA15" s="118" t="s">
        <v>101</v>
      </c>
      <c r="AB15" s="118" t="s">
        <v>102</v>
      </c>
      <c r="AC15" s="118" t="s">
        <v>103</v>
      </c>
      <c r="AD15" s="118" t="s">
        <v>104</v>
      </c>
      <c r="AE15" s="118" t="s">
        <v>105</v>
      </c>
      <c r="AF15" s="118" t="s">
        <v>106</v>
      </c>
    </row>
    <row r="16" spans="2:33" x14ac:dyDescent="0.25">
      <c r="K16" s="150"/>
      <c r="L16" s="176"/>
      <c r="M16" s="176"/>
      <c r="N16" s="176"/>
      <c r="O16" s="176"/>
      <c r="P16" s="177"/>
      <c r="T16" s="112" t="s">
        <v>148</v>
      </c>
      <c r="U16" s="155">
        <f>SUMIF(Job_Status[VAT],"DISR",Job_Status[P1])</f>
        <v>7094.5</v>
      </c>
      <c r="V16" s="155">
        <f>SUMIF(Job_Status[VAT],"DISR",Job_Status[P2])</f>
        <v>14772</v>
      </c>
      <c r="W16" s="155">
        <f>SUMIF(Job_Status[VAT],"DISR",Job_Status[P3])</f>
        <v>39373.960000000006</v>
      </c>
      <c r="X16" s="155">
        <f>SUMIF(Job_Status[VAT],"DISR",Job_Status[P4])</f>
        <v>95428.877499999915</v>
      </c>
      <c r="Y16" s="155">
        <f>SUMIF(Job_Status[VAT],"DISR",Job_Status[P5])</f>
        <v>90594.895000000164</v>
      </c>
      <c r="Z16" s="155">
        <f>SUMIF(Job_Status[VAT],"DISR",Job_Status[P6])</f>
        <v>95146.00999999998</v>
      </c>
      <c r="AA16" s="155">
        <f>SUMIF(Job_Status[VAT],"DISR",Job_Status[P7])</f>
        <v>113697.29000000024</v>
      </c>
      <c r="AB16" s="155">
        <f>SUMIF(Job_Status[VAT],"DISR",Job_Status[P8])</f>
        <v>149011.74190550297</v>
      </c>
      <c r="AC16" s="155">
        <f>SUMIF(Job_Status[VAT],"DISR",Job_Status[P9])</f>
        <v>144958.22296887115</v>
      </c>
      <c r="AD16" s="155">
        <f>SUMIF(Job_Status[VAT],"DISR",Job_Status[P10])</f>
        <v>77269.986673039122</v>
      </c>
      <c r="AE16" s="155">
        <f>SUMIF(Job_Status[VAT],"DISR",Job_Status[P11])</f>
        <v>89076.89528168051</v>
      </c>
      <c r="AF16" s="155">
        <f>SUMIF(Job_Status[VAT],"DISR",Job_Status[P12])</f>
        <v>103085.76117394207</v>
      </c>
    </row>
    <row r="17" spans="11:32" x14ac:dyDescent="0.25">
      <c r="K17" s="201" t="s">
        <v>157</v>
      </c>
      <c r="L17" s="189" t="s">
        <v>47</v>
      </c>
      <c r="M17" s="189" t="s">
        <v>48</v>
      </c>
      <c r="N17" s="189" t="s">
        <v>49</v>
      </c>
      <c r="O17" s="189" t="s">
        <v>50</v>
      </c>
      <c r="P17" s="189" t="s">
        <v>1</v>
      </c>
      <c r="T17" s="112" t="s">
        <v>77</v>
      </c>
      <c r="U17" s="155" cm="1">
        <f t="array" ref="U17">_xlfn.LET(
    _xlpm.s,         GMConSpreadTable81945[[#This Row],[STATUS]],
    _xlpm.vatCrit,   "DISR",
    _xlpm.sumcol,    TotalGMContribution[July],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V17" s="155" cm="1">
        <f t="array" ref="V17">_xlfn.LET(
    _xlpm.s,         GMConSpreadTable81945[[#This Row],[STATUS]],
    _xlpm.vatCrit,   "DISR",
    _xlpm.sumcol,    TotalGMContribution[August],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W17" s="155" cm="1">
        <f t="array" ref="W17">_xlfn.LET(
    _xlpm.s,         GMConSpreadTable81945[[#This Row],[STATUS]],
    _xlpm.vatCrit,   "DISR",
    _xlpm.sumcol,    TotalGMContribution[September],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X17" s="155" cm="1">
        <f t="array" ref="X17">_xlfn.LET(
    _xlpm.s,         GMConSpreadTable81945[[#This Row],[STATUS]],
    _xlpm.vatCrit,   "DISR",
    _xlpm.sumcol,    TotalGMContribution[October],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Y17" s="155" cm="1">
        <f t="array" ref="Y17">_xlfn.LET(
    _xlpm.s,         GMConSpreadTable81945[[#This Row],[STATUS]],
    _xlpm.vatCrit,   "DISR",
    _xlpm.sumcol,    TotalGMContribution[November],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Z17" s="155" cm="1">
        <f t="array" ref="Z17">_xlfn.LET(
    _xlpm.s,         GMConSpreadTable81945[[#This Row],[STATUS]],
    _xlpm.vatCrit,   "DISR",
    _xlpm.sumcol,    TotalGMContribution[December],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AA17" s="155" cm="1">
        <f t="array" ref="AA17">_xlfn.LET(
    _xlpm.s,         GMConSpreadTable81945[[#This Row],[STATUS]],
    _xlpm.vatCrit,   "DISR",
    _xlpm.sumcol,    TotalGMContribution[January],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AB17" s="155" cm="1">
        <f t="array" ref="AB17">_xlfn.LET(
    _xlpm.s,         GMConSpreadTable81945[[#This Row],[STATUS]],
    _xlpm.vatCrit,   "DISR",
    _xlpm.sumcol,    TotalGMContribution[February],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AC17" s="155" cm="1">
        <f t="array" ref="AC17">_xlfn.LET(
    _xlpm.s,         GMConSpreadTable81945[[#This Row],[STATUS]],
    _xlpm.vatCrit,   "DISR",
    _xlpm.sumcol,    TotalGMContribution[March],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AD17" s="155" cm="1">
        <f t="array" ref="AD17">_xlfn.LET(
    _xlpm.s,         GMConSpreadTable81945[[#This Row],[STATUS]],
    _xlpm.vatCrit,   "DISR",
    _xlpm.sumcol,    TotalGMContribution[April],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AE17" s="155" cm="1">
        <f t="array" ref="AE17">_xlfn.LET(
    _xlpm.s,         GMConSpreadTable81945[[#This Row],[STATUS]],
    _xlpm.vatCrit,   "DISR",
    _xlpm.sumcol,    TotalGMContribution[May],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AF17" s="155" cm="1">
        <f t="array" ref="AF17">_xlfn.LET(
    _xlpm.s,         GMConSpreadTable81945[[#This Row],[STATUS]],
    _xlpm.vatCrit,   "DISR",
    _xlpm.sumcol,    TotalGMContribution[June],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row>
    <row r="18" spans="11:32" x14ac:dyDescent="0.25">
      <c r="K18" s="150" t="s">
        <v>158</v>
      </c>
      <c r="L18" s="183">
        <f>SUM(U44:W44)</f>
        <v>125000</v>
      </c>
      <c r="M18" s="183">
        <f>SUM(X44:Z44)</f>
        <v>1291666.6666666667</v>
      </c>
      <c r="N18" s="183">
        <f>SUM(AA44:AC44)</f>
        <v>1291666.6666666667</v>
      </c>
      <c r="O18" s="183">
        <f>SUM(AD44:AF44)</f>
        <v>1291666.6666666667</v>
      </c>
      <c r="P18" s="184">
        <f>SUM(Table3649[[#This Row],[Q1]:[Q4]])</f>
        <v>4000000</v>
      </c>
      <c r="T18" s="112" t="s">
        <v>76</v>
      </c>
      <c r="U18" s="155" cm="1">
        <f t="array" ref="U18">_xlfn.LET(
    _xlpm.s,         GMConSpreadTable81945[[#This Row],[STATUS]],
    _xlpm.vatCrit,   "DISR",
    _xlpm.sumcol,    TotalGMContribution[July],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V18" s="155" cm="1">
        <f t="array" ref="V18">_xlfn.LET(
    _xlpm.s,         GMConSpreadTable81945[[#This Row],[STATUS]],
    _xlpm.vatCrit,   "DISR",
    _xlpm.sumcol,    TotalGMContribution[August],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W18" s="155" cm="1">
        <f t="array" ref="W18">_xlfn.LET(
    _xlpm.s,         GMConSpreadTable81945[[#This Row],[STATUS]],
    _xlpm.vatCrit,   "DISR",
    _xlpm.sumcol,    TotalGMContribution[September],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X18" s="155" cm="1">
        <f t="array" ref="X18">_xlfn.LET(
    _xlpm.s,         GMConSpreadTable81945[[#This Row],[STATUS]],
    _xlpm.vatCrit,   "DISR",
    _xlpm.sumcol,    TotalGMContribution[October],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Y18" s="155" cm="1">
        <f t="array" ref="Y18">_xlfn.LET(
    _xlpm.s,         GMConSpreadTable81945[[#This Row],[STATUS]],
    _xlpm.vatCrit,   "DISR",
    _xlpm.sumcol,    TotalGMContribution[November],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Z18" s="155" cm="1">
        <f t="array" ref="Z18">_xlfn.LET(
    _xlpm.s,         GMConSpreadTable81945[[#This Row],[STATUS]],
    _xlpm.vatCrit,   "DISR",
    _xlpm.sumcol,    TotalGMContribution[December],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AA18" s="155" cm="1">
        <f t="array" ref="AA18">_xlfn.LET(
    _xlpm.s,         GMConSpreadTable81945[[#This Row],[STATUS]],
    _xlpm.vatCrit,   "DISR",
    _xlpm.sumcol,    TotalGMContribution[January],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AB18" s="155" cm="1">
        <f t="array" ref="AB18">_xlfn.LET(
    _xlpm.s,         GMConSpreadTable81945[[#This Row],[STATUS]],
    _xlpm.vatCrit,   "DISR",
    _xlpm.sumcol,    TotalGMContribution[February],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AC18" s="155" cm="1">
        <f t="array" ref="AC18">_xlfn.LET(
    _xlpm.s,         GMConSpreadTable81945[[#This Row],[STATUS]],
    _xlpm.vatCrit,   "DISR",
    _xlpm.sumcol,    TotalGMContribution[March],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AD18" s="155" cm="1">
        <f t="array" ref="AD18">_xlfn.LET(
    _xlpm.s,         GMConSpreadTable81945[[#This Row],[STATUS]],
    _xlpm.vatCrit,   "DISR",
    _xlpm.sumcol,    TotalGMContribution[April],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AE18" s="155" cm="1">
        <f t="array" ref="AE18">_xlfn.LET(
    _xlpm.s,         GMConSpreadTable81945[[#This Row],[STATUS]],
    _xlpm.vatCrit,   "DISR",
    _xlpm.sumcol,    TotalGMContribution[May],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AF18" s="155" cm="1">
        <f t="array" ref="AF18">_xlfn.LET(
    _xlpm.s,         GMConSpreadTable81945[[#This Row],[STATUS]],
    _xlpm.vatCrit,   "DISR",
    _xlpm.sumcol,    TotalGMContribution[June],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row>
    <row r="19" spans="11:32" x14ac:dyDescent="0.25">
      <c r="K19" s="179" t="s">
        <v>56</v>
      </c>
      <c r="L19" s="181">
        <f>SUMIFS(Job_Status[Revenue Q1],Job_Status[VAT],"DISR")</f>
        <v>127258</v>
      </c>
      <c r="M19" s="181">
        <f>SUMIFS(Job_Status[Revenue Q2],Job_Status[VAT],"DISR")</f>
        <v>1014053.8625000006</v>
      </c>
      <c r="N19" s="181">
        <f>SUMIFS(Job_Status[Revenue Q3],Job_Status[VAT],"DISR")</f>
        <v>587579.66750000115</v>
      </c>
      <c r="O19" s="181">
        <f>SUMIFS(Job_Status[Revenue Q4],Job_Status[VAT],"DISR")</f>
        <v>0</v>
      </c>
      <c r="P19" s="181">
        <f>SUM(Table3649[[#This Row],[Q1]:[Q4]])</f>
        <v>1728891.5300000019</v>
      </c>
      <c r="T19" s="112" t="s">
        <v>75</v>
      </c>
      <c r="U19" s="155" cm="1">
        <f t="array" ref="U19">_xlfn.LET(
    _xlpm.s,         GMConSpreadTable81945[[#This Row],[STATUS]],
    _xlpm.vatCrit,   "DISR",
    _xlpm.sumcol,    TotalGMContribution[July],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V19" s="155" cm="1">
        <f t="array" ref="V19">_xlfn.LET(
    _xlpm.s,         GMConSpreadTable81945[[#This Row],[STATUS]],
    _xlpm.vatCrit,   "DISR",
    _xlpm.sumcol,    TotalGMContribution[August],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W19" s="155" cm="1">
        <f t="array" ref="W19">_xlfn.LET(
    _xlpm.s,         GMConSpreadTable81945[[#This Row],[STATUS]],
    _xlpm.vatCrit,   "DISR",
    _xlpm.sumcol,    TotalGMContribution[September],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X19" s="155" cm="1">
        <f t="array" ref="X19">_xlfn.LET(
    _xlpm.s,         GMConSpreadTable81945[[#This Row],[STATUS]],
    _xlpm.vatCrit,   "DISR",
    _xlpm.sumcol,    TotalGMContribution[October],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Y19" s="155" cm="1">
        <f t="array" ref="Y19">_xlfn.LET(
    _xlpm.s,         GMConSpreadTable81945[[#This Row],[STATUS]],
    _xlpm.vatCrit,   "DISR",
    _xlpm.sumcol,    TotalGMContribution[November],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Z19" s="155" cm="1">
        <f t="array" ref="Z19">_xlfn.LET(
    _xlpm.s,         GMConSpreadTable81945[[#This Row],[STATUS]],
    _xlpm.vatCrit,   "DISR",
    _xlpm.sumcol,    TotalGMContribution[December],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AA19" s="155" cm="1">
        <f t="array" ref="AA19">_xlfn.LET(
    _xlpm.s,         GMConSpreadTable81945[[#This Row],[STATUS]],
    _xlpm.vatCrit,   "DISR",
    _xlpm.sumcol,    TotalGMContribution[January],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AB19" s="155" cm="1">
        <f t="array" ref="AB19">_xlfn.LET(
    _xlpm.s,         GMConSpreadTable81945[[#This Row],[STATUS]],
    _xlpm.vatCrit,   "DISR",
    _xlpm.sumcol,    TotalGMContribution[February],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AC19" s="155" cm="1">
        <f t="array" ref="AC19">_xlfn.LET(
    _xlpm.s,         GMConSpreadTable81945[[#This Row],[STATUS]],
    _xlpm.vatCrit,   "DISR",
    _xlpm.sumcol,    TotalGMContribution[March],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AD19" s="155" cm="1">
        <f t="array" ref="AD19">_xlfn.LET(
    _xlpm.s,         GMConSpreadTable81945[[#This Row],[STATUS]],
    _xlpm.vatCrit,   "DISR",
    _xlpm.sumcol,    TotalGMContribution[April],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AE19" s="155" cm="1">
        <f t="array" ref="AE19">_xlfn.LET(
    _xlpm.s,         GMConSpreadTable81945[[#This Row],[STATUS]],
    _xlpm.vatCrit,   "DISR",
    _xlpm.sumcol,    TotalGMContribution[May],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c r="AF19" s="155" cm="1">
        <f t="array" ref="AF19">_xlfn.LET(
    _xlpm.s,         GMConSpreadTable81945[[#This Row],[STATUS]],
    _xlpm.vatCrit,   "DISR",
    _xlpm.sumcol,    TotalGMContribution[June],
    _xlpm.statuscol, TotalGMContribution[Status],
    _xlpm.vatcol,    TotalGMContribution[VAT],
    _xlpm.oppcol,    TotalGMContribution[Opps Status],
          IF(DISRGoodToggle=TRUE, SUMIFS(_xlpm.sumcol, _xlpm.statuscol, _xlpm.s, _xlpm.vatcol, _xlpm.vatCrit, _xlpm.oppcol, "Good"), 0) +
          IF(DISRFairToggle=TRUE, SUMIFS(_xlpm.sumcol, _xlpm.statuscol, _xlpm.s, _xlpm.vatcol, _xlpm.vatCrit, _xlpm.oppcol, "Fair"), 0) +
          IF(DISRRiskToggle=TRUE, SUMIFS(_xlpm.sumcol, _xlpm.statuscol, _xlpm.s, _xlpm.vatcol, _xlpm.vatCrit, _xlpm.oppcol, "Risk"), 0)
)</f>
        <v>0</v>
      </c>
    </row>
    <row r="20" spans="11:32" x14ac:dyDescent="0.25">
      <c r="K20" s="253" t="s">
        <v>151</v>
      </c>
      <c r="L20" s="176">
        <f>SUM(U38:W38)</f>
        <v>127258</v>
      </c>
      <c r="M20" s="176">
        <f>SUM(X38:Z38)</f>
        <v>1014053.8624999997</v>
      </c>
      <c r="N20" s="176">
        <f>SUM(AA38:AC38)</f>
        <v>1767584.0578243742</v>
      </c>
      <c r="O20" s="176">
        <f>SUM(AD38:AF38)</f>
        <v>1252732.5736536616</v>
      </c>
      <c r="P20" s="255">
        <f>SUM(Table3649[[#This Row],[Q1]:[Q4]])</f>
        <v>4161628.4939780356</v>
      </c>
      <c r="T20" s="112" t="s">
        <v>152</v>
      </c>
      <c r="U20" s="155"/>
      <c r="V20" s="155"/>
      <c r="W20" s="155"/>
      <c r="X20" s="155"/>
      <c r="Y20" s="155"/>
      <c r="Z20" s="155"/>
      <c r="AA20" s="155"/>
      <c r="AB20" s="155"/>
      <c r="AC20" s="155"/>
      <c r="AD20" s="155"/>
      <c r="AE20" s="155"/>
      <c r="AF20" s="155"/>
    </row>
    <row r="21" spans="11:32" x14ac:dyDescent="0.25">
      <c r="K21" s="253" t="s">
        <v>60</v>
      </c>
      <c r="L21" s="176">
        <f>L20-L$18</f>
        <v>2258</v>
      </c>
      <c r="M21" s="176">
        <f>M20-M$18</f>
        <v>-277612.80416666705</v>
      </c>
      <c r="N21" s="176">
        <f>N20-N$18</f>
        <v>475917.39115770743</v>
      </c>
      <c r="O21" s="176">
        <f>O20-O$18</f>
        <v>-38934.093013005098</v>
      </c>
      <c r="P21" s="205">
        <f>SUM(Table3649[[#This Row],[Q1]:[Q4]])</f>
        <v>161628.49397803529</v>
      </c>
      <c r="T21" s="112" t="s">
        <v>110</v>
      </c>
      <c r="U21" s="158">
        <f>'FY2526 VAT Financial KPIs'!$G$29*U43</f>
        <v>4500</v>
      </c>
      <c r="V21" s="158">
        <f>'FY2526 VAT Financial KPIs'!$G$29*V43</f>
        <v>9000</v>
      </c>
      <c r="W21" s="158">
        <f>'FY2526 VAT Financial KPIs'!$G$29*W43</f>
        <v>24000</v>
      </c>
      <c r="X21" s="158">
        <f>'FY2526 VAT Financial KPIs'!$G$29*X43</f>
        <v>162499.99999999997</v>
      </c>
      <c r="Y21" s="158">
        <f>'FY2526 VAT Financial KPIs'!$G$29*Y43</f>
        <v>162499.99999999997</v>
      </c>
      <c r="Z21" s="158">
        <f>'FY2526 VAT Financial KPIs'!$G$29*Z43</f>
        <v>162499.99999999997</v>
      </c>
      <c r="AA21" s="158">
        <f>'FY2526 VAT Financial KPIs'!$G$29*AA43</f>
        <v>162499.99999999997</v>
      </c>
      <c r="AB21" s="158">
        <f>'FY2526 VAT Financial KPIs'!$G$29*AB43</f>
        <v>162499.99999999997</v>
      </c>
      <c r="AC21" s="158">
        <f>'FY2526 VAT Financial KPIs'!$G$29*AC43</f>
        <v>162499.99999999997</v>
      </c>
      <c r="AD21" s="158">
        <f>'FY2526 VAT Financial KPIs'!$G$29*AD43</f>
        <v>162499.99999999997</v>
      </c>
      <c r="AE21" s="158">
        <f>'FY2526 VAT Financial KPIs'!$G$29*AE43</f>
        <v>162499.99999999997</v>
      </c>
      <c r="AF21" s="158">
        <f>'FY2526 VAT Financial KPIs'!$G$29*AF43</f>
        <v>162499.99999999997</v>
      </c>
    </row>
    <row r="22" spans="11:32" x14ac:dyDescent="0.25">
      <c r="K22" s="150" t="s">
        <v>159</v>
      </c>
      <c r="L22" s="183">
        <f>SUM(U$38:W39)</f>
        <v>127258</v>
      </c>
      <c r="M22" s="183">
        <f>SUM(X$38:Z39)</f>
        <v>1014053.8624999997</v>
      </c>
      <c r="N22" s="183">
        <f>SUM(AA$38:AC39)</f>
        <v>1767584.0578243742</v>
      </c>
      <c r="O22" s="183">
        <f>SUM(AD$38:AF39)</f>
        <v>1252732.5736536616</v>
      </c>
      <c r="P22" s="207">
        <f>SUM(Table3649[[#This Row],[Q1]:[Q4]])</f>
        <v>4161628.4939780356</v>
      </c>
      <c r="T22" s="112" t="s">
        <v>111</v>
      </c>
      <c r="U22" s="158">
        <f>'FY2526 VAT Financial KPIs'!$F$29*U44</f>
        <v>4500</v>
      </c>
      <c r="V22" s="158">
        <f>'FY2526 VAT Financial KPIs'!$F$29*V44</f>
        <v>9000</v>
      </c>
      <c r="W22" s="158">
        <f>'FY2526 VAT Financial KPIs'!$F$29*W44</f>
        <v>24000</v>
      </c>
      <c r="X22" s="158">
        <f>'FY2526 VAT Financial KPIs'!$F$29*X44</f>
        <v>129166.66666666666</v>
      </c>
      <c r="Y22" s="158">
        <f>'FY2526 VAT Financial KPIs'!$F$29*Y44</f>
        <v>129166.66666666666</v>
      </c>
      <c r="Z22" s="158">
        <f>'FY2526 VAT Financial KPIs'!$F$29*Z44</f>
        <v>129166.66666666666</v>
      </c>
      <c r="AA22" s="158">
        <f>'FY2526 VAT Financial KPIs'!$F$29*AA44</f>
        <v>129166.66666666666</v>
      </c>
      <c r="AB22" s="158">
        <f>'FY2526 VAT Financial KPIs'!$F$29*AB44</f>
        <v>129166.66666666666</v>
      </c>
      <c r="AC22" s="158">
        <f>'FY2526 VAT Financial KPIs'!$F$29*AC44</f>
        <v>129166.66666666666</v>
      </c>
      <c r="AD22" s="158">
        <f>'FY2526 VAT Financial KPIs'!$F$29*AD44</f>
        <v>129166.66666666666</v>
      </c>
      <c r="AE22" s="158">
        <f>'FY2526 VAT Financial KPIs'!$F$29*AE44</f>
        <v>129166.66666666666</v>
      </c>
      <c r="AF22" s="158">
        <f>'FY2526 VAT Financial KPIs'!$F$29*AF44</f>
        <v>129166.66666666666</v>
      </c>
    </row>
    <row r="23" spans="11:32" x14ac:dyDescent="0.25">
      <c r="K23" s="182" t="s">
        <v>154</v>
      </c>
      <c r="L23" s="176">
        <f>L22-L$18</f>
        <v>2258</v>
      </c>
      <c r="M23" s="176">
        <f>M22-M$18</f>
        <v>-277612.80416666705</v>
      </c>
      <c r="N23" s="176">
        <f>N22-N$18</f>
        <v>475917.39115770743</v>
      </c>
      <c r="O23" s="176">
        <f>O22-O$18</f>
        <v>-38934.093013005098</v>
      </c>
      <c r="P23" s="205">
        <f>SUM(Table3649[[#This Row],[Q1]:[Q4]])</f>
        <v>161628.49397803529</v>
      </c>
      <c r="T23" s="112" t="s">
        <v>4</v>
      </c>
      <c r="U23" s="158">
        <f>'FY2526 VAT Financial KPIs'!$E$29*U45</f>
        <v>4500</v>
      </c>
      <c r="V23" s="158">
        <f>'FY2526 VAT Financial KPIs'!$E$29*V45</f>
        <v>9000</v>
      </c>
      <c r="W23" s="158">
        <f>'FY2526 VAT Financial KPIs'!$E$29*W45</f>
        <v>24000</v>
      </c>
      <c r="X23" s="158">
        <f>'FY2526 VAT Financial KPIs'!$E$29*X45</f>
        <v>72500</v>
      </c>
      <c r="Y23" s="158">
        <f>'FY2526 VAT Financial KPIs'!$E$29*Y45</f>
        <v>72500</v>
      </c>
      <c r="Z23" s="158">
        <f>'FY2526 VAT Financial KPIs'!$E$29*Z45</f>
        <v>72500</v>
      </c>
      <c r="AA23" s="158">
        <f>'FY2526 VAT Financial KPIs'!$E$29*AA45</f>
        <v>72500</v>
      </c>
      <c r="AB23" s="158">
        <f>'FY2526 VAT Financial KPIs'!$E$29*AB45</f>
        <v>72500</v>
      </c>
      <c r="AC23" s="158">
        <f>'FY2526 VAT Financial KPIs'!$E$29*AC45</f>
        <v>72500</v>
      </c>
      <c r="AD23" s="158">
        <f>'FY2526 VAT Financial KPIs'!$E$29*AD45</f>
        <v>72500</v>
      </c>
      <c r="AE23" s="158">
        <f>'FY2526 VAT Financial KPIs'!$E$29*AE45</f>
        <v>72500</v>
      </c>
      <c r="AF23" s="158">
        <f>'FY2526 VAT Financial KPIs'!$E$29*AF45</f>
        <v>72500</v>
      </c>
    </row>
    <row r="24" spans="11:32" x14ac:dyDescent="0.25">
      <c r="K24" s="150" t="s">
        <v>160</v>
      </c>
      <c r="L24" s="183">
        <f>SUM(U$38:W40)</f>
        <v>127258</v>
      </c>
      <c r="M24" s="183">
        <f>SUM(X$38:Z40)</f>
        <v>1014053.8624999997</v>
      </c>
      <c r="N24" s="183">
        <f>SUM(AA$38:AC40)</f>
        <v>1767584.0578243742</v>
      </c>
      <c r="O24" s="183">
        <f>SUM(AD$38:AF40)</f>
        <v>1252732.5736536616</v>
      </c>
      <c r="P24" s="205">
        <f>SUM(Table3649[[#This Row],[Q1]:[Q4]])</f>
        <v>4161628.4939780356</v>
      </c>
    </row>
    <row r="25" spans="11:32" x14ac:dyDescent="0.25">
      <c r="K25" s="182" t="s">
        <v>154</v>
      </c>
      <c r="L25" s="176">
        <f>L24-L$18</f>
        <v>2258</v>
      </c>
      <c r="M25" s="176">
        <f>M24-M$18</f>
        <v>-277612.80416666705</v>
      </c>
      <c r="N25" s="176">
        <f>N24-N$18</f>
        <v>475917.39115770743</v>
      </c>
      <c r="O25" s="176">
        <f>O24-O$18</f>
        <v>-38934.093013005098</v>
      </c>
      <c r="P25" s="205">
        <f>SUM(Table3649[[#This Row],[Q1]:[Q4]])</f>
        <v>161628.49397803529</v>
      </c>
      <c r="T25" s="13" t="s">
        <v>93</v>
      </c>
      <c r="U25" s="112"/>
      <c r="V25" s="112"/>
      <c r="W25" s="112"/>
      <c r="X25" s="112"/>
      <c r="Y25" s="112"/>
      <c r="Z25" s="112"/>
      <c r="AA25" s="112"/>
      <c r="AB25" s="112"/>
      <c r="AC25" s="112"/>
      <c r="AD25" s="112"/>
      <c r="AE25" s="112"/>
      <c r="AF25" s="112"/>
    </row>
    <row r="26" spans="11:32" x14ac:dyDescent="0.25">
      <c r="K26" s="150" t="s">
        <v>161</v>
      </c>
      <c r="L26" s="183">
        <f ca="1">SUM(U$38:W41)</f>
        <v>127258</v>
      </c>
      <c r="M26" s="183">
        <f ca="1">SUM(X$38:Z41)</f>
        <v>1014053.8624999997</v>
      </c>
      <c r="N26" s="183">
        <f ca="1">SUM(AA$38:AC41)</f>
        <v>1767584.0578243742</v>
      </c>
      <c r="O26" s="183">
        <f ca="1">SUM(AD$38:AF41)</f>
        <v>1252732.5736536616</v>
      </c>
      <c r="P26" s="205">
        <f ca="1">SUM(Table3649[[#This Row],[Q1]:[Q4]])</f>
        <v>4161628.4939780356</v>
      </c>
      <c r="T26" s="113" t="s">
        <v>94</v>
      </c>
      <c r="U26" s="112" t="s">
        <v>95</v>
      </c>
      <c r="V26" s="112" t="s">
        <v>96</v>
      </c>
      <c r="W26" s="112" t="s">
        <v>97</v>
      </c>
      <c r="X26" s="112" t="s">
        <v>98</v>
      </c>
      <c r="Y26" s="112" t="s">
        <v>99</v>
      </c>
      <c r="Z26" s="112" t="s">
        <v>100</v>
      </c>
      <c r="AA26" s="112" t="s">
        <v>101</v>
      </c>
      <c r="AB26" s="112" t="s">
        <v>102</v>
      </c>
      <c r="AC26" s="112" t="s">
        <v>103</v>
      </c>
      <c r="AD26" s="112" t="s">
        <v>104</v>
      </c>
      <c r="AE26" s="112" t="s">
        <v>105</v>
      </c>
      <c r="AF26" s="112" t="s">
        <v>106</v>
      </c>
    </row>
    <row r="27" spans="11:32" x14ac:dyDescent="0.25">
      <c r="K27" s="182" t="s">
        <v>154</v>
      </c>
      <c r="L27" s="176">
        <f ca="1">L26-L$18</f>
        <v>2258</v>
      </c>
      <c r="M27" s="176">
        <f ca="1">M26-M$18</f>
        <v>-277612.80416666705</v>
      </c>
      <c r="N27" s="176">
        <f ca="1">N26-N$18</f>
        <v>475917.39115770743</v>
      </c>
      <c r="O27" s="176">
        <f ca="1">O26-O$18</f>
        <v>-38934.093013005098</v>
      </c>
      <c r="P27" s="206">
        <f ca="1">SUM(Table3649[[#This Row],[Q1]:[Q4]])</f>
        <v>161628.49397803529</v>
      </c>
      <c r="T27" s="112" t="s">
        <v>148</v>
      </c>
      <c r="U27" s="112">
        <f>U38</f>
        <v>15197.5</v>
      </c>
      <c r="V27" s="112">
        <f>SUM($U38:V38)</f>
        <v>46147.5</v>
      </c>
      <c r="W27" s="112">
        <f>SUM($U38:W38)</f>
        <v>127258</v>
      </c>
      <c r="X27" s="112">
        <f>SUM($U38:X38)</f>
        <v>391075.4375</v>
      </c>
      <c r="Y27" s="112">
        <f>SUM($U38:Y38)</f>
        <v>761087.21249999991</v>
      </c>
      <c r="Z27" s="112">
        <f>SUM($U38:Z38)</f>
        <v>1141311.8624999998</v>
      </c>
      <c r="AA27" s="112">
        <f>SUM($U38:AA38)</f>
        <v>1625780.8324999998</v>
      </c>
      <c r="AB27" s="112">
        <f>SUM($U38:AB38)</f>
        <v>2240118.7497805026</v>
      </c>
      <c r="AC27" s="112">
        <f>SUM($U38:AC38)</f>
        <v>2908895.920324374</v>
      </c>
      <c r="AD27" s="112">
        <f>SUM($U38:AD38)</f>
        <v>3297548.0694474131</v>
      </c>
      <c r="AE27" s="112">
        <f>SUM($U38:AE38)</f>
        <v>3698134.3452290935</v>
      </c>
      <c r="AF27" s="112">
        <f>SUM($U38:AF38)</f>
        <v>4161628.4939780356</v>
      </c>
    </row>
    <row r="28" spans="11:32" x14ac:dyDescent="0.25">
      <c r="K28" s="150"/>
      <c r="L28" s="176"/>
      <c r="M28" s="176"/>
      <c r="N28" s="176"/>
      <c r="O28" s="176"/>
      <c r="P28" s="177"/>
      <c r="T28" s="112" t="s">
        <v>150</v>
      </c>
      <c r="U28" s="112">
        <f>U39+U27</f>
        <v>15197.5</v>
      </c>
      <c r="V28" s="112">
        <f>SUM($U39:V39)+V27</f>
        <v>46147.5</v>
      </c>
      <c r="W28" s="112">
        <f>SUM($U39:W39)+W27</f>
        <v>127258</v>
      </c>
      <c r="X28" s="112">
        <f>SUM($U39:X39)+X27</f>
        <v>391075.4375</v>
      </c>
      <c r="Y28" s="112">
        <f>SUM($U39:Y39)+Y27</f>
        <v>761087.21249999991</v>
      </c>
      <c r="Z28" s="112">
        <f>SUM($U39:Z39)+Z27</f>
        <v>1141311.8624999998</v>
      </c>
      <c r="AA28" s="112">
        <f>SUM($U39:AA39)+AA27</f>
        <v>1625780.8324999998</v>
      </c>
      <c r="AB28" s="112">
        <f>SUM($U39:AB39)+AB27</f>
        <v>2240118.7497805026</v>
      </c>
      <c r="AC28" s="112">
        <f>SUM($U39:AC39)+AC27</f>
        <v>2908895.920324374</v>
      </c>
      <c r="AD28" s="112">
        <f>SUM($U39:AD39)+AD27</f>
        <v>3297548.0694474131</v>
      </c>
      <c r="AE28" s="112">
        <f>SUM($U39:AE39)+AE27</f>
        <v>3698134.3452290935</v>
      </c>
      <c r="AF28" s="112">
        <f>SUM($U39:AF39)+AF27</f>
        <v>4161628.4939780356</v>
      </c>
    </row>
    <row r="29" spans="11:32" x14ac:dyDescent="0.25">
      <c r="K29" s="201" t="s">
        <v>162</v>
      </c>
      <c r="L29" s="189" t="s">
        <v>47</v>
      </c>
      <c r="M29" s="189" t="s">
        <v>48</v>
      </c>
      <c r="N29" s="189" t="s">
        <v>49</v>
      </c>
      <c r="O29" s="189" t="s">
        <v>50</v>
      </c>
      <c r="P29" s="189" t="s">
        <v>1</v>
      </c>
      <c r="T29" s="112" t="s">
        <v>108</v>
      </c>
      <c r="U29" s="112">
        <f>U40+U28</f>
        <v>15197.5</v>
      </c>
      <c r="V29" s="112">
        <f>SUM($U40:V40)+V28</f>
        <v>46147.5</v>
      </c>
      <c r="W29" s="112">
        <f>SUM($U40:W40)+W28</f>
        <v>127258</v>
      </c>
      <c r="X29" s="112">
        <f>SUM($U40:X40)+X28</f>
        <v>391075.4375</v>
      </c>
      <c r="Y29" s="112">
        <f>SUM($U40:Y40)+Y28</f>
        <v>761087.21249999991</v>
      </c>
      <c r="Z29" s="112">
        <f>SUM($U40:Z40)+Z28</f>
        <v>1141311.8624999998</v>
      </c>
      <c r="AA29" s="112">
        <f>SUM($U40:AA40)+AA28</f>
        <v>1625780.8324999998</v>
      </c>
      <c r="AB29" s="112">
        <f>SUM($U40:AB40)+AB28</f>
        <v>2240118.7497805026</v>
      </c>
      <c r="AC29" s="112">
        <f>SUM($U40:AC40)+AC28</f>
        <v>2908895.920324374</v>
      </c>
      <c r="AD29" s="112">
        <f>SUM($U40:AD40)+AD28</f>
        <v>3297548.0694474131</v>
      </c>
      <c r="AE29" s="112">
        <f>SUM($U40:AE40)+AE28</f>
        <v>3698134.3452290935</v>
      </c>
      <c r="AF29" s="112">
        <f>SUM($U40:AF40)+AF28</f>
        <v>4161628.4939780356</v>
      </c>
    </row>
    <row r="30" spans="11:32" x14ac:dyDescent="0.25">
      <c r="K30" s="150" t="s">
        <v>163</v>
      </c>
      <c r="L30" s="202">
        <f>L6/L18</f>
        <v>0.3</v>
      </c>
      <c r="M30" s="202">
        <f t="shared" ref="M30:P30" si="4">M6/M18</f>
        <v>0.3</v>
      </c>
      <c r="N30" s="202">
        <f t="shared" si="4"/>
        <v>0.3</v>
      </c>
      <c r="O30" s="202">
        <f t="shared" si="4"/>
        <v>0.3</v>
      </c>
      <c r="P30" s="202">
        <f t="shared" si="4"/>
        <v>0.3</v>
      </c>
      <c r="T30" s="112" t="s">
        <v>109</v>
      </c>
      <c r="U30" s="112">
        <f ca="1">U41+U29</f>
        <v>15197.5</v>
      </c>
      <c r="V30" s="112">
        <f ca="1">SUM($U41:V41)+V29</f>
        <v>46147.5</v>
      </c>
      <c r="W30" s="112">
        <f ca="1">SUM($U41:W41)+W29</f>
        <v>127258</v>
      </c>
      <c r="X30" s="112">
        <f ca="1">SUM($U41:X41)+X29</f>
        <v>391075.4375</v>
      </c>
      <c r="Y30" s="112">
        <f ca="1">SUM($U41:Y41)+Y29</f>
        <v>761087.21249999991</v>
      </c>
      <c r="Z30" s="112">
        <f ca="1">SUM($U41:Z41)+Z29</f>
        <v>1141311.8624999998</v>
      </c>
      <c r="AA30" s="112">
        <f ca="1">SUM($U41:AA41)+AA29</f>
        <v>1625780.8324999998</v>
      </c>
      <c r="AB30" s="112">
        <f ca="1">SUM($U41:AB41)+AB29</f>
        <v>2240118.7497805026</v>
      </c>
      <c r="AC30" s="112">
        <f ca="1">SUM($U41:AC41)+AC29</f>
        <v>2908895.920324374</v>
      </c>
      <c r="AD30" s="112">
        <f ca="1">SUM($U41:AD41)+AD29</f>
        <v>3297548.0694474131</v>
      </c>
      <c r="AE30" s="112">
        <f ca="1">SUM($U41:AE41)+AE29</f>
        <v>3698134.3452290935</v>
      </c>
      <c r="AF30" s="112">
        <f ca="1">SUM($U41:AF41)+AF29</f>
        <v>4161628.4939780356</v>
      </c>
    </row>
    <row r="31" spans="11:32" x14ac:dyDescent="0.25">
      <c r="K31" s="150" t="s">
        <v>201</v>
      </c>
      <c r="L31" s="203">
        <f>IFERROR(L7/L19,"")</f>
        <v>0.48123072812711193</v>
      </c>
      <c r="M31" s="203">
        <f>IFERROR(M7/M19,"")</f>
        <v>0.27727302552432176</v>
      </c>
      <c r="N31" s="203">
        <f>IFERROR(N7/N19,"")</f>
        <v>0.23435781582759047</v>
      </c>
      <c r="O31" s="203" t="str">
        <f>IFERROR(O7/O19,"")</f>
        <v/>
      </c>
      <c r="P31" s="204">
        <f>P7/P19</f>
        <v>0.27770055071066335</v>
      </c>
      <c r="T31" s="112" t="s">
        <v>152</v>
      </c>
      <c r="U31" s="112">
        <f>U42</f>
        <v>0</v>
      </c>
      <c r="V31" s="112">
        <f>SUM($U42:V42)</f>
        <v>0</v>
      </c>
      <c r="W31" s="112">
        <f>SUM($U42:W42)</f>
        <v>0</v>
      </c>
      <c r="X31" s="112">
        <f>SUM($U42:X42)</f>
        <v>0</v>
      </c>
      <c r="Y31" s="112">
        <f>SUM($U42:Y42)</f>
        <v>0</v>
      </c>
      <c r="Z31" s="112">
        <f>SUM($U42:Z42)</f>
        <v>0</v>
      </c>
      <c r="AA31" s="112">
        <f>SUM($U42:AA42)</f>
        <v>0</v>
      </c>
      <c r="AB31" s="112">
        <f>SUM($U42:AB42)</f>
        <v>0</v>
      </c>
      <c r="AC31" s="112">
        <f>SUM($U42:AC42)</f>
        <v>0</v>
      </c>
      <c r="AD31" s="112">
        <f>SUM($U42:AD42)</f>
        <v>0</v>
      </c>
      <c r="AE31" s="112">
        <f>SUM($U42:AE42)</f>
        <v>0</v>
      </c>
      <c r="AF31" s="112">
        <f>SUM($U42:AF42)</f>
        <v>0</v>
      </c>
    </row>
    <row r="32" spans="11:32" x14ac:dyDescent="0.25">
      <c r="K32" s="196" t="s">
        <v>202</v>
      </c>
      <c r="L32" s="145">
        <f>L8/L20</f>
        <v>0.48123072812711193</v>
      </c>
      <c r="M32" s="145">
        <f t="shared" ref="M32:P38" si="5">M8/M20</f>
        <v>0.27727302552432237</v>
      </c>
      <c r="N32" s="145">
        <f t="shared" si="5"/>
        <v>0.23063528609561598</v>
      </c>
      <c r="O32" s="145">
        <f t="shared" si="5"/>
        <v>0.21507594581247852</v>
      </c>
      <c r="P32" s="145">
        <f t="shared" si="5"/>
        <v>0.24497865246220052</v>
      </c>
      <c r="T32" s="112" t="s">
        <v>110</v>
      </c>
      <c r="U32" s="157">
        <f>U43</f>
        <v>15000</v>
      </c>
      <c r="V32" s="157">
        <f>SUM($U43:V43)</f>
        <v>45000</v>
      </c>
      <c r="W32" s="157">
        <f>SUM($U43:W43)</f>
        <v>125000</v>
      </c>
      <c r="X32" s="157">
        <f>SUM($U43:X43)</f>
        <v>666666.66666666663</v>
      </c>
      <c r="Y32" s="157">
        <f>SUM($U43:Y43)</f>
        <v>1208333.3333333333</v>
      </c>
      <c r="Z32" s="157">
        <f>SUM($U43:Z43)</f>
        <v>1750000</v>
      </c>
      <c r="AA32" s="157">
        <f>SUM($U43:AA43)</f>
        <v>2291666.6666666665</v>
      </c>
      <c r="AB32" s="157">
        <f>SUM($U43:AB43)</f>
        <v>2833333.333333333</v>
      </c>
      <c r="AC32" s="157">
        <f>SUM($U43:AC43)</f>
        <v>3374999.9999999995</v>
      </c>
      <c r="AD32" s="157">
        <f>SUM($U43:AD43)</f>
        <v>3916666.666666666</v>
      </c>
      <c r="AE32" s="157">
        <f>SUM($U43:AE43)</f>
        <v>4458333.333333333</v>
      </c>
      <c r="AF32" s="157">
        <f>SUM($U43:AF43)</f>
        <v>5000000</v>
      </c>
    </row>
    <row r="33" spans="11:32" x14ac:dyDescent="0.25">
      <c r="K33" s="199" t="s">
        <v>154</v>
      </c>
      <c r="L33" s="145">
        <f>L32-L$30</f>
        <v>0.18123072812711194</v>
      </c>
      <c r="M33" s="145">
        <f t="shared" ref="M33:P33" si="6">M32-M$30</f>
        <v>-2.2726974475677619E-2</v>
      </c>
      <c r="N33" s="145">
        <f t="shared" si="6"/>
        <v>-6.9364713904384007E-2</v>
      </c>
      <c r="O33" s="145">
        <f t="shared" si="6"/>
        <v>-8.4924054187521469E-2</v>
      </c>
      <c r="P33" s="145">
        <f t="shared" si="6"/>
        <v>-5.502134753779947E-2</v>
      </c>
      <c r="T33" s="112" t="s">
        <v>111</v>
      </c>
      <c r="U33" s="157">
        <f>U44</f>
        <v>15000</v>
      </c>
      <c r="V33" s="157">
        <f>SUM($U44:V44)</f>
        <v>45000</v>
      </c>
      <c r="W33" s="157">
        <f>SUM($U44:W44)</f>
        <v>125000</v>
      </c>
      <c r="X33" s="157">
        <f>SUM($U44:X44)</f>
        <v>555555.5555555555</v>
      </c>
      <c r="Y33" s="157">
        <f>SUM($U44:Y44)</f>
        <v>986111.11111111101</v>
      </c>
      <c r="Z33" s="157">
        <f>SUM($U44:Z44)</f>
        <v>1416666.6666666665</v>
      </c>
      <c r="AA33" s="157">
        <f>SUM($U44:AA44)</f>
        <v>1847222.222222222</v>
      </c>
      <c r="AB33" s="157">
        <f>SUM($U44:AB44)</f>
        <v>2277777.7777777775</v>
      </c>
      <c r="AC33" s="157">
        <f>SUM($U44:AC44)</f>
        <v>2708333.333333333</v>
      </c>
      <c r="AD33" s="157">
        <f>SUM($U44:AD44)</f>
        <v>3138888.8888888885</v>
      </c>
      <c r="AE33" s="157">
        <f>SUM($U44:AE44)</f>
        <v>3569444.444444444</v>
      </c>
      <c r="AF33" s="157">
        <f>SUM($U44:AF44)</f>
        <v>3999999.9999999995</v>
      </c>
    </row>
    <row r="34" spans="11:32" x14ac:dyDescent="0.25">
      <c r="K34" s="150" t="s">
        <v>164</v>
      </c>
      <c r="L34" s="145">
        <f t="shared" ref="L34:O34" si="7">L10/L22</f>
        <v>0.48123072812711193</v>
      </c>
      <c r="M34" s="145">
        <f t="shared" si="7"/>
        <v>0.27727302552432237</v>
      </c>
      <c r="N34" s="145">
        <f t="shared" si="7"/>
        <v>0.23063528609561598</v>
      </c>
      <c r="O34" s="145">
        <f t="shared" si="7"/>
        <v>0.21507594581247852</v>
      </c>
      <c r="P34" s="145">
        <f t="shared" si="5"/>
        <v>0.24497865246220052</v>
      </c>
      <c r="T34" s="112" t="s">
        <v>4</v>
      </c>
      <c r="U34" s="157">
        <f>U45</f>
        <v>15000</v>
      </c>
      <c r="V34" s="157">
        <f>RevCumulativeSpreadTable61844[[#This Row],[July]]+V45</f>
        <v>45000</v>
      </c>
      <c r="W34" s="157">
        <f>RevCumulativeSpreadTable61844[[#This Row],[August]]+W45</f>
        <v>125000</v>
      </c>
      <c r="X34" s="157">
        <f>RevCumulativeSpreadTable61844[[#This Row],[September]]+X45</f>
        <v>366666.66666666663</v>
      </c>
      <c r="Y34" s="157">
        <f>RevCumulativeSpreadTable61844[[#This Row],[October]]+Y45</f>
        <v>608333.33333333326</v>
      </c>
      <c r="Z34" s="157">
        <f>RevCumulativeSpreadTable61844[[#This Row],[November]]+Z45</f>
        <v>849999.99999999988</v>
      </c>
      <c r="AA34" s="157">
        <f>RevCumulativeSpreadTable61844[[#This Row],[December]]+AA45</f>
        <v>1091666.6666666665</v>
      </c>
      <c r="AB34" s="157">
        <f>RevCumulativeSpreadTable61844[[#This Row],[January]]+AB45</f>
        <v>1333333.3333333333</v>
      </c>
      <c r="AC34" s="157">
        <f>RevCumulativeSpreadTable61844[[#This Row],[February]]+AC45</f>
        <v>1575000</v>
      </c>
      <c r="AD34" s="157">
        <f>RevCumulativeSpreadTable61844[[#This Row],[March]]+AD45</f>
        <v>1816666.6666666667</v>
      </c>
      <c r="AE34" s="157">
        <f>RevCumulativeSpreadTable61844[[#This Row],[April]]+AE45</f>
        <v>2058333.3333333335</v>
      </c>
      <c r="AF34" s="157">
        <f>RevCumulativeSpreadTable61844[[#This Row],[May]]+AF45</f>
        <v>2300000</v>
      </c>
    </row>
    <row r="35" spans="11:32" x14ac:dyDescent="0.25">
      <c r="K35" s="199" t="s">
        <v>154</v>
      </c>
      <c r="L35" s="145">
        <f t="shared" ref="L35:P35" si="8">L34-L$30</f>
        <v>0.18123072812711194</v>
      </c>
      <c r="M35" s="145">
        <f t="shared" si="8"/>
        <v>-2.2726974475677619E-2</v>
      </c>
      <c r="N35" s="145">
        <f t="shared" si="8"/>
        <v>-6.9364713904384007E-2</v>
      </c>
      <c r="O35" s="145">
        <f t="shared" si="8"/>
        <v>-8.4924054187521469E-2</v>
      </c>
      <c r="P35" s="145">
        <f t="shared" si="8"/>
        <v>-5.502134753779947E-2</v>
      </c>
    </row>
    <row r="36" spans="11:32" x14ac:dyDescent="0.25">
      <c r="K36" s="150" t="s">
        <v>165</v>
      </c>
      <c r="L36" s="145">
        <f t="shared" ref="L36:O36" si="9">L12/L24</f>
        <v>0.48123072812711193</v>
      </c>
      <c r="M36" s="145">
        <f t="shared" si="9"/>
        <v>0.27727302552432237</v>
      </c>
      <c r="N36" s="145">
        <f t="shared" si="9"/>
        <v>0.23063528609561598</v>
      </c>
      <c r="O36" s="145">
        <f t="shared" si="9"/>
        <v>0.21507594581247852</v>
      </c>
      <c r="P36" s="145">
        <f t="shared" si="5"/>
        <v>0.24497865246220052</v>
      </c>
      <c r="T36" s="13" t="s">
        <v>113</v>
      </c>
      <c r="W36" s="13"/>
    </row>
    <row r="37" spans="11:32" x14ac:dyDescent="0.25">
      <c r="K37" s="199" t="s">
        <v>154</v>
      </c>
      <c r="L37" s="145">
        <f t="shared" ref="L37:P37" si="10">L36-L$30</f>
        <v>0.18123072812711194</v>
      </c>
      <c r="M37" s="145">
        <f t="shared" si="10"/>
        <v>-2.2726974475677619E-2</v>
      </c>
      <c r="N37" s="145">
        <f t="shared" si="10"/>
        <v>-6.9364713904384007E-2</v>
      </c>
      <c r="O37" s="145">
        <f t="shared" si="10"/>
        <v>-8.4924054187521469E-2</v>
      </c>
      <c r="P37" s="145">
        <f t="shared" si="10"/>
        <v>-5.502134753779947E-2</v>
      </c>
      <c r="T37" s="13" t="s">
        <v>94</v>
      </c>
      <c r="U37" s="118" t="s">
        <v>95</v>
      </c>
      <c r="V37" s="118" t="s">
        <v>96</v>
      </c>
      <c r="W37" s="118" t="s">
        <v>97</v>
      </c>
      <c r="X37" s="118" t="s">
        <v>98</v>
      </c>
      <c r="Y37" s="118" t="s">
        <v>99</v>
      </c>
      <c r="Z37" s="118" t="s">
        <v>100</v>
      </c>
      <c r="AA37" s="118" t="s">
        <v>101</v>
      </c>
      <c r="AB37" s="118" t="s">
        <v>102</v>
      </c>
      <c r="AC37" s="118" t="s">
        <v>103</v>
      </c>
      <c r="AD37" s="118" t="s">
        <v>104</v>
      </c>
      <c r="AE37" s="118" t="s">
        <v>105</v>
      </c>
      <c r="AF37" s="118" t="s">
        <v>106</v>
      </c>
    </row>
    <row r="38" spans="11:32" x14ac:dyDescent="0.25">
      <c r="K38" s="150" t="s">
        <v>166</v>
      </c>
      <c r="L38" s="145">
        <f t="shared" ref="L38:O38" ca="1" si="11">L14/L26</f>
        <v>0.48123072812711193</v>
      </c>
      <c r="M38" s="145">
        <f t="shared" ca="1" si="11"/>
        <v>0.27727302552432237</v>
      </c>
      <c r="N38" s="145">
        <f t="shared" ca="1" si="11"/>
        <v>0.23063528609561598</v>
      </c>
      <c r="O38" s="145">
        <f t="shared" ca="1" si="11"/>
        <v>0.21507594581247852</v>
      </c>
      <c r="P38" s="145">
        <f t="shared" ca="1" si="5"/>
        <v>0.24497865246220052</v>
      </c>
      <c r="T38" s="112" t="s">
        <v>148</v>
      </c>
      <c r="U38" s="112">
        <f>SUMIF(Job_Status[VAT],"DISR",Job_Status[R1])</f>
        <v>15197.5</v>
      </c>
      <c r="V38" s="112">
        <f>SUMIF(Job_Status[VAT],"DISR",Job_Status[R2])</f>
        <v>30950</v>
      </c>
      <c r="W38" s="112">
        <f>SUMIF(Job_Status[VAT],"DISR",Job_Status[R3])</f>
        <v>81110.5</v>
      </c>
      <c r="X38" s="112">
        <f>SUMIF(Job_Status[VAT],"DISR",Job_Status[R4])</f>
        <v>263817.4375</v>
      </c>
      <c r="Y38" s="112">
        <f>SUMIF(Job_Status[VAT],"DISR",Job_Status[R5])</f>
        <v>370011.77499999991</v>
      </c>
      <c r="Z38" s="112">
        <f>SUMIF(Job_Status[VAT],"DISR",Job_Status[R6])</f>
        <v>380224.64999999979</v>
      </c>
      <c r="AA38" s="112">
        <f>SUMIF(Job_Status[VAT],"DISR",Job_Status[R7])</f>
        <v>484468.97</v>
      </c>
      <c r="AB38" s="112">
        <f>SUMIF(Job_Status[VAT],"DISR",Job_Status[R8])</f>
        <v>614337.91728050297</v>
      </c>
      <c r="AC38" s="112">
        <f>SUMIF(Job_Status[VAT],"DISR",Job_Status[R9])</f>
        <v>668777.17054387135</v>
      </c>
      <c r="AD38" s="112">
        <f>SUMIF(Job_Status[VAT],"DISR",Job_Status[R10])</f>
        <v>388652.1491230391</v>
      </c>
      <c r="AE38" s="112">
        <f>SUMIF(Job_Status[VAT],"DISR",Job_Status[R11])</f>
        <v>400586.27578168048</v>
      </c>
      <c r="AF38" s="112">
        <f>SUMIF(Job_Status[VAT],"DISR",Job_Status[R12])</f>
        <v>463494.14874894207</v>
      </c>
    </row>
    <row r="39" spans="11:32" x14ac:dyDescent="0.25">
      <c r="K39" s="200" t="s">
        <v>154</v>
      </c>
      <c r="L39" s="145">
        <f t="shared" ref="L39:P39" ca="1" si="12">L38-L$30</f>
        <v>0.18123072812711194</v>
      </c>
      <c r="M39" s="145">
        <f t="shared" ca="1" si="12"/>
        <v>-2.2726974475677619E-2</v>
      </c>
      <c r="N39" s="145">
        <f t="shared" ca="1" si="12"/>
        <v>-6.9364713904384007E-2</v>
      </c>
      <c r="O39" s="145">
        <f t="shared" ca="1" si="12"/>
        <v>-8.4924054187521469E-2</v>
      </c>
      <c r="P39" s="145">
        <f t="shared" ca="1" si="12"/>
        <v>-5.502134753779947E-2</v>
      </c>
      <c r="T39" s="112" t="s">
        <v>77</v>
      </c>
      <c r="U39" s="112">
        <f>SUMIFS(OppSpreadData[July],OppSpreadData[VAT],"DISR",OppSpreadData[Phase],RevSpreadTable51743[[#This Row],[STATUS]])</f>
        <v>0</v>
      </c>
      <c r="V39" s="112">
        <f>SUMIFS(OppSpreadData[August],OppSpreadData[VAT],"DISR",OppSpreadData[Phase],RevSpreadTable51743[[#This Row],[STATUS]])</f>
        <v>0</v>
      </c>
      <c r="W39" s="112">
        <f>SUMIFS(OppSpreadData[September],OppSpreadData[VAT],"DISR",OppSpreadData[Phase],RevSpreadTable51743[[#This Row],[STATUS]])</f>
        <v>0</v>
      </c>
      <c r="X39" s="112">
        <f>SUMIFS(OppSpreadData[October],OppSpreadData[VAT],"DISR",OppSpreadData[Phase],RevSpreadTable51743[[#This Row],[STATUS]])</f>
        <v>0</v>
      </c>
      <c r="Y39" s="112">
        <f>SUMIFS(OppSpreadData[November],OppSpreadData[VAT],"DISR",OppSpreadData[Phase],RevSpreadTable51743[[#This Row],[STATUS]])</f>
        <v>0</v>
      </c>
      <c r="Z39" s="112">
        <f>SUMIFS(OppSpreadData[December],OppSpreadData[VAT],"DISR",OppSpreadData[Phase],RevSpreadTable51743[[#This Row],[STATUS]])</f>
        <v>0</v>
      </c>
      <c r="AA39" s="112">
        <f>SUMIFS(OppSpreadData[January],OppSpreadData[VAT],"DISR",OppSpreadData[Phase],RevSpreadTable51743[[#This Row],[STATUS]])</f>
        <v>0</v>
      </c>
      <c r="AB39" s="112">
        <f>SUMIFS(OppSpreadData[February],OppSpreadData[VAT],"DISR",OppSpreadData[Phase],RevSpreadTable51743[[#This Row],[STATUS]])</f>
        <v>0</v>
      </c>
      <c r="AC39" s="112">
        <f>SUMIFS(OppSpreadData[March],OppSpreadData[VAT],"DISR",OppSpreadData[Phase],RevSpreadTable51743[[#This Row],[STATUS]])</f>
        <v>0</v>
      </c>
      <c r="AD39" s="112">
        <f>SUMIFS(OppSpreadData[April],OppSpreadData[VAT],"DISR",OppSpreadData[Phase],RevSpreadTable51743[[#This Row],[STATUS]])</f>
        <v>0</v>
      </c>
      <c r="AE39" s="112">
        <f>SUMIFS(OppSpreadData[May],OppSpreadData[VAT],"DISR",OppSpreadData[Phase],RevSpreadTable51743[[#This Row],[STATUS]])</f>
        <v>0</v>
      </c>
      <c r="AF39" s="112">
        <f>SUMIFS(OppSpreadData[June],OppSpreadData[VAT],"DISR",OppSpreadData[Phase],RevSpreadTable51743[[#This Row],[STATUS]])</f>
        <v>0</v>
      </c>
    </row>
    <row r="40" spans="11:32" x14ac:dyDescent="0.25">
      <c r="T40" s="112" t="s">
        <v>76</v>
      </c>
      <c r="U40" s="112">
        <f>SUMIFS(OppSpreadData[July],OppSpreadData[VAT],"DISR",OppSpreadData[Phase],RevSpreadTable51743[[#This Row],[STATUS]])</f>
        <v>0</v>
      </c>
      <c r="V40" s="112">
        <f>SUMIFS(OppSpreadData[August],OppSpreadData[VAT],"DISR",OppSpreadData[Phase],RevSpreadTable51743[[#This Row],[STATUS]])</f>
        <v>0</v>
      </c>
      <c r="W40" s="112">
        <f>SUMIFS(OppSpreadData[September],OppSpreadData[VAT],"DISR",OppSpreadData[Phase],RevSpreadTable51743[[#This Row],[STATUS]])</f>
        <v>0</v>
      </c>
      <c r="X40" s="112">
        <f>SUMIFS(OppSpreadData[October],OppSpreadData[VAT],"DISR",OppSpreadData[Phase],RevSpreadTable51743[[#This Row],[STATUS]])</f>
        <v>0</v>
      </c>
      <c r="Y40" s="112">
        <f>SUMIFS(OppSpreadData[November],OppSpreadData[VAT],"DISR",OppSpreadData[Phase],RevSpreadTable51743[[#This Row],[STATUS]])</f>
        <v>0</v>
      </c>
      <c r="Z40" s="112">
        <f>SUMIFS(OppSpreadData[December],OppSpreadData[VAT],"DISR",OppSpreadData[Phase],RevSpreadTable51743[[#This Row],[STATUS]])</f>
        <v>0</v>
      </c>
      <c r="AA40" s="112">
        <f>SUMIFS(OppSpreadData[January],OppSpreadData[VAT],"DISR",OppSpreadData[Phase],RevSpreadTable51743[[#This Row],[STATUS]])</f>
        <v>0</v>
      </c>
      <c r="AB40" s="112">
        <f>SUMIFS(OppSpreadData[February],OppSpreadData[VAT],"DISR",OppSpreadData[Phase],RevSpreadTable51743[[#This Row],[STATUS]])</f>
        <v>0</v>
      </c>
      <c r="AC40" s="112">
        <f>SUMIFS(OppSpreadData[March],OppSpreadData[VAT],"DISR",OppSpreadData[Phase],RevSpreadTable51743[[#This Row],[STATUS]])</f>
        <v>0</v>
      </c>
      <c r="AD40" s="112">
        <f>SUMIFS(OppSpreadData[April],OppSpreadData[VAT],"DISR",OppSpreadData[Phase],RevSpreadTable51743[[#This Row],[STATUS]])</f>
        <v>0</v>
      </c>
      <c r="AE40" s="112">
        <f>SUMIFS(OppSpreadData[May],OppSpreadData[VAT],"DISR",OppSpreadData[Phase],RevSpreadTable51743[[#This Row],[STATUS]])</f>
        <v>0</v>
      </c>
      <c r="AF40" s="112">
        <f>SUMIFS(OppSpreadData[June],OppSpreadData[VAT],"DISR",OppSpreadData[Phase],RevSpreadTable51743[[#This Row],[STATUS]])</f>
        <v>0</v>
      </c>
    </row>
    <row r="41" spans="11:32" x14ac:dyDescent="0.25">
      <c r="L41" s="276" t="s">
        <v>15</v>
      </c>
      <c r="M41" s="288"/>
      <c r="N41" s="276" t="s">
        <v>167</v>
      </c>
      <c r="O41" s="288"/>
      <c r="P41" s="275" t="s">
        <v>3</v>
      </c>
      <c r="Q41" s="276"/>
      <c r="T41" s="112" t="s">
        <v>75</v>
      </c>
      <c r="U41" s="112" cm="1">
        <f t="array" aca="1" ref="U41" ca="1">SUM(
_xlfn._xlws.FILTER(
_xlfn.DROP(_xlfn.CHOOSECOLS(QBlockRev,4),1),
_xlfn.DROP(_xlfn.CHOOSECOLS(QBlockRev,3),1)="DISR", 0
))</f>
        <v>0</v>
      </c>
      <c r="V41" s="112" cm="1">
        <f t="array" aca="1" ref="V41" ca="1">SUM(
  _xlfn._xlws.FILTER(
    _xlfn.DROP(_xlfn.CHOOSECOLS(QBlockRev,5),1),
    _xlfn.DROP(_xlfn.CHOOSECOLS(QBlockRev,3),1)="DISR", 0
  )
)</f>
        <v>0</v>
      </c>
      <c r="W41" s="112" cm="1">
        <f t="array" aca="1" ref="W41" ca="1">SUM(
  _xlfn._xlws.FILTER(
    _xlfn.DROP(_xlfn.CHOOSECOLS(QBlockRev,6),1),
    _xlfn.DROP(_xlfn.CHOOSECOLS(QBlockRev,3),1)="DISR", 0
  )
)</f>
        <v>0</v>
      </c>
      <c r="X41" s="112" cm="1">
        <f t="array" aca="1" ref="X41" ca="1">SUM(
  _xlfn._xlws.FILTER(
    _xlfn.DROP(_xlfn.CHOOSECOLS(QBlockRev,7),1),
    _xlfn.DROP(_xlfn.CHOOSECOLS(QBlockRev,3),1)="DISR", 0
  )
)</f>
        <v>0</v>
      </c>
      <c r="Y41" s="112" cm="1">
        <f t="array" aca="1" ref="Y41" ca="1">SUM(
  _xlfn._xlws.FILTER(
    _xlfn.DROP(_xlfn.CHOOSECOLS(QBlockRev,8),1),
    _xlfn.DROP(_xlfn.CHOOSECOLS(QBlockRev,3),1)="DISR", 0
  )
)</f>
        <v>0</v>
      </c>
      <c r="Z41" s="112" cm="1">
        <f t="array" aca="1" ref="Z41" ca="1">SUM(
  _xlfn._xlws.FILTER(
    _xlfn.DROP(_xlfn.CHOOSECOLS(QBlockRev,9),1),
    _xlfn.DROP(_xlfn.CHOOSECOLS(QBlockRev,3),1)="DISR", 0
  )
)</f>
        <v>0</v>
      </c>
      <c r="AA41" s="112" cm="1">
        <f t="array" aca="1" ref="AA41" ca="1">SUM(
  _xlfn._xlws.FILTER(
    _xlfn.DROP(_xlfn.CHOOSECOLS(QBlockRev,10),1),
    _xlfn.DROP(_xlfn.CHOOSECOLS(QBlockRev,3),1)="DISR", 0
  )
)</f>
        <v>0</v>
      </c>
      <c r="AB41" s="112" cm="1">
        <f t="array" aca="1" ref="AB41" ca="1">SUM(
  _xlfn._xlws.FILTER(
    _xlfn.DROP(_xlfn.CHOOSECOLS(QBlockRev,11),1),
    _xlfn.DROP(_xlfn.CHOOSECOLS(QBlockRev,3),1)="DISR", 0
  )
)</f>
        <v>0</v>
      </c>
      <c r="AC41" s="112" cm="1">
        <f t="array" aca="1" ref="AC41" ca="1">SUM(
  _xlfn._xlws.FILTER(
    _xlfn.DROP(_xlfn.CHOOSECOLS(QBlockRev,12),1),
    _xlfn.DROP(_xlfn.CHOOSECOLS(QBlockRev,3),1)="DISR", 0
  )
)</f>
        <v>0</v>
      </c>
      <c r="AD41" s="112" cm="1">
        <f t="array" aca="1" ref="AD41" ca="1">SUM(
  _xlfn._xlws.FILTER(
    _xlfn.DROP(_xlfn.CHOOSECOLS(QBlockRev,13),1),
    _xlfn.DROP(_xlfn.CHOOSECOLS(QBlockRev,3),1)="DISR", 0
  )
)</f>
        <v>0</v>
      </c>
      <c r="AE41" s="112" cm="1">
        <f t="array" aca="1" ref="AE41" ca="1">SUM(
  _xlfn._xlws.FILTER(
    _xlfn.DROP(_xlfn.CHOOSECOLS(QBlockRev,14),1),
    _xlfn.DROP(_xlfn.CHOOSECOLS(QBlockRev,3),1)="DISR", 0
  )
)</f>
        <v>0</v>
      </c>
      <c r="AF41" s="112" cm="1">
        <f t="array" aca="1" ref="AF41" ca="1">SUM(
  _xlfn._xlws.FILTER(
    _xlfn.DROP(_xlfn.CHOOSECOLS(QBlockRev,15),1),
    _xlfn.DROP(_xlfn.CHOOSECOLS(QBlockRev,3),1)="DISR", 0
  )
)</f>
        <v>0</v>
      </c>
    </row>
    <row r="42" spans="11:32" x14ac:dyDescent="0.25">
      <c r="K42" s="124" t="s">
        <v>168</v>
      </c>
      <c r="L42" s="125" t="s">
        <v>8</v>
      </c>
      <c r="M42" s="126" t="s">
        <v>169</v>
      </c>
      <c r="N42" s="125" t="s">
        <v>170</v>
      </c>
      <c r="O42" s="126" t="s">
        <v>171</v>
      </c>
      <c r="P42" s="125" t="s">
        <v>172</v>
      </c>
      <c r="Q42" s="126" t="s">
        <v>173</v>
      </c>
      <c r="T42" s="112" t="s">
        <v>152</v>
      </c>
      <c r="U42" s="260"/>
      <c r="V42" s="260"/>
      <c r="W42" s="260"/>
      <c r="X42" s="260"/>
      <c r="Y42" s="260"/>
      <c r="Z42" s="260"/>
      <c r="AA42" s="260"/>
      <c r="AB42" s="260"/>
      <c r="AC42" s="260"/>
      <c r="AD42" s="260"/>
      <c r="AE42" s="260"/>
      <c r="AF42" s="260"/>
    </row>
    <row r="43" spans="11:32" x14ac:dyDescent="0.25">
      <c r="K43" s="137" t="s">
        <v>31</v>
      </c>
      <c r="L43" s="138">
        <f>SUMIFS(Job_Status[To Date Gross Profit],Job_Status[Work Type],K43,Job_Status[VAT],"DISR")</f>
        <v>0</v>
      </c>
      <c r="M43" s="139">
        <f>SUMIFS(Job_Status[GP at completion],Job_Status[Work Type],K43,Job_Status[VAT],"DISR")</f>
        <v>0</v>
      </c>
      <c r="N43" s="140" t="str">
        <f>IFERROR(L43/P43,"")</f>
        <v/>
      </c>
      <c r="O43" s="140" t="str">
        <f>IFERROR(M43/Q43,"")</f>
        <v/>
      </c>
      <c r="P43" s="138">
        <f>SUMIFS(Job_Status[Actual], Job_Status[Work Type],K43,Job_Status[VAT],"DISR")</f>
        <v>0</v>
      </c>
      <c r="Q43" s="138">
        <f>SUMIFS(Job_Status[Forecasted Revenue], Job_Status[Work Type],K43,Job_Status[VAT],"DISR")</f>
        <v>0</v>
      </c>
      <c r="T43" s="112" t="s">
        <v>110</v>
      </c>
      <c r="U43" s="157">
        <v>15000</v>
      </c>
      <c r="V43" s="157">
        <v>30000</v>
      </c>
      <c r="W43" s="157">
        <v>80000</v>
      </c>
      <c r="X43" s="157">
        <f>4875000/9</f>
        <v>541666.66666666663</v>
      </c>
      <c r="Y43" s="157">
        <f t="shared" ref="Y43:AF43" si="13">4875000/9</f>
        <v>541666.66666666663</v>
      </c>
      <c r="Z43" s="157">
        <f t="shared" si="13"/>
        <v>541666.66666666663</v>
      </c>
      <c r="AA43" s="157">
        <f t="shared" si="13"/>
        <v>541666.66666666663</v>
      </c>
      <c r="AB43" s="157">
        <f t="shared" si="13"/>
        <v>541666.66666666663</v>
      </c>
      <c r="AC43" s="157">
        <f t="shared" si="13"/>
        <v>541666.66666666663</v>
      </c>
      <c r="AD43" s="157">
        <f t="shared" si="13"/>
        <v>541666.66666666663</v>
      </c>
      <c r="AE43" s="157">
        <f t="shared" si="13"/>
        <v>541666.66666666663</v>
      </c>
      <c r="AF43" s="157">
        <f t="shared" si="13"/>
        <v>541666.66666666663</v>
      </c>
    </row>
    <row r="44" spans="11:32" x14ac:dyDescent="0.25">
      <c r="K44" s="137" t="s">
        <v>34</v>
      </c>
      <c r="L44" s="138">
        <f>SUMIFS(Job_Status[To Date Gross Profit],Job_Status[Work Type],K44,Job_Status[VAT],"DISR")</f>
        <v>480114.13000000187</v>
      </c>
      <c r="M44" s="139">
        <f>SUMIFS(Job_Status[GP at completion],Job_Status[Work Type],K44,Job_Status[VAT],"DISR")</f>
        <v>1217245.1365249977</v>
      </c>
      <c r="N44" s="140">
        <f t="shared" ref="N44:O46" si="14">IFERROR(L44/P44,"")</f>
        <v>0.27770055071066341</v>
      </c>
      <c r="O44" s="140">
        <f t="shared" si="14"/>
        <v>0.27922542805096473</v>
      </c>
      <c r="P44" s="138">
        <f>SUMIFS(Job_Status[Actual], Job_Status[Work Type],K44,Job_Status[VAT],"DISR")</f>
        <v>1728891.5300000017</v>
      </c>
      <c r="Q44" s="138">
        <f>SUMIFS(Job_Status[Forecasted Revenue], Job_Status[Work Type],K44,Job_Status[VAT],"DISR")</f>
        <v>4359363.49</v>
      </c>
      <c r="T44" s="112" t="s">
        <v>111</v>
      </c>
      <c r="U44" s="157">
        <v>15000</v>
      </c>
      <c r="V44" s="157">
        <v>30000</v>
      </c>
      <c r="W44" s="157">
        <v>80000</v>
      </c>
      <c r="X44" s="157">
        <f>3875000/9</f>
        <v>430555.55555555556</v>
      </c>
      <c r="Y44" s="157">
        <f t="shared" ref="Y44:AF44" si="15">3875000/9</f>
        <v>430555.55555555556</v>
      </c>
      <c r="Z44" s="157">
        <f t="shared" si="15"/>
        <v>430555.55555555556</v>
      </c>
      <c r="AA44" s="157">
        <f t="shared" si="15"/>
        <v>430555.55555555556</v>
      </c>
      <c r="AB44" s="157">
        <f t="shared" si="15"/>
        <v>430555.55555555556</v>
      </c>
      <c r="AC44" s="157">
        <f t="shared" si="15"/>
        <v>430555.55555555556</v>
      </c>
      <c r="AD44" s="157">
        <f t="shared" si="15"/>
        <v>430555.55555555556</v>
      </c>
      <c r="AE44" s="157">
        <f t="shared" si="15"/>
        <v>430555.55555555556</v>
      </c>
      <c r="AF44" s="157">
        <f t="shared" si="15"/>
        <v>430555.55555555556</v>
      </c>
    </row>
    <row r="45" spans="11:32" x14ac:dyDescent="0.25">
      <c r="K45" s="137" t="s">
        <v>35</v>
      </c>
      <c r="L45" s="138">
        <f>SUMIFS(Job_Status[To Date Gross Profit],Job_Status[Work Type],K45,Job_Status[VAT],"DISR")</f>
        <v>0</v>
      </c>
      <c r="M45" s="139">
        <f>SUMIFS(Job_Status[GP at completion],Job_Status[Work Type],K45,Job_Status[VAT],"DISR")</f>
        <v>0</v>
      </c>
      <c r="N45" s="140" t="str">
        <f t="shared" si="14"/>
        <v/>
      </c>
      <c r="O45" s="140" t="str">
        <f t="shared" si="14"/>
        <v/>
      </c>
      <c r="P45" s="138">
        <f>SUMIFS(Job_Status[Actual], Job_Status[Work Type],K45,Job_Status[VAT],"DISR")</f>
        <v>0</v>
      </c>
      <c r="Q45" s="138">
        <f>SUMIFS(Job_Status[Forecasted Revenue], Job_Status[Work Type],K45,Job_Status[VAT],"DISR")</f>
        <v>0</v>
      </c>
      <c r="T45" s="112" t="s">
        <v>4</v>
      </c>
      <c r="U45" s="157">
        <v>15000</v>
      </c>
      <c r="V45" s="157">
        <v>30000</v>
      </c>
      <c r="W45" s="157">
        <v>80000</v>
      </c>
      <c r="X45" s="157">
        <f>2175000/9</f>
        <v>241666.66666666666</v>
      </c>
      <c r="Y45" s="157">
        <f t="shared" ref="Y45:AF45" si="16">2175000/9</f>
        <v>241666.66666666666</v>
      </c>
      <c r="Z45" s="157">
        <f t="shared" si="16"/>
        <v>241666.66666666666</v>
      </c>
      <c r="AA45" s="157">
        <f t="shared" si="16"/>
        <v>241666.66666666666</v>
      </c>
      <c r="AB45" s="157">
        <f t="shared" si="16"/>
        <v>241666.66666666666</v>
      </c>
      <c r="AC45" s="157">
        <f t="shared" si="16"/>
        <v>241666.66666666666</v>
      </c>
      <c r="AD45" s="157">
        <f t="shared" si="16"/>
        <v>241666.66666666666</v>
      </c>
      <c r="AE45" s="157">
        <f t="shared" si="16"/>
        <v>241666.66666666666</v>
      </c>
      <c r="AF45" s="157">
        <f t="shared" si="16"/>
        <v>241666.66666666666</v>
      </c>
    </row>
    <row r="46" spans="11:32" x14ac:dyDescent="0.25">
      <c r="K46" s="141" t="s">
        <v>39</v>
      </c>
      <c r="L46" s="142">
        <f>SUMIFS(Job_Status[To Date Gross Profit],Job_Status[Work Type],K46,Job_Status[VAT],"DISR")</f>
        <v>0</v>
      </c>
      <c r="M46" s="143">
        <f>SUMIFS(Job_Status[GP at completion],Job_Status[Work Type],K46,Job_Status[VAT],"DISR")</f>
        <v>0</v>
      </c>
      <c r="N46" s="144" t="str">
        <f t="shared" si="14"/>
        <v/>
      </c>
      <c r="O46" s="144" t="str">
        <f t="shared" si="14"/>
        <v/>
      </c>
      <c r="P46" s="142">
        <f>SUMIFS(Job_Status[Actual], Job_Status[Work Type],K46,Job_Status[VAT],"DISR")</f>
        <v>0</v>
      </c>
      <c r="Q46" s="142">
        <f>SUMIFS(Job_Status[Forecasted Revenue], Job_Status[Work Type],K46,Job_Status[VAT],"DISR")</f>
        <v>0</v>
      </c>
    </row>
    <row r="47" spans="11:32" ht="15.75" thickBot="1" x14ac:dyDescent="0.3">
      <c r="K47" s="127" t="s">
        <v>174</v>
      </c>
      <c r="L47" s="128">
        <f>SUBTOTAL(109,Table142147[Earned to Date])</f>
        <v>480114.13000000187</v>
      </c>
      <c r="M47" s="129">
        <f>SUBTOTAL(109,Table142147[@Completion])</f>
        <v>1217245.1365249977</v>
      </c>
      <c r="N47" s="130">
        <f>Table142147[[#Totals],[Earned to Date]]/Table142147[[#Totals],[Earned to Date  ]]</f>
        <v>0.27770055071066341</v>
      </c>
      <c r="O47" s="130">
        <f>Table142147[[#Totals],[@Completion]]/Table142147[[#Totals],[@ Completion  ]]</f>
        <v>0.27922542805096473</v>
      </c>
      <c r="P47" s="128">
        <f>SUBTOTAL(109,Table142147[[Earned to Date  ]])</f>
        <v>1728891.5300000017</v>
      </c>
      <c r="Q47" s="131">
        <f>SUBTOTAL(109,Table142147[@ Completion  ])</f>
        <v>4359363.49</v>
      </c>
    </row>
    <row r="48" spans="11:32" ht="15.75" thickTop="1" x14ac:dyDescent="0.25">
      <c r="K48" s="13" t="s">
        <v>187</v>
      </c>
      <c r="M48" s="132" cm="1">
        <f t="array" ref="M48">INDEX('FY2526 VAT Financial KPIs'!$F:$F, MATCH(1, ('FY2526 VAT Financial KPIs'!$A:$A="DISR")*('FY2526 VAT Financial KPIs'!$D:$D="Gross Margin Contribution"), 0))</f>
        <v>1200000</v>
      </c>
      <c r="N48" s="133" cm="1">
        <f t="array" ref="N48">INDEX('FY2526 VAT Financial KPIs'!$F:$F, MATCH(1, ('FY2526 VAT Financial KPIs'!$A:$A="DISR")*('FY2526 VAT Financial KPIs'!$D:$D="Gross Margin Contribution %"), 0))</f>
        <v>0.3</v>
      </c>
      <c r="O48" s="133" cm="1">
        <f t="array" ref="O48">INDEX('FY2526 VAT Financial KPIs'!$F:$F, MATCH(1, ('FY2526 VAT Financial KPIs'!$A:$A="DISR")*('FY2526 VAT Financial KPIs'!$D:$D="Gross Margin Contribution %"), 0))</f>
        <v>0.3</v>
      </c>
      <c r="Q48" s="132" cm="1">
        <f t="array" ref="Q48">INDEX('FY2526 VAT Financial KPIs'!$F:$F, MATCH(1, ('FY2526 VAT Financial KPIs'!$A:$A="DISR")*('FY2526 VAT Financial KPIs'!$D:$D="Revenue"), 0))</f>
        <v>4000000</v>
      </c>
    </row>
    <row r="50" spans="10:18" x14ac:dyDescent="0.25">
      <c r="J50" s="7" t="s">
        <v>29</v>
      </c>
      <c r="K50" t="s">
        <v>30</v>
      </c>
    </row>
    <row r="51" spans="10:18" x14ac:dyDescent="0.25">
      <c r="J51" s="7" t="s">
        <v>16</v>
      </c>
      <c r="K51" t="s">
        <v>20</v>
      </c>
      <c r="M51" s="13" t="s">
        <v>190</v>
      </c>
    </row>
    <row r="53" spans="10:18" x14ac:dyDescent="0.25">
      <c r="J53" s="7" t="s">
        <v>36</v>
      </c>
      <c r="K53" s="7" t="s">
        <v>37</v>
      </c>
      <c r="L53" s="7" t="s">
        <v>32</v>
      </c>
      <c r="M53" s="9" t="s">
        <v>121</v>
      </c>
      <c r="N53" s="9" t="s">
        <v>38</v>
      </c>
      <c r="O53" s="9" t="s">
        <v>122</v>
      </c>
      <c r="P53" s="9" t="s">
        <v>191</v>
      </c>
      <c r="Q53" s="8" t="s">
        <v>3</v>
      </c>
      <c r="R53" t="s">
        <v>15</v>
      </c>
    </row>
    <row r="54" spans="10:18" x14ac:dyDescent="0.25">
      <c r="J54" t="s">
        <v>66</v>
      </c>
      <c r="K54" t="s">
        <v>619</v>
      </c>
      <c r="L54" t="s">
        <v>34</v>
      </c>
      <c r="M54" s="148">
        <v>0.3</v>
      </c>
      <c r="N54" s="8" t="s">
        <v>5</v>
      </c>
      <c r="O54" s="153">
        <v>46076</v>
      </c>
      <c r="P54" s="153">
        <v>46203</v>
      </c>
      <c r="Q54" s="267">
        <v>444574.24</v>
      </c>
      <c r="R54" s="4">
        <v>133372.272</v>
      </c>
    </row>
    <row r="55" spans="10:18" x14ac:dyDescent="0.25">
      <c r="J55" t="s">
        <v>192</v>
      </c>
      <c r="K55" t="s">
        <v>217</v>
      </c>
      <c r="L55" t="s">
        <v>126</v>
      </c>
      <c r="M55" s="148" t="s">
        <v>126</v>
      </c>
      <c r="N55" s="8" t="s">
        <v>126</v>
      </c>
      <c r="O55" s="152" t="s">
        <v>126</v>
      </c>
      <c r="P55" s="152" t="s">
        <v>126</v>
      </c>
      <c r="Q55" s="267">
        <v>0</v>
      </c>
      <c r="R55" s="4">
        <v>0</v>
      </c>
    </row>
    <row r="56" spans="10:18" x14ac:dyDescent="0.25">
      <c r="K56" t="s">
        <v>620</v>
      </c>
      <c r="L56" t="s">
        <v>34</v>
      </c>
      <c r="M56" s="148" t="s">
        <v>126</v>
      </c>
      <c r="N56" s="8" t="s">
        <v>126</v>
      </c>
      <c r="O56" s="152" t="s">
        <v>126</v>
      </c>
      <c r="P56" s="152" t="s">
        <v>126</v>
      </c>
      <c r="Q56" s="267">
        <v>0</v>
      </c>
      <c r="R56" s="4">
        <v>0</v>
      </c>
    </row>
    <row r="57" spans="10:18" x14ac:dyDescent="0.25">
      <c r="J57" t="s">
        <v>85</v>
      </c>
      <c r="Q57" s="267">
        <v>444574.24</v>
      </c>
      <c r="R57" s="4">
        <v>133372.272</v>
      </c>
    </row>
  </sheetData>
  <mergeCells count="3">
    <mergeCell ref="L41:M41"/>
    <mergeCell ref="N41:O41"/>
    <mergeCell ref="P41:Q41"/>
  </mergeCells>
  <conditionalFormatting pivot="1" sqref="Q54:Q62">
    <cfRule type="cellIs" dxfId="768" priority="10" operator="equal">
      <formula>0</formula>
    </cfRule>
  </conditionalFormatting>
  <conditionalFormatting sqref="L1:P1 L50:P50 L41:P48 L5:P8 L18:P19 P9:P15 L30:P31 L52:P1048576 L51 N51:P51">
    <cfRule type="containsText" dxfId="767" priority="9" operator="containsText" text="(blank)">
      <formula>NOT(ISERROR(SEARCH("(blank)",L1)))</formula>
    </cfRule>
  </conditionalFormatting>
  <conditionalFormatting sqref="L29:P29">
    <cfRule type="containsText" dxfId="766" priority="8" operator="containsText" text="(blank)">
      <formula>NOT(ISERROR(SEARCH("(blank)",L29)))</formula>
    </cfRule>
  </conditionalFormatting>
  <conditionalFormatting sqref="L6:P15">
    <cfRule type="cellIs" dxfId="765" priority="7" operator="lessThan">
      <formula>0</formula>
    </cfRule>
  </conditionalFormatting>
  <conditionalFormatting sqref="L18:P27">
    <cfRule type="cellIs" dxfId="764" priority="6" operator="lessThan">
      <formula>0</formula>
    </cfRule>
  </conditionalFormatting>
  <conditionalFormatting sqref="L30:P39">
    <cfRule type="cellIs" dxfId="763" priority="5" operator="lessThan">
      <formula>0</formula>
    </cfRule>
  </conditionalFormatting>
  <conditionalFormatting sqref="L9:P9 L11:P11 L13:P13 L15:P15">
    <cfRule type="cellIs" dxfId="762" priority="4" operator="greaterThan">
      <formula>0</formula>
    </cfRule>
  </conditionalFormatting>
  <conditionalFormatting sqref="L21:P21 L23:P23 L25:P25 L27:P27">
    <cfRule type="cellIs" dxfId="761" priority="3" operator="greaterThan">
      <formula>0</formula>
    </cfRule>
  </conditionalFormatting>
  <conditionalFormatting sqref="L33:P33 L35:P35 L37:P37 L39:P39">
    <cfRule type="cellIs" dxfId="760" priority="2" operator="greaterThan">
      <formula>0</formula>
    </cfRule>
  </conditionalFormatting>
  <conditionalFormatting sqref="M51">
    <cfRule type="containsText" dxfId="759" priority="1" operator="containsText" text="(blank)">
      <formula>NOT(ISERROR(SEARCH("(blank)",M51)))</formula>
    </cfRule>
  </conditionalFormatting>
  <dataValidations count="2">
    <dataValidation type="list" allowBlank="1" showInputMessage="1" showErrorMessage="1" sqref="X36" xr:uid="{027F43A6-0B27-483E-B508-8B16F8ECFC64}">
      <formula1>"All, DAFF, SAU, VIC, GROWTH"</formula1>
    </dataValidation>
    <dataValidation type="list" allowBlank="1" showInputMessage="1" showErrorMessage="1" sqref="L3:N3" xr:uid="{B0E0C70F-3DD5-4564-A64D-B9BAB2986443}">
      <formula1>"TRUE, FALSE"</formula1>
    </dataValidation>
  </dataValidations>
  <pageMargins left="0.7" right="0.7" top="0.75" bottom="0.75" header="0.3" footer="0.3"/>
  <drawing r:id="rId2"/>
  <tableParts count="8">
    <tablePart r:id="rId3"/>
    <tablePart r:id="rId4"/>
    <tablePart r:id="rId5"/>
    <tablePart r:id="rId6"/>
    <tablePart r:id="rId7"/>
    <tablePart r:id="rId8"/>
    <tablePart r:id="rId9"/>
    <tablePart r:id="rId10"/>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CF218-C040-472C-B3C3-B9319E894A4B}">
  <sheetPr>
    <tabColor theme="4"/>
  </sheetPr>
  <dimension ref="B1:AG64"/>
  <sheetViews>
    <sheetView topLeftCell="B4" zoomScale="85" zoomScaleNormal="85" workbookViewId="0">
      <selection activeCell="M51" sqref="M51"/>
    </sheetView>
  </sheetViews>
  <sheetFormatPr defaultRowHeight="15" x14ac:dyDescent="0.25"/>
  <cols>
    <col min="1" max="1" width="3.140625" customWidth="1"/>
    <col min="2" max="2" width="39" customWidth="1"/>
    <col min="3" max="8" width="14.85546875" customWidth="1"/>
    <col min="9" max="9" width="5.140625" customWidth="1"/>
    <col min="10" max="10" width="21.85546875" customWidth="1"/>
    <col min="11" max="11" width="69.5703125" bestFit="1" customWidth="1"/>
    <col min="12" max="17" width="16" customWidth="1"/>
    <col min="18" max="18" width="14.7109375" customWidth="1"/>
    <col min="19" max="19" width="6.5703125" customWidth="1"/>
    <col min="20" max="20" width="16" customWidth="1"/>
    <col min="21" max="32" width="12.5703125" customWidth="1"/>
    <col min="33" max="33" width="4.7109375" customWidth="1"/>
    <col min="34" max="46" width="12.5703125" customWidth="1"/>
  </cols>
  <sheetData>
    <row r="1" spans="2:33" hidden="1" x14ac:dyDescent="0.25"/>
    <row r="2" spans="2:33" ht="18.75" x14ac:dyDescent="0.3">
      <c r="B2" s="123" t="s">
        <v>218</v>
      </c>
      <c r="L2" s="16" t="s">
        <v>5</v>
      </c>
      <c r="M2" s="16" t="s">
        <v>55</v>
      </c>
      <c r="N2" s="16" t="s">
        <v>44</v>
      </c>
    </row>
    <row r="3" spans="2:33" x14ac:dyDescent="0.25">
      <c r="K3" s="13" t="s">
        <v>146</v>
      </c>
      <c r="L3" t="b">
        <f>CompanyGoodToggle</f>
        <v>1</v>
      </c>
      <c r="M3" t="b">
        <f>CompanyFairToggle</f>
        <v>0</v>
      </c>
      <c r="N3" t="b">
        <f>CompanyRiskToggle</f>
        <v>0</v>
      </c>
      <c r="T3" s="13" t="s">
        <v>92</v>
      </c>
      <c r="AG3" s="112"/>
    </row>
    <row r="4" spans="2:33" x14ac:dyDescent="0.25">
      <c r="T4" s="113" t="s">
        <v>94</v>
      </c>
      <c r="U4" s="112" t="s">
        <v>95</v>
      </c>
      <c r="V4" s="112" t="s">
        <v>96</v>
      </c>
      <c r="W4" s="112" t="s">
        <v>97</v>
      </c>
      <c r="X4" s="112" t="s">
        <v>98</v>
      </c>
      <c r="Y4" s="112" t="s">
        <v>99</v>
      </c>
      <c r="Z4" s="112" t="s">
        <v>100</v>
      </c>
      <c r="AA4" s="112" t="s">
        <v>101</v>
      </c>
      <c r="AB4" s="112" t="s">
        <v>102</v>
      </c>
      <c r="AC4" s="112" t="s">
        <v>103</v>
      </c>
      <c r="AD4" s="112" t="s">
        <v>104</v>
      </c>
      <c r="AE4" s="112" t="s">
        <v>105</v>
      </c>
      <c r="AF4" s="112" t="s">
        <v>106</v>
      </c>
      <c r="AG4" s="112"/>
    </row>
    <row r="5" spans="2:33" x14ac:dyDescent="0.25">
      <c r="K5" s="134" t="s">
        <v>147</v>
      </c>
      <c r="L5" s="135" t="s">
        <v>47</v>
      </c>
      <c r="M5" s="135" t="s">
        <v>48</v>
      </c>
      <c r="N5" s="135" t="s">
        <v>49</v>
      </c>
      <c r="O5" s="135" t="s">
        <v>50</v>
      </c>
      <c r="P5" s="136" t="s">
        <v>1</v>
      </c>
      <c r="T5" s="112" t="s">
        <v>148</v>
      </c>
      <c r="U5" s="112">
        <f>U16</f>
        <v>77214.510000000155</v>
      </c>
      <c r="V5" s="112">
        <f>SUM($U16:V16)</f>
        <v>259746.51000000015</v>
      </c>
      <c r="W5" s="112">
        <f>SUM($U16:W16)</f>
        <v>262477.26000000013</v>
      </c>
      <c r="X5" s="112">
        <f>SUM($U16:X16)</f>
        <v>290160.46000000014</v>
      </c>
      <c r="Y5" s="112">
        <f>SUM($U16:Y16)</f>
        <v>334219.66000000015</v>
      </c>
      <c r="Z5" s="112">
        <f>SUM($U16:Z16)</f>
        <v>335599.66000000015</v>
      </c>
      <c r="AA5" s="112">
        <f>SUM($U16:AA16)</f>
        <v>336887.66000000015</v>
      </c>
      <c r="AB5" s="112">
        <f>SUM($U16:AB16)</f>
        <v>338267.66000000015</v>
      </c>
      <c r="AC5" s="112">
        <f>SUM($U16:AC16)</f>
        <v>340475.66000000015</v>
      </c>
      <c r="AD5" s="112">
        <f>SUM($U16:AD16)</f>
        <v>342223.66000000015</v>
      </c>
      <c r="AE5" s="112">
        <f>SUM($U16:AE16)</f>
        <v>344063.66000000015</v>
      </c>
      <c r="AF5" s="112">
        <f>SUM($U16:AF16)</f>
        <v>345903.66000000015</v>
      </c>
      <c r="AG5" s="112"/>
    </row>
    <row r="6" spans="2:33" x14ac:dyDescent="0.25">
      <c r="K6" s="150" t="s">
        <v>149</v>
      </c>
      <c r="L6" s="183">
        <f>SUM(U22:W22)</f>
        <v>220000.00000000003</v>
      </c>
      <c r="M6" s="183">
        <f>SUM(X22:Z22)</f>
        <v>220000.00000000003</v>
      </c>
      <c r="N6" s="183">
        <f>SUM(AA22:AC22)</f>
        <v>220000.00000000003</v>
      </c>
      <c r="O6" s="183">
        <f>SUM(AD22:AF22)</f>
        <v>220000.00000000003</v>
      </c>
      <c r="P6" s="184">
        <f>SUM(Table15224856[[#This Row],[Q1]:[Q4]])</f>
        <v>880000.00000000012</v>
      </c>
      <c r="T6" s="112" t="s">
        <v>150</v>
      </c>
      <c r="U6" s="112">
        <f>U17+U5</f>
        <v>77214.510000000155</v>
      </c>
      <c r="V6" s="112">
        <f>SUM($U17:V17)+V5</f>
        <v>259746.51000000015</v>
      </c>
      <c r="W6" s="112">
        <f>SUM($U17:W17)+W5</f>
        <v>262477.26000000013</v>
      </c>
      <c r="X6" s="112">
        <f>SUM($U17:X17)+X5</f>
        <v>290160.46000000014</v>
      </c>
      <c r="Y6" s="112">
        <f>SUM($U17:Y17)+Y5</f>
        <v>334219.66000000015</v>
      </c>
      <c r="Z6" s="112">
        <f>SUM($U17:Z17)+Z5</f>
        <v>335599.66000000015</v>
      </c>
      <c r="AA6" s="112">
        <f>SUM($U17:AA17)+AA5</f>
        <v>336887.66000000015</v>
      </c>
      <c r="AB6" s="112">
        <f>SUM($U17:AB17)+AB5</f>
        <v>338267.66000000015</v>
      </c>
      <c r="AC6" s="112">
        <f>SUM($U17:AC17)+AC5</f>
        <v>340475.66000000015</v>
      </c>
      <c r="AD6" s="112">
        <f>SUM($U17:AD17)+AD5</f>
        <v>342223.66000000015</v>
      </c>
      <c r="AE6" s="112">
        <f>SUM($U17:AE17)+AE5</f>
        <v>344063.66000000015</v>
      </c>
      <c r="AF6" s="112">
        <f>SUM($U17:AF17)+AF5</f>
        <v>345903.66000000015</v>
      </c>
      <c r="AG6" s="112"/>
    </row>
    <row r="7" spans="2:33" x14ac:dyDescent="0.25">
      <c r="K7" s="179" t="s">
        <v>56</v>
      </c>
      <c r="L7" s="181">
        <f>SUMIFS(Job_Status[Gross Profit Q1],Job_Status[VAT],"Emerging")</f>
        <v>262477.2600000003</v>
      </c>
      <c r="M7" s="181">
        <f>SUMIFS(Job_Status[Gross Profit Q2],Job_Status[VAT],"Emerging")</f>
        <v>73122.400000000023</v>
      </c>
      <c r="N7" s="181">
        <f>SUMIFS(Job_Status[Gross Profit Q3],Job_Status[VAT],"Emerging")</f>
        <v>1288</v>
      </c>
      <c r="O7" s="181">
        <f>SUMIFS(Job_Status[Gross Profit Q4],Job_Status[VAT],"Emerging")</f>
        <v>0</v>
      </c>
      <c r="P7" s="208">
        <f>SUM(Table15224856[[#This Row],[Q1]:[Q4]])</f>
        <v>336887.66000000032</v>
      </c>
      <c r="T7" s="112" t="s">
        <v>108</v>
      </c>
      <c r="U7" s="112">
        <f>U18+U6</f>
        <v>77214.510000000155</v>
      </c>
      <c r="V7" s="112">
        <f>SUM($U18:V18)+V6</f>
        <v>259746.51000000015</v>
      </c>
      <c r="W7" s="112">
        <f>SUM($U18:W18)+W6</f>
        <v>262477.26000000013</v>
      </c>
      <c r="X7" s="112">
        <f>SUM($U18:X18)+X6</f>
        <v>290160.46000000014</v>
      </c>
      <c r="Y7" s="112">
        <f>SUM($U18:Y18)+Y6</f>
        <v>334219.66000000015</v>
      </c>
      <c r="Z7" s="112">
        <f>SUM($U18:Z18)+Z6</f>
        <v>335599.66000000015</v>
      </c>
      <c r="AA7" s="112">
        <f>SUM($U18:AA18)+AA6</f>
        <v>336887.66000000015</v>
      </c>
      <c r="AB7" s="112">
        <f>SUM($U18:AB18)+AB6</f>
        <v>338267.66000000015</v>
      </c>
      <c r="AC7" s="112">
        <f>SUM($U18:AC18)+AC6</f>
        <v>340475.66000000015</v>
      </c>
      <c r="AD7" s="112">
        <f>SUM($U18:AD18)+AD6</f>
        <v>342223.66000000015</v>
      </c>
      <c r="AE7" s="112">
        <f>SUM($U18:AE18)+AE6</f>
        <v>344063.66000000015</v>
      </c>
      <c r="AF7" s="112">
        <f>SUM($U18:AF18)+AF6</f>
        <v>345903.66000000015</v>
      </c>
      <c r="AG7" s="112"/>
    </row>
    <row r="8" spans="2:33" x14ac:dyDescent="0.25">
      <c r="K8" s="253" t="s">
        <v>151</v>
      </c>
      <c r="L8" s="254">
        <f>SUM(U16:W16)</f>
        <v>262477.26000000013</v>
      </c>
      <c r="M8" s="254">
        <f>SUM(X16:Z16)</f>
        <v>73122.400000000009</v>
      </c>
      <c r="N8" s="254">
        <f>SUM(AA16:AC16)</f>
        <v>4876</v>
      </c>
      <c r="O8" s="254">
        <f>SUM(AD16:AF16)</f>
        <v>5428</v>
      </c>
      <c r="P8" s="208">
        <f>SUM(Table15224856[[#This Row],[Q1]:[Q4]])</f>
        <v>345903.66000000015</v>
      </c>
      <c r="T8" s="112" t="s">
        <v>109</v>
      </c>
      <c r="U8" s="112">
        <f>U19+U7</f>
        <v>77214.510000000155</v>
      </c>
      <c r="V8" s="112">
        <f>SUM($U19:V19)+V7</f>
        <v>259746.51000000015</v>
      </c>
      <c r="W8" s="112">
        <f>SUM($U19:W19)+W7</f>
        <v>262477.26000000013</v>
      </c>
      <c r="X8" s="112">
        <f>SUM($U19:X19)+X7</f>
        <v>290160.46000000014</v>
      </c>
      <c r="Y8" s="112">
        <f>SUM($U19:Y19)+Y7</f>
        <v>334219.66000000015</v>
      </c>
      <c r="Z8" s="112">
        <f>SUM($U19:Z19)+Z7</f>
        <v>335599.66000000015</v>
      </c>
      <c r="AA8" s="112">
        <f>SUM($U19:AA19)+AA7</f>
        <v>336887.66000000015</v>
      </c>
      <c r="AB8" s="112">
        <f>SUM($U19:AB19)+AB7</f>
        <v>338267.66000000015</v>
      </c>
      <c r="AC8" s="112">
        <f>SUM($U19:AC19)+AC7</f>
        <v>340475.66000000015</v>
      </c>
      <c r="AD8" s="112">
        <f>SUM($U19:AD19)+AD7</f>
        <v>342223.66000000015</v>
      </c>
      <c r="AE8" s="112">
        <f>SUM($U19:AE19)+AE7</f>
        <v>344063.66000000015</v>
      </c>
      <c r="AF8" s="112">
        <f>SUM($U19:AF19)+AF7</f>
        <v>345903.66000000015</v>
      </c>
      <c r="AG8" s="112"/>
    </row>
    <row r="9" spans="2:33" x14ac:dyDescent="0.25">
      <c r="K9" s="253" t="s">
        <v>60</v>
      </c>
      <c r="L9" s="176">
        <f>L8-L$6</f>
        <v>42477.260000000097</v>
      </c>
      <c r="M9" s="176">
        <f t="shared" ref="M9:P9" si="0">M8-M$6</f>
        <v>-146877.60000000003</v>
      </c>
      <c r="N9" s="176">
        <f t="shared" si="0"/>
        <v>-215124.00000000003</v>
      </c>
      <c r="O9" s="176">
        <f t="shared" si="0"/>
        <v>-214572.00000000003</v>
      </c>
      <c r="P9" s="208">
        <f t="shared" si="0"/>
        <v>-534096.34</v>
      </c>
      <c r="T9" s="112" t="s">
        <v>152</v>
      </c>
      <c r="U9" s="112">
        <f>U20</f>
        <v>0</v>
      </c>
      <c r="V9" s="112">
        <f>SUM($U20:V20)</f>
        <v>0</v>
      </c>
      <c r="W9" s="112">
        <f>SUM($U20:W20)</f>
        <v>0</v>
      </c>
      <c r="X9" s="112">
        <f>SUM($U20:X20)</f>
        <v>0</v>
      </c>
      <c r="Y9" s="112">
        <f>SUM($U20:Y20)</f>
        <v>0</v>
      </c>
      <c r="Z9" s="112">
        <f>SUM($U20:Z20)</f>
        <v>0</v>
      </c>
      <c r="AA9" s="112">
        <f>SUM($U20:AA20)</f>
        <v>0</v>
      </c>
      <c r="AB9" s="112">
        <f>SUM($U20:AB20)</f>
        <v>0</v>
      </c>
      <c r="AC9" s="112">
        <f>SUM($U20:AC20)</f>
        <v>0</v>
      </c>
      <c r="AD9" s="112">
        <f>SUM($U20:AD20)</f>
        <v>0</v>
      </c>
      <c r="AE9" s="112">
        <f>SUM($U20:AE20)</f>
        <v>0</v>
      </c>
      <c r="AF9" s="112">
        <f>SUM($U20:AF20)</f>
        <v>0</v>
      </c>
      <c r="AG9" s="112"/>
    </row>
    <row r="10" spans="2:33" x14ac:dyDescent="0.25">
      <c r="K10" s="150" t="s">
        <v>153</v>
      </c>
      <c r="L10" s="183">
        <f>SUM(U$16:W17)</f>
        <v>262477.26000000013</v>
      </c>
      <c r="M10" s="183">
        <f>SUM(X$16:Z17)</f>
        <v>73122.400000000009</v>
      </c>
      <c r="N10" s="183">
        <f>SUM(AA$16:AC17)</f>
        <v>4876</v>
      </c>
      <c r="O10" s="183">
        <f>SUM(AD$16:AF17)</f>
        <v>5428</v>
      </c>
      <c r="P10" s="184">
        <f>SUM(Table15224856[[#This Row],[Q1]:[Q4]])</f>
        <v>345903.66000000015</v>
      </c>
      <c r="T10" s="112" t="s">
        <v>110</v>
      </c>
      <c r="U10" s="157">
        <f>U21</f>
        <v>91666.666666666672</v>
      </c>
      <c r="V10" s="157">
        <f>SUM($U21:V21)</f>
        <v>183333.33333333334</v>
      </c>
      <c r="W10" s="157">
        <f>SUM($U21:W21)</f>
        <v>275000</v>
      </c>
      <c r="X10" s="157">
        <f>SUM($U21:X21)</f>
        <v>366666.66666666669</v>
      </c>
      <c r="Y10" s="157">
        <f>SUM($U21:Y21)</f>
        <v>458333.33333333337</v>
      </c>
      <c r="Z10" s="157">
        <f>SUM($U21:Z21)</f>
        <v>550000</v>
      </c>
      <c r="AA10" s="157">
        <f>SUM($U21:AA21)</f>
        <v>641666.66666666663</v>
      </c>
      <c r="AB10" s="157">
        <f>SUM($U21:AB21)</f>
        <v>733333.33333333326</v>
      </c>
      <c r="AC10" s="157">
        <f>SUM($U21:AC21)</f>
        <v>824999.99999999988</v>
      </c>
      <c r="AD10" s="157">
        <f>SUM($U21:AD21)</f>
        <v>916666.66666666651</v>
      </c>
      <c r="AE10" s="157">
        <f>SUM($U21:AE21)</f>
        <v>1008333.3333333331</v>
      </c>
      <c r="AF10" s="157">
        <f>SUM($U21:AF21)</f>
        <v>1099999.9999999998</v>
      </c>
    </row>
    <row r="11" spans="2:33" x14ac:dyDescent="0.25">
      <c r="K11" s="182" t="s">
        <v>154</v>
      </c>
      <c r="L11" s="176">
        <f t="shared" ref="L11:P11" si="1">L10-L$6</f>
        <v>42477.260000000097</v>
      </c>
      <c r="M11" s="176">
        <f t="shared" si="1"/>
        <v>-146877.60000000003</v>
      </c>
      <c r="N11" s="176">
        <f t="shared" si="1"/>
        <v>-215124.00000000003</v>
      </c>
      <c r="O11" s="176">
        <f t="shared" si="1"/>
        <v>-214572.00000000003</v>
      </c>
      <c r="P11" s="208">
        <f t="shared" si="1"/>
        <v>-534096.34</v>
      </c>
      <c r="T11" s="112" t="s">
        <v>111</v>
      </c>
      <c r="U11" s="157">
        <f>U22</f>
        <v>73333.333333333343</v>
      </c>
      <c r="V11" s="157">
        <f>SUM($U22:V22)</f>
        <v>146666.66666666669</v>
      </c>
      <c r="W11" s="157">
        <f>SUM($U22:W22)</f>
        <v>220000.00000000003</v>
      </c>
      <c r="X11" s="157">
        <f>SUM($U22:X22)</f>
        <v>293333.33333333337</v>
      </c>
      <c r="Y11" s="157">
        <f>SUM($U22:Y22)</f>
        <v>366666.66666666674</v>
      </c>
      <c r="Z11" s="157">
        <f>SUM($U22:Z22)</f>
        <v>440000.00000000012</v>
      </c>
      <c r="AA11" s="157">
        <f>SUM($U22:AA22)</f>
        <v>513333.33333333349</v>
      </c>
      <c r="AB11" s="157">
        <f>SUM($U22:AB22)</f>
        <v>586666.66666666686</v>
      </c>
      <c r="AC11" s="157">
        <f>SUM($U22:AC22)</f>
        <v>660000.00000000023</v>
      </c>
      <c r="AD11" s="157">
        <f>SUM($U22:AD22)</f>
        <v>733333.3333333336</v>
      </c>
      <c r="AE11" s="157">
        <f>SUM($U22:AE22)</f>
        <v>806666.66666666698</v>
      </c>
      <c r="AF11" s="157">
        <f>SUM($U22:AF22)</f>
        <v>880000.00000000035</v>
      </c>
    </row>
    <row r="12" spans="2:33" x14ac:dyDescent="0.25">
      <c r="K12" s="150" t="s">
        <v>155</v>
      </c>
      <c r="L12" s="183">
        <f>SUM(U$16:W18)</f>
        <v>262477.26000000013</v>
      </c>
      <c r="M12" s="183">
        <f>SUM(X$16:Z18)</f>
        <v>73122.400000000009</v>
      </c>
      <c r="N12" s="183">
        <f>SUM(AA$16:AC18)</f>
        <v>4876</v>
      </c>
      <c r="O12" s="183">
        <f>SUM(AD$16:AF18)</f>
        <v>5428</v>
      </c>
      <c r="P12" s="184">
        <f>SUM(Table15224856[[#This Row],[Q1]:[Q4]])</f>
        <v>345903.66000000015</v>
      </c>
      <c r="T12" s="112" t="s">
        <v>4</v>
      </c>
      <c r="U12" s="157">
        <f>U23</f>
        <v>45000</v>
      </c>
      <c r="V12" s="157">
        <f>SUM($U23:V23)</f>
        <v>90000</v>
      </c>
      <c r="W12" s="157">
        <f>SUM($U23:W23)</f>
        <v>135000</v>
      </c>
      <c r="X12" s="157">
        <f>SUM($U23:X23)</f>
        <v>180000</v>
      </c>
      <c r="Y12" s="157">
        <f>SUM($U23:Y23)</f>
        <v>225000</v>
      </c>
      <c r="Z12" s="157">
        <f>SUM($U23:Z23)</f>
        <v>270000</v>
      </c>
      <c r="AA12" s="157">
        <f>SUM($U23:AA23)</f>
        <v>315000</v>
      </c>
      <c r="AB12" s="157">
        <f>SUM($U23:AB23)</f>
        <v>360000</v>
      </c>
      <c r="AC12" s="157">
        <f>SUM($U23:AC23)</f>
        <v>405000</v>
      </c>
      <c r="AD12" s="157">
        <f>SUM($U23:AD23)</f>
        <v>450000</v>
      </c>
      <c r="AE12" s="157">
        <f>SUM($U23:AE23)</f>
        <v>495000</v>
      </c>
      <c r="AF12" s="157">
        <f>SUM($U23:AF23)</f>
        <v>540000</v>
      </c>
    </row>
    <row r="13" spans="2:33" x14ac:dyDescent="0.25">
      <c r="K13" s="182" t="s">
        <v>154</v>
      </c>
      <c r="L13" s="176">
        <f t="shared" ref="L13:P13" si="2">L12-L$6</f>
        <v>42477.260000000097</v>
      </c>
      <c r="M13" s="176">
        <f t="shared" si="2"/>
        <v>-146877.60000000003</v>
      </c>
      <c r="N13" s="176">
        <f t="shared" si="2"/>
        <v>-215124.00000000003</v>
      </c>
      <c r="O13" s="176">
        <f t="shared" si="2"/>
        <v>-214572.00000000003</v>
      </c>
      <c r="P13" s="208">
        <f t="shared" si="2"/>
        <v>-534096.34</v>
      </c>
    </row>
    <row r="14" spans="2:33" x14ac:dyDescent="0.25">
      <c r="K14" s="150" t="s">
        <v>156</v>
      </c>
      <c r="L14" s="183">
        <f>SUM(U$16:W19)</f>
        <v>262477.26000000013</v>
      </c>
      <c r="M14" s="183">
        <f>SUM(X$16:Z19)</f>
        <v>73122.400000000009</v>
      </c>
      <c r="N14" s="183">
        <f>SUM(AA$16:AC19)</f>
        <v>4876</v>
      </c>
      <c r="O14" s="183">
        <f>SUM(AD$16:AF19)</f>
        <v>5428</v>
      </c>
      <c r="P14" s="184">
        <f>SUM(Table15224856[[#This Row],[Q1]:[Q4]])</f>
        <v>345903.66000000015</v>
      </c>
      <c r="T14" s="13" t="s">
        <v>112</v>
      </c>
    </row>
    <row r="15" spans="2:33" x14ac:dyDescent="0.25">
      <c r="K15" s="182" t="s">
        <v>154</v>
      </c>
      <c r="L15" s="176">
        <f t="shared" ref="L15:P15" si="3">L14-L$6</f>
        <v>42477.260000000097</v>
      </c>
      <c r="M15" s="176">
        <f t="shared" si="3"/>
        <v>-146877.60000000003</v>
      </c>
      <c r="N15" s="176">
        <f t="shared" si="3"/>
        <v>-215124.00000000003</v>
      </c>
      <c r="O15" s="176">
        <f t="shared" si="3"/>
        <v>-214572.00000000003</v>
      </c>
      <c r="P15" s="208">
        <f t="shared" si="3"/>
        <v>-534096.34</v>
      </c>
      <c r="T15" s="13" t="s">
        <v>94</v>
      </c>
      <c r="U15" s="118" t="s">
        <v>95</v>
      </c>
      <c r="V15" s="118" t="s">
        <v>96</v>
      </c>
      <c r="W15" s="118" t="s">
        <v>97</v>
      </c>
      <c r="X15" s="118" t="s">
        <v>98</v>
      </c>
      <c r="Y15" s="118" t="s">
        <v>99</v>
      </c>
      <c r="Z15" s="118" t="s">
        <v>100</v>
      </c>
      <c r="AA15" s="118" t="s">
        <v>101</v>
      </c>
      <c r="AB15" s="118" t="s">
        <v>102</v>
      </c>
      <c r="AC15" s="118" t="s">
        <v>103</v>
      </c>
      <c r="AD15" s="118" t="s">
        <v>104</v>
      </c>
      <c r="AE15" s="118" t="s">
        <v>105</v>
      </c>
      <c r="AF15" s="118" t="s">
        <v>106</v>
      </c>
    </row>
    <row r="16" spans="2:33" x14ac:dyDescent="0.25">
      <c r="K16" s="150"/>
      <c r="L16" s="176"/>
      <c r="M16" s="176"/>
      <c r="N16" s="176"/>
      <c r="O16" s="176"/>
      <c r="P16" s="177"/>
      <c r="T16" s="112" t="s">
        <v>148</v>
      </c>
      <c r="U16" s="155">
        <f>SUMIF(Job_Status[VAT],"Emerging",Job_Status[P1])</f>
        <v>77214.510000000155</v>
      </c>
      <c r="V16" s="155">
        <f>SUMIF(Job_Status[VAT],"Emerging",Job_Status[P2])</f>
        <v>182532</v>
      </c>
      <c r="W16" s="155">
        <f>SUMIF(Job_Status[VAT],"Emerging",Job_Status[P3])</f>
        <v>2730.75</v>
      </c>
      <c r="X16" s="155">
        <f>SUMIF(Job_Status[VAT],"Emerging",Job_Status[P4])</f>
        <v>27683.200000000004</v>
      </c>
      <c r="Y16" s="155">
        <f>SUMIF(Job_Status[VAT],"Emerging",Job_Status[P5])</f>
        <v>44059.200000000004</v>
      </c>
      <c r="Z16" s="155">
        <f>SUMIF(Job_Status[VAT],"Emerging",Job_Status[P6])</f>
        <v>1380</v>
      </c>
      <c r="AA16" s="155">
        <f>SUMIF(Job_Status[VAT],"Emerging",Job_Status[P7])</f>
        <v>1288</v>
      </c>
      <c r="AB16" s="155">
        <f>SUMIF(Job_Status[VAT],"Emerging",Job_Status[P8])</f>
        <v>1380</v>
      </c>
      <c r="AC16" s="155">
        <f>SUMIF(Job_Status[VAT],"Emerging",Job_Status[P9])</f>
        <v>2208</v>
      </c>
      <c r="AD16" s="155">
        <f>SUMIF(Job_Status[VAT],"Emerging",Job_Status[P10])</f>
        <v>1748</v>
      </c>
      <c r="AE16" s="155">
        <f>SUMIF(Job_Status[VAT],"Emerging",Job_Status[P11])</f>
        <v>1840</v>
      </c>
      <c r="AF16" s="155">
        <f>SUMIF(Job_Status[VAT],"Emerging",Job_Status[P12])</f>
        <v>1840</v>
      </c>
    </row>
    <row r="17" spans="11:32" x14ac:dyDescent="0.25">
      <c r="K17" s="201" t="s">
        <v>157</v>
      </c>
      <c r="L17" s="189" t="s">
        <v>47</v>
      </c>
      <c r="M17" s="189" t="s">
        <v>48</v>
      </c>
      <c r="N17" s="189" t="s">
        <v>49</v>
      </c>
      <c r="O17" s="189" t="s">
        <v>50</v>
      </c>
      <c r="P17" s="189" t="s">
        <v>1</v>
      </c>
      <c r="T17" s="112" t="s">
        <v>77</v>
      </c>
      <c r="U17" s="155" cm="1">
        <f t="array" ref="U17">_xlfn.LET(
    _xlpm.s,         GMConSpreadTable8194553[[#This Row],[STATUS]],
    _xlpm.vatCrit,   "Emerging",
    _xlpm.sumcol,    TotalGMContribution[July],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V17" s="155" cm="1">
        <f t="array" ref="V17">_xlfn.LET(
    _xlpm.s,         GMConSpreadTable8194553[[#This Row],[STATUS]],
    _xlpm.vatCrit,   "Emerging",
    _xlpm.sumcol,    TotalGMContribution[August],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W17" s="155" cm="1">
        <f t="array" ref="W17">_xlfn.LET(
    _xlpm.s,         GMConSpreadTable8194553[[#This Row],[STATUS]],
    _xlpm.vatCrit,   "Emerging",
    _xlpm.sumcol,    TotalGMContribution[September],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X17" s="155" cm="1">
        <f t="array" ref="X17">_xlfn.LET(
    _xlpm.s,         GMConSpreadTable8194553[[#This Row],[STATUS]],
    _xlpm.vatCrit,   "Emerging",
    _xlpm.sumcol,    TotalGMContribution[October],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Y17" s="155" cm="1">
        <f t="array" ref="Y17">_xlfn.LET(
    _xlpm.s,         GMConSpreadTable8194553[[#This Row],[STATUS]],
    _xlpm.vatCrit,   "Emerging",
    _xlpm.sumcol,    TotalGMContribution[November],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Z17" s="155" cm="1">
        <f t="array" ref="Z17">_xlfn.LET(
    _xlpm.s,         GMConSpreadTable8194553[[#This Row],[STATUS]],
    _xlpm.vatCrit,   "Emerging",
    _xlpm.sumcol,    TotalGMContribution[December],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AA17" s="155" cm="1">
        <f t="array" ref="AA17">_xlfn.LET(
    _xlpm.s,         GMConSpreadTable8194553[[#This Row],[STATUS]],
    _xlpm.vatCrit,   "Emerging",
    _xlpm.sumcol,    TotalGMContribution[January],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AB17" s="155" cm="1">
        <f t="array" ref="AB17">_xlfn.LET(
    _xlpm.s,         GMConSpreadTable8194553[[#This Row],[STATUS]],
    _xlpm.vatCrit,   "Emerging",
    _xlpm.sumcol,    TotalGMContribution[February],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AC17" s="155" cm="1">
        <f t="array" ref="AC17">_xlfn.LET(
    _xlpm.s,         GMConSpreadTable8194553[[#This Row],[STATUS]],
    _xlpm.vatCrit,   "Emerging",
    _xlpm.sumcol,    TotalGMContribution[March],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AD17" s="155" cm="1">
        <f t="array" ref="AD17">_xlfn.LET(
    _xlpm.s,         GMConSpreadTable8194553[[#This Row],[STATUS]],
    _xlpm.vatCrit,   "Emerging",
    _xlpm.sumcol,    TotalGMContribution[April],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AE17" s="155" cm="1">
        <f t="array" ref="AE17">_xlfn.LET(
    _xlpm.s,         GMConSpreadTable8194553[[#This Row],[STATUS]],
    _xlpm.vatCrit,   "Emerging",
    _xlpm.sumcol,    TotalGMContribution[May],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AF17" s="155" cm="1">
        <f t="array" ref="AF17">_xlfn.LET(
    _xlpm.s,         GMConSpreadTable8194553[[#This Row],[STATUS]],
    _xlpm.vatCrit,   "Emerging",
    _xlpm.sumcol,    TotalGMContribution[June],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row>
    <row r="18" spans="11:32" x14ac:dyDescent="0.25">
      <c r="K18" s="150" t="s">
        <v>158</v>
      </c>
      <c r="L18" s="183">
        <f>SUM(U44:W44)</f>
        <v>550000</v>
      </c>
      <c r="M18" s="183">
        <f>SUM(X44:Z44)</f>
        <v>550000</v>
      </c>
      <c r="N18" s="183">
        <f>SUM(AA44:AC44)</f>
        <v>550000</v>
      </c>
      <c r="O18" s="183">
        <f>SUM(AD44:AF44)</f>
        <v>550000</v>
      </c>
      <c r="P18" s="184">
        <f>SUM(Table364957[[#This Row],[Q1]:[Q4]])</f>
        <v>2200000</v>
      </c>
      <c r="T18" s="112" t="s">
        <v>76</v>
      </c>
      <c r="U18" s="155" cm="1">
        <f t="array" ref="U18">_xlfn.LET(
    _xlpm.s,         GMConSpreadTable8194553[[#This Row],[STATUS]],
    _xlpm.vatCrit,   "Emerging",
    _xlpm.sumcol,    TotalGMContribution[July],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V18" s="155" cm="1">
        <f t="array" ref="V18">_xlfn.LET(
    _xlpm.s,         GMConSpreadTable8194553[[#This Row],[STATUS]],
    _xlpm.vatCrit,   "Emerging",
    _xlpm.sumcol,    TotalGMContribution[August],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W18" s="155" cm="1">
        <f t="array" ref="W18">_xlfn.LET(
    _xlpm.s,         GMConSpreadTable8194553[[#This Row],[STATUS]],
    _xlpm.vatCrit,   "Emerging",
    _xlpm.sumcol,    TotalGMContribution[September],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X18" s="155" cm="1">
        <f t="array" ref="X18">_xlfn.LET(
    _xlpm.s,         GMConSpreadTable8194553[[#This Row],[STATUS]],
    _xlpm.vatCrit,   "Emerging",
    _xlpm.sumcol,    TotalGMContribution[October],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Y18" s="155" cm="1">
        <f t="array" ref="Y18">_xlfn.LET(
    _xlpm.s,         GMConSpreadTable8194553[[#This Row],[STATUS]],
    _xlpm.vatCrit,   "Emerging",
    _xlpm.sumcol,    TotalGMContribution[November],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Z18" s="155" cm="1">
        <f t="array" ref="Z18">_xlfn.LET(
    _xlpm.s,         GMConSpreadTable8194553[[#This Row],[STATUS]],
    _xlpm.vatCrit,   "Emerging",
    _xlpm.sumcol,    TotalGMContribution[December],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AA18" s="155" cm="1">
        <f t="array" ref="AA18">_xlfn.LET(
    _xlpm.s,         GMConSpreadTable8194553[[#This Row],[STATUS]],
    _xlpm.vatCrit,   "Emerging",
    _xlpm.sumcol,    TotalGMContribution[January],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AB18" s="155" cm="1">
        <f t="array" ref="AB18">_xlfn.LET(
    _xlpm.s,         GMConSpreadTable8194553[[#This Row],[STATUS]],
    _xlpm.vatCrit,   "Emerging",
    _xlpm.sumcol,    TotalGMContribution[February],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AC18" s="155" cm="1">
        <f t="array" ref="AC18">_xlfn.LET(
    _xlpm.s,         GMConSpreadTable8194553[[#This Row],[STATUS]],
    _xlpm.vatCrit,   "Emerging",
    _xlpm.sumcol,    TotalGMContribution[March],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AD18" s="155" cm="1">
        <f t="array" ref="AD18">_xlfn.LET(
    _xlpm.s,         GMConSpreadTable8194553[[#This Row],[STATUS]],
    _xlpm.vatCrit,   "Emerging",
    _xlpm.sumcol,    TotalGMContribution[April],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AE18" s="155" cm="1">
        <f t="array" ref="AE18">_xlfn.LET(
    _xlpm.s,         GMConSpreadTable8194553[[#This Row],[STATUS]],
    _xlpm.vatCrit,   "Emerging",
    _xlpm.sumcol,    TotalGMContribution[May],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AF18" s="155" cm="1">
        <f t="array" ref="AF18">_xlfn.LET(
    _xlpm.s,         GMConSpreadTable8194553[[#This Row],[STATUS]],
    _xlpm.vatCrit,   "Emerging",
    _xlpm.sumcol,    TotalGMContribution[June],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row>
    <row r="19" spans="11:32" x14ac:dyDescent="0.25">
      <c r="K19" s="179" t="s">
        <v>56</v>
      </c>
      <c r="L19" s="181">
        <f>SUMIFS(Job_Status[Revenue Q1],Job_Status[VAT],"Emerging")</f>
        <v>592529.05000000005</v>
      </c>
      <c r="M19" s="181">
        <f>SUMIFS(Job_Status[Revenue Q2],Job_Status[VAT],"Emerging")</f>
        <v>207796</v>
      </c>
      <c r="N19" s="181">
        <f>SUMIFS(Job_Status[Revenue Q3],Job_Status[VAT],"Emerging")</f>
        <v>19992</v>
      </c>
      <c r="O19" s="181">
        <f>SUMIFS(Job_Status[Revenue Q4],Job_Status[VAT],"Emerging")</f>
        <v>0</v>
      </c>
      <c r="P19" s="181">
        <f>SUM(Table364957[[#This Row],[Q1]:[Q4]])</f>
        <v>820317.05</v>
      </c>
      <c r="T19" s="112" t="s">
        <v>75</v>
      </c>
      <c r="U19" s="155" cm="1">
        <f t="array" ref="U19">_xlfn.LET(
    _xlpm.s,         GMConSpreadTable8194553[[#This Row],[STATUS]],
    _xlpm.vatCrit,   "Emerging",
    _xlpm.sumcol,    TotalGMContribution[July],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V19" s="155" cm="1">
        <f t="array" ref="V19">_xlfn.LET(
    _xlpm.s,         GMConSpreadTable8194553[[#This Row],[STATUS]],
    _xlpm.vatCrit,   "Emerging",
    _xlpm.sumcol,    TotalGMContribution[August],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W19" s="155" cm="1">
        <f t="array" ref="W19">_xlfn.LET(
    _xlpm.s,         GMConSpreadTable8194553[[#This Row],[STATUS]],
    _xlpm.vatCrit,   "Emerging",
    _xlpm.sumcol,    TotalGMContribution[September],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X19" s="155" cm="1">
        <f t="array" ref="X19">_xlfn.LET(
    _xlpm.s,         GMConSpreadTable8194553[[#This Row],[STATUS]],
    _xlpm.vatCrit,   "Emerging",
    _xlpm.sumcol,    TotalGMContribution[October],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Y19" s="155" cm="1">
        <f t="array" ref="Y19">_xlfn.LET(
    _xlpm.s,         GMConSpreadTable8194553[[#This Row],[STATUS]],
    _xlpm.vatCrit,   "Emerging",
    _xlpm.sumcol,    TotalGMContribution[November],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Z19" s="155" cm="1">
        <f t="array" ref="Z19">_xlfn.LET(
    _xlpm.s,         GMConSpreadTable8194553[[#This Row],[STATUS]],
    _xlpm.vatCrit,   "Emerging",
    _xlpm.sumcol,    TotalGMContribution[December],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AA19" s="155" cm="1">
        <f t="array" ref="AA19">_xlfn.LET(
    _xlpm.s,         GMConSpreadTable8194553[[#This Row],[STATUS]],
    _xlpm.vatCrit,   "Emerging",
    _xlpm.sumcol,    TotalGMContribution[January],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AB19" s="155" cm="1">
        <f t="array" ref="AB19">_xlfn.LET(
    _xlpm.s,         GMConSpreadTable8194553[[#This Row],[STATUS]],
    _xlpm.vatCrit,   "Emerging",
    _xlpm.sumcol,    TotalGMContribution[February],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AC19" s="155" cm="1">
        <f t="array" ref="AC19">_xlfn.LET(
    _xlpm.s,         GMConSpreadTable8194553[[#This Row],[STATUS]],
    _xlpm.vatCrit,   "Emerging",
    _xlpm.sumcol,    TotalGMContribution[March],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AD19" s="155" cm="1">
        <f t="array" ref="AD19">_xlfn.LET(
    _xlpm.s,         GMConSpreadTable8194553[[#This Row],[STATUS]],
    _xlpm.vatCrit,   "Emerging",
    _xlpm.sumcol,    TotalGMContribution[April],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AE19" s="155" cm="1">
        <f t="array" ref="AE19">_xlfn.LET(
    _xlpm.s,         GMConSpreadTable8194553[[#This Row],[STATUS]],
    _xlpm.vatCrit,   "Emerging",
    _xlpm.sumcol,    TotalGMContribution[May],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c r="AF19" s="155" cm="1">
        <f t="array" ref="AF19">_xlfn.LET(
    _xlpm.s,         GMConSpreadTable8194553[[#This Row],[STATUS]],
    _xlpm.vatCrit,   "Emerging",
    _xlpm.sumcol,    TotalGMContribution[June],
    _xlpm.statuscol, TotalGMContribution[Status],
    _xlpm.vatcol,    TotalGMContribution[VAT],
    _xlpm.oppcol,    TotalGMContribution[Opps Status],
          IF(EmergingGoodToggle=TRUE, SUMIFS(_xlpm.sumcol, _xlpm.statuscol, _xlpm.s, _xlpm.vatcol, _xlpm.vatCrit, _xlpm.oppcol, "Good"), 0) +
          IF(EmergingFairToggle=TRUE, SUMIFS(_xlpm.sumcol, _xlpm.statuscol, _xlpm.s, _xlpm.vatcol, _xlpm.vatCrit, _xlpm.oppcol, "Fair"), 0) +
          IF(EmergingRiskToggle=TRUE, SUMIFS(_xlpm.sumcol, _xlpm.statuscol, _xlpm.s, _xlpm.vatcol, _xlpm.vatCrit, _xlpm.oppcol, "Risk"), 0)
)</f>
        <v>0</v>
      </c>
    </row>
    <row r="20" spans="11:32" x14ac:dyDescent="0.25">
      <c r="K20" s="253" t="s">
        <v>151</v>
      </c>
      <c r="L20" s="176">
        <f>SUM(U38:W38)</f>
        <v>592529.05000000005</v>
      </c>
      <c r="M20" s="176">
        <f>SUM(X38:Z38)</f>
        <v>207796</v>
      </c>
      <c r="N20" s="176">
        <f>SUM(AA38:AC38)</f>
        <v>75684</v>
      </c>
      <c r="O20" s="176">
        <f>SUM(AD38:AF38)</f>
        <v>84252</v>
      </c>
      <c r="P20" s="255">
        <f>SUM(Table364957[[#This Row],[Q1]:[Q4]])</f>
        <v>960261.05</v>
      </c>
      <c r="T20" s="112" t="s">
        <v>152</v>
      </c>
      <c r="U20" s="155"/>
      <c r="V20" s="155"/>
      <c r="W20" s="155"/>
      <c r="X20" s="155"/>
      <c r="Y20" s="155"/>
      <c r="Z20" s="155"/>
      <c r="AA20" s="155"/>
      <c r="AB20" s="155"/>
      <c r="AC20" s="155"/>
      <c r="AD20" s="155"/>
      <c r="AE20" s="155"/>
      <c r="AF20" s="155"/>
    </row>
    <row r="21" spans="11:32" x14ac:dyDescent="0.25">
      <c r="K21" s="253" t="s">
        <v>60</v>
      </c>
      <c r="L21" s="176">
        <f>L20-L$18</f>
        <v>42529.050000000047</v>
      </c>
      <c r="M21" s="176">
        <f>M20-M$18</f>
        <v>-342204</v>
      </c>
      <c r="N21" s="176">
        <f>N20-N$18</f>
        <v>-474316</v>
      </c>
      <c r="O21" s="176">
        <f>O20-O$18</f>
        <v>-465748</v>
      </c>
      <c r="P21" s="205">
        <f>SUM(Table364957[[#This Row],[Q1]:[Q4]])</f>
        <v>-1239738.95</v>
      </c>
      <c r="T21" s="112" t="s">
        <v>110</v>
      </c>
      <c r="U21" s="158">
        <f>'FY2526 VAT Financial KPIs'!$G$24*U43</f>
        <v>91666.666666666672</v>
      </c>
      <c r="V21" s="158">
        <f>'FY2526 VAT Financial KPIs'!$G$24*V43</f>
        <v>91666.666666666672</v>
      </c>
      <c r="W21" s="158">
        <f>'FY2526 VAT Financial KPIs'!$G$24*W43</f>
        <v>91666.666666666672</v>
      </c>
      <c r="X21" s="158">
        <f>'FY2526 VAT Financial KPIs'!$G$24*X43</f>
        <v>91666.666666666672</v>
      </c>
      <c r="Y21" s="158">
        <f>'FY2526 VAT Financial KPIs'!$G$24*Y43</f>
        <v>91666.666666666672</v>
      </c>
      <c r="Z21" s="158">
        <f>'FY2526 VAT Financial KPIs'!$G$24*Z43</f>
        <v>91666.666666666672</v>
      </c>
      <c r="AA21" s="158">
        <f>'FY2526 VAT Financial KPIs'!$G$24*AA43</f>
        <v>91666.666666666672</v>
      </c>
      <c r="AB21" s="158">
        <f>'FY2526 VAT Financial KPIs'!$G$24*AB43</f>
        <v>91666.666666666672</v>
      </c>
      <c r="AC21" s="158">
        <f>'FY2526 VAT Financial KPIs'!$G$24*AC43</f>
        <v>91666.666666666672</v>
      </c>
      <c r="AD21" s="158">
        <f>'FY2526 VAT Financial KPIs'!$G$24*AD43</f>
        <v>91666.666666666672</v>
      </c>
      <c r="AE21" s="158">
        <f>'FY2526 VAT Financial KPIs'!$G$24*AE43</f>
        <v>91666.666666666672</v>
      </c>
      <c r="AF21" s="158">
        <f>'FY2526 VAT Financial KPIs'!$G$24*AF43</f>
        <v>91666.666666666672</v>
      </c>
    </row>
    <row r="22" spans="11:32" x14ac:dyDescent="0.25">
      <c r="K22" s="150" t="s">
        <v>159</v>
      </c>
      <c r="L22" s="183">
        <f>SUM(U$38:W39)</f>
        <v>592529.05000000005</v>
      </c>
      <c r="M22" s="183">
        <f>SUM(X$38:Z39)</f>
        <v>207796</v>
      </c>
      <c r="N22" s="183">
        <f>SUM(AA$38:AC39)</f>
        <v>75684</v>
      </c>
      <c r="O22" s="183">
        <f>SUM(AD$38:AF39)</f>
        <v>84252</v>
      </c>
      <c r="P22" s="207">
        <f>SUM(Table364957[[#This Row],[Q1]:[Q4]])</f>
        <v>960261.05</v>
      </c>
      <c r="T22" s="112" t="s">
        <v>111</v>
      </c>
      <c r="U22" s="158">
        <f>'FY2526 VAT Financial KPIs'!$F$24*U44</f>
        <v>73333.333333333343</v>
      </c>
      <c r="V22" s="158">
        <f>'FY2526 VAT Financial KPIs'!$F$24*V44</f>
        <v>73333.333333333343</v>
      </c>
      <c r="W22" s="158">
        <f>'FY2526 VAT Financial KPIs'!$F$24*W44</f>
        <v>73333.333333333343</v>
      </c>
      <c r="X22" s="158">
        <f>'FY2526 VAT Financial KPIs'!$F$24*X44</f>
        <v>73333.333333333343</v>
      </c>
      <c r="Y22" s="158">
        <f>'FY2526 VAT Financial KPIs'!$F$24*Y44</f>
        <v>73333.333333333343</v>
      </c>
      <c r="Z22" s="158">
        <f>'FY2526 VAT Financial KPIs'!$F$24*Z44</f>
        <v>73333.333333333343</v>
      </c>
      <c r="AA22" s="158">
        <f>'FY2526 VAT Financial KPIs'!$F$24*AA44</f>
        <v>73333.333333333343</v>
      </c>
      <c r="AB22" s="158">
        <f>'FY2526 VAT Financial KPIs'!$F$24*AB44</f>
        <v>73333.333333333343</v>
      </c>
      <c r="AC22" s="158">
        <f>'FY2526 VAT Financial KPIs'!$F$24*AC44</f>
        <v>73333.333333333343</v>
      </c>
      <c r="AD22" s="158">
        <f>'FY2526 VAT Financial KPIs'!$F$24*AD44</f>
        <v>73333.333333333343</v>
      </c>
      <c r="AE22" s="158">
        <f>'FY2526 VAT Financial KPIs'!$F$24*AE44</f>
        <v>73333.333333333343</v>
      </c>
      <c r="AF22" s="158">
        <f>'FY2526 VAT Financial KPIs'!$F$24*AF44</f>
        <v>73333.333333333343</v>
      </c>
    </row>
    <row r="23" spans="11:32" x14ac:dyDescent="0.25">
      <c r="K23" s="182" t="s">
        <v>154</v>
      </c>
      <c r="L23" s="176">
        <f>L22-L$18</f>
        <v>42529.050000000047</v>
      </c>
      <c r="M23" s="176">
        <f>M22-M$18</f>
        <v>-342204</v>
      </c>
      <c r="N23" s="176">
        <f>N22-N$18</f>
        <v>-474316</v>
      </c>
      <c r="O23" s="176">
        <f>O22-O$18</f>
        <v>-465748</v>
      </c>
      <c r="P23" s="205">
        <f>SUM(Table364957[[#This Row],[Q1]:[Q4]])</f>
        <v>-1239738.95</v>
      </c>
      <c r="T23" s="112" t="s">
        <v>4</v>
      </c>
      <c r="U23" s="158">
        <f>'FY2526 VAT Financial KPIs'!$E$24*U45</f>
        <v>45000</v>
      </c>
      <c r="V23" s="158">
        <f>'FY2526 VAT Financial KPIs'!$E$24*V45</f>
        <v>45000</v>
      </c>
      <c r="W23" s="158">
        <f>'FY2526 VAT Financial KPIs'!$E$24*W45</f>
        <v>45000</v>
      </c>
      <c r="X23" s="158">
        <f>'FY2526 VAT Financial KPIs'!$E$24*X45</f>
        <v>45000</v>
      </c>
      <c r="Y23" s="158">
        <f>'FY2526 VAT Financial KPIs'!$E$24*Y45</f>
        <v>45000</v>
      </c>
      <c r="Z23" s="158">
        <f>'FY2526 VAT Financial KPIs'!$E$24*Z45</f>
        <v>45000</v>
      </c>
      <c r="AA23" s="158">
        <f>'FY2526 VAT Financial KPIs'!$E$24*AA45</f>
        <v>45000</v>
      </c>
      <c r="AB23" s="158">
        <f>'FY2526 VAT Financial KPIs'!$E$24*AB45</f>
        <v>45000</v>
      </c>
      <c r="AC23" s="158">
        <f>'FY2526 VAT Financial KPIs'!$E$24*AC45</f>
        <v>45000</v>
      </c>
      <c r="AD23" s="158">
        <f>'FY2526 VAT Financial KPIs'!$E$24*AD45</f>
        <v>45000</v>
      </c>
      <c r="AE23" s="158">
        <f>'FY2526 VAT Financial KPIs'!$E$24*AE45</f>
        <v>45000</v>
      </c>
      <c r="AF23" s="158">
        <f>'FY2526 VAT Financial KPIs'!$E$24*AF45</f>
        <v>45000</v>
      </c>
    </row>
    <row r="24" spans="11:32" x14ac:dyDescent="0.25">
      <c r="K24" s="150" t="s">
        <v>160</v>
      </c>
      <c r="L24" s="183">
        <f>SUM(U$38:W40)</f>
        <v>592529.05000000005</v>
      </c>
      <c r="M24" s="183">
        <f>SUM(X$38:Z40)</f>
        <v>207796</v>
      </c>
      <c r="N24" s="183">
        <f>SUM(AA$38:AC40)</f>
        <v>75684</v>
      </c>
      <c r="O24" s="183">
        <f>SUM(AD$38:AF40)</f>
        <v>84252</v>
      </c>
      <c r="P24" s="205">
        <f>SUM(Table364957[[#This Row],[Q1]:[Q4]])</f>
        <v>960261.05</v>
      </c>
    </row>
    <row r="25" spans="11:32" x14ac:dyDescent="0.25">
      <c r="K25" s="182" t="s">
        <v>154</v>
      </c>
      <c r="L25" s="176">
        <f>L24-L$18</f>
        <v>42529.050000000047</v>
      </c>
      <c r="M25" s="176">
        <f>M24-M$18</f>
        <v>-342204</v>
      </c>
      <c r="N25" s="176">
        <f>N24-N$18</f>
        <v>-474316</v>
      </c>
      <c r="O25" s="176">
        <f>O24-O$18</f>
        <v>-465748</v>
      </c>
      <c r="P25" s="205">
        <f>SUM(Table364957[[#This Row],[Q1]:[Q4]])</f>
        <v>-1239738.95</v>
      </c>
      <c r="T25" s="13" t="s">
        <v>93</v>
      </c>
      <c r="U25" s="112"/>
      <c r="V25" s="112"/>
      <c r="W25" s="112"/>
      <c r="X25" s="112"/>
      <c r="Y25" s="112"/>
      <c r="Z25" s="112"/>
      <c r="AA25" s="112"/>
      <c r="AB25" s="112"/>
      <c r="AC25" s="112"/>
      <c r="AD25" s="112"/>
      <c r="AE25" s="112"/>
      <c r="AF25" s="112"/>
    </row>
    <row r="26" spans="11:32" x14ac:dyDescent="0.25">
      <c r="K26" s="150" t="s">
        <v>161</v>
      </c>
      <c r="L26" s="183">
        <f ca="1">SUM(U$38:W41)</f>
        <v>592529.05000000005</v>
      </c>
      <c r="M26" s="183">
        <f ca="1">SUM(X$38:Z41)</f>
        <v>207796</v>
      </c>
      <c r="N26" s="183">
        <f ca="1">SUM(AA$38:AC41)</f>
        <v>75684</v>
      </c>
      <c r="O26" s="183">
        <f ca="1">SUM(AD$38:AF41)</f>
        <v>84252</v>
      </c>
      <c r="P26" s="205">
        <f ca="1">SUM(Table364957[[#This Row],[Q1]:[Q4]])</f>
        <v>960261.05</v>
      </c>
      <c r="T26" s="113" t="s">
        <v>94</v>
      </c>
      <c r="U26" s="112" t="s">
        <v>95</v>
      </c>
      <c r="V26" s="112" t="s">
        <v>96</v>
      </c>
      <c r="W26" s="112" t="s">
        <v>97</v>
      </c>
      <c r="X26" s="112" t="s">
        <v>98</v>
      </c>
      <c r="Y26" s="112" t="s">
        <v>99</v>
      </c>
      <c r="Z26" s="112" t="s">
        <v>100</v>
      </c>
      <c r="AA26" s="112" t="s">
        <v>101</v>
      </c>
      <c r="AB26" s="112" t="s">
        <v>102</v>
      </c>
      <c r="AC26" s="112" t="s">
        <v>103</v>
      </c>
      <c r="AD26" s="112" t="s">
        <v>104</v>
      </c>
      <c r="AE26" s="112" t="s">
        <v>105</v>
      </c>
      <c r="AF26" s="112" t="s">
        <v>106</v>
      </c>
    </row>
    <row r="27" spans="11:32" x14ac:dyDescent="0.25">
      <c r="K27" s="182" t="s">
        <v>154</v>
      </c>
      <c r="L27" s="176">
        <f ca="1">L26-L$18</f>
        <v>42529.050000000047</v>
      </c>
      <c r="M27" s="176">
        <f ca="1">M26-M$18</f>
        <v>-342204</v>
      </c>
      <c r="N27" s="176">
        <f ca="1">N26-N$18</f>
        <v>-474316</v>
      </c>
      <c r="O27" s="176">
        <f ca="1">O26-O$18</f>
        <v>-465748</v>
      </c>
      <c r="P27" s="206">
        <f ca="1">SUM(Table364957[[#This Row],[Q1]:[Q4]])</f>
        <v>-1239738.95</v>
      </c>
      <c r="T27" s="112" t="s">
        <v>148</v>
      </c>
      <c r="U27" s="112">
        <f>U38</f>
        <v>272049.5</v>
      </c>
      <c r="V27" s="112">
        <f>SUM($U38:V38)</f>
        <v>558503.05000000005</v>
      </c>
      <c r="W27" s="112">
        <f>SUM($U38:W38)</f>
        <v>592529.05000000005</v>
      </c>
      <c r="X27" s="112">
        <f>SUM($U38:X38)</f>
        <v>672925.05</v>
      </c>
      <c r="Y27" s="112">
        <f>SUM($U38:Y38)</f>
        <v>778905.05</v>
      </c>
      <c r="Z27" s="112">
        <f>SUM($U38:Z38)</f>
        <v>800325.05</v>
      </c>
      <c r="AA27" s="112">
        <f>SUM($U38:AA38)</f>
        <v>820317.05</v>
      </c>
      <c r="AB27" s="112">
        <f>SUM($U38:AB38)</f>
        <v>841737.05</v>
      </c>
      <c r="AC27" s="112">
        <f>SUM($U38:AC38)</f>
        <v>876009.05</v>
      </c>
      <c r="AD27" s="112">
        <f>SUM($U38:AD38)</f>
        <v>903141.05</v>
      </c>
      <c r="AE27" s="112">
        <f>SUM($U38:AE38)</f>
        <v>931701.05</v>
      </c>
      <c r="AF27" s="112">
        <f>SUM($U38:AF38)</f>
        <v>960261.05</v>
      </c>
    </row>
    <row r="28" spans="11:32" x14ac:dyDescent="0.25">
      <c r="K28" s="150"/>
      <c r="L28" s="176"/>
      <c r="M28" s="176"/>
      <c r="N28" s="176"/>
      <c r="O28" s="176"/>
      <c r="P28" s="177"/>
      <c r="T28" s="112" t="s">
        <v>150</v>
      </c>
      <c r="U28" s="112">
        <f>U39+U27</f>
        <v>272049.5</v>
      </c>
      <c r="V28" s="112">
        <f>SUM($U39:V39)+V27</f>
        <v>558503.05000000005</v>
      </c>
      <c r="W28" s="112">
        <f>SUM($U39:W39)+W27</f>
        <v>592529.05000000005</v>
      </c>
      <c r="X28" s="112">
        <f>SUM($U39:X39)+X27</f>
        <v>672925.05</v>
      </c>
      <c r="Y28" s="112">
        <f>SUM($U39:Y39)+Y27</f>
        <v>778905.05</v>
      </c>
      <c r="Z28" s="112">
        <f>SUM($U39:Z39)+Z27</f>
        <v>800325.05</v>
      </c>
      <c r="AA28" s="112">
        <f>SUM($U39:AA39)+AA27</f>
        <v>820317.05</v>
      </c>
      <c r="AB28" s="112">
        <f>SUM($U39:AB39)+AB27</f>
        <v>841737.05</v>
      </c>
      <c r="AC28" s="112">
        <f>SUM($U39:AC39)+AC27</f>
        <v>876009.05</v>
      </c>
      <c r="AD28" s="112">
        <f>SUM($U39:AD39)+AD27</f>
        <v>903141.05</v>
      </c>
      <c r="AE28" s="112">
        <f>SUM($U39:AE39)+AE27</f>
        <v>931701.05</v>
      </c>
      <c r="AF28" s="112">
        <f>SUM($U39:AF39)+AF27</f>
        <v>960261.05</v>
      </c>
    </row>
    <row r="29" spans="11:32" x14ac:dyDescent="0.25">
      <c r="K29" s="201" t="s">
        <v>162</v>
      </c>
      <c r="L29" s="189" t="s">
        <v>47</v>
      </c>
      <c r="M29" s="189" t="s">
        <v>48</v>
      </c>
      <c r="N29" s="189" t="s">
        <v>49</v>
      </c>
      <c r="O29" s="189" t="s">
        <v>50</v>
      </c>
      <c r="P29" s="189" t="s">
        <v>1</v>
      </c>
      <c r="T29" s="112" t="s">
        <v>108</v>
      </c>
      <c r="U29" s="112">
        <f>U40+U28</f>
        <v>272049.5</v>
      </c>
      <c r="V29" s="112">
        <f>SUM($U40:V40)+V28</f>
        <v>558503.05000000005</v>
      </c>
      <c r="W29" s="112">
        <f>SUM($U40:W40)+W28</f>
        <v>592529.05000000005</v>
      </c>
      <c r="X29" s="112">
        <f>SUM($U40:X40)+X28</f>
        <v>672925.05</v>
      </c>
      <c r="Y29" s="112">
        <f>SUM($U40:Y40)+Y28</f>
        <v>778905.05</v>
      </c>
      <c r="Z29" s="112">
        <f>SUM($U40:Z40)+Z28</f>
        <v>800325.05</v>
      </c>
      <c r="AA29" s="112">
        <f>SUM($U40:AA40)+AA28</f>
        <v>820317.05</v>
      </c>
      <c r="AB29" s="112">
        <f>SUM($U40:AB40)+AB28</f>
        <v>841737.05</v>
      </c>
      <c r="AC29" s="112">
        <f>SUM($U40:AC40)+AC28</f>
        <v>876009.05</v>
      </c>
      <c r="AD29" s="112">
        <f>SUM($U40:AD40)+AD28</f>
        <v>903141.05</v>
      </c>
      <c r="AE29" s="112">
        <f>SUM($U40:AE40)+AE28</f>
        <v>931701.05</v>
      </c>
      <c r="AF29" s="112">
        <f>SUM($U40:AF40)+AF28</f>
        <v>960261.05</v>
      </c>
    </row>
    <row r="30" spans="11:32" x14ac:dyDescent="0.25">
      <c r="K30" s="150" t="s">
        <v>163</v>
      </c>
      <c r="L30" s="202">
        <f>L6/L18</f>
        <v>0.40000000000000008</v>
      </c>
      <c r="M30" s="202">
        <f t="shared" ref="M30:P30" si="4">M6/M18</f>
        <v>0.40000000000000008</v>
      </c>
      <c r="N30" s="202">
        <f t="shared" si="4"/>
        <v>0.40000000000000008</v>
      </c>
      <c r="O30" s="202">
        <f t="shared" si="4"/>
        <v>0.40000000000000008</v>
      </c>
      <c r="P30" s="202">
        <f t="shared" si="4"/>
        <v>0.40000000000000008</v>
      </c>
      <c r="T30" s="112" t="s">
        <v>109</v>
      </c>
      <c r="U30" s="112">
        <f ca="1">U41+U29</f>
        <v>272049.5</v>
      </c>
      <c r="V30" s="112">
        <f ca="1">SUM($U41:V41)+V29</f>
        <v>558503.05000000005</v>
      </c>
      <c r="W30" s="112">
        <f ca="1">SUM($U41:W41)+W29</f>
        <v>592529.05000000005</v>
      </c>
      <c r="X30" s="112">
        <f ca="1">SUM($U41:X41)+X29</f>
        <v>672925.05</v>
      </c>
      <c r="Y30" s="112">
        <f ca="1">SUM($U41:Y41)+Y29</f>
        <v>778905.05</v>
      </c>
      <c r="Z30" s="112">
        <f ca="1">SUM($U41:Z41)+Z29</f>
        <v>800325.05</v>
      </c>
      <c r="AA30" s="112">
        <f ca="1">SUM($U41:AA41)+AA29</f>
        <v>820317.05</v>
      </c>
      <c r="AB30" s="112">
        <f ca="1">SUM($U41:AB41)+AB29</f>
        <v>841737.05</v>
      </c>
      <c r="AC30" s="112">
        <f ca="1">SUM($U41:AC41)+AC29</f>
        <v>876009.05</v>
      </c>
      <c r="AD30" s="112">
        <f ca="1">SUM($U41:AD41)+AD29</f>
        <v>903141.05</v>
      </c>
      <c r="AE30" s="112">
        <f ca="1">SUM($U41:AE41)+AE29</f>
        <v>931701.05</v>
      </c>
      <c r="AF30" s="112">
        <f ca="1">SUM($U41:AF41)+AF29</f>
        <v>960261.05</v>
      </c>
    </row>
    <row r="31" spans="11:32" x14ac:dyDescent="0.25">
      <c r="K31" s="150" t="s">
        <v>201</v>
      </c>
      <c r="L31" s="203">
        <f>IFERROR(L7/L19,"")</f>
        <v>0.44297787593705368</v>
      </c>
      <c r="M31" s="203">
        <f>IFERROR(M7/M19,"")</f>
        <v>0.3518951279139157</v>
      </c>
      <c r="N31" s="203">
        <f>IFERROR(N7/N19,"")</f>
        <v>6.4425770308123242E-2</v>
      </c>
      <c r="O31" s="203" t="str">
        <f>IFERROR(O7/O19,"")</f>
        <v/>
      </c>
      <c r="P31" s="204">
        <f>P7/P19</f>
        <v>0.41067982190544533</v>
      </c>
      <c r="T31" s="112" t="s">
        <v>152</v>
      </c>
      <c r="U31" s="112">
        <f>U42</f>
        <v>0</v>
      </c>
      <c r="V31" s="112">
        <f>SUM($U42:V42)</f>
        <v>0</v>
      </c>
      <c r="W31" s="112">
        <f>SUM($U42:W42)</f>
        <v>0</v>
      </c>
      <c r="X31" s="112">
        <f>SUM($U42:X42)</f>
        <v>0</v>
      </c>
      <c r="Y31" s="112">
        <f>SUM($U42:Y42)</f>
        <v>0</v>
      </c>
      <c r="Z31" s="112">
        <f>SUM($U42:Z42)</f>
        <v>0</v>
      </c>
      <c r="AA31" s="112">
        <f>SUM($U42:AA42)</f>
        <v>0</v>
      </c>
      <c r="AB31" s="112">
        <f>SUM($U42:AB42)</f>
        <v>0</v>
      </c>
      <c r="AC31" s="112">
        <f>SUM($U42:AC42)</f>
        <v>0</v>
      </c>
      <c r="AD31" s="112">
        <f>SUM($U42:AD42)</f>
        <v>0</v>
      </c>
      <c r="AE31" s="112">
        <f>SUM($U42:AE42)</f>
        <v>0</v>
      </c>
      <c r="AF31" s="112">
        <f>SUM($U42:AF42)</f>
        <v>0</v>
      </c>
    </row>
    <row r="32" spans="11:32" x14ac:dyDescent="0.25">
      <c r="K32" s="196" t="s">
        <v>202</v>
      </c>
      <c r="L32" s="145">
        <f>L8/L20</f>
        <v>0.4429778759370534</v>
      </c>
      <c r="M32" s="145">
        <f t="shared" ref="M32:P38" si="5">M8/M20</f>
        <v>0.35189512791391564</v>
      </c>
      <c r="N32" s="145">
        <f t="shared" si="5"/>
        <v>6.4425770308123242E-2</v>
      </c>
      <c r="O32" s="145">
        <f t="shared" si="5"/>
        <v>6.4425770308123242E-2</v>
      </c>
      <c r="P32" s="145">
        <f t="shared" si="5"/>
        <v>0.36021835937217295</v>
      </c>
      <c r="T32" s="112" t="s">
        <v>110</v>
      </c>
      <c r="U32" s="157">
        <f>U43</f>
        <v>229166.66666666666</v>
      </c>
      <c r="V32" s="157">
        <f>SUM($U43:V43)</f>
        <v>458333.33333333331</v>
      </c>
      <c r="W32" s="157">
        <f>SUM($U43:W43)</f>
        <v>687500</v>
      </c>
      <c r="X32" s="157">
        <f>SUM($U43:X43)</f>
        <v>916666.66666666663</v>
      </c>
      <c r="Y32" s="157">
        <f>SUM($U43:Y43)</f>
        <v>1145833.3333333333</v>
      </c>
      <c r="Z32" s="157">
        <f>SUM($U43:Z43)</f>
        <v>1375000</v>
      </c>
      <c r="AA32" s="157">
        <f>SUM($U43:AA43)</f>
        <v>1604166.6666666667</v>
      </c>
      <c r="AB32" s="157">
        <f>SUM($U43:AB43)</f>
        <v>1833333.3333333335</v>
      </c>
      <c r="AC32" s="157">
        <f>SUM($U43:AC43)</f>
        <v>2062500.0000000002</v>
      </c>
      <c r="AD32" s="157">
        <f>SUM($U43:AD43)</f>
        <v>2291666.666666667</v>
      </c>
      <c r="AE32" s="157">
        <f>SUM($U43:AE43)</f>
        <v>2520833.3333333335</v>
      </c>
      <c r="AF32" s="157">
        <f>SUM($U43:AF43)</f>
        <v>2750000</v>
      </c>
    </row>
    <row r="33" spans="11:32" x14ac:dyDescent="0.25">
      <c r="K33" s="199" t="s">
        <v>154</v>
      </c>
      <c r="L33" s="145">
        <f>L32-L$30</f>
        <v>4.2977875937053323E-2</v>
      </c>
      <c r="M33" s="145">
        <f t="shared" ref="M33:P33" si="6">M32-M$30</f>
        <v>-4.8104872086084438E-2</v>
      </c>
      <c r="N33" s="145">
        <f t="shared" si="6"/>
        <v>-0.33557422969187684</v>
      </c>
      <c r="O33" s="145">
        <f t="shared" si="6"/>
        <v>-0.33557422969187684</v>
      </c>
      <c r="P33" s="145">
        <f t="shared" si="6"/>
        <v>-3.9781640627827131E-2</v>
      </c>
      <c r="T33" s="112" t="s">
        <v>111</v>
      </c>
      <c r="U33" s="157">
        <f>U44</f>
        <v>183333.33333333334</v>
      </c>
      <c r="V33" s="157">
        <f>SUM($U44:V44)</f>
        <v>366666.66666666669</v>
      </c>
      <c r="W33" s="157">
        <f>SUM($U44:W44)</f>
        <v>550000</v>
      </c>
      <c r="X33" s="157">
        <f>SUM($U44:X44)</f>
        <v>733333.33333333337</v>
      </c>
      <c r="Y33" s="157">
        <f>SUM($U44:Y44)</f>
        <v>916666.66666666674</v>
      </c>
      <c r="Z33" s="157">
        <f>SUM($U44:Z44)</f>
        <v>1100000</v>
      </c>
      <c r="AA33" s="157">
        <f>SUM($U44:AA44)</f>
        <v>1283333.3333333333</v>
      </c>
      <c r="AB33" s="157">
        <f>SUM($U44:AB44)</f>
        <v>1466666.6666666665</v>
      </c>
      <c r="AC33" s="157">
        <f>SUM($U44:AC44)</f>
        <v>1649999.9999999998</v>
      </c>
      <c r="AD33" s="157">
        <f>SUM($U44:AD44)</f>
        <v>1833333.333333333</v>
      </c>
      <c r="AE33" s="157">
        <f>SUM($U44:AE44)</f>
        <v>2016666.6666666663</v>
      </c>
      <c r="AF33" s="157">
        <f>SUM($U44:AF44)</f>
        <v>2199999.9999999995</v>
      </c>
    </row>
    <row r="34" spans="11:32" x14ac:dyDescent="0.25">
      <c r="K34" s="150" t="s">
        <v>164</v>
      </c>
      <c r="L34" s="145">
        <f t="shared" ref="L34:O34" si="7">L10/L22</f>
        <v>0.4429778759370534</v>
      </c>
      <c r="M34" s="145">
        <f t="shared" si="7"/>
        <v>0.35189512791391564</v>
      </c>
      <c r="N34" s="145">
        <f t="shared" si="7"/>
        <v>6.4425770308123242E-2</v>
      </c>
      <c r="O34" s="145">
        <f t="shared" si="7"/>
        <v>6.4425770308123242E-2</v>
      </c>
      <c r="P34" s="145">
        <f t="shared" si="5"/>
        <v>0.36021835937217295</v>
      </c>
      <c r="T34" s="112" t="s">
        <v>4</v>
      </c>
      <c r="U34" s="157">
        <f>U45</f>
        <v>112500</v>
      </c>
      <c r="V34" s="157">
        <f>RevCumulativeSpreadTable6184452[[#This Row],[July]]+V45</f>
        <v>225000</v>
      </c>
      <c r="W34" s="157">
        <f>RevCumulativeSpreadTable6184452[[#This Row],[August]]+W45</f>
        <v>337500</v>
      </c>
      <c r="X34" s="157">
        <f>RevCumulativeSpreadTable6184452[[#This Row],[September]]+X45</f>
        <v>450000</v>
      </c>
      <c r="Y34" s="157">
        <f>RevCumulativeSpreadTable6184452[[#This Row],[October]]+Y45</f>
        <v>562500</v>
      </c>
      <c r="Z34" s="157">
        <f>RevCumulativeSpreadTable6184452[[#This Row],[November]]+Z45</f>
        <v>675000</v>
      </c>
      <c r="AA34" s="157">
        <f>RevCumulativeSpreadTable6184452[[#This Row],[December]]+AA45</f>
        <v>787500</v>
      </c>
      <c r="AB34" s="157">
        <f>RevCumulativeSpreadTable6184452[[#This Row],[January]]+AB45</f>
        <v>900000</v>
      </c>
      <c r="AC34" s="157">
        <f>RevCumulativeSpreadTable6184452[[#This Row],[February]]+AC45</f>
        <v>1012500</v>
      </c>
      <c r="AD34" s="157">
        <f>RevCumulativeSpreadTable6184452[[#This Row],[March]]+AD45</f>
        <v>1125000</v>
      </c>
      <c r="AE34" s="157">
        <f>RevCumulativeSpreadTable6184452[[#This Row],[April]]+AE45</f>
        <v>1237500</v>
      </c>
      <c r="AF34" s="157">
        <f>RevCumulativeSpreadTable6184452[[#This Row],[May]]+AF45</f>
        <v>1350000</v>
      </c>
    </row>
    <row r="35" spans="11:32" x14ac:dyDescent="0.25">
      <c r="K35" s="199" t="s">
        <v>154</v>
      </c>
      <c r="L35" s="145">
        <f t="shared" ref="L35:P35" si="8">L34-L$30</f>
        <v>4.2977875937053323E-2</v>
      </c>
      <c r="M35" s="145">
        <f t="shared" si="8"/>
        <v>-4.8104872086084438E-2</v>
      </c>
      <c r="N35" s="145">
        <f t="shared" si="8"/>
        <v>-0.33557422969187684</v>
      </c>
      <c r="O35" s="145">
        <f t="shared" si="8"/>
        <v>-0.33557422969187684</v>
      </c>
      <c r="P35" s="145">
        <f t="shared" si="8"/>
        <v>-3.9781640627827131E-2</v>
      </c>
    </row>
    <row r="36" spans="11:32" x14ac:dyDescent="0.25">
      <c r="K36" s="150" t="s">
        <v>165</v>
      </c>
      <c r="L36" s="145">
        <f t="shared" ref="L36:O36" si="9">L12/L24</f>
        <v>0.4429778759370534</v>
      </c>
      <c r="M36" s="145">
        <f t="shared" si="9"/>
        <v>0.35189512791391564</v>
      </c>
      <c r="N36" s="145">
        <f t="shared" si="9"/>
        <v>6.4425770308123242E-2</v>
      </c>
      <c r="O36" s="145">
        <f t="shared" si="9"/>
        <v>6.4425770308123242E-2</v>
      </c>
      <c r="P36" s="145">
        <f t="shared" si="5"/>
        <v>0.36021835937217295</v>
      </c>
      <c r="T36" s="13" t="s">
        <v>113</v>
      </c>
      <c r="W36" s="13"/>
    </row>
    <row r="37" spans="11:32" x14ac:dyDescent="0.25">
      <c r="K37" s="199" t="s">
        <v>154</v>
      </c>
      <c r="L37" s="145">
        <f t="shared" ref="L37:P37" si="10">L36-L$30</f>
        <v>4.2977875937053323E-2</v>
      </c>
      <c r="M37" s="145">
        <f t="shared" si="10"/>
        <v>-4.8104872086084438E-2</v>
      </c>
      <c r="N37" s="145">
        <f t="shared" si="10"/>
        <v>-0.33557422969187684</v>
      </c>
      <c r="O37" s="145">
        <f t="shared" si="10"/>
        <v>-0.33557422969187684</v>
      </c>
      <c r="P37" s="145">
        <f t="shared" si="10"/>
        <v>-3.9781640627827131E-2</v>
      </c>
      <c r="T37" s="13" t="s">
        <v>94</v>
      </c>
      <c r="U37" s="118" t="s">
        <v>95</v>
      </c>
      <c r="V37" s="118" t="s">
        <v>96</v>
      </c>
      <c r="W37" s="118" t="s">
        <v>97</v>
      </c>
      <c r="X37" s="118" t="s">
        <v>98</v>
      </c>
      <c r="Y37" s="118" t="s">
        <v>99</v>
      </c>
      <c r="Z37" s="118" t="s">
        <v>100</v>
      </c>
      <c r="AA37" s="118" t="s">
        <v>101</v>
      </c>
      <c r="AB37" s="118" t="s">
        <v>102</v>
      </c>
      <c r="AC37" s="118" t="s">
        <v>103</v>
      </c>
      <c r="AD37" s="118" t="s">
        <v>104</v>
      </c>
      <c r="AE37" s="118" t="s">
        <v>105</v>
      </c>
      <c r="AF37" s="118" t="s">
        <v>106</v>
      </c>
    </row>
    <row r="38" spans="11:32" x14ac:dyDescent="0.25">
      <c r="K38" s="150" t="s">
        <v>166</v>
      </c>
      <c r="L38" s="145">
        <f t="shared" ref="L38:O38" ca="1" si="11">L14/L26</f>
        <v>0.4429778759370534</v>
      </c>
      <c r="M38" s="145">
        <f t="shared" ca="1" si="11"/>
        <v>0.35189512791391564</v>
      </c>
      <c r="N38" s="145">
        <f t="shared" ca="1" si="11"/>
        <v>6.4425770308123242E-2</v>
      </c>
      <c r="O38" s="145">
        <f t="shared" ca="1" si="11"/>
        <v>6.4425770308123242E-2</v>
      </c>
      <c r="P38" s="145">
        <f t="shared" ca="1" si="5"/>
        <v>0.36021835937217295</v>
      </c>
      <c r="T38" s="112" t="s">
        <v>148</v>
      </c>
      <c r="U38" s="112">
        <f>SUMIF(Job_Status[VAT],"Emerging",Job_Status[R1])</f>
        <v>272049.5</v>
      </c>
      <c r="V38" s="112">
        <f>SUMIF(Job_Status[VAT],"Emerging",Job_Status[R2])</f>
        <v>286453.55</v>
      </c>
      <c r="W38" s="112">
        <f>SUMIF(Job_Status[VAT],"Emerging",Job_Status[R3])</f>
        <v>34026</v>
      </c>
      <c r="X38" s="112">
        <f>SUMIF(Job_Status[VAT],"Emerging",Job_Status[R4])</f>
        <v>80396</v>
      </c>
      <c r="Y38" s="112">
        <f>SUMIF(Job_Status[VAT],"Emerging",Job_Status[R5])</f>
        <v>105980</v>
      </c>
      <c r="Z38" s="112">
        <f>SUMIF(Job_Status[VAT],"Emerging",Job_Status[R6])</f>
        <v>21420</v>
      </c>
      <c r="AA38" s="112">
        <f>SUMIF(Job_Status[VAT],"Emerging",Job_Status[R7])</f>
        <v>19992</v>
      </c>
      <c r="AB38" s="112">
        <f>SUMIF(Job_Status[VAT],"Emerging",Job_Status[R8])</f>
        <v>21420</v>
      </c>
      <c r="AC38" s="112">
        <f>SUMIF(Job_Status[VAT],"Emerging",Job_Status[R9])</f>
        <v>34272</v>
      </c>
      <c r="AD38" s="112">
        <f>SUMIF(Job_Status[VAT],"Emerging",Job_Status[R10])</f>
        <v>27132</v>
      </c>
      <c r="AE38" s="112">
        <f>SUMIF(Job_Status[VAT],"Emerging",Job_Status[R11])</f>
        <v>28560</v>
      </c>
      <c r="AF38" s="112">
        <f>SUMIF(Job_Status[VAT],"Emerging",Job_Status[R12])</f>
        <v>28560</v>
      </c>
    </row>
    <row r="39" spans="11:32" x14ac:dyDescent="0.25">
      <c r="K39" s="200" t="s">
        <v>154</v>
      </c>
      <c r="L39" s="145">
        <f t="shared" ref="L39:P39" ca="1" si="12">L38-L$30</f>
        <v>4.2977875937053323E-2</v>
      </c>
      <c r="M39" s="145">
        <f t="shared" ca="1" si="12"/>
        <v>-4.8104872086084438E-2</v>
      </c>
      <c r="N39" s="145">
        <f t="shared" ca="1" si="12"/>
        <v>-0.33557422969187684</v>
      </c>
      <c r="O39" s="145">
        <f t="shared" ca="1" si="12"/>
        <v>-0.33557422969187684</v>
      </c>
      <c r="P39" s="145">
        <f t="shared" ca="1" si="12"/>
        <v>-3.9781640627827131E-2</v>
      </c>
      <c r="T39" s="112" t="s">
        <v>77</v>
      </c>
      <c r="U39" s="112">
        <f>SUMIFS(OppSpreadData[July],OppSpreadData[VAT],"Emerging",OppSpreadData[Phase],RevSpreadTable5174351[[#This Row],[STATUS]])</f>
        <v>0</v>
      </c>
      <c r="V39" s="112">
        <f>SUMIFS(OppSpreadData[August],OppSpreadData[VAT],"Emerging",OppSpreadData[Phase],RevSpreadTable5174351[[#This Row],[STATUS]])</f>
        <v>0</v>
      </c>
      <c r="W39" s="112">
        <f>SUMIFS(OppSpreadData[September],OppSpreadData[VAT],"Emerging",OppSpreadData[Phase],RevSpreadTable5174351[[#This Row],[STATUS]])</f>
        <v>0</v>
      </c>
      <c r="X39" s="112">
        <f>SUMIFS(OppSpreadData[October],OppSpreadData[VAT],"Emerging",OppSpreadData[Phase],RevSpreadTable5174351[[#This Row],[STATUS]])</f>
        <v>0</v>
      </c>
      <c r="Y39" s="112">
        <f>SUMIFS(OppSpreadData[November],OppSpreadData[VAT],"Emerging",OppSpreadData[Phase],RevSpreadTable5174351[[#This Row],[STATUS]])</f>
        <v>0</v>
      </c>
      <c r="Z39" s="112">
        <f>SUMIFS(OppSpreadData[December],OppSpreadData[VAT],"Emerging",OppSpreadData[Phase],RevSpreadTable5174351[[#This Row],[STATUS]])</f>
        <v>0</v>
      </c>
      <c r="AA39" s="112">
        <f>SUMIFS(OppSpreadData[January],OppSpreadData[VAT],"Emerging",OppSpreadData[Phase],RevSpreadTable5174351[[#This Row],[STATUS]])</f>
        <v>0</v>
      </c>
      <c r="AB39" s="112">
        <f>SUMIFS(OppSpreadData[February],OppSpreadData[VAT],"Emerging",OppSpreadData[Phase],RevSpreadTable5174351[[#This Row],[STATUS]])</f>
        <v>0</v>
      </c>
      <c r="AC39" s="112">
        <f>SUMIFS(OppSpreadData[March],OppSpreadData[VAT],"Emerging",OppSpreadData[Phase],RevSpreadTable5174351[[#This Row],[STATUS]])</f>
        <v>0</v>
      </c>
      <c r="AD39" s="112">
        <f>SUMIFS(OppSpreadData[April],OppSpreadData[VAT],"Emerging",OppSpreadData[Phase],RevSpreadTable5174351[[#This Row],[STATUS]])</f>
        <v>0</v>
      </c>
      <c r="AE39" s="112">
        <f>SUMIFS(OppSpreadData[May],OppSpreadData[VAT],"Emerging",OppSpreadData[Phase],RevSpreadTable5174351[[#This Row],[STATUS]])</f>
        <v>0</v>
      </c>
      <c r="AF39" s="112">
        <f>SUMIFS(OppSpreadData[June],OppSpreadData[VAT],"Emerging",OppSpreadData[Phase],RevSpreadTable5174351[[#This Row],[STATUS]])</f>
        <v>0</v>
      </c>
    </row>
    <row r="40" spans="11:32" x14ac:dyDescent="0.25">
      <c r="T40" s="112" t="s">
        <v>76</v>
      </c>
      <c r="U40" s="112">
        <f>SUMIFS(OppSpreadData[July],OppSpreadData[VAT],"Emerging",OppSpreadData[Phase],RevSpreadTable5174351[[#This Row],[STATUS]])</f>
        <v>0</v>
      </c>
      <c r="V40" s="112">
        <f>SUMIFS(OppSpreadData[August],OppSpreadData[VAT],"Emerging",OppSpreadData[Phase],RevSpreadTable5174351[[#This Row],[STATUS]])</f>
        <v>0</v>
      </c>
      <c r="W40" s="112">
        <f>SUMIFS(OppSpreadData[September],OppSpreadData[VAT],"Emerging",OppSpreadData[Phase],RevSpreadTable5174351[[#This Row],[STATUS]])</f>
        <v>0</v>
      </c>
      <c r="X40" s="112">
        <f>SUMIFS(OppSpreadData[October],OppSpreadData[VAT],"Emerging",OppSpreadData[Phase],RevSpreadTable5174351[[#This Row],[STATUS]])</f>
        <v>0</v>
      </c>
      <c r="Y40" s="112">
        <f>SUMIFS(OppSpreadData[November],OppSpreadData[VAT],"Emerging",OppSpreadData[Phase],RevSpreadTable5174351[[#This Row],[STATUS]])</f>
        <v>0</v>
      </c>
      <c r="Z40" s="112">
        <f>SUMIFS(OppSpreadData[December],OppSpreadData[VAT],"Emerging",OppSpreadData[Phase],RevSpreadTable5174351[[#This Row],[STATUS]])</f>
        <v>0</v>
      </c>
      <c r="AA40" s="112">
        <f>SUMIFS(OppSpreadData[January],OppSpreadData[VAT],"Emerging",OppSpreadData[Phase],RevSpreadTable5174351[[#This Row],[STATUS]])</f>
        <v>0</v>
      </c>
      <c r="AB40" s="112">
        <f>SUMIFS(OppSpreadData[February],OppSpreadData[VAT],"Emerging",OppSpreadData[Phase],RevSpreadTable5174351[[#This Row],[STATUS]])</f>
        <v>0</v>
      </c>
      <c r="AC40" s="112">
        <f>SUMIFS(OppSpreadData[March],OppSpreadData[VAT],"Emerging",OppSpreadData[Phase],RevSpreadTable5174351[[#This Row],[STATUS]])</f>
        <v>0</v>
      </c>
      <c r="AD40" s="112">
        <f>SUMIFS(OppSpreadData[April],OppSpreadData[VAT],"Emerging",OppSpreadData[Phase],RevSpreadTable5174351[[#This Row],[STATUS]])</f>
        <v>0</v>
      </c>
      <c r="AE40" s="112">
        <f>SUMIFS(OppSpreadData[May],OppSpreadData[VAT],"Emerging",OppSpreadData[Phase],RevSpreadTable5174351[[#This Row],[STATUS]])</f>
        <v>0</v>
      </c>
      <c r="AF40" s="112">
        <f>SUMIFS(OppSpreadData[June],OppSpreadData[VAT],"Emerging",OppSpreadData[Phase],RevSpreadTable5174351[[#This Row],[STATUS]])</f>
        <v>0</v>
      </c>
    </row>
    <row r="41" spans="11:32" x14ac:dyDescent="0.25">
      <c r="L41" s="276" t="s">
        <v>15</v>
      </c>
      <c r="M41" s="288"/>
      <c r="N41" s="276" t="s">
        <v>167</v>
      </c>
      <c r="O41" s="288"/>
      <c r="P41" s="275" t="s">
        <v>3</v>
      </c>
      <c r="Q41" s="276"/>
      <c r="T41" s="112" t="s">
        <v>75</v>
      </c>
      <c r="U41" s="112" cm="1">
        <f t="array" aca="1" ref="U41" ca="1">SUM(
  _xlfn._xlws.FILTER(
    _xlfn.DROP(_xlfn.CHOOSECOLS(QBlockRev,4),1),
    _xlfn.DROP(_xlfn.CHOOSECOLS(QBlockRev,3),1)="Emerging",0
  )
)</f>
        <v>0</v>
      </c>
      <c r="V41" s="112" cm="1">
        <f t="array" aca="1" ref="V41" ca="1">SUM(
  _xlfn._xlws.FILTER(
    _xlfn.DROP(_xlfn.CHOOSECOLS(QBlockRev,5),1),
    _xlfn.DROP(_xlfn.CHOOSECOLS(QBlockRev,3),1)="Emerging",0
  )
)</f>
        <v>0</v>
      </c>
      <c r="W41" s="112" cm="1">
        <f t="array" aca="1" ref="W41" ca="1">SUM(
  _xlfn._xlws.FILTER(
    _xlfn.DROP(_xlfn.CHOOSECOLS(QBlockRev,6),1),
    _xlfn.DROP(_xlfn.CHOOSECOLS(QBlockRev,3),1)="Emerging",0
  )
)</f>
        <v>0</v>
      </c>
      <c r="X41" s="112" cm="1">
        <f t="array" aca="1" ref="X41" ca="1">SUM(
  _xlfn._xlws.FILTER(
    _xlfn.DROP(_xlfn.CHOOSECOLS(QBlockRev,7),1),
    _xlfn.DROP(_xlfn.CHOOSECOLS(QBlockRev,3),1)="Emerging",0
  )
)</f>
        <v>0</v>
      </c>
      <c r="Y41" s="112" cm="1">
        <f t="array" aca="1" ref="Y41" ca="1">SUM(
  _xlfn._xlws.FILTER(
    _xlfn.DROP(_xlfn.CHOOSECOLS(QBlockRev,8),1),
    _xlfn.DROP(_xlfn.CHOOSECOLS(QBlockRev,3),1)="Emerging",0
  )
)</f>
        <v>0</v>
      </c>
      <c r="Z41" s="112" cm="1">
        <f t="array" aca="1" ref="Z41" ca="1">SUM(
  _xlfn._xlws.FILTER(
    _xlfn.DROP(_xlfn.CHOOSECOLS(QBlockRev,9),1),
    _xlfn.DROP(_xlfn.CHOOSECOLS(QBlockRev,3),1)="Emerging",0
  )
)</f>
        <v>0</v>
      </c>
      <c r="AA41" s="112" cm="1">
        <f t="array" aca="1" ref="AA41" ca="1">SUM(
  _xlfn._xlws.FILTER(
    _xlfn.DROP(_xlfn.CHOOSECOLS(QBlockRev,10),1),
    _xlfn.DROP(_xlfn.CHOOSECOLS(QBlockRev,3),1)="Emerging",0
  )
)</f>
        <v>0</v>
      </c>
      <c r="AB41" s="112" cm="1">
        <f t="array" aca="1" ref="AB41" ca="1">SUM(
  _xlfn._xlws.FILTER(
    _xlfn.DROP(_xlfn.CHOOSECOLS(QBlockRev,11),1),
    _xlfn.DROP(_xlfn.CHOOSECOLS(QBlockRev,3),1)="Emerging",0
  )
)</f>
        <v>0</v>
      </c>
      <c r="AC41" s="112" cm="1">
        <f t="array" aca="1" ref="AC41" ca="1">SUM(
  _xlfn._xlws.FILTER(
    _xlfn.DROP(_xlfn.CHOOSECOLS(QBlockRev,12),1),
    _xlfn.DROP(_xlfn.CHOOSECOLS(QBlockRev,3),1)="Emerging",0
  )
)</f>
        <v>0</v>
      </c>
      <c r="AD41" s="112" cm="1">
        <f t="array" aca="1" ref="AD41" ca="1">SUM(
  _xlfn._xlws.FILTER(
    _xlfn.DROP(_xlfn.CHOOSECOLS(QBlockRev,13),1),
    _xlfn.DROP(_xlfn.CHOOSECOLS(QBlockRev,3),1)="Emerging",0
  )
)</f>
        <v>0</v>
      </c>
      <c r="AE41" s="112" cm="1">
        <f t="array" aca="1" ref="AE41" ca="1">SUM(
  _xlfn._xlws.FILTER(
    _xlfn.DROP(_xlfn.CHOOSECOLS(QBlockRev,14),1),
    _xlfn.DROP(_xlfn.CHOOSECOLS(QBlockRev,3),1)="Emerging",0
  )
)</f>
        <v>0</v>
      </c>
      <c r="AF41" s="112" cm="1">
        <f t="array" aca="1" ref="AF41" ca="1">SUM(
  _xlfn._xlws.FILTER(
    _xlfn.DROP(_xlfn.CHOOSECOLS(QBlockRev,15),1),
    _xlfn.DROP(_xlfn.CHOOSECOLS(QBlockRev,3),1)="Emerging",0
  )
)</f>
        <v>0</v>
      </c>
    </row>
    <row r="42" spans="11:32" x14ac:dyDescent="0.25">
      <c r="K42" s="124" t="s">
        <v>168</v>
      </c>
      <c r="L42" s="125" t="s">
        <v>8</v>
      </c>
      <c r="M42" s="126" t="s">
        <v>169</v>
      </c>
      <c r="N42" s="125" t="s">
        <v>170</v>
      </c>
      <c r="O42" s="126" t="s">
        <v>171</v>
      </c>
      <c r="P42" s="125" t="s">
        <v>172</v>
      </c>
      <c r="Q42" s="126" t="s">
        <v>173</v>
      </c>
      <c r="T42" s="112" t="s">
        <v>152</v>
      </c>
      <c r="U42" s="260"/>
      <c r="V42" s="260"/>
      <c r="W42" s="260"/>
      <c r="X42" s="260"/>
      <c r="Y42" s="260"/>
      <c r="Z42" s="260"/>
      <c r="AA42" s="260"/>
      <c r="AB42" s="260"/>
      <c r="AC42" s="260"/>
      <c r="AD42" s="260"/>
      <c r="AE42" s="260"/>
      <c r="AF42" s="260"/>
    </row>
    <row r="43" spans="11:32" x14ac:dyDescent="0.25">
      <c r="K43" s="137" t="s">
        <v>31</v>
      </c>
      <c r="L43" s="138">
        <f>SUMIFS(Job_Status[To Date Gross Profit],Job_Status[Work Type],K43,Job_Status[VAT],"Emerging")</f>
        <v>234733.87000000029</v>
      </c>
      <c r="M43" s="139">
        <f>SUMIFS(Job_Status[GP at completion],Job_Status[Work Type],K43,Job_Status[VAT],"Emerging")</f>
        <v>234733.87000000029</v>
      </c>
      <c r="N43" s="140">
        <f>IFERROR(L43/P43,"")</f>
        <v>0.52871674275492919</v>
      </c>
      <c r="O43" s="140">
        <f>IFERROR(M43/Q43,"")</f>
        <v>0.52871674275492919</v>
      </c>
      <c r="P43" s="138">
        <f>SUMIFS(Job_Status[Actual], Job_Status[Work Type],K43,Job_Status[VAT],"Emerging")</f>
        <v>443969.05</v>
      </c>
      <c r="Q43" s="138">
        <f>SUMIFS(Job_Status[Forecasted Revenue], Job_Status[Work Type],K43,Job_Status[VAT],"Emerging")</f>
        <v>443969.05</v>
      </c>
      <c r="T43" s="112" t="s">
        <v>110</v>
      </c>
      <c r="U43" s="157">
        <f>'FY2526 VAT Financial KPIs'!$G25/12</f>
        <v>229166.66666666666</v>
      </c>
      <c r="V43" s="157">
        <f>'FY2526 VAT Financial KPIs'!$G25/12</f>
        <v>229166.66666666666</v>
      </c>
      <c r="W43" s="157">
        <f>'FY2526 VAT Financial KPIs'!$G25/12</f>
        <v>229166.66666666666</v>
      </c>
      <c r="X43" s="157">
        <f>'FY2526 VAT Financial KPIs'!$G25/12</f>
        <v>229166.66666666666</v>
      </c>
      <c r="Y43" s="157">
        <f>'FY2526 VAT Financial KPIs'!$G25/12</f>
        <v>229166.66666666666</v>
      </c>
      <c r="Z43" s="157">
        <f>'FY2526 VAT Financial KPIs'!$G25/12</f>
        <v>229166.66666666666</v>
      </c>
      <c r="AA43" s="157">
        <f>'FY2526 VAT Financial KPIs'!$G25/12</f>
        <v>229166.66666666666</v>
      </c>
      <c r="AB43" s="157">
        <f>'FY2526 VAT Financial KPIs'!$G25/12</f>
        <v>229166.66666666666</v>
      </c>
      <c r="AC43" s="157">
        <f>'FY2526 VAT Financial KPIs'!$G25/12</f>
        <v>229166.66666666666</v>
      </c>
      <c r="AD43" s="157">
        <f>'FY2526 VAT Financial KPIs'!$G25/12</f>
        <v>229166.66666666666</v>
      </c>
      <c r="AE43" s="157">
        <f>'FY2526 VAT Financial KPIs'!$G25/12</f>
        <v>229166.66666666666</v>
      </c>
      <c r="AF43" s="157">
        <f>'FY2526 VAT Financial KPIs'!$G25/12</f>
        <v>229166.66666666666</v>
      </c>
    </row>
    <row r="44" spans="11:32" x14ac:dyDescent="0.25">
      <c r="K44" s="137" t="s">
        <v>34</v>
      </c>
      <c r="L44" s="138">
        <f>SUMIFS(Job_Status[To Date Gross Profit],Job_Status[Work Type],K44,Job_Status[VAT],"Emerging")</f>
        <v>89641.790000000037</v>
      </c>
      <c r="M44" s="139">
        <f>SUMIFS(Job_Status[GP at completion],Job_Status[Work Type],K44,Job_Status[VAT],"Emerging")</f>
        <v>89641.790000000037</v>
      </c>
      <c r="N44" s="140">
        <f t="shared" ref="N44:O46" si="13">IFERROR(L44/P44,"")</f>
        <v>0.49215872405841682</v>
      </c>
      <c r="O44" s="140">
        <f t="shared" si="13"/>
        <v>0.49215872405841682</v>
      </c>
      <c r="P44" s="138">
        <f>SUMIFS(Job_Status[Actual], Job_Status[Work Type],K44,Job_Status[VAT],"Emerging")</f>
        <v>182140</v>
      </c>
      <c r="Q44" s="138">
        <f>SUMIFS(Job_Status[Forecasted Revenue], Job_Status[Work Type],K44,Job_Status[VAT],"Emerging")</f>
        <v>182140</v>
      </c>
      <c r="T44" s="112" t="s">
        <v>111</v>
      </c>
      <c r="U44" s="157">
        <f>'FY2526 VAT Financial KPIs'!$F25/12</f>
        <v>183333.33333333334</v>
      </c>
      <c r="V44" s="157">
        <f>'FY2526 VAT Financial KPIs'!$F25/12</f>
        <v>183333.33333333334</v>
      </c>
      <c r="W44" s="157">
        <f>'FY2526 VAT Financial KPIs'!$F25/12</f>
        <v>183333.33333333334</v>
      </c>
      <c r="X44" s="157">
        <f>'FY2526 VAT Financial KPIs'!$F25/12</f>
        <v>183333.33333333334</v>
      </c>
      <c r="Y44" s="157">
        <f>'FY2526 VAT Financial KPIs'!$F25/12</f>
        <v>183333.33333333334</v>
      </c>
      <c r="Z44" s="157">
        <f>'FY2526 VAT Financial KPIs'!$F25/12</f>
        <v>183333.33333333334</v>
      </c>
      <c r="AA44" s="157">
        <f>'FY2526 VAT Financial KPIs'!$F25/12</f>
        <v>183333.33333333334</v>
      </c>
      <c r="AB44" s="157">
        <f>'FY2526 VAT Financial KPIs'!$F25/12</f>
        <v>183333.33333333334</v>
      </c>
      <c r="AC44" s="157">
        <f>'FY2526 VAT Financial KPIs'!$F25/12</f>
        <v>183333.33333333334</v>
      </c>
      <c r="AD44" s="157">
        <f>'FY2526 VAT Financial KPIs'!$F25/12</f>
        <v>183333.33333333334</v>
      </c>
      <c r="AE44" s="157">
        <f>'FY2526 VAT Financial KPIs'!$F25/12</f>
        <v>183333.33333333334</v>
      </c>
      <c r="AF44" s="157">
        <f>'FY2526 VAT Financial KPIs'!$F25/12</f>
        <v>183333.33333333334</v>
      </c>
    </row>
    <row r="45" spans="11:32" x14ac:dyDescent="0.25">
      <c r="K45" s="137" t="s">
        <v>35</v>
      </c>
      <c r="L45" s="138">
        <f>SUMIFS(Job_Status[To Date Gross Profit],Job_Status[Work Type],K45,Job_Status[VAT],"Emerging")</f>
        <v>0</v>
      </c>
      <c r="M45" s="139">
        <f>SUMIFS(Job_Status[GP at completion],Job_Status[Work Type],K45,Job_Status[VAT],"Emerging")</f>
        <v>0</v>
      </c>
      <c r="N45" s="140" t="str">
        <f t="shared" si="13"/>
        <v/>
      </c>
      <c r="O45" s="140" t="str">
        <f t="shared" si="13"/>
        <v/>
      </c>
      <c r="P45" s="138">
        <f>SUMIFS(Job_Status[Actual], Job_Status[Work Type],K45,Job_Status[VAT],"Emerging")</f>
        <v>0</v>
      </c>
      <c r="Q45" s="138">
        <f>SUMIFS(Job_Status[Forecasted Revenue], Job_Status[Work Type],K45,Job_Status[VAT],"Emerging")</f>
        <v>0</v>
      </c>
      <c r="T45" s="112" t="s">
        <v>4</v>
      </c>
      <c r="U45" s="157">
        <f>'FY2526 VAT Financial KPIs'!$E25/12</f>
        <v>112500</v>
      </c>
      <c r="V45" s="157">
        <f>'FY2526 VAT Financial KPIs'!$E25/12</f>
        <v>112500</v>
      </c>
      <c r="W45" s="157">
        <f>'FY2526 VAT Financial KPIs'!$E25/12</f>
        <v>112500</v>
      </c>
      <c r="X45" s="157">
        <f>'FY2526 VAT Financial KPIs'!$E25/12</f>
        <v>112500</v>
      </c>
      <c r="Y45" s="157">
        <f>'FY2526 VAT Financial KPIs'!$E25/12</f>
        <v>112500</v>
      </c>
      <c r="Z45" s="157">
        <f>'FY2526 VAT Financial KPIs'!$E25/12</f>
        <v>112500</v>
      </c>
      <c r="AA45" s="157">
        <f>'FY2526 VAT Financial KPIs'!$E25/12</f>
        <v>112500</v>
      </c>
      <c r="AB45" s="157">
        <f>'FY2526 VAT Financial KPIs'!$E25/12</f>
        <v>112500</v>
      </c>
      <c r="AC45" s="157">
        <f>'FY2526 VAT Financial KPIs'!$E25/12</f>
        <v>112500</v>
      </c>
      <c r="AD45" s="157">
        <f>'FY2526 VAT Financial KPIs'!$E25/12</f>
        <v>112500</v>
      </c>
      <c r="AE45" s="157">
        <f>'FY2526 VAT Financial KPIs'!$E25/12</f>
        <v>112500</v>
      </c>
      <c r="AF45" s="157">
        <f>'FY2526 VAT Financial KPIs'!$E25/12</f>
        <v>112500</v>
      </c>
    </row>
    <row r="46" spans="11:32" x14ac:dyDescent="0.25">
      <c r="K46" s="141" t="s">
        <v>39</v>
      </c>
      <c r="L46" s="142">
        <f>SUMIFS(Job_Status[To Date Gross Profit],Job_Status[Work Type],K46,Job_Status[VAT],"Emerging")</f>
        <v>12512</v>
      </c>
      <c r="M46" s="143">
        <f>SUMIFS(Job_Status[GP at completion],Job_Status[Work Type],K46,Job_Status[VAT],"Emerging")</f>
        <v>16816</v>
      </c>
      <c r="N46" s="144">
        <f t="shared" si="13"/>
        <v>6.4425770308123242E-2</v>
      </c>
      <c r="O46" s="144">
        <f t="shared" si="13"/>
        <v>5.1044196211753282E-2</v>
      </c>
      <c r="P46" s="142">
        <f>SUMIFS(Job_Status[Actual], Job_Status[Work Type],K46,Job_Status[VAT],"Emerging")</f>
        <v>194208</v>
      </c>
      <c r="Q46" s="142">
        <f>SUMIFS(Job_Status[Forecasted Revenue], Job_Status[Work Type],K46,Job_Status[VAT],"Emerging")</f>
        <v>329440</v>
      </c>
    </row>
    <row r="47" spans="11:32" ht="15.75" thickBot="1" x14ac:dyDescent="0.3">
      <c r="K47" s="127" t="s">
        <v>174</v>
      </c>
      <c r="L47" s="128">
        <f>SUBTOTAL(109,Table14214755[Earned to Date])</f>
        <v>336887.66000000032</v>
      </c>
      <c r="M47" s="129">
        <f>SUBTOTAL(109,Table14214755[@Completion])</f>
        <v>341191.66000000032</v>
      </c>
      <c r="N47" s="130">
        <f>Table14214755[[#Totals],[Earned to Date]]/Table14214755[[#Totals],[Earned to Date  ]]</f>
        <v>0.41067982190544533</v>
      </c>
      <c r="O47" s="130">
        <f>Table14214755[[#Totals],[@Completion]]/Table14214755[[#Totals],[@ Completion  ]]</f>
        <v>0.35706347047281384</v>
      </c>
      <c r="P47" s="128">
        <f>SUBTOTAL(109,Table14214755[[Earned to Date  ]])</f>
        <v>820317.05</v>
      </c>
      <c r="Q47" s="131">
        <f>SUBTOTAL(109,Table14214755[@ Completion  ])</f>
        <v>955549.05</v>
      </c>
    </row>
    <row r="48" spans="11:32" ht="15.75" thickTop="1" x14ac:dyDescent="0.25">
      <c r="K48" s="13" t="s">
        <v>187</v>
      </c>
      <c r="M48" s="132" cm="1">
        <f t="array" ref="M48">INDEX('FY2526 VAT Financial KPIs'!$F:$F, MATCH(1, ('FY2526 VAT Financial KPIs'!$A:$A="Emerging")*('FY2526 VAT Financial KPIs'!$D:$D="Gross Margin Contribution"), 0))</f>
        <v>880000.00000000012</v>
      </c>
      <c r="N48" s="133" cm="1">
        <f t="array" ref="N48">INDEX('FY2526 VAT Financial KPIs'!$F:$F, MATCH(1, ('FY2526 VAT Financial KPIs'!$A:$A="Emerging")*('FY2526 VAT Financial KPIs'!$D:$D="Gross Margin Contribution %"), 0))</f>
        <v>0.4</v>
      </c>
      <c r="O48" s="133" cm="1">
        <f t="array" ref="O48">INDEX('FY2526 VAT Financial KPIs'!$F:$F, MATCH(1, ('FY2526 VAT Financial KPIs'!$A:$A="Emerging")*('FY2526 VAT Financial KPIs'!$D:$D="Gross Margin Contribution %"), 0))</f>
        <v>0.4</v>
      </c>
      <c r="Q48" s="132" cm="1">
        <f t="array" ref="Q48">INDEX('FY2526 VAT Financial KPIs'!$F:$F, MATCH(1, ('FY2526 VAT Financial KPIs'!$A:$A="Emerging")*('FY2526 VAT Financial KPIs'!$D:$D="Revenue"), 0))</f>
        <v>2200000</v>
      </c>
    </row>
    <row r="50" spans="10:18" x14ac:dyDescent="0.25">
      <c r="J50" s="7" t="s">
        <v>29</v>
      </c>
      <c r="K50" t="s">
        <v>30</v>
      </c>
    </row>
    <row r="51" spans="10:18" x14ac:dyDescent="0.25">
      <c r="J51" s="7" t="s">
        <v>16</v>
      </c>
      <c r="K51" t="s">
        <v>21</v>
      </c>
      <c r="M51" s="13" t="s">
        <v>190</v>
      </c>
    </row>
    <row r="53" spans="10:18" x14ac:dyDescent="0.25">
      <c r="J53" s="7" t="s">
        <v>36</v>
      </c>
      <c r="K53" s="7" t="s">
        <v>37</v>
      </c>
      <c r="L53" s="7" t="s">
        <v>32</v>
      </c>
      <c r="M53" s="9" t="s">
        <v>121</v>
      </c>
      <c r="N53" s="9" t="s">
        <v>38</v>
      </c>
      <c r="O53" s="9" t="s">
        <v>122</v>
      </c>
      <c r="P53" s="9" t="s">
        <v>191</v>
      </c>
      <c r="Q53" s="8" t="s">
        <v>3</v>
      </c>
      <c r="R53" t="s">
        <v>15</v>
      </c>
    </row>
    <row r="54" spans="10:18" x14ac:dyDescent="0.25">
      <c r="J54" t="s">
        <v>42</v>
      </c>
      <c r="K54" t="s">
        <v>52</v>
      </c>
      <c r="L54" t="s">
        <v>34</v>
      </c>
      <c r="M54" s="148">
        <v>0.3</v>
      </c>
      <c r="N54" s="8" t="s">
        <v>44</v>
      </c>
      <c r="O54" s="153">
        <v>46097</v>
      </c>
      <c r="P54" s="153">
        <v>46203</v>
      </c>
      <c r="Q54" s="267">
        <v>1000000</v>
      </c>
      <c r="R54" s="4">
        <v>300000</v>
      </c>
    </row>
    <row r="55" spans="10:18" x14ac:dyDescent="0.25">
      <c r="K55" t="s">
        <v>54</v>
      </c>
      <c r="L55" t="s">
        <v>34</v>
      </c>
      <c r="M55" s="148">
        <v>0.61499999999999999</v>
      </c>
      <c r="N55" s="8" t="s">
        <v>55</v>
      </c>
      <c r="O55" s="153">
        <v>46160</v>
      </c>
      <c r="P55" s="153">
        <v>46290</v>
      </c>
      <c r="Q55" s="267">
        <v>465220</v>
      </c>
      <c r="R55" s="4">
        <v>286110.3</v>
      </c>
    </row>
    <row r="56" spans="10:18" x14ac:dyDescent="0.25">
      <c r="J56" t="s">
        <v>66</v>
      </c>
      <c r="K56" t="s">
        <v>68</v>
      </c>
      <c r="L56" t="s">
        <v>34</v>
      </c>
      <c r="M56" s="148">
        <v>0.36</v>
      </c>
      <c r="N56" s="8" t="s">
        <v>44</v>
      </c>
      <c r="O56" s="153">
        <v>46069</v>
      </c>
      <c r="P56" s="153">
        <v>46250</v>
      </c>
      <c r="Q56" s="267">
        <v>161000</v>
      </c>
      <c r="R56" s="4">
        <v>57960</v>
      </c>
    </row>
    <row r="57" spans="10:18" x14ac:dyDescent="0.25">
      <c r="K57" t="s">
        <v>79</v>
      </c>
      <c r="L57" t="s">
        <v>39</v>
      </c>
      <c r="M57" s="148">
        <v>0.17</v>
      </c>
      <c r="N57" s="8" t="s">
        <v>44</v>
      </c>
      <c r="O57" s="153">
        <v>46048</v>
      </c>
      <c r="P57" s="153">
        <v>46203</v>
      </c>
      <c r="Q57" s="267">
        <v>526240</v>
      </c>
      <c r="R57" s="4">
        <v>89460.800000000003</v>
      </c>
    </row>
    <row r="58" spans="10:18" x14ac:dyDescent="0.25">
      <c r="K58" t="s">
        <v>80</v>
      </c>
      <c r="L58" t="s">
        <v>39</v>
      </c>
      <c r="M58" s="148">
        <v>0.13</v>
      </c>
      <c r="N58" s="8" t="s">
        <v>44</v>
      </c>
      <c r="O58" s="153">
        <v>46055</v>
      </c>
      <c r="P58" s="153">
        <v>46203</v>
      </c>
      <c r="Q58" s="267">
        <v>367840</v>
      </c>
      <c r="R58" s="4">
        <v>47819.200000000004</v>
      </c>
    </row>
    <row r="59" spans="10:18" x14ac:dyDescent="0.25">
      <c r="K59" t="s">
        <v>81</v>
      </c>
      <c r="L59" t="s">
        <v>35</v>
      </c>
      <c r="M59" s="148">
        <v>0.21199999999999999</v>
      </c>
      <c r="N59" s="8" t="s">
        <v>44</v>
      </c>
      <c r="O59" s="153">
        <v>46055</v>
      </c>
      <c r="P59" s="153">
        <v>46371</v>
      </c>
      <c r="Q59" s="267">
        <v>371616</v>
      </c>
      <c r="R59" s="4">
        <v>78782.592000000004</v>
      </c>
    </row>
    <row r="60" spans="10:18" x14ac:dyDescent="0.25">
      <c r="J60" t="s">
        <v>192</v>
      </c>
      <c r="K60" t="s">
        <v>219</v>
      </c>
      <c r="L60" t="s">
        <v>34</v>
      </c>
      <c r="M60" s="148" t="s">
        <v>126</v>
      </c>
      <c r="N60" s="8" t="s">
        <v>55</v>
      </c>
      <c r="O60" s="152" t="s">
        <v>126</v>
      </c>
      <c r="P60" s="152" t="s">
        <v>126</v>
      </c>
      <c r="Q60" s="267">
        <v>0</v>
      </c>
      <c r="R60" s="4">
        <v>0</v>
      </c>
    </row>
    <row r="61" spans="10:18" x14ac:dyDescent="0.25">
      <c r="K61" t="s">
        <v>220</v>
      </c>
      <c r="L61" t="s">
        <v>34</v>
      </c>
      <c r="M61" s="148" t="s">
        <v>126</v>
      </c>
      <c r="N61" s="8" t="s">
        <v>55</v>
      </c>
      <c r="O61" s="152" t="s">
        <v>126</v>
      </c>
      <c r="P61" s="152" t="s">
        <v>126</v>
      </c>
      <c r="Q61" s="267">
        <v>0</v>
      </c>
      <c r="R61" s="4">
        <v>0</v>
      </c>
    </row>
    <row r="62" spans="10:18" x14ac:dyDescent="0.25">
      <c r="K62" t="s">
        <v>221</v>
      </c>
      <c r="L62" t="s">
        <v>34</v>
      </c>
      <c r="M62" s="148" t="s">
        <v>126</v>
      </c>
      <c r="N62" s="8" t="s">
        <v>126</v>
      </c>
      <c r="O62" s="152" t="s">
        <v>126</v>
      </c>
      <c r="P62" s="152" t="s">
        <v>126</v>
      </c>
      <c r="Q62" s="267">
        <v>0</v>
      </c>
      <c r="R62" s="4">
        <v>0</v>
      </c>
    </row>
    <row r="63" spans="10:18" x14ac:dyDescent="0.25">
      <c r="K63" t="s">
        <v>222</v>
      </c>
      <c r="L63" t="s">
        <v>126</v>
      </c>
      <c r="M63" s="148" t="s">
        <v>126</v>
      </c>
      <c r="N63" s="8" t="s">
        <v>126</v>
      </c>
      <c r="O63" s="152" t="s">
        <v>126</v>
      </c>
      <c r="P63" s="152" t="s">
        <v>126</v>
      </c>
      <c r="Q63" s="267">
        <v>0</v>
      </c>
      <c r="R63" s="4">
        <v>0</v>
      </c>
    </row>
    <row r="64" spans="10:18" x14ac:dyDescent="0.25">
      <c r="J64" t="s">
        <v>85</v>
      </c>
      <c r="Q64" s="267">
        <v>2891916</v>
      </c>
      <c r="R64" s="4">
        <v>860132.89199999999</v>
      </c>
    </row>
  </sheetData>
  <mergeCells count="3">
    <mergeCell ref="L41:M41"/>
    <mergeCell ref="N41:O41"/>
    <mergeCell ref="P41:Q41"/>
  </mergeCells>
  <conditionalFormatting pivot="1" sqref="Q54:Q62">
    <cfRule type="cellIs" dxfId="636" priority="10" operator="equal">
      <formula>0</formula>
    </cfRule>
  </conditionalFormatting>
  <conditionalFormatting sqref="L1:P1 L50:P50 L41:P48 L5:P8 L18:P19 P9:P15 L30:P31 L52:P1048576 L51 N51:P51">
    <cfRule type="containsText" dxfId="635" priority="9" operator="containsText" text="(blank)">
      <formula>NOT(ISERROR(SEARCH("(blank)",L1)))</formula>
    </cfRule>
  </conditionalFormatting>
  <conditionalFormatting sqref="L29:P29">
    <cfRule type="containsText" dxfId="634" priority="8" operator="containsText" text="(blank)">
      <formula>NOT(ISERROR(SEARCH("(blank)",L29)))</formula>
    </cfRule>
  </conditionalFormatting>
  <conditionalFormatting sqref="L6:P15">
    <cfRule type="cellIs" dxfId="633" priority="7" operator="lessThan">
      <formula>0</formula>
    </cfRule>
  </conditionalFormatting>
  <conditionalFormatting sqref="L18:P27">
    <cfRule type="cellIs" dxfId="632" priority="6" operator="lessThan">
      <formula>0</formula>
    </cfRule>
  </conditionalFormatting>
  <conditionalFormatting sqref="L30:P39">
    <cfRule type="cellIs" dxfId="631" priority="5" operator="lessThan">
      <formula>0</formula>
    </cfRule>
  </conditionalFormatting>
  <conditionalFormatting sqref="L9:P9 L11:P11 L13:P13 L15:P15">
    <cfRule type="cellIs" dxfId="630" priority="4" operator="greaterThan">
      <formula>0</formula>
    </cfRule>
  </conditionalFormatting>
  <conditionalFormatting sqref="L21:P21 L23:P23 L25:P25 L27:P27">
    <cfRule type="cellIs" dxfId="629" priority="3" operator="greaterThan">
      <formula>0</formula>
    </cfRule>
  </conditionalFormatting>
  <conditionalFormatting sqref="L33:P33 L35:P35 L37:P37 L39:P39">
    <cfRule type="cellIs" dxfId="628" priority="2" operator="greaterThan">
      <formula>0</formula>
    </cfRule>
  </conditionalFormatting>
  <conditionalFormatting sqref="M51">
    <cfRule type="containsText" dxfId="627" priority="1" operator="containsText" text="(blank)">
      <formula>NOT(ISERROR(SEARCH("(blank)",M51)))</formula>
    </cfRule>
  </conditionalFormatting>
  <dataValidations disablePrompts="1" count="2">
    <dataValidation type="list" allowBlank="1" showInputMessage="1" showErrorMessage="1" sqref="L3:N3" xr:uid="{AD160466-CFF0-44DB-9A3E-964B70388B0B}">
      <formula1>"TRUE, FALSE"</formula1>
    </dataValidation>
    <dataValidation type="list" allowBlank="1" showInputMessage="1" showErrorMessage="1" sqref="X36" xr:uid="{69694DC5-1294-4ECE-A128-97B953E6E0DE}">
      <formula1>"All, DAFF, SAU, VIC, GROWTH"</formula1>
    </dataValidation>
  </dataValidations>
  <pageMargins left="0.7" right="0.7" top="0.75" bottom="0.75" header="0.3" footer="0.3"/>
  <drawing r:id="rId2"/>
  <tableParts count="8">
    <tablePart r:id="rId3"/>
    <tablePart r:id="rId4"/>
    <tablePart r:id="rId5"/>
    <tablePart r:id="rId6"/>
    <tablePart r:id="rId7"/>
    <tablePart r:id="rId8"/>
    <tablePart r:id="rId9"/>
    <tablePart r:id="rId10"/>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15242-FB88-4122-9122-1F92405A9362}">
  <sheetPr>
    <tabColor theme="4"/>
  </sheetPr>
  <dimension ref="B1:AG79"/>
  <sheetViews>
    <sheetView topLeftCell="B2" workbookViewId="0">
      <selection activeCell="M51" sqref="M51"/>
    </sheetView>
  </sheetViews>
  <sheetFormatPr defaultRowHeight="15" x14ac:dyDescent="0.25"/>
  <cols>
    <col min="1" max="1" width="3.140625" customWidth="1"/>
    <col min="2" max="2" width="39" customWidth="1"/>
    <col min="3" max="8" width="14.85546875" customWidth="1"/>
    <col min="9" max="9" width="5.140625" customWidth="1"/>
    <col min="10" max="10" width="21.85546875" customWidth="1"/>
    <col min="11" max="11" width="69.5703125" bestFit="1" customWidth="1"/>
    <col min="12" max="17" width="16" customWidth="1"/>
    <col min="18" max="18" width="14.7109375" customWidth="1"/>
    <col min="19" max="19" width="6.5703125" customWidth="1"/>
    <col min="20" max="20" width="16" customWidth="1"/>
    <col min="21" max="32" width="12.5703125" customWidth="1"/>
    <col min="33" max="33" width="4.7109375" customWidth="1"/>
    <col min="34" max="46" width="12.5703125" customWidth="1"/>
  </cols>
  <sheetData>
    <row r="1" spans="2:33" hidden="1" x14ac:dyDescent="0.25"/>
    <row r="2" spans="2:33" ht="18.75" x14ac:dyDescent="0.3">
      <c r="B2" s="123" t="s">
        <v>223</v>
      </c>
      <c r="L2" s="16" t="s">
        <v>5</v>
      </c>
      <c r="M2" s="16" t="s">
        <v>55</v>
      </c>
      <c r="N2" s="16" t="s">
        <v>44</v>
      </c>
    </row>
    <row r="3" spans="2:33" x14ac:dyDescent="0.25">
      <c r="K3" s="13" t="s">
        <v>146</v>
      </c>
      <c r="L3" t="b">
        <f>CompanyGoodToggle</f>
        <v>1</v>
      </c>
      <c r="M3" t="b">
        <f>CompanyFairToggle</f>
        <v>0</v>
      </c>
      <c r="N3" t="b">
        <f>CompanyRiskToggle</f>
        <v>0</v>
      </c>
      <c r="AG3" s="112"/>
    </row>
    <row r="4" spans="2:33" x14ac:dyDescent="0.25">
      <c r="T4" s="13" t="s">
        <v>92</v>
      </c>
      <c r="AG4" s="112"/>
    </row>
    <row r="5" spans="2:33" x14ac:dyDescent="0.25">
      <c r="K5" s="134" t="s">
        <v>147</v>
      </c>
      <c r="L5" s="135" t="s">
        <v>47</v>
      </c>
      <c r="M5" s="135" t="s">
        <v>48</v>
      </c>
      <c r="N5" s="135" t="s">
        <v>49</v>
      </c>
      <c r="O5" s="135" t="s">
        <v>50</v>
      </c>
      <c r="P5" s="136" t="s">
        <v>1</v>
      </c>
      <c r="T5" s="113" t="s">
        <v>94</v>
      </c>
      <c r="U5" s="112" t="s">
        <v>95</v>
      </c>
      <c r="V5" s="112" t="s">
        <v>96</v>
      </c>
      <c r="W5" s="112" t="s">
        <v>97</v>
      </c>
      <c r="X5" s="112" t="s">
        <v>98</v>
      </c>
      <c r="Y5" s="112" t="s">
        <v>99</v>
      </c>
      <c r="Z5" s="112" t="s">
        <v>100</v>
      </c>
      <c r="AA5" s="112" t="s">
        <v>101</v>
      </c>
      <c r="AB5" s="112" t="s">
        <v>102</v>
      </c>
      <c r="AC5" s="112" t="s">
        <v>103</v>
      </c>
      <c r="AD5" s="112" t="s">
        <v>104</v>
      </c>
      <c r="AE5" s="112" t="s">
        <v>105</v>
      </c>
      <c r="AF5" s="112" t="s">
        <v>106</v>
      </c>
      <c r="AG5" s="112"/>
    </row>
    <row r="6" spans="2:33" x14ac:dyDescent="0.25">
      <c r="K6" s="150" t="s">
        <v>149</v>
      </c>
      <c r="L6" s="183">
        <f>SUM(U23:W23)</f>
        <v>550000</v>
      </c>
      <c r="M6" s="183">
        <f>SUM(X23:Z23)</f>
        <v>550000</v>
      </c>
      <c r="N6" s="183">
        <f>SUM(AA23:AC23)</f>
        <v>550000</v>
      </c>
      <c r="O6" s="183">
        <f>SUM(AD23:AF23)</f>
        <v>550000</v>
      </c>
      <c r="P6" s="184">
        <f>SUM(Table15222834[[#This Row],[Q1]:[Q4]])</f>
        <v>2200000</v>
      </c>
      <c r="T6" s="112" t="s">
        <v>148</v>
      </c>
      <c r="U6" s="112">
        <f>U17</f>
        <v>0</v>
      </c>
      <c r="V6" s="112">
        <f>SUM($U17:V17)</f>
        <v>109070.63999999997</v>
      </c>
      <c r="W6" s="112">
        <f>SUM($U17:W17)</f>
        <v>407224.39999999997</v>
      </c>
      <c r="X6" s="112">
        <f>SUM($U17:X17)</f>
        <v>943936.49000000022</v>
      </c>
      <c r="Y6" s="112">
        <f>SUM($U17:Y17)</f>
        <v>1168076.5000000002</v>
      </c>
      <c r="Z6" s="112">
        <f>SUM($U17:Z17)</f>
        <v>1318270.8100000003</v>
      </c>
      <c r="AA6" s="112">
        <f>SUM($U17:AA17)</f>
        <v>1322427.3100000003</v>
      </c>
      <c r="AB6" s="112">
        <f>SUM($U17:AB17)</f>
        <v>1314851.9100000004</v>
      </c>
      <c r="AC6" s="112">
        <f>SUM($U17:AC17)</f>
        <v>1318383.9100000004</v>
      </c>
      <c r="AD6" s="112">
        <f>SUM($U17:AD17)</f>
        <v>1320016.3100000005</v>
      </c>
      <c r="AE6" s="112">
        <f>SUM($U17:AE17)</f>
        <v>1320622.7100000004</v>
      </c>
      <c r="AF6" s="112">
        <f>SUM($U17:AF17)</f>
        <v>1351734.9400000004</v>
      </c>
      <c r="AG6" s="112"/>
    </row>
    <row r="7" spans="2:33" x14ac:dyDescent="0.25">
      <c r="K7" s="179" t="s">
        <v>56</v>
      </c>
      <c r="L7" s="181">
        <f>SUMIFS(Job_Status[Gross Profit Q1],Job_Status[VAT],"GROWTH")</f>
        <v>407224.39999999967</v>
      </c>
      <c r="M7" s="181">
        <f>SUMIFS(Job_Status[Gross Profit Q2],Job_Status[VAT],"GROWTH")</f>
        <v>911046.41000000131</v>
      </c>
      <c r="N7" s="181">
        <f>SUMIFS(Job_Status[Gross Profit Q3],Job_Status[VAT],"GROWTH")</f>
        <v>4066.5</v>
      </c>
      <c r="O7" s="181">
        <f>SUMIFS(Job_Status[Gross Profit Q4],Job_Status[VAT],"GROWTH")</f>
        <v>0</v>
      </c>
      <c r="P7" s="208">
        <f>SUM(Table15222834[[#This Row],[Q1]:[Q4]])</f>
        <v>1322337.310000001</v>
      </c>
      <c r="T7" s="112" t="s">
        <v>150</v>
      </c>
      <c r="U7" s="112">
        <f>U18+U6</f>
        <v>0</v>
      </c>
      <c r="V7" s="112">
        <f>SUM($U18:V18)+V6</f>
        <v>109070.63999999997</v>
      </c>
      <c r="W7" s="112">
        <f>SUM($U18:W18)+W6</f>
        <v>407224.39999999997</v>
      </c>
      <c r="X7" s="112">
        <f>SUM($U18:X18)+X6</f>
        <v>943936.49000000022</v>
      </c>
      <c r="Y7" s="112">
        <f>SUM($U18:Y18)+Y6</f>
        <v>1168076.5000000002</v>
      </c>
      <c r="Z7" s="112">
        <f>SUM($U18:Z18)+Z6</f>
        <v>1318270.8100000003</v>
      </c>
      <c r="AA7" s="112">
        <f>SUM($U18:AA18)+AA6</f>
        <v>1322427.3100000003</v>
      </c>
      <c r="AB7" s="112">
        <f>SUM($U18:AB18)+AB6</f>
        <v>1323852.3100000003</v>
      </c>
      <c r="AC7" s="112">
        <f>SUM($U18:AC18)+AC6</f>
        <v>1371526.3100000003</v>
      </c>
      <c r="AD7" s="112">
        <f>SUM($U18:AD18)+AD6</f>
        <v>2354724.7100000009</v>
      </c>
      <c r="AE7" s="112">
        <f>SUM($U18:AE18)+AE6</f>
        <v>2656644.3100000005</v>
      </c>
      <c r="AF7" s="112">
        <f>SUM($U18:AF18)+AF6</f>
        <v>3527609.3400000008</v>
      </c>
      <c r="AG7" s="112"/>
    </row>
    <row r="8" spans="2:33" x14ac:dyDescent="0.25">
      <c r="K8" s="253" t="s">
        <v>151</v>
      </c>
      <c r="L8" s="190">
        <f>SUM(U17:W17)</f>
        <v>407224.39999999997</v>
      </c>
      <c r="M8" s="190">
        <f>SUM(X17:Z17)</f>
        <v>911046.41000000038</v>
      </c>
      <c r="N8" s="190">
        <f>SUM(AA17:AC17)</f>
        <v>113.10000000004311</v>
      </c>
      <c r="O8" s="190">
        <f>SUM(AD17:AF17)</f>
        <v>33351.030000000086</v>
      </c>
      <c r="P8" s="184">
        <f>SUM(Table15222834[[#This Row],[Q1]:[Q4]])</f>
        <v>1351734.9400000004</v>
      </c>
      <c r="T8" s="112" t="s">
        <v>108</v>
      </c>
      <c r="U8" s="112">
        <f>U19+U7</f>
        <v>0</v>
      </c>
      <c r="V8" s="112">
        <f>SUM($U19:V19)+V7</f>
        <v>109070.63999999997</v>
      </c>
      <c r="W8" s="112">
        <f>SUM($U19:W19)+W7</f>
        <v>407224.39999999997</v>
      </c>
      <c r="X8" s="112">
        <f>SUM($U19:X19)+X7</f>
        <v>943936.49000000022</v>
      </c>
      <c r="Y8" s="112">
        <f>SUM($U19:Y19)+Y7</f>
        <v>1168076.5000000002</v>
      </c>
      <c r="Z8" s="112">
        <f>SUM($U19:Z19)+Z7</f>
        <v>1318270.8100000003</v>
      </c>
      <c r="AA8" s="112">
        <f>SUM($U19:AA19)+AA7</f>
        <v>1322427.3100000003</v>
      </c>
      <c r="AB8" s="112">
        <f>SUM($U19:AB19)+AB7</f>
        <v>1323852.3100000003</v>
      </c>
      <c r="AC8" s="112">
        <f>SUM($U19:AC19)+AC7</f>
        <v>1371526.3100000003</v>
      </c>
      <c r="AD8" s="112">
        <f>SUM($U19:AD19)+AD7</f>
        <v>2354724.7100000009</v>
      </c>
      <c r="AE8" s="112">
        <f>SUM($U19:AE19)+AE7</f>
        <v>2656644.3100000005</v>
      </c>
      <c r="AF8" s="112">
        <f>SUM($U19:AF19)+AF7</f>
        <v>3527609.3400000008</v>
      </c>
      <c r="AG8" s="112"/>
    </row>
    <row r="9" spans="2:33" x14ac:dyDescent="0.25">
      <c r="K9" s="253" t="s">
        <v>60</v>
      </c>
      <c r="L9" s="176">
        <f>L8-L$6</f>
        <v>-142775.60000000003</v>
      </c>
      <c r="M9" s="176">
        <f t="shared" ref="M9:O9" si="0">M8-M$6</f>
        <v>361046.41000000038</v>
      </c>
      <c r="N9" s="176">
        <f t="shared" si="0"/>
        <v>-549886.89999999991</v>
      </c>
      <c r="O9" s="176">
        <f t="shared" si="0"/>
        <v>-516648.96999999991</v>
      </c>
      <c r="P9" s="208">
        <f>SUM(Table15222834[[#This Row],[Q1]:[Q4]])</f>
        <v>-848265.05999999947</v>
      </c>
      <c r="T9" s="112" t="s">
        <v>109</v>
      </c>
      <c r="U9" s="112">
        <f>U20+U8</f>
        <v>0</v>
      </c>
      <c r="V9" s="112">
        <f>SUM($U20:V20)+V8</f>
        <v>109070.63999999997</v>
      </c>
      <c r="W9" s="112">
        <f>SUM($U20:W20)+W8</f>
        <v>407224.39999999997</v>
      </c>
      <c r="X9" s="112">
        <f>SUM($U20:X20)+X8</f>
        <v>943936.49000000022</v>
      </c>
      <c r="Y9" s="112">
        <f>SUM($U20:Y20)+Y8</f>
        <v>1168076.5000000002</v>
      </c>
      <c r="Z9" s="112">
        <f>SUM($U20:Z20)+Z8</f>
        <v>1318270.8100000003</v>
      </c>
      <c r="AA9" s="112">
        <f>SUM($U20:AA20)+AA8</f>
        <v>1322427.3100000003</v>
      </c>
      <c r="AB9" s="112">
        <f>SUM($U20:AB20)+AB8</f>
        <v>1323852.3100000003</v>
      </c>
      <c r="AC9" s="112">
        <f>SUM($U20:AC20)+AC8</f>
        <v>1371526.3100000003</v>
      </c>
      <c r="AD9" s="112">
        <f>SUM($U20:AD20)+AD8</f>
        <v>2354724.7100000009</v>
      </c>
      <c r="AE9" s="112">
        <f>SUM($U20:AE20)+AE8</f>
        <v>2656644.3100000005</v>
      </c>
      <c r="AF9" s="112">
        <f>SUM($U20:AF20)+AF8</f>
        <v>3527609.3400000008</v>
      </c>
      <c r="AG9" s="112"/>
    </row>
    <row r="10" spans="2:33" x14ac:dyDescent="0.25">
      <c r="K10" s="150" t="s">
        <v>153</v>
      </c>
      <c r="L10" s="183">
        <f>SUM(U$17:W18)</f>
        <v>407224.39999999997</v>
      </c>
      <c r="M10" s="183">
        <f>SUM(X$17:Z18)</f>
        <v>911046.41000000038</v>
      </c>
      <c r="N10" s="183">
        <f>SUM(AA$17:AC18)</f>
        <v>53255.500000000044</v>
      </c>
      <c r="O10" s="183">
        <f>SUM(AD$17:AF18)</f>
        <v>2156083.0300000003</v>
      </c>
      <c r="P10" s="184">
        <f>SUM(Table15222834[[#This Row],[Q1]:[Q4]])</f>
        <v>3527609.3400000008</v>
      </c>
      <c r="T10" s="112" t="s">
        <v>152</v>
      </c>
      <c r="U10" s="157">
        <f>U21</f>
        <v>0</v>
      </c>
      <c r="V10" s="157">
        <f>SUM($U21:V21)</f>
        <v>0</v>
      </c>
      <c r="W10" s="157">
        <f>SUM($U21:W21)</f>
        <v>0</v>
      </c>
      <c r="X10" s="157">
        <f>SUM($U21:X21)</f>
        <v>0</v>
      </c>
      <c r="Y10" s="157">
        <f>SUM($U21:Y21)</f>
        <v>0</v>
      </c>
      <c r="Z10" s="157">
        <f>SUM($U21:Z21)</f>
        <v>0</v>
      </c>
      <c r="AA10" s="157">
        <f>SUM($U21:AA21)</f>
        <v>0</v>
      </c>
      <c r="AB10" s="157">
        <f>SUM($U21:AB21)</f>
        <v>0</v>
      </c>
      <c r="AC10" s="157">
        <f>SUM($U21:AC21)</f>
        <v>0</v>
      </c>
      <c r="AD10" s="157">
        <f>SUM($U21:AD21)</f>
        <v>0</v>
      </c>
      <c r="AE10" s="157">
        <f>SUM($U21:AE21)</f>
        <v>0</v>
      </c>
      <c r="AF10" s="157">
        <f>SUM($U21:AF21)</f>
        <v>0</v>
      </c>
    </row>
    <row r="11" spans="2:33" x14ac:dyDescent="0.25">
      <c r="K11" s="182" t="s">
        <v>154</v>
      </c>
      <c r="L11" s="176">
        <f t="shared" ref="L11:O11" si="1">L10-L$6</f>
        <v>-142775.60000000003</v>
      </c>
      <c r="M11" s="176">
        <f t="shared" si="1"/>
        <v>361046.41000000038</v>
      </c>
      <c r="N11" s="176">
        <f t="shared" si="1"/>
        <v>-496744.49999999994</v>
      </c>
      <c r="O11" s="176">
        <f t="shared" si="1"/>
        <v>1606083.0300000003</v>
      </c>
      <c r="P11" s="208">
        <f>SUM(Table15222834[[#This Row],[Q1]:[Q4]])</f>
        <v>1327609.3400000008</v>
      </c>
      <c r="T11" s="112" t="s">
        <v>110</v>
      </c>
      <c r="U11" s="157">
        <f>U22</f>
        <v>275000.00000000006</v>
      </c>
      <c r="V11" s="157">
        <f>SUM($U22:V22)</f>
        <v>550000.00000000012</v>
      </c>
      <c r="W11" s="157">
        <f>SUM($U22:W22)</f>
        <v>825000.00000000023</v>
      </c>
      <c r="X11" s="157">
        <f>SUM($U22:X22)</f>
        <v>1100000.0000000002</v>
      </c>
      <c r="Y11" s="157">
        <f>SUM($U22:Y22)</f>
        <v>1375000.0000000002</v>
      </c>
      <c r="Z11" s="157">
        <f>SUM($U22:Z22)</f>
        <v>1650000.0000000002</v>
      </c>
      <c r="AA11" s="157">
        <f>SUM($U22:AA22)</f>
        <v>1925000.0000000002</v>
      </c>
      <c r="AB11" s="157">
        <f>SUM($U22:AB22)</f>
        <v>2200000.0000000005</v>
      </c>
      <c r="AC11" s="157">
        <f>SUM($U22:AC22)</f>
        <v>2475000.0000000005</v>
      </c>
      <c r="AD11" s="157">
        <f>SUM($U22:AD22)</f>
        <v>2750000.0000000005</v>
      </c>
      <c r="AE11" s="157">
        <f>SUM($U22:AE22)</f>
        <v>3025000.0000000005</v>
      </c>
      <c r="AF11" s="157">
        <f>SUM($U22:AF22)</f>
        <v>3300000.0000000005</v>
      </c>
    </row>
    <row r="12" spans="2:33" x14ac:dyDescent="0.25">
      <c r="K12" s="150" t="s">
        <v>155</v>
      </c>
      <c r="L12" s="183">
        <f>SUM(U$17:W19)</f>
        <v>407224.39999999997</v>
      </c>
      <c r="M12" s="183">
        <f>SUM(X$17:Z19)</f>
        <v>911046.41000000038</v>
      </c>
      <c r="N12" s="183">
        <f>SUM(AA$17:AC19)</f>
        <v>53255.500000000044</v>
      </c>
      <c r="O12" s="183">
        <f>SUM(AD$17:AF19)</f>
        <v>2156083.0300000003</v>
      </c>
      <c r="P12" s="184">
        <f>SUM(Table15222834[[#This Row],[Q1]:[Q4]])</f>
        <v>3527609.3400000008</v>
      </c>
      <c r="T12" s="112" t="s">
        <v>111</v>
      </c>
      <c r="U12" s="157">
        <f>U23</f>
        <v>183333.33333333334</v>
      </c>
      <c r="V12" s="157">
        <f>SUM($U23:V23)</f>
        <v>366666.66666666669</v>
      </c>
      <c r="W12" s="157">
        <f>SUM($U23:W23)</f>
        <v>550000</v>
      </c>
      <c r="X12" s="157">
        <f>SUM($U23:X23)</f>
        <v>733333.33333333337</v>
      </c>
      <c r="Y12" s="157">
        <f>SUM($U23:Y23)</f>
        <v>916666.66666666674</v>
      </c>
      <c r="Z12" s="157">
        <f>SUM($U23:Z23)</f>
        <v>1100000</v>
      </c>
      <c r="AA12" s="157">
        <f>SUM($U23:AA23)</f>
        <v>1283333.3333333333</v>
      </c>
      <c r="AB12" s="157">
        <f>SUM($U23:AB23)</f>
        <v>1466666.6666666665</v>
      </c>
      <c r="AC12" s="157">
        <f>SUM($U23:AC23)</f>
        <v>1649999.9999999998</v>
      </c>
      <c r="AD12" s="157">
        <f>SUM($U23:AD23)</f>
        <v>1833333.333333333</v>
      </c>
      <c r="AE12" s="157">
        <f>SUM($U23:AE23)</f>
        <v>2016666.6666666663</v>
      </c>
      <c r="AF12" s="157">
        <f>SUM($U23:AF23)</f>
        <v>2199999.9999999995</v>
      </c>
    </row>
    <row r="13" spans="2:33" x14ac:dyDescent="0.25">
      <c r="K13" s="182" t="s">
        <v>154</v>
      </c>
      <c r="L13" s="176">
        <f t="shared" ref="L13:O13" si="2">L12-L$6</f>
        <v>-142775.60000000003</v>
      </c>
      <c r="M13" s="176">
        <f t="shared" si="2"/>
        <v>361046.41000000038</v>
      </c>
      <c r="N13" s="176">
        <f t="shared" si="2"/>
        <v>-496744.49999999994</v>
      </c>
      <c r="O13" s="176">
        <f t="shared" si="2"/>
        <v>1606083.0300000003</v>
      </c>
      <c r="P13" s="208">
        <f>SUM(Table15222834[[#This Row],[Q1]:[Q4]])</f>
        <v>1327609.3400000008</v>
      </c>
      <c r="T13" s="112" t="s">
        <v>4</v>
      </c>
      <c r="U13" s="157">
        <f>U24</f>
        <v>112500</v>
      </c>
      <c r="V13" s="157">
        <f>GMConCumulativeSpreadTable10202632[[#This Row],[July]]+V24</f>
        <v>225000</v>
      </c>
      <c r="W13" s="157">
        <f>GMConCumulativeSpreadTable10202632[[#This Row],[August]]+W24</f>
        <v>337500</v>
      </c>
      <c r="X13" s="157">
        <f>GMConCumulativeSpreadTable10202632[[#This Row],[September]]+X24</f>
        <v>450000</v>
      </c>
      <c r="Y13" s="157">
        <f>GMConCumulativeSpreadTable10202632[[#This Row],[October]]+Y24</f>
        <v>562500</v>
      </c>
      <c r="Z13" s="157">
        <f>GMConCumulativeSpreadTable10202632[[#This Row],[November]]+Z24</f>
        <v>675000</v>
      </c>
      <c r="AA13" s="157">
        <f>GMConCumulativeSpreadTable10202632[[#This Row],[December]]+AA24</f>
        <v>787500</v>
      </c>
      <c r="AB13" s="157">
        <f>GMConCumulativeSpreadTable10202632[[#This Row],[January]]+AB24</f>
        <v>900000</v>
      </c>
      <c r="AC13" s="157">
        <f>GMConCumulativeSpreadTable10202632[[#This Row],[February]]+AC24</f>
        <v>1012500</v>
      </c>
      <c r="AD13" s="157">
        <f>GMConCumulativeSpreadTable10202632[[#This Row],[March]]+AD24</f>
        <v>1125000</v>
      </c>
      <c r="AE13" s="157">
        <f>GMConCumulativeSpreadTable10202632[[#This Row],[April]]+AE24</f>
        <v>1237500</v>
      </c>
      <c r="AF13" s="157">
        <f>GMConCumulativeSpreadTable10202632[[#This Row],[May]]+AF24</f>
        <v>1350000</v>
      </c>
    </row>
    <row r="14" spans="2:33" x14ac:dyDescent="0.25">
      <c r="K14" s="150" t="s">
        <v>156</v>
      </c>
      <c r="L14" s="183">
        <f>SUM(U$17:W20)</f>
        <v>407224.39999999997</v>
      </c>
      <c r="M14" s="183">
        <f>SUM(X$17:Z20)</f>
        <v>911046.41000000038</v>
      </c>
      <c r="N14" s="183">
        <f>SUM(AA$17:AC20)</f>
        <v>53255.500000000044</v>
      </c>
      <c r="O14" s="183">
        <f>SUM(AD$17:AF20)</f>
        <v>2156083.0300000003</v>
      </c>
      <c r="P14" s="184">
        <f>SUM(Table15222834[[#This Row],[Q1]:[Q4]])</f>
        <v>3527609.3400000008</v>
      </c>
    </row>
    <row r="15" spans="2:33" x14ac:dyDescent="0.25">
      <c r="K15" s="182" t="s">
        <v>154</v>
      </c>
      <c r="L15" s="176">
        <f>L14-L$6</f>
        <v>-142775.60000000003</v>
      </c>
      <c r="M15" s="176">
        <f t="shared" ref="M15:O15" si="3">M14-M$6</f>
        <v>361046.41000000038</v>
      </c>
      <c r="N15" s="176">
        <f t="shared" si="3"/>
        <v>-496744.49999999994</v>
      </c>
      <c r="O15" s="176">
        <f t="shared" si="3"/>
        <v>1606083.0300000003</v>
      </c>
      <c r="P15" s="208">
        <f>SUM(Table15222834[[#This Row],[Q1]:[Q4]])</f>
        <v>1327609.3400000008</v>
      </c>
      <c r="T15" s="13" t="s">
        <v>112</v>
      </c>
    </row>
    <row r="16" spans="2:33" x14ac:dyDescent="0.25">
      <c r="T16" s="13" t="s">
        <v>94</v>
      </c>
      <c r="U16" s="118" t="s">
        <v>95</v>
      </c>
      <c r="V16" s="118" t="s">
        <v>96</v>
      </c>
      <c r="W16" s="118" t="s">
        <v>97</v>
      </c>
      <c r="X16" s="118" t="s">
        <v>98</v>
      </c>
      <c r="Y16" s="118" t="s">
        <v>99</v>
      </c>
      <c r="Z16" s="118" t="s">
        <v>100</v>
      </c>
      <c r="AA16" s="118" t="s">
        <v>101</v>
      </c>
      <c r="AB16" s="118" t="s">
        <v>102</v>
      </c>
      <c r="AC16" s="118" t="s">
        <v>103</v>
      </c>
      <c r="AD16" s="118" t="s">
        <v>104</v>
      </c>
      <c r="AE16" s="118" t="s">
        <v>105</v>
      </c>
      <c r="AF16" s="118" t="s">
        <v>106</v>
      </c>
    </row>
    <row r="17" spans="11:32" x14ac:dyDescent="0.25">
      <c r="K17" s="188" t="s">
        <v>157</v>
      </c>
      <c r="L17" s="189" t="s">
        <v>47</v>
      </c>
      <c r="M17" s="189" t="s">
        <v>48</v>
      </c>
      <c r="N17" s="189" t="s">
        <v>49</v>
      </c>
      <c r="O17" s="189" t="s">
        <v>50</v>
      </c>
      <c r="P17" s="193" t="s">
        <v>1</v>
      </c>
      <c r="T17" s="112" t="s">
        <v>148</v>
      </c>
      <c r="U17" s="155">
        <f>SUMIF(Job_Status[VAT],"GROWTH",Job_Status[P1])</f>
        <v>0</v>
      </c>
      <c r="V17" s="155">
        <f>SUMIF(Job_Status[VAT],"GROWTH",Job_Status[P2])</f>
        <v>109070.63999999997</v>
      </c>
      <c r="W17" s="155">
        <f>SUMIF(Job_Status[VAT],"GROWTH",Job_Status[P3])</f>
        <v>298153.76</v>
      </c>
      <c r="X17" s="155">
        <f>SUMIF(Job_Status[VAT],"GROWTH",Job_Status[P4])</f>
        <v>536712.0900000002</v>
      </c>
      <c r="Y17" s="155">
        <f>SUMIF(Job_Status[VAT],"GROWTH",Job_Status[P5])</f>
        <v>224140.01000000007</v>
      </c>
      <c r="Z17" s="155">
        <f>SUMIF(Job_Status[VAT],"GROWTH",Job_Status[P6])</f>
        <v>150194.31000000003</v>
      </c>
      <c r="AA17" s="155">
        <f>SUMIF(Job_Status[VAT],"GROWTH",Job_Status[P7])</f>
        <v>4156.5</v>
      </c>
      <c r="AB17" s="155">
        <f>SUMIF(Job_Status[VAT],"GROWTH",Job_Status[P8])</f>
        <v>-7575.4000000000033</v>
      </c>
      <c r="AC17" s="155">
        <f>SUMIF(Job_Status[VAT],"GROWTH",Job_Status[P9])</f>
        <v>3532.0000000000464</v>
      </c>
      <c r="AD17" s="155">
        <f>SUMIF(Job_Status[VAT],"GROWTH",Job_Status[P10])</f>
        <v>1632.4000000000233</v>
      </c>
      <c r="AE17" s="155">
        <f>SUMIF(Job_Status[VAT],"GROWTH",Job_Status[P11])</f>
        <v>606.40000000002328</v>
      </c>
      <c r="AF17" s="155">
        <f>SUMIF(Job_Status[VAT],"GROWTH",Job_Status[P12])</f>
        <v>31112.23000000004</v>
      </c>
    </row>
    <row r="18" spans="11:32" x14ac:dyDescent="0.25">
      <c r="K18" s="150" t="s">
        <v>158</v>
      </c>
      <c r="L18" s="183" cm="1">
        <f t="array" ref="L18">INDEX('FY2526 VAT Financial KPIs'!$F:$F, MATCH(1, ('FY2526 VAT Financial KPIs'!$A:$A="GROWTH")*('FY2526 VAT Financial KPIs'!$D:$D="Revenue"), 0))/4</f>
        <v>1375000</v>
      </c>
      <c r="M18" s="183" cm="1">
        <f t="array" ref="M18">INDEX('FY2526 VAT Financial KPIs'!$F:$F, MATCH(1, ('FY2526 VAT Financial KPIs'!$A:$A="GROWTH")*('FY2526 VAT Financial KPIs'!$D:$D="Revenue"), 0))/4</f>
        <v>1375000</v>
      </c>
      <c r="N18" s="183" cm="1">
        <f t="array" ref="N18">INDEX('FY2526 VAT Financial KPIs'!$F:$F, MATCH(1, ('FY2526 VAT Financial KPIs'!$A:$A="GROWTH")*('FY2526 VAT Financial KPIs'!$D:$D="Revenue"), 0))/4</f>
        <v>1375000</v>
      </c>
      <c r="O18" s="183" cm="1">
        <f t="array" ref="O18">INDEX('FY2526 VAT Financial KPIs'!$F:$F, MATCH(1, ('FY2526 VAT Financial KPIs'!$A:$A="GROWTH")*('FY2526 VAT Financial KPIs'!$D:$D="Revenue"), 0))/4</f>
        <v>1375000</v>
      </c>
      <c r="P18" s="184">
        <f>SUM(Table40[[#This Row],[Q1]:[Q4]])</f>
        <v>5500000</v>
      </c>
      <c r="T18" s="112" t="s">
        <v>77</v>
      </c>
      <c r="U18" s="155">
        <f>_xlfn.LET(
    _xlpm.s,         GMConSpreadTable8192531[[#This Row],[STATUS]],
    _xlpm.vatCrit,   "GROWTH",
    _xlpm.sumcol,    TotalGMContribution[July],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0</v>
      </c>
      <c r="V18" s="155">
        <f>_xlfn.LET(
    _xlpm.s,         GMConSpreadTable8192531[[#This Row],[STATUS]],
    _xlpm.vatCrit,   "GROWTH",
    _xlpm.sumcol,    TotalGMContribution[August],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0</v>
      </c>
      <c r="W18" s="155">
        <f>_xlfn.LET(
    _xlpm.s,         GMConSpreadTable8192531[[#This Row],[STATUS]],
    _xlpm.vatCrit,   "GROWTH",
    _xlpm.sumcol,    TotalGMContribution[September],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0</v>
      </c>
      <c r="X18" s="155">
        <f>_xlfn.LET(
    _xlpm.s,         GMConSpreadTable8192531[[#This Row],[STATUS]],
    _xlpm.vatCrit,   "GROWTH",
    _xlpm.sumcol,    TotalGMContribution[October],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0</v>
      </c>
      <c r="Y18" s="155">
        <f>_xlfn.LET(
    _xlpm.s,         GMConSpreadTable8192531[[#This Row],[STATUS]],
    _xlpm.vatCrit,   "GROWTH",
    _xlpm.sumcol,    TotalGMContribution[November],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0</v>
      </c>
      <c r="Z18" s="155">
        <f>_xlfn.LET(
    _xlpm.s,         GMConSpreadTable8192531[[#This Row],[STATUS]],
    _xlpm.vatCrit,   "GROWTH",
    _xlpm.sumcol,    TotalGMContribution[December],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0</v>
      </c>
      <c r="AA18" s="155">
        <f>_xlfn.LET(
    _xlpm.s,         GMConSpreadTable8192531[[#This Row],[STATUS]],
    _xlpm.vatCrit,   "GROWTH",
    _xlpm.sumcol,    TotalGMContribution[January],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0</v>
      </c>
      <c r="AB18" s="155">
        <f>_xlfn.LET(
    _xlpm.s,         GMConSpreadTable8192531[[#This Row],[STATUS]],
    _xlpm.vatCrit,   "GROWTH",
    _xlpm.sumcol,    TotalGMContribution[February],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9000.4</v>
      </c>
      <c r="AC18" s="155">
        <f>_xlfn.LET(
    _xlpm.s,         GMConSpreadTable8192531[[#This Row],[STATUS]],
    _xlpm.vatCrit,   "GROWTH",
    _xlpm.sumcol,    TotalGMContribution[March],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44142</v>
      </c>
      <c r="AD18" s="155">
        <f>_xlfn.LET(
    _xlpm.s,         GMConSpreadTable8192531[[#This Row],[STATUS]],
    _xlpm.vatCrit,   "GROWTH",
    _xlpm.sumcol,    TotalGMContribution[April],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981566.00000000012</v>
      </c>
      <c r="AE18" s="155">
        <f>_xlfn.LET(
    _xlpm.s,         GMConSpreadTable8192531[[#This Row],[STATUS]],
    _xlpm.vatCrit,   "GROWTH",
    _xlpm.sumcol,    TotalGMContribution[May],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301313.2</v>
      </c>
      <c r="AF18" s="155">
        <f>_xlfn.LET(
    _xlpm.s,         GMConSpreadTable8192531[[#This Row],[STATUS]],
    _xlpm.vatCrit,   "GROWTH",
    _xlpm.sumcol,    TotalGMContribution[June],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839852.8</v>
      </c>
    </row>
    <row r="19" spans="11:32" x14ac:dyDescent="0.25">
      <c r="K19" s="179" t="s">
        <v>56</v>
      </c>
      <c r="L19" s="180">
        <f>SUMIFS(Job_Status[Revenue Q1],Job_Status[VAT],"GROWTH")</f>
        <v>909930.5</v>
      </c>
      <c r="M19" s="180">
        <f>SUMIFS(Job_Status[Revenue Q2],Job_Status[VAT],"GROWTH")</f>
        <v>1493944.5</v>
      </c>
      <c r="N19" s="180">
        <f>SUMIFS(Job_Status[Revenue Q3],Job_Status[VAT],"GROWTH")</f>
        <v>12855</v>
      </c>
      <c r="O19" s="180">
        <f>SUMIFS(Job_Status[Revenue Q4],Job_Status[VAT],"GROWTH")</f>
        <v>0</v>
      </c>
      <c r="P19" s="181">
        <f>SUM(Table40[[#This Row],[Q1]:[Q4]])</f>
        <v>2416730</v>
      </c>
      <c r="T19" s="112" t="s">
        <v>76</v>
      </c>
      <c r="U19" s="155">
        <f>_xlfn.LET(
    _xlpm.s,         GMConSpreadTable8192531[[#This Row],[STATUS]],
    _xlpm.vatCrit,   "GROWTH",
    _xlpm.sumcol,    TotalGMContribution[July],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0</v>
      </c>
      <c r="V19" s="155">
        <f>_xlfn.LET(
    _xlpm.s,         GMConSpreadTable8192531[[#This Row],[STATUS]],
    _xlpm.vatCrit,   "GROWTH",
    _xlpm.sumcol,    TotalGMContribution[August],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0</v>
      </c>
      <c r="W19" s="155">
        <f>_xlfn.LET(
    _xlpm.s,         GMConSpreadTable8192531[[#This Row],[STATUS]],
    _xlpm.vatCrit,   "GROWTH",
    _xlpm.sumcol,    TotalGMContribution[September],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0</v>
      </c>
      <c r="X19" s="155">
        <f>_xlfn.LET(
    _xlpm.s,         GMConSpreadTable8192531[[#This Row],[STATUS]],
    _xlpm.vatCrit,   "GROWTH",
    _xlpm.sumcol,    TotalGMContribution[October],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0</v>
      </c>
      <c r="Y19" s="155">
        <f>_xlfn.LET(
    _xlpm.s,         GMConSpreadTable8192531[[#This Row],[STATUS]],
    _xlpm.vatCrit,   "GROWTH",
    _xlpm.sumcol,    TotalGMContribution[November],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0</v>
      </c>
      <c r="Z19" s="155">
        <f>_xlfn.LET(
    _xlpm.s,         GMConSpreadTable8192531[[#This Row],[STATUS]],
    _xlpm.vatCrit,   "GROWTH",
    _xlpm.sumcol,    TotalGMContribution[December],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0</v>
      </c>
      <c r="AA19" s="155">
        <f>_xlfn.LET(
    _xlpm.s,         GMConSpreadTable8192531[[#This Row],[STATUS]],
    _xlpm.vatCrit,   "GROWTH",
    _xlpm.sumcol,    TotalGMContribution[January],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0</v>
      </c>
      <c r="AB19" s="155">
        <f>_xlfn.LET(
    _xlpm.s,         GMConSpreadTable8192531[[#This Row],[STATUS]],
    _xlpm.vatCrit,   "GROWTH",
    _xlpm.sumcol,    TotalGMContribution[February],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0</v>
      </c>
      <c r="AC19" s="155">
        <f>_xlfn.LET(
    _xlpm.s,         GMConSpreadTable8192531[[#This Row],[STATUS]],
    _xlpm.vatCrit,   "GROWTH",
    _xlpm.sumcol,    TotalGMContribution[March],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0</v>
      </c>
      <c r="AD19" s="155">
        <f>_xlfn.LET(
    _xlpm.s,         GMConSpreadTable8192531[[#This Row],[STATUS]],
    _xlpm.vatCrit,   "GROWTH",
    _xlpm.sumcol,    TotalGMContribution[April],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0</v>
      </c>
      <c r="AE19" s="155">
        <f>_xlfn.LET(
    _xlpm.s,         GMConSpreadTable8192531[[#This Row],[STATUS]],
    _xlpm.vatCrit,   "GROWTH",
    _xlpm.sumcol,    TotalGMContribution[May],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0</v>
      </c>
      <c r="AF19" s="155">
        <f>_xlfn.LET(
    _xlpm.s,         GMConSpreadTable8192531[[#This Row],[STATUS]],
    _xlpm.vatCrit,   "GROWTH",
    _xlpm.sumcol,    TotalGMContribution[June],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0</v>
      </c>
    </row>
    <row r="20" spans="11:32" x14ac:dyDescent="0.25">
      <c r="K20" s="253" t="s">
        <v>151</v>
      </c>
      <c r="L20" s="191">
        <f>SUM(U39:W39)</f>
        <v>909930.5</v>
      </c>
      <c r="M20" s="191">
        <f>SUM(X39:Z39)</f>
        <v>1493944.5</v>
      </c>
      <c r="N20" s="191">
        <f>SUM(AA39:AC39)</f>
        <v>300723.40000000002</v>
      </c>
      <c r="O20" s="191">
        <f>SUM(AD39:AF39)</f>
        <v>498447.83</v>
      </c>
      <c r="P20" s="218">
        <f>SUM(Table40[[#This Row],[Q1]:[Q4]])</f>
        <v>3203046.23</v>
      </c>
      <c r="T20" s="112" t="s">
        <v>75</v>
      </c>
      <c r="U20" s="155">
        <f>_xlfn.LET(
    _xlpm.s,         GMConSpreadTable8192531[[#This Row],[STATUS]],
    _xlpm.vatCrit,   "GROWTH",
    _xlpm.sumcol,    TotalGMContribution[July],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0</v>
      </c>
      <c r="V20" s="155">
        <f>_xlfn.LET(
    _xlpm.s,         GMConSpreadTable8192531[[#This Row],[STATUS]],
    _xlpm.vatCrit,   "GROWTH",
    _xlpm.sumcol,    TotalGMContribution[August],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0</v>
      </c>
      <c r="W20" s="155">
        <f>_xlfn.LET(
    _xlpm.s,         GMConSpreadTable8192531[[#This Row],[STATUS]],
    _xlpm.vatCrit,   "GROWTH",
    _xlpm.sumcol,    TotalGMContribution[September],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0</v>
      </c>
      <c r="X20" s="155">
        <f>_xlfn.LET(
    _xlpm.s,         GMConSpreadTable8192531[[#This Row],[STATUS]],
    _xlpm.vatCrit,   "GROWTH",
    _xlpm.sumcol,    TotalGMContribution[October],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0</v>
      </c>
      <c r="Y20" s="155">
        <f>_xlfn.LET(
    _xlpm.s,         GMConSpreadTable8192531[[#This Row],[STATUS]],
    _xlpm.vatCrit,   "GROWTH",
    _xlpm.sumcol,    TotalGMContribution[November],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0</v>
      </c>
      <c r="Z20" s="155">
        <f>_xlfn.LET(
    _xlpm.s,         GMConSpreadTable8192531[[#This Row],[STATUS]],
    _xlpm.vatCrit,   "GROWTH",
    _xlpm.sumcol,    TotalGMContribution[December],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0</v>
      </c>
      <c r="AA20" s="155">
        <f>_xlfn.LET(
    _xlpm.s,         GMConSpreadTable8192531[[#This Row],[STATUS]],
    _xlpm.vatCrit,   "GROWTH",
    _xlpm.sumcol,    TotalGMContribution[January],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0</v>
      </c>
      <c r="AB20" s="155">
        <f>_xlfn.LET(
    _xlpm.s,         GMConSpreadTable8192531[[#This Row],[STATUS]],
    _xlpm.vatCrit,   "GROWTH",
    _xlpm.sumcol,    TotalGMContribution[February],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0</v>
      </c>
      <c r="AC20" s="155">
        <f>_xlfn.LET(
    _xlpm.s,         GMConSpreadTable8192531[[#This Row],[STATUS]],
    _xlpm.vatCrit,   "GROWTH",
    _xlpm.sumcol,    TotalGMContribution[March],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0</v>
      </c>
      <c r="AD20" s="155">
        <f>_xlfn.LET(
    _xlpm.s,         GMConSpreadTable8192531[[#This Row],[STATUS]],
    _xlpm.vatCrit,   "GROWTH",
    _xlpm.sumcol,    TotalGMContribution[April],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0</v>
      </c>
      <c r="AE20" s="155">
        <f>_xlfn.LET(
    _xlpm.s,         GMConSpreadTable8192531[[#This Row],[STATUS]],
    _xlpm.vatCrit,   "GROWTH",
    _xlpm.sumcol,    TotalGMContribution[May],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0</v>
      </c>
      <c r="AF20" s="155">
        <f>_xlfn.LET(
    _xlpm.s,         GMConSpreadTable8192531[[#This Row],[STATUS]],
    _xlpm.vatCrit,   "GROWTH",
    _xlpm.sumcol,    TotalGMContribution[June],
    _xlpm.statuscol, TotalGMContribution[Status],
    _xlpm.vatcol,    TotalGMContribution[VAT],
    _xlpm.oppcol,    TotalGMContribution[Opps Status],
          IF(GROWTHGoodToggle=TRUE, SUMIFS(_xlpm.sumcol, _xlpm.statuscol, _xlpm.s, _xlpm.vatcol, _xlpm.vatCrit, _xlpm.oppcol, "Good"), 0) +
          IF(GROWTHFairToggle=TRUE, SUMIFS(_xlpm.sumcol, _xlpm.statuscol, _xlpm.s, _xlpm.vatcol, _xlpm.vatCrit, _xlpm.oppcol, "Fair"), 0) +
          IF(GROWTHRiskToggle=TRUE, SUMIFS(_xlpm.sumcol, _xlpm.statuscol, _xlpm.s, _xlpm.vatcol, _xlpm.vatCrit, _xlpm.oppcol, "Risk"), 0)
)</f>
        <v>0</v>
      </c>
    </row>
    <row r="21" spans="11:32" x14ac:dyDescent="0.25">
      <c r="K21" s="253" t="s">
        <v>60</v>
      </c>
      <c r="L21" s="191">
        <f>L20-L$18</f>
        <v>-465069.5</v>
      </c>
      <c r="M21" s="191">
        <f t="shared" ref="M21:O21" si="4">M20-M$18</f>
        <v>118944.5</v>
      </c>
      <c r="N21" s="191">
        <f t="shared" si="4"/>
        <v>-1074276.6000000001</v>
      </c>
      <c r="O21" s="191">
        <f t="shared" si="4"/>
        <v>-876552.16999999993</v>
      </c>
      <c r="P21" s="218">
        <f>SUM(Table40[[#This Row],[Q1]:[Q4]])</f>
        <v>-2296953.77</v>
      </c>
      <c r="T21" s="112" t="s">
        <v>152</v>
      </c>
      <c r="U21" s="259"/>
      <c r="V21" s="259"/>
      <c r="W21" s="259"/>
      <c r="X21" s="259"/>
      <c r="Y21" s="259"/>
      <c r="Z21" s="259"/>
      <c r="AA21" s="259"/>
      <c r="AB21" s="259"/>
      <c r="AC21" s="259"/>
      <c r="AD21" s="259"/>
      <c r="AE21" s="259"/>
      <c r="AF21" s="259"/>
    </row>
    <row r="22" spans="11:32" x14ac:dyDescent="0.25">
      <c r="K22" s="150" t="s">
        <v>159</v>
      </c>
      <c r="L22" s="191">
        <f>SUM(U$39:W40)</f>
        <v>909930.5</v>
      </c>
      <c r="M22" s="191">
        <f>SUM(X$39:Z40)</f>
        <v>1493944.5</v>
      </c>
      <c r="N22" s="191">
        <f>SUM(AA$39:AC40)</f>
        <v>786989.8</v>
      </c>
      <c r="O22" s="191">
        <f>SUM(AD$39:AF40)</f>
        <v>6244223.4299999997</v>
      </c>
      <c r="P22" s="218">
        <f>SUM(Table40[[#This Row],[Q1]:[Q4]])</f>
        <v>9435088.2300000004</v>
      </c>
      <c r="T22" s="155" t="s">
        <v>110</v>
      </c>
      <c r="U22" s="158" cm="1">
        <f t="array" ref="U22">INDEX('FY2526 VAT Financial KPIs'!$G:$G, MATCH(1, ('FY2526 VAT Financial KPIs'!$A:$A="GROWTH")*('FY2526 VAT Financial KPIs'!$D:$D="Gross Margin Contribution"), 0))/12</f>
        <v>275000.00000000006</v>
      </c>
      <c r="V22" s="158" cm="1">
        <f t="array" ref="V22">INDEX('FY2526 VAT Financial KPIs'!$G:$G, MATCH(1, ('FY2526 VAT Financial KPIs'!$A:$A="GROWTH")*('FY2526 VAT Financial KPIs'!$D:$D="Gross Margin Contribution"), 0))/12</f>
        <v>275000.00000000006</v>
      </c>
      <c r="W22" s="158" cm="1">
        <f t="array" ref="W22">INDEX('FY2526 VAT Financial KPIs'!$G:$G, MATCH(1, ('FY2526 VAT Financial KPIs'!$A:$A="GROWTH")*('FY2526 VAT Financial KPIs'!$D:$D="Gross Margin Contribution"), 0))/12</f>
        <v>275000.00000000006</v>
      </c>
      <c r="X22" s="158" cm="1">
        <f t="array" ref="X22">INDEX('FY2526 VAT Financial KPIs'!$G:$G, MATCH(1, ('FY2526 VAT Financial KPIs'!$A:$A="GROWTH")*('FY2526 VAT Financial KPIs'!$D:$D="Gross Margin Contribution"), 0))/12</f>
        <v>275000.00000000006</v>
      </c>
      <c r="Y22" s="158" cm="1">
        <f t="array" ref="Y22">INDEX('FY2526 VAT Financial KPIs'!$G:$G, MATCH(1, ('FY2526 VAT Financial KPIs'!$A:$A="GROWTH")*('FY2526 VAT Financial KPIs'!$D:$D="Gross Margin Contribution"), 0))/12</f>
        <v>275000.00000000006</v>
      </c>
      <c r="Z22" s="158" cm="1">
        <f t="array" ref="Z22">INDEX('FY2526 VAT Financial KPIs'!$G:$G, MATCH(1, ('FY2526 VAT Financial KPIs'!$A:$A="GROWTH")*('FY2526 VAT Financial KPIs'!$D:$D="Gross Margin Contribution"), 0))/12</f>
        <v>275000.00000000006</v>
      </c>
      <c r="AA22" s="158" cm="1">
        <f t="array" ref="AA22">INDEX('FY2526 VAT Financial KPIs'!$G:$G, MATCH(1, ('FY2526 VAT Financial KPIs'!$A:$A="GROWTH")*('FY2526 VAT Financial KPIs'!$D:$D="Gross Margin Contribution"), 0))/12</f>
        <v>275000.00000000006</v>
      </c>
      <c r="AB22" s="158" cm="1">
        <f t="array" ref="AB22">INDEX('FY2526 VAT Financial KPIs'!$G:$G, MATCH(1, ('FY2526 VAT Financial KPIs'!$A:$A="GROWTH")*('FY2526 VAT Financial KPIs'!$D:$D="Gross Margin Contribution"), 0))/12</f>
        <v>275000.00000000006</v>
      </c>
      <c r="AC22" s="158" cm="1">
        <f t="array" ref="AC22">INDEX('FY2526 VAT Financial KPIs'!$G:$G, MATCH(1, ('FY2526 VAT Financial KPIs'!$A:$A="GROWTH")*('FY2526 VAT Financial KPIs'!$D:$D="Gross Margin Contribution"), 0))/12</f>
        <v>275000.00000000006</v>
      </c>
      <c r="AD22" s="158" cm="1">
        <f t="array" ref="AD22">INDEX('FY2526 VAT Financial KPIs'!$G:$G, MATCH(1, ('FY2526 VAT Financial KPIs'!$A:$A="GROWTH")*('FY2526 VAT Financial KPIs'!$D:$D="Gross Margin Contribution"), 0))/12</f>
        <v>275000.00000000006</v>
      </c>
      <c r="AE22" s="158" cm="1">
        <f t="array" ref="AE22">INDEX('FY2526 VAT Financial KPIs'!$G:$G, MATCH(1, ('FY2526 VAT Financial KPIs'!$A:$A="GROWTH")*('FY2526 VAT Financial KPIs'!$D:$D="Gross Margin Contribution"), 0))/12</f>
        <v>275000.00000000006</v>
      </c>
      <c r="AF22" s="158" cm="1">
        <f t="array" ref="AF22">INDEX('FY2526 VAT Financial KPIs'!$G:$G, MATCH(1, ('FY2526 VAT Financial KPIs'!$A:$A="GROWTH")*('FY2526 VAT Financial KPIs'!$D:$D="Gross Margin Contribution"), 0))/12</f>
        <v>275000.00000000006</v>
      </c>
    </row>
    <row r="23" spans="11:32" x14ac:dyDescent="0.25">
      <c r="K23" s="182" t="s">
        <v>154</v>
      </c>
      <c r="L23" s="191">
        <f t="shared" ref="L23:O23" si="5">L22-L$18</f>
        <v>-465069.5</v>
      </c>
      <c r="M23" s="191">
        <f t="shared" si="5"/>
        <v>118944.5</v>
      </c>
      <c r="N23" s="191">
        <f t="shared" si="5"/>
        <v>-588010.19999999995</v>
      </c>
      <c r="O23" s="191">
        <f t="shared" si="5"/>
        <v>4869223.43</v>
      </c>
      <c r="P23" s="218">
        <f>SUM(Table40[[#This Row],[Q1]:[Q4]])</f>
        <v>3935088.2299999995</v>
      </c>
      <c r="T23" s="155" t="s">
        <v>111</v>
      </c>
      <c r="U23" s="158" cm="1">
        <f t="array" ref="U23">INDEX('FY2526 VAT Financial KPIs'!$F:$F, MATCH(1, ('FY2526 VAT Financial KPIs'!$A:$A="GROWTH")*('FY2526 VAT Financial KPIs'!$D:$D="Gross Margin Contribution"), 0))/12</f>
        <v>183333.33333333334</v>
      </c>
      <c r="V23" s="158" cm="1">
        <f t="array" ref="V23">INDEX('FY2526 VAT Financial KPIs'!$F:$F, MATCH(1, ('FY2526 VAT Financial KPIs'!$A:$A="GROWTH")*('FY2526 VAT Financial KPIs'!$D:$D="Gross Margin Contribution"), 0))/12</f>
        <v>183333.33333333334</v>
      </c>
      <c r="W23" s="158" cm="1">
        <f t="array" ref="W23">INDEX('FY2526 VAT Financial KPIs'!$F:$F, MATCH(1, ('FY2526 VAT Financial KPIs'!$A:$A="GROWTH")*('FY2526 VAT Financial KPIs'!$D:$D="Gross Margin Contribution"), 0))/12</f>
        <v>183333.33333333334</v>
      </c>
      <c r="X23" s="158" cm="1">
        <f t="array" ref="X23">INDEX('FY2526 VAT Financial KPIs'!$F:$F, MATCH(1, ('FY2526 VAT Financial KPIs'!$A:$A="GROWTH")*('FY2526 VAT Financial KPIs'!$D:$D="Gross Margin Contribution"), 0))/12</f>
        <v>183333.33333333334</v>
      </c>
      <c r="Y23" s="158" cm="1">
        <f t="array" ref="Y23">INDEX('FY2526 VAT Financial KPIs'!$F:$F, MATCH(1, ('FY2526 VAT Financial KPIs'!$A:$A="GROWTH")*('FY2526 VAT Financial KPIs'!$D:$D="Gross Margin Contribution"), 0))/12</f>
        <v>183333.33333333334</v>
      </c>
      <c r="Z23" s="158" cm="1">
        <f t="array" ref="Z23">INDEX('FY2526 VAT Financial KPIs'!$F:$F, MATCH(1, ('FY2526 VAT Financial KPIs'!$A:$A="GROWTH")*('FY2526 VAT Financial KPIs'!$D:$D="Gross Margin Contribution"), 0))/12</f>
        <v>183333.33333333334</v>
      </c>
      <c r="AA23" s="158" cm="1">
        <f t="array" ref="AA23">INDEX('FY2526 VAT Financial KPIs'!$F:$F, MATCH(1, ('FY2526 VAT Financial KPIs'!$A:$A="GROWTH")*('FY2526 VAT Financial KPIs'!$D:$D="Gross Margin Contribution"), 0))/12</f>
        <v>183333.33333333334</v>
      </c>
      <c r="AB23" s="158" cm="1">
        <f t="array" ref="AB23">INDEX('FY2526 VAT Financial KPIs'!$F:$F, MATCH(1, ('FY2526 VAT Financial KPIs'!$A:$A="GROWTH")*('FY2526 VAT Financial KPIs'!$D:$D="Gross Margin Contribution"), 0))/12</f>
        <v>183333.33333333334</v>
      </c>
      <c r="AC23" s="158" cm="1">
        <f t="array" ref="AC23">INDEX('FY2526 VAT Financial KPIs'!$F:$F, MATCH(1, ('FY2526 VAT Financial KPIs'!$A:$A="GROWTH")*('FY2526 VAT Financial KPIs'!$D:$D="Gross Margin Contribution"), 0))/12</f>
        <v>183333.33333333334</v>
      </c>
      <c r="AD23" s="158" cm="1">
        <f t="array" ref="AD23">INDEX('FY2526 VAT Financial KPIs'!$F:$F, MATCH(1, ('FY2526 VAT Financial KPIs'!$A:$A="GROWTH")*('FY2526 VAT Financial KPIs'!$D:$D="Gross Margin Contribution"), 0))/12</f>
        <v>183333.33333333334</v>
      </c>
      <c r="AE23" s="158" cm="1">
        <f t="array" ref="AE23">INDEX('FY2526 VAT Financial KPIs'!$F:$F, MATCH(1, ('FY2526 VAT Financial KPIs'!$A:$A="GROWTH")*('FY2526 VAT Financial KPIs'!$D:$D="Gross Margin Contribution"), 0))/12</f>
        <v>183333.33333333334</v>
      </c>
      <c r="AF23" s="158" cm="1">
        <f t="array" ref="AF23">INDEX('FY2526 VAT Financial KPIs'!$F:$F, MATCH(1, ('FY2526 VAT Financial KPIs'!$A:$A="GROWTH")*('FY2526 VAT Financial KPIs'!$D:$D="Gross Margin Contribution"), 0))/12</f>
        <v>183333.33333333334</v>
      </c>
    </row>
    <row r="24" spans="11:32" x14ac:dyDescent="0.25">
      <c r="K24" s="150" t="s">
        <v>160</v>
      </c>
      <c r="L24" s="191">
        <f>SUM(U$39:W41)</f>
        <v>909930.5</v>
      </c>
      <c r="M24" s="191">
        <f>SUM(X$39:Z41)</f>
        <v>1493944.5</v>
      </c>
      <c r="N24" s="191">
        <f>SUM(AA$39:AC41)</f>
        <v>1706897.8</v>
      </c>
      <c r="O24" s="191">
        <f>SUM(AD$39:AF41)</f>
        <v>7534984.4299999997</v>
      </c>
      <c r="P24" s="218">
        <f>SUM(Table40[[#This Row],[Q1]:[Q4]])</f>
        <v>11645757.23</v>
      </c>
      <c r="T24" s="155" t="s">
        <v>4</v>
      </c>
      <c r="U24" s="158" cm="1">
        <f t="array" ref="U24">INDEX('FY2526 VAT Financial KPIs'!$E:$E, MATCH(1, ('FY2526 VAT Financial KPIs'!$A:$A="GROWTH")*('FY2526 VAT Financial KPIs'!$D:$D="Gross Margin Contribution"), 0))/12</f>
        <v>112500</v>
      </c>
      <c r="V24" s="158" cm="1">
        <f t="array" ref="V24">INDEX('FY2526 VAT Financial KPIs'!$E:$E, MATCH(1, ('FY2526 VAT Financial KPIs'!$A:$A="GROWTH")*('FY2526 VAT Financial KPIs'!$D:$D="Gross Margin Contribution"), 0))/12</f>
        <v>112500</v>
      </c>
      <c r="W24" s="158" cm="1">
        <f t="array" ref="W24">INDEX('FY2526 VAT Financial KPIs'!$E:$E, MATCH(1, ('FY2526 VAT Financial KPIs'!$A:$A="GROWTH")*('FY2526 VAT Financial KPIs'!$D:$D="Gross Margin Contribution"), 0))/12</f>
        <v>112500</v>
      </c>
      <c r="X24" s="158" cm="1">
        <f t="array" ref="X24">INDEX('FY2526 VAT Financial KPIs'!$E:$E, MATCH(1, ('FY2526 VAT Financial KPIs'!$A:$A="GROWTH")*('FY2526 VAT Financial KPIs'!$D:$D="Gross Margin Contribution"), 0))/12</f>
        <v>112500</v>
      </c>
      <c r="Y24" s="158" cm="1">
        <f t="array" ref="Y24">INDEX('FY2526 VAT Financial KPIs'!$E:$E, MATCH(1, ('FY2526 VAT Financial KPIs'!$A:$A="GROWTH")*('FY2526 VAT Financial KPIs'!$D:$D="Gross Margin Contribution"), 0))/12</f>
        <v>112500</v>
      </c>
      <c r="Z24" s="158" cm="1">
        <f t="array" ref="Z24">INDEX('FY2526 VAT Financial KPIs'!$E:$E, MATCH(1, ('FY2526 VAT Financial KPIs'!$A:$A="GROWTH")*('FY2526 VAT Financial KPIs'!$D:$D="Gross Margin Contribution"), 0))/12</f>
        <v>112500</v>
      </c>
      <c r="AA24" s="158" cm="1">
        <f t="array" ref="AA24">INDEX('FY2526 VAT Financial KPIs'!$E:$E, MATCH(1, ('FY2526 VAT Financial KPIs'!$A:$A="GROWTH")*('FY2526 VAT Financial KPIs'!$D:$D="Gross Margin Contribution"), 0))/12</f>
        <v>112500</v>
      </c>
      <c r="AB24" s="158" cm="1">
        <f t="array" ref="AB24">INDEX('FY2526 VAT Financial KPIs'!$E:$E, MATCH(1, ('FY2526 VAT Financial KPIs'!$A:$A="GROWTH")*('FY2526 VAT Financial KPIs'!$D:$D="Gross Margin Contribution"), 0))/12</f>
        <v>112500</v>
      </c>
      <c r="AC24" s="158" cm="1">
        <f t="array" ref="AC24">INDEX('FY2526 VAT Financial KPIs'!$E:$E, MATCH(1, ('FY2526 VAT Financial KPIs'!$A:$A="GROWTH")*('FY2526 VAT Financial KPIs'!$D:$D="Gross Margin Contribution"), 0))/12</f>
        <v>112500</v>
      </c>
      <c r="AD24" s="158" cm="1">
        <f t="array" ref="AD24">INDEX('FY2526 VAT Financial KPIs'!$E:$E, MATCH(1, ('FY2526 VAT Financial KPIs'!$A:$A="GROWTH")*('FY2526 VAT Financial KPIs'!$D:$D="Gross Margin Contribution"), 0))/12</f>
        <v>112500</v>
      </c>
      <c r="AE24" s="158" cm="1">
        <f t="array" ref="AE24">INDEX('FY2526 VAT Financial KPIs'!$E:$E, MATCH(1, ('FY2526 VAT Financial KPIs'!$A:$A="GROWTH")*('FY2526 VAT Financial KPIs'!$D:$D="Gross Margin Contribution"), 0))/12</f>
        <v>112500</v>
      </c>
      <c r="AF24" s="158" cm="1">
        <f t="array" ref="AF24">INDEX('FY2526 VAT Financial KPIs'!$E:$E, MATCH(1, ('FY2526 VAT Financial KPIs'!$A:$A="GROWTH")*('FY2526 VAT Financial KPIs'!$D:$D="Gross Margin Contribution"), 0))/12</f>
        <v>112500</v>
      </c>
    </row>
    <row r="25" spans="11:32" x14ac:dyDescent="0.25">
      <c r="K25" s="182" t="s">
        <v>154</v>
      </c>
      <c r="L25" s="191">
        <f t="shared" ref="L25:O25" si="6">L24-L$18</f>
        <v>-465069.5</v>
      </c>
      <c r="M25" s="191">
        <f t="shared" si="6"/>
        <v>118944.5</v>
      </c>
      <c r="N25" s="191">
        <f t="shared" si="6"/>
        <v>331897.80000000005</v>
      </c>
      <c r="O25" s="191">
        <f t="shared" si="6"/>
        <v>6159984.4299999997</v>
      </c>
      <c r="P25" s="218">
        <f>SUM(Table40[[#This Row],[Q1]:[Q4]])</f>
        <v>6145757.2299999995</v>
      </c>
    </row>
    <row r="26" spans="11:32" x14ac:dyDescent="0.25">
      <c r="K26" s="150" t="s">
        <v>161</v>
      </c>
      <c r="L26" s="191">
        <f ca="1">SUM(U$39:W42)</f>
        <v>909930.5</v>
      </c>
      <c r="M26" s="191">
        <f ca="1">SUM(X$39:Z42)</f>
        <v>1493944.5</v>
      </c>
      <c r="N26" s="191">
        <f ca="1">SUM(AA$39:AC42)</f>
        <v>1706897.8</v>
      </c>
      <c r="O26" s="191">
        <f ca="1">SUM(AD$39:AF42)</f>
        <v>7607704.4299999997</v>
      </c>
      <c r="P26" s="218">
        <f ca="1">SUM(Table40[[#This Row],[Q1]:[Q4]])</f>
        <v>11718477.23</v>
      </c>
      <c r="T26" s="13" t="s">
        <v>93</v>
      </c>
      <c r="U26" s="112"/>
      <c r="V26" s="112"/>
      <c r="W26" s="112"/>
      <c r="X26" s="112"/>
      <c r="Y26" s="112"/>
      <c r="Z26" s="112"/>
      <c r="AA26" s="112"/>
      <c r="AB26" s="112"/>
      <c r="AC26" s="112"/>
      <c r="AD26" s="112"/>
      <c r="AE26" s="112"/>
      <c r="AF26" s="112"/>
    </row>
    <row r="27" spans="11:32" x14ac:dyDescent="0.25">
      <c r="K27" s="182" t="s">
        <v>154</v>
      </c>
      <c r="L27" s="191">
        <f t="shared" ref="L27:O27" ca="1" si="7">L26-L$18</f>
        <v>-465069.5</v>
      </c>
      <c r="M27" s="191">
        <f t="shared" ca="1" si="7"/>
        <v>118944.5</v>
      </c>
      <c r="N27" s="191">
        <f t="shared" ca="1" si="7"/>
        <v>331897.80000000005</v>
      </c>
      <c r="O27" s="191">
        <f t="shared" ca="1" si="7"/>
        <v>6232704.4299999997</v>
      </c>
      <c r="P27" s="219">
        <f ca="1">SUM(Table40[[#This Row],[Q1]:[Q4]])</f>
        <v>6218477.2299999995</v>
      </c>
      <c r="T27" s="113" t="s">
        <v>94</v>
      </c>
      <c r="U27" s="112" t="s">
        <v>95</v>
      </c>
      <c r="V27" s="112" t="s">
        <v>96</v>
      </c>
      <c r="W27" s="112" t="s">
        <v>97</v>
      </c>
      <c r="X27" s="112" t="s">
        <v>98</v>
      </c>
      <c r="Y27" s="112" t="s">
        <v>99</v>
      </c>
      <c r="Z27" s="112" t="s">
        <v>100</v>
      </c>
      <c r="AA27" s="112" t="s">
        <v>101</v>
      </c>
      <c r="AB27" s="112" t="s">
        <v>102</v>
      </c>
      <c r="AC27" s="112" t="s">
        <v>103</v>
      </c>
      <c r="AD27" s="112" t="s">
        <v>104</v>
      </c>
      <c r="AE27" s="112" t="s">
        <v>105</v>
      </c>
      <c r="AF27" s="112" t="s">
        <v>106</v>
      </c>
    </row>
    <row r="28" spans="11:32" x14ac:dyDescent="0.25">
      <c r="T28" s="112" t="s">
        <v>148</v>
      </c>
      <c r="U28" s="112">
        <f>U39</f>
        <v>0</v>
      </c>
      <c r="V28" s="112">
        <f>SUM($U39:V39)</f>
        <v>245270.5</v>
      </c>
      <c r="W28" s="112">
        <f>SUM($U39:W39)</f>
        <v>909930.5</v>
      </c>
      <c r="X28" s="112">
        <f>SUM($U39:X39)</f>
        <v>1676205</v>
      </c>
      <c r="Y28" s="112">
        <f>SUM($U39:Y39)</f>
        <v>2111595</v>
      </c>
      <c r="Z28" s="112">
        <f>SUM($U39:Z39)</f>
        <v>2403875</v>
      </c>
      <c r="AA28" s="112">
        <f>SUM($U39:AA39)</f>
        <v>2415350</v>
      </c>
      <c r="AB28" s="112">
        <f>SUM($U39:AB39)</f>
        <v>2507977.6</v>
      </c>
      <c r="AC28" s="112">
        <f>SUM($U39:AC39)</f>
        <v>2704598.4</v>
      </c>
      <c r="AD28" s="112">
        <f>SUM($U39:AD39)</f>
        <v>2874624.4</v>
      </c>
      <c r="AE28" s="112">
        <f>SUM($U39:AE39)</f>
        <v>3036204.4</v>
      </c>
      <c r="AF28" s="112">
        <f>SUM($U39:AF39)</f>
        <v>3203046.23</v>
      </c>
    </row>
    <row r="29" spans="11:32" x14ac:dyDescent="0.25">
      <c r="K29" s="185" t="s">
        <v>162</v>
      </c>
      <c r="L29" s="214" t="s">
        <v>47</v>
      </c>
      <c r="M29" s="214" t="s">
        <v>48</v>
      </c>
      <c r="N29" s="214" t="s">
        <v>49</v>
      </c>
      <c r="O29" s="214" t="s">
        <v>50</v>
      </c>
      <c r="P29" s="215" t="s">
        <v>1</v>
      </c>
      <c r="T29" s="112" t="s">
        <v>150</v>
      </c>
      <c r="U29" s="112">
        <f>U40+U28</f>
        <v>0</v>
      </c>
      <c r="V29" s="112">
        <f>SUM($U40:V40)+V28</f>
        <v>245270.5</v>
      </c>
      <c r="W29" s="112">
        <f>SUM($U40:W40)+W28</f>
        <v>909930.5</v>
      </c>
      <c r="X29" s="112">
        <f>SUM($U40:X40)+X28</f>
        <v>1676205</v>
      </c>
      <c r="Y29" s="112">
        <f>SUM($U40:Y40)+Y28</f>
        <v>2111595</v>
      </c>
      <c r="Z29" s="112">
        <f>SUM($U40:Z40)+Z28</f>
        <v>2403875</v>
      </c>
      <c r="AA29" s="112">
        <f>SUM($U40:AA40)+AA28</f>
        <v>2415350</v>
      </c>
      <c r="AB29" s="112">
        <f>SUM($U40:AB40)+AB28</f>
        <v>2601542</v>
      </c>
      <c r="AC29" s="112">
        <f>SUM($U40:AC40)+AC28</f>
        <v>3190864.8</v>
      </c>
      <c r="AD29" s="112">
        <f>SUM($U40:AD40)+AD28</f>
        <v>5097308.4000000004</v>
      </c>
      <c r="AE29" s="112">
        <f>SUM($U40:AE40)+AE28</f>
        <v>6488605.5999999996</v>
      </c>
      <c r="AF29" s="112">
        <f>SUM($U40:AF40)+AF28</f>
        <v>9435088.2300000004</v>
      </c>
    </row>
    <row r="30" spans="11:32" x14ac:dyDescent="0.25">
      <c r="K30" s="209" t="s">
        <v>163</v>
      </c>
      <c r="L30" s="151" cm="1">
        <f t="array" ref="L30">INDEX('FY2526 VAT Financial KPIs'!$F:$F, MATCH(1, ('FY2526 VAT Financial KPIs'!$A:$A="GROWTH")*('FY2526 VAT Financial KPIs'!$D:$D="Gross Margin Contribution %"), 0))</f>
        <v>0.4</v>
      </c>
      <c r="M30" s="151" cm="1">
        <f t="array" ref="M30">INDEX('FY2526 VAT Financial KPIs'!$F:$F, MATCH(1, ('FY2526 VAT Financial KPIs'!$A:$A="GROWTH")*('FY2526 VAT Financial KPIs'!$D:$D="Gross Margin Contribution %"), 0))</f>
        <v>0.4</v>
      </c>
      <c r="N30" s="151" cm="1">
        <f t="array" ref="N30">INDEX('FY2526 VAT Financial KPIs'!$F:$F, MATCH(1, ('FY2526 VAT Financial KPIs'!$A:$A="GROWTH")*('FY2526 VAT Financial KPIs'!$D:$D="Gross Margin Contribution %"), 0))</f>
        <v>0.4</v>
      </c>
      <c r="O30" s="151" cm="1">
        <f t="array" ref="O30">INDEX('FY2526 VAT Financial KPIs'!$F:$F, MATCH(1, ('FY2526 VAT Financial KPIs'!$A:$A="GROWTH")*('FY2526 VAT Financial KPIs'!$D:$D="Gross Margin Contribution %"), 0))</f>
        <v>0.4</v>
      </c>
      <c r="P30" s="151" cm="1">
        <f t="array" ref="P30">INDEX('FY2526 VAT Financial KPIs'!$F:$F, MATCH(1, ('FY2526 VAT Financial KPIs'!$A:$A="GROWTH")*('FY2526 VAT Financial KPIs'!$D:$D="Gross Margin Contribution %"), 0))</f>
        <v>0.4</v>
      </c>
      <c r="T30" s="112" t="s">
        <v>108</v>
      </c>
      <c r="U30" s="112">
        <f>U41+U29</f>
        <v>0</v>
      </c>
      <c r="V30" s="112">
        <f>SUM($U41:V41)+V29</f>
        <v>245270.5</v>
      </c>
      <c r="W30" s="112">
        <f>SUM($U41:W41)+W29</f>
        <v>909930.5</v>
      </c>
      <c r="X30" s="112">
        <f>SUM($U41:X41)+X29</f>
        <v>1676205</v>
      </c>
      <c r="Y30" s="112">
        <f>SUM($U41:Y41)+Y29</f>
        <v>2111595</v>
      </c>
      <c r="Z30" s="112">
        <f>SUM($U41:Z41)+Z29</f>
        <v>2403875</v>
      </c>
      <c r="AA30" s="112">
        <f>SUM($U41:AA41)+AA29</f>
        <v>2415350</v>
      </c>
      <c r="AB30" s="112">
        <f>SUM($U41:AB41)+AB29</f>
        <v>2794892</v>
      </c>
      <c r="AC30" s="112">
        <f>SUM($U41:AC41)+AC29</f>
        <v>4110772.8</v>
      </c>
      <c r="AD30" s="112">
        <f>SUM($U41:AD41)+AD29</f>
        <v>6590899.4000000004</v>
      </c>
      <c r="AE30" s="112">
        <f>SUM($U41:AE41)+AE29</f>
        <v>8337686.5999999996</v>
      </c>
      <c r="AF30" s="112">
        <f>SUM($U41:AF41)+AF29</f>
        <v>11645757.23</v>
      </c>
    </row>
    <row r="31" spans="11:32" x14ac:dyDescent="0.25">
      <c r="K31" s="210" t="s">
        <v>201</v>
      </c>
      <c r="L31" s="145">
        <f>IFERROR(L7/L19,"")</f>
        <v>0.44753352041721833</v>
      </c>
      <c r="M31" s="145">
        <f>IFERROR(M7/M19,"")</f>
        <v>0.60982614146643421</v>
      </c>
      <c r="N31" s="145">
        <f>IFERROR(N7/N19,"")</f>
        <v>0.3163360560093349</v>
      </c>
      <c r="O31" s="145" t="str">
        <f>IFERROR(O7/O19,"")</f>
        <v/>
      </c>
      <c r="P31" s="149">
        <f>P7/P19</f>
        <v>0.54715971995216717</v>
      </c>
      <c r="T31" s="112" t="s">
        <v>109</v>
      </c>
      <c r="U31" s="112">
        <f ca="1">U42+U30</f>
        <v>0</v>
      </c>
      <c r="V31" s="112">
        <f ca="1">SUM($U42:V42)+V30</f>
        <v>245270.5</v>
      </c>
      <c r="W31" s="112">
        <f ca="1">SUM($U42:W42)+W30</f>
        <v>909930.5</v>
      </c>
      <c r="X31" s="112">
        <f ca="1">SUM($U42:X42)+X30</f>
        <v>1676205</v>
      </c>
      <c r="Y31" s="112">
        <f ca="1">SUM($U42:Y42)+Y30</f>
        <v>2111595</v>
      </c>
      <c r="Z31" s="112">
        <f ca="1">SUM($U42:Z42)+Z30</f>
        <v>2403875</v>
      </c>
      <c r="AA31" s="112">
        <f ca="1">SUM($U42:AA42)+AA30</f>
        <v>2415350</v>
      </c>
      <c r="AB31" s="112">
        <f ca="1">SUM($U42:AB42)+AB30</f>
        <v>2794892</v>
      </c>
      <c r="AC31" s="112">
        <f ca="1">SUM($U42:AC42)+AC30</f>
        <v>4110772.8</v>
      </c>
      <c r="AD31" s="112">
        <f ca="1">SUM($U42:AD42)+AD30</f>
        <v>6590899.4000000004</v>
      </c>
      <c r="AE31" s="112">
        <f ca="1">SUM($U42:AE42)+AE30</f>
        <v>8410406.5999999996</v>
      </c>
      <c r="AF31" s="112">
        <f ca="1">SUM($U42:AF42)+AF30</f>
        <v>11718477.23</v>
      </c>
    </row>
    <row r="32" spans="11:32" x14ac:dyDescent="0.25">
      <c r="K32" s="211" t="s">
        <v>202</v>
      </c>
      <c r="L32" s="220">
        <f>L8/L20</f>
        <v>0.44753352041721867</v>
      </c>
      <c r="M32" s="220">
        <f t="shared" ref="M32:P32" si="8">M8/M20</f>
        <v>0.60982614146643355</v>
      </c>
      <c r="N32" s="220">
        <f t="shared" si="8"/>
        <v>3.7609311413758657E-4</v>
      </c>
      <c r="O32" s="220">
        <f t="shared" si="8"/>
        <v>6.690977067750517E-2</v>
      </c>
      <c r="P32" s="220">
        <f t="shared" si="8"/>
        <v>0.42201543247785106</v>
      </c>
      <c r="T32" s="112" t="s">
        <v>152</v>
      </c>
      <c r="U32" s="157">
        <f>U43</f>
        <v>0</v>
      </c>
      <c r="V32" s="157">
        <f>SUM($U43:V43)</f>
        <v>0</v>
      </c>
      <c r="W32" s="157">
        <f>SUM($U43:W43)</f>
        <v>0</v>
      </c>
      <c r="X32" s="157">
        <f>SUM($U43:X43)</f>
        <v>0</v>
      </c>
      <c r="Y32" s="157">
        <f>SUM($U43:Y43)</f>
        <v>0</v>
      </c>
      <c r="Z32" s="157">
        <f>SUM($U43:Z43)</f>
        <v>0</v>
      </c>
      <c r="AA32" s="157">
        <f>SUM($U43:AA43)</f>
        <v>0</v>
      </c>
      <c r="AB32" s="157">
        <f>SUM($U43:AB43)</f>
        <v>0</v>
      </c>
      <c r="AC32" s="157">
        <f>SUM($U43:AC43)</f>
        <v>0</v>
      </c>
      <c r="AD32" s="157">
        <f>SUM($U43:AD43)</f>
        <v>0</v>
      </c>
      <c r="AE32" s="157">
        <f>SUM($U43:AE43)</f>
        <v>0</v>
      </c>
      <c r="AF32" s="157">
        <f>SUM($U43:AF43)</f>
        <v>0</v>
      </c>
    </row>
    <row r="33" spans="11:32" x14ac:dyDescent="0.25">
      <c r="K33" s="212" t="s">
        <v>154</v>
      </c>
      <c r="L33" s="217">
        <f>L32-L$30</f>
        <v>4.7533520417218644E-2</v>
      </c>
      <c r="M33" s="217">
        <f t="shared" ref="M33:P33" si="9">M32-M$30</f>
        <v>0.20982614146643352</v>
      </c>
      <c r="N33" s="217">
        <f t="shared" si="9"/>
        <v>-0.39962390688586241</v>
      </c>
      <c r="O33" s="217">
        <f t="shared" si="9"/>
        <v>-0.33309022932249488</v>
      </c>
      <c r="P33" s="217">
        <f t="shared" si="9"/>
        <v>2.2015432477851038E-2</v>
      </c>
      <c r="T33" s="112" t="s">
        <v>110</v>
      </c>
      <c r="U33" s="157">
        <f>U44</f>
        <v>611111.11111111112</v>
      </c>
      <c r="V33" s="157">
        <f>SUM($U44:V44)</f>
        <v>1222222.2222222222</v>
      </c>
      <c r="W33" s="157">
        <f>SUM($U44:W44)</f>
        <v>1833333.3333333335</v>
      </c>
      <c r="X33" s="157">
        <f>SUM($U44:X44)</f>
        <v>2444444.4444444445</v>
      </c>
      <c r="Y33" s="157">
        <f>SUM($U44:Y44)</f>
        <v>3055555.5555555555</v>
      </c>
      <c r="Z33" s="157">
        <f>SUM($U44:Z44)</f>
        <v>3666666.6666666665</v>
      </c>
      <c r="AA33" s="157">
        <f>SUM($U44:AA44)</f>
        <v>4277777.777777778</v>
      </c>
      <c r="AB33" s="157">
        <f>SUM($U44:AB44)</f>
        <v>4888888.888888889</v>
      </c>
      <c r="AC33" s="157">
        <f>SUM($U44:AC44)</f>
        <v>5500000</v>
      </c>
      <c r="AD33" s="157">
        <f>SUM($U44:AD44)</f>
        <v>6111111.111111111</v>
      </c>
      <c r="AE33" s="157">
        <f>SUM($U44:AE44)</f>
        <v>6722222.222222222</v>
      </c>
      <c r="AF33" s="157">
        <f>SUM($U44:AF44)</f>
        <v>7333333.333333333</v>
      </c>
    </row>
    <row r="34" spans="11:32" x14ac:dyDescent="0.25">
      <c r="K34" s="209" t="s">
        <v>164</v>
      </c>
      <c r="L34" s="220">
        <f t="shared" ref="L34:P34" si="10">L10/L22</f>
        <v>0.44753352041721867</v>
      </c>
      <c r="M34" s="220">
        <f t="shared" si="10"/>
        <v>0.60982614146643355</v>
      </c>
      <c r="N34" s="220">
        <f t="shared" si="10"/>
        <v>6.7669873230885635E-2</v>
      </c>
      <c r="O34" s="220">
        <f t="shared" si="10"/>
        <v>0.34529242173513969</v>
      </c>
      <c r="P34" s="220">
        <f t="shared" si="10"/>
        <v>0.37388196633747861</v>
      </c>
      <c r="T34" s="112" t="s">
        <v>111</v>
      </c>
      <c r="U34" s="157">
        <f>U45</f>
        <v>458333.33333333331</v>
      </c>
      <c r="V34" s="157">
        <f>SUM($U45:V45)</f>
        <v>916666.66666666663</v>
      </c>
      <c r="W34" s="157">
        <f>SUM($U45:W45)</f>
        <v>1375000</v>
      </c>
      <c r="X34" s="157">
        <f>SUM($U45:X45)</f>
        <v>1833333.3333333333</v>
      </c>
      <c r="Y34" s="157">
        <f>SUM($U45:Y45)</f>
        <v>2291666.6666666665</v>
      </c>
      <c r="Z34" s="157">
        <f>SUM($U45:Z45)</f>
        <v>2750000</v>
      </c>
      <c r="AA34" s="157">
        <f>SUM($U45:AA45)</f>
        <v>3208333.3333333335</v>
      </c>
      <c r="AB34" s="157">
        <f>SUM($U45:AB45)</f>
        <v>3666666.666666667</v>
      </c>
      <c r="AC34" s="157">
        <f>SUM($U45:AC45)</f>
        <v>4125000.0000000005</v>
      </c>
      <c r="AD34" s="157">
        <f>SUM($U45:AD45)</f>
        <v>4583333.333333334</v>
      </c>
      <c r="AE34" s="157">
        <f>SUM($U45:AE45)</f>
        <v>5041666.666666667</v>
      </c>
      <c r="AF34" s="157">
        <f>SUM($U45:AF45)</f>
        <v>5500000</v>
      </c>
    </row>
    <row r="35" spans="11:32" x14ac:dyDescent="0.25">
      <c r="K35" s="212" t="s">
        <v>154</v>
      </c>
      <c r="L35" s="217">
        <f t="shared" ref="L35:P35" si="11">L34-L$30</f>
        <v>4.7533520417218644E-2</v>
      </c>
      <c r="M35" s="217">
        <f t="shared" si="11"/>
        <v>0.20982614146643352</v>
      </c>
      <c r="N35" s="217">
        <f t="shared" si="11"/>
        <v>-0.33233012676911439</v>
      </c>
      <c r="O35" s="217">
        <f t="shared" si="11"/>
        <v>-5.4707578264860335E-2</v>
      </c>
      <c r="P35" s="217">
        <f t="shared" si="11"/>
        <v>-2.6118033662521412E-2</v>
      </c>
      <c r="T35" s="112" t="s">
        <v>4</v>
      </c>
      <c r="U35" s="157">
        <f>U46</f>
        <v>304054.05405405402</v>
      </c>
      <c r="V35" s="157">
        <f>RevCumulativeSpreadTable6182430[[#This Row],[July]]+V46</f>
        <v>608108.10810810805</v>
      </c>
      <c r="W35" s="157">
        <f>RevCumulativeSpreadTable6182430[[#This Row],[August]]+W46</f>
        <v>912162.16216216213</v>
      </c>
      <c r="X35" s="157">
        <f>RevCumulativeSpreadTable6182430[[#This Row],[September]]+X46</f>
        <v>1216216.2162162161</v>
      </c>
      <c r="Y35" s="157">
        <f>RevCumulativeSpreadTable6182430[[#This Row],[October]]+Y46</f>
        <v>1520270.2702702701</v>
      </c>
      <c r="Z35" s="157">
        <f>RevCumulativeSpreadTable6182430[[#This Row],[November]]+Z46</f>
        <v>1824324.324324324</v>
      </c>
      <c r="AA35" s="157">
        <f>RevCumulativeSpreadTable6182430[[#This Row],[December]]+AA46</f>
        <v>2128378.3783783782</v>
      </c>
      <c r="AB35" s="157">
        <f>RevCumulativeSpreadTable6182430[[#This Row],[January]]+AB46</f>
        <v>2432432.4324324322</v>
      </c>
      <c r="AC35" s="157">
        <f>RevCumulativeSpreadTable6182430[[#This Row],[February]]+AC46</f>
        <v>2736486.4864864862</v>
      </c>
      <c r="AD35" s="157">
        <f>RevCumulativeSpreadTable6182430[[#This Row],[March]]+AD46</f>
        <v>3040540.5405405401</v>
      </c>
      <c r="AE35" s="157">
        <f>RevCumulativeSpreadTable6182430[[#This Row],[April]]+AE46</f>
        <v>3344594.5945945941</v>
      </c>
      <c r="AF35" s="157">
        <f>RevCumulativeSpreadTable6182430[[#This Row],[May]]+AF46</f>
        <v>3648648.6486486481</v>
      </c>
    </row>
    <row r="36" spans="11:32" x14ac:dyDescent="0.25">
      <c r="K36" s="209" t="s">
        <v>165</v>
      </c>
      <c r="L36" s="220">
        <f t="shared" ref="L36:P36" si="12">L12/L24</f>
        <v>0.44753352041721867</v>
      </c>
      <c r="M36" s="220">
        <f t="shared" si="12"/>
        <v>0.60982614146643355</v>
      </c>
      <c r="N36" s="220">
        <f t="shared" si="12"/>
        <v>3.1200169102098579E-2</v>
      </c>
      <c r="O36" s="220">
        <f t="shared" si="12"/>
        <v>0.28614299737842991</v>
      </c>
      <c r="P36" s="220">
        <f t="shared" si="12"/>
        <v>0.30290940042204545</v>
      </c>
    </row>
    <row r="37" spans="11:32" x14ac:dyDescent="0.25">
      <c r="K37" s="212" t="s">
        <v>154</v>
      </c>
      <c r="L37" s="217">
        <f t="shared" ref="L37:P37" si="13">L36-L$30</f>
        <v>4.7533520417218644E-2</v>
      </c>
      <c r="M37" s="217">
        <f t="shared" si="13"/>
        <v>0.20982614146643352</v>
      </c>
      <c r="N37" s="217">
        <f t="shared" si="13"/>
        <v>-0.36879983089790147</v>
      </c>
      <c r="O37" s="217">
        <f t="shared" si="13"/>
        <v>-0.11385700262157011</v>
      </c>
      <c r="P37" s="217">
        <f t="shared" si="13"/>
        <v>-9.7090599577954573E-2</v>
      </c>
      <c r="T37" s="13" t="s">
        <v>113</v>
      </c>
      <c r="W37" s="13"/>
    </row>
    <row r="38" spans="11:32" x14ac:dyDescent="0.25">
      <c r="K38" s="209" t="s">
        <v>166</v>
      </c>
      <c r="L38" s="220">
        <f t="shared" ref="L38:P38" ca="1" si="14">L14/L26</f>
        <v>0.44753352041721867</v>
      </c>
      <c r="M38" s="220">
        <f t="shared" ca="1" si="14"/>
        <v>0.60982614146643355</v>
      </c>
      <c r="N38" s="220">
        <f t="shared" ca="1" si="14"/>
        <v>3.1200169102098579E-2</v>
      </c>
      <c r="O38" s="220">
        <f t="shared" ca="1" si="14"/>
        <v>0.28340783344549575</v>
      </c>
      <c r="P38" s="220">
        <f t="shared" ca="1" si="14"/>
        <v>0.30102967055899638</v>
      </c>
      <c r="T38" s="13" t="s">
        <v>94</v>
      </c>
      <c r="U38" s="118" t="s">
        <v>95</v>
      </c>
      <c r="V38" s="118" t="s">
        <v>96</v>
      </c>
      <c r="W38" s="118" t="s">
        <v>97</v>
      </c>
      <c r="X38" s="118" t="s">
        <v>98</v>
      </c>
      <c r="Y38" s="118" t="s">
        <v>99</v>
      </c>
      <c r="Z38" s="118" t="s">
        <v>100</v>
      </c>
      <c r="AA38" s="118" t="s">
        <v>101</v>
      </c>
      <c r="AB38" s="118" t="s">
        <v>102</v>
      </c>
      <c r="AC38" s="118" t="s">
        <v>103</v>
      </c>
      <c r="AD38" s="118" t="s">
        <v>104</v>
      </c>
      <c r="AE38" s="118" t="s">
        <v>105</v>
      </c>
      <c r="AF38" s="118" t="s">
        <v>106</v>
      </c>
    </row>
    <row r="39" spans="11:32" x14ac:dyDescent="0.25">
      <c r="K39" s="213" t="s">
        <v>154</v>
      </c>
      <c r="L39" s="217">
        <f t="shared" ref="L39:P39" ca="1" si="15">L38-L$30</f>
        <v>4.7533520417218644E-2</v>
      </c>
      <c r="M39" s="217">
        <f t="shared" ca="1" si="15"/>
        <v>0.20982614146643352</v>
      </c>
      <c r="N39" s="217">
        <f t="shared" ca="1" si="15"/>
        <v>-0.36879983089790147</v>
      </c>
      <c r="O39" s="217">
        <f t="shared" ca="1" si="15"/>
        <v>-0.11659216655450427</v>
      </c>
      <c r="P39" s="217">
        <f t="shared" ca="1" si="15"/>
        <v>-9.8970329441003646E-2</v>
      </c>
      <c r="T39" s="112" t="s">
        <v>148</v>
      </c>
      <c r="U39" s="112">
        <f>SUMIF(Job_Status[VAT],"GROWTH",Job_Status[R1])</f>
        <v>0</v>
      </c>
      <c r="V39" s="112">
        <f>SUMIF(Job_Status[VAT],"GROWTH",Job_Status[R2])</f>
        <v>245270.5</v>
      </c>
      <c r="W39" s="112">
        <f>SUMIF(Job_Status[VAT],"GROWTH",Job_Status[R3])</f>
        <v>664660</v>
      </c>
      <c r="X39" s="112">
        <f>SUMIF(Job_Status[VAT],"GROWTH",Job_Status[R4])</f>
        <v>766274.5</v>
      </c>
      <c r="Y39" s="112">
        <f>SUMIF(Job_Status[VAT],"GROWTH",Job_Status[R5])</f>
        <v>435390</v>
      </c>
      <c r="Z39" s="112">
        <f>SUMIF(Job_Status[VAT],"GROWTH",Job_Status[R6])</f>
        <v>292280</v>
      </c>
      <c r="AA39" s="112">
        <f>SUMIF(Job_Status[VAT],"GROWTH",Job_Status[R7])</f>
        <v>11475</v>
      </c>
      <c r="AB39" s="112">
        <f>SUMIF(Job_Status[VAT],"GROWTH",Job_Status[R8])</f>
        <v>92627.599999999991</v>
      </c>
      <c r="AC39" s="112">
        <f>SUMIF(Job_Status[VAT],"GROWTH",Job_Status[R9])</f>
        <v>196620.80000000002</v>
      </c>
      <c r="AD39" s="112">
        <f>SUMIF(Job_Status[VAT],"GROWTH",Job_Status[R10])</f>
        <v>170026</v>
      </c>
      <c r="AE39" s="112">
        <f>SUMIF(Job_Status[VAT],"GROWTH",Job_Status[R11])</f>
        <v>161580</v>
      </c>
      <c r="AF39" s="112">
        <f>SUMIF(Job_Status[VAT],"GROWTH",Job_Status[R12])</f>
        <v>166841.83000000002</v>
      </c>
    </row>
    <row r="40" spans="11:32" x14ac:dyDescent="0.25">
      <c r="T40" s="112" t="s">
        <v>77</v>
      </c>
      <c r="U40" s="112">
        <f>SUMIFS(OppSpreadData[July],OppSpreadData[VAT],"GROWTH",OppSpreadData[Phase],RevSpreadTable5172329[[#This Row],[STATUS]])</f>
        <v>0</v>
      </c>
      <c r="V40" s="112">
        <f>SUMIFS(OppSpreadData[August],OppSpreadData[VAT],"GROWTH",OppSpreadData[Phase],RevSpreadTable5172329[[#This Row],[STATUS]])</f>
        <v>0</v>
      </c>
      <c r="W40" s="112">
        <f>SUMIFS(OppSpreadData[September],OppSpreadData[VAT],"GROWTH",OppSpreadData[Phase],RevSpreadTable5172329[[#This Row],[STATUS]])</f>
        <v>0</v>
      </c>
      <c r="X40" s="112">
        <f>SUMIFS(OppSpreadData[October],OppSpreadData[VAT],"GROWTH",OppSpreadData[Phase],RevSpreadTable5172329[[#This Row],[STATUS]])</f>
        <v>0</v>
      </c>
      <c r="Y40" s="112">
        <f>SUMIFS(OppSpreadData[November],OppSpreadData[VAT],"GROWTH",OppSpreadData[Phase],RevSpreadTable5172329[[#This Row],[STATUS]])</f>
        <v>0</v>
      </c>
      <c r="Z40" s="112">
        <f>SUMIFS(OppSpreadData[December],OppSpreadData[VAT],"GROWTH",OppSpreadData[Phase],RevSpreadTable5172329[[#This Row],[STATUS]])</f>
        <v>0</v>
      </c>
      <c r="AA40" s="112">
        <f>SUMIFS(OppSpreadData[January],OppSpreadData[VAT],"GROWTH",OppSpreadData[Phase],RevSpreadTable5172329[[#This Row],[STATUS]])</f>
        <v>0</v>
      </c>
      <c r="AB40" s="112">
        <f>SUMIFS(OppSpreadData[February],OppSpreadData[VAT],"GROWTH",OppSpreadData[Phase],RevSpreadTable5172329[[#This Row],[STATUS]])</f>
        <v>93564.4</v>
      </c>
      <c r="AC40" s="112">
        <f>SUMIFS(OppSpreadData[March],OppSpreadData[VAT],"GROWTH",OppSpreadData[Phase],RevSpreadTable5172329[[#This Row],[STATUS]])</f>
        <v>392702</v>
      </c>
      <c r="AD40" s="112">
        <f>SUMIFS(OppSpreadData[April],OppSpreadData[VAT],"GROWTH",OppSpreadData[Phase],RevSpreadTable5172329[[#This Row],[STATUS]])</f>
        <v>1736417.6</v>
      </c>
      <c r="AE40" s="112">
        <f>SUMIFS(OppSpreadData[May],OppSpreadData[VAT],"GROWTH",OppSpreadData[Phase],RevSpreadTable5172329[[#This Row],[STATUS]])</f>
        <v>1229717.2</v>
      </c>
      <c r="AF40" s="112">
        <f>SUMIFS(OppSpreadData[June],OppSpreadData[VAT],"GROWTH",OppSpreadData[Phase],RevSpreadTable5172329[[#This Row],[STATUS]])</f>
        <v>2779640.8</v>
      </c>
    </row>
    <row r="41" spans="11:32" x14ac:dyDescent="0.25">
      <c r="L41" s="276" t="s">
        <v>15</v>
      </c>
      <c r="M41" s="288"/>
      <c r="N41" s="276" t="s">
        <v>167</v>
      </c>
      <c r="O41" s="288"/>
      <c r="P41" s="275" t="s">
        <v>3</v>
      </c>
      <c r="Q41" s="276"/>
      <c r="T41" s="112" t="s">
        <v>76</v>
      </c>
      <c r="U41" s="112">
        <f>SUMIFS(OppSpreadData[July],OppSpreadData[VAT],"GROWTH",OppSpreadData[Phase],RevSpreadTable5172329[[#This Row],[STATUS]])</f>
        <v>0</v>
      </c>
      <c r="V41" s="112">
        <f>SUMIFS(OppSpreadData[August],OppSpreadData[VAT],"GROWTH",OppSpreadData[Phase],RevSpreadTable5172329[[#This Row],[STATUS]])</f>
        <v>0</v>
      </c>
      <c r="W41" s="112">
        <f>SUMIFS(OppSpreadData[September],OppSpreadData[VAT],"GROWTH",OppSpreadData[Phase],RevSpreadTable5172329[[#This Row],[STATUS]])</f>
        <v>0</v>
      </c>
      <c r="X41" s="112">
        <f>SUMIFS(OppSpreadData[October],OppSpreadData[VAT],"GROWTH",OppSpreadData[Phase],RevSpreadTable5172329[[#This Row],[STATUS]])</f>
        <v>0</v>
      </c>
      <c r="Y41" s="112">
        <f>SUMIFS(OppSpreadData[November],OppSpreadData[VAT],"GROWTH",OppSpreadData[Phase],RevSpreadTable5172329[[#This Row],[STATUS]])</f>
        <v>0</v>
      </c>
      <c r="Z41" s="112">
        <f>SUMIFS(OppSpreadData[December],OppSpreadData[VAT],"GROWTH",OppSpreadData[Phase],RevSpreadTable5172329[[#This Row],[STATUS]])</f>
        <v>0</v>
      </c>
      <c r="AA41" s="112">
        <f>SUMIFS(OppSpreadData[January],OppSpreadData[VAT],"GROWTH",OppSpreadData[Phase],RevSpreadTable5172329[[#This Row],[STATUS]])</f>
        <v>0</v>
      </c>
      <c r="AB41" s="112">
        <f>SUMIFS(OppSpreadData[February],OppSpreadData[VAT],"GROWTH",OppSpreadData[Phase],RevSpreadTable5172329[[#This Row],[STATUS]])</f>
        <v>193350</v>
      </c>
      <c r="AC41" s="112">
        <f>SUMIFS(OppSpreadData[March],OppSpreadData[VAT],"GROWTH",OppSpreadData[Phase],RevSpreadTable5172329[[#This Row],[STATUS]])</f>
        <v>726558</v>
      </c>
      <c r="AD41" s="112">
        <f>SUMIFS(OppSpreadData[April],OppSpreadData[VAT],"GROWTH",OppSpreadData[Phase],RevSpreadTable5172329[[#This Row],[STATUS]])</f>
        <v>573683</v>
      </c>
      <c r="AE41" s="112">
        <f>SUMIFS(OppSpreadData[May],OppSpreadData[VAT],"GROWTH",OppSpreadData[Phase],RevSpreadTable5172329[[#This Row],[STATUS]])</f>
        <v>355490</v>
      </c>
      <c r="AF41" s="112">
        <f>SUMIFS(OppSpreadData[June],OppSpreadData[VAT],"GROWTH",OppSpreadData[Phase],RevSpreadTable5172329[[#This Row],[STATUS]])</f>
        <v>361588</v>
      </c>
    </row>
    <row r="42" spans="11:32" x14ac:dyDescent="0.25">
      <c r="K42" s="124" t="s">
        <v>168</v>
      </c>
      <c r="L42" s="125" t="s">
        <v>8</v>
      </c>
      <c r="M42" s="126" t="s">
        <v>169</v>
      </c>
      <c r="N42" s="125" t="s">
        <v>170</v>
      </c>
      <c r="O42" s="126" t="s">
        <v>171</v>
      </c>
      <c r="P42" s="125" t="s">
        <v>172</v>
      </c>
      <c r="Q42" s="126" t="s">
        <v>173</v>
      </c>
      <c r="T42" s="112" t="s">
        <v>75</v>
      </c>
      <c r="U42" s="112" cm="1">
        <f t="array" aca="1" ref="U42" ca="1">SUM(
_xlfn._xlws.FILTER(
_xlfn.DROP(_xlfn.CHOOSECOLS(QBlockRev,4),1),
_xlfn.DROP(_xlfn.CHOOSECOLS(QBlockRev,3),1)="GROWTH",0
))</f>
        <v>0</v>
      </c>
      <c r="V42" s="112" cm="1">
        <f t="array" aca="1" ref="V42" ca="1">SUM(
  _xlfn._xlws.FILTER(
    _xlfn.DROP(_xlfn.CHOOSECOLS(QBlockRev,5),1),
    _xlfn.DROP(_xlfn.CHOOSECOLS(QBlockRev,3),1)="GROWTH",0
  )
)</f>
        <v>0</v>
      </c>
      <c r="W42" s="112" cm="1">
        <f t="array" aca="1" ref="W42" ca="1">SUM(
  _xlfn._xlws.FILTER(
    _xlfn.DROP(_xlfn.CHOOSECOLS(QBlockRev,6),1),
    _xlfn.DROP(_xlfn.CHOOSECOLS(QBlockRev,3),1)="GROWTH",0
  )
)</f>
        <v>0</v>
      </c>
      <c r="X42" s="112" cm="1">
        <f t="array" aca="1" ref="X42" ca="1">SUM(
  _xlfn._xlws.FILTER(
    _xlfn.DROP(_xlfn.CHOOSECOLS(QBlockRev,7),1),
    _xlfn.DROP(_xlfn.CHOOSECOLS(QBlockRev,3),1)="GROWTH",0
  )
)</f>
        <v>0</v>
      </c>
      <c r="Y42" s="112" cm="1">
        <f t="array" aca="1" ref="Y42" ca="1">SUM(
  _xlfn._xlws.FILTER(
    _xlfn.DROP(_xlfn.CHOOSECOLS(QBlockRev,8),1),
    _xlfn.DROP(_xlfn.CHOOSECOLS(QBlockRev,3),1)="GROWTH",0
  )
)</f>
        <v>0</v>
      </c>
      <c r="Z42" s="112" cm="1">
        <f t="array" aca="1" ref="Z42" ca="1">SUM(
  _xlfn._xlws.FILTER(
    _xlfn.DROP(_xlfn.CHOOSECOLS(QBlockRev,9),1),
    _xlfn.DROP(_xlfn.CHOOSECOLS(QBlockRev,3),1)="GROWTH",0
  )
)</f>
        <v>0</v>
      </c>
      <c r="AA42" s="112" cm="1">
        <f t="array" aca="1" ref="AA42" ca="1">SUM(
  _xlfn._xlws.FILTER(
    _xlfn.DROP(_xlfn.CHOOSECOLS(QBlockRev,10),1),
    _xlfn.DROP(_xlfn.CHOOSECOLS(QBlockRev,3),1)="GROWTH",0
  )
)</f>
        <v>0</v>
      </c>
      <c r="AB42" s="112" cm="1">
        <f t="array" aca="1" ref="AB42" ca="1">SUM(
  _xlfn._xlws.FILTER(
    _xlfn.DROP(_xlfn.CHOOSECOLS(QBlockRev,11),1),
    _xlfn.DROP(_xlfn.CHOOSECOLS(QBlockRev,3),1)="GROWTH",0
  )
)</f>
        <v>0</v>
      </c>
      <c r="AC42" s="112" cm="1">
        <f t="array" aca="1" ref="AC42" ca="1">SUM(
  _xlfn._xlws.FILTER(
    _xlfn.DROP(_xlfn.CHOOSECOLS(QBlockRev,12),1),
    _xlfn.DROP(_xlfn.CHOOSECOLS(QBlockRev,3),1)="GROWTH",0
  )
)</f>
        <v>0</v>
      </c>
      <c r="AD42" s="112" cm="1">
        <f t="array" aca="1" ref="AD42" ca="1">SUM(
  _xlfn._xlws.FILTER(
    _xlfn.DROP(_xlfn.CHOOSECOLS(QBlockRev,13),1),
    _xlfn.DROP(_xlfn.CHOOSECOLS(QBlockRev,3),1)="GROWTH",0
  )
)</f>
        <v>0</v>
      </c>
      <c r="AE42" s="112" cm="1">
        <f t="array" aca="1" ref="AE42" ca="1">SUM(
  _xlfn._xlws.FILTER(
    _xlfn.DROP(_xlfn.CHOOSECOLS(QBlockRev,14),1),
    _xlfn.DROP(_xlfn.CHOOSECOLS(QBlockRev,3),1)="GROWTH",0
  )
)</f>
        <v>72720</v>
      </c>
      <c r="AF42" s="112" cm="1">
        <f t="array" aca="1" ref="AF42" ca="1">SUM(
  _xlfn._xlws.FILTER(
    _xlfn.DROP(_xlfn.CHOOSECOLS(QBlockRev,15),1),
    _xlfn.DROP(_xlfn.CHOOSECOLS(QBlockRev,3),1)="GROWTH",0
  )
)</f>
        <v>0</v>
      </c>
    </row>
    <row r="43" spans="11:32" x14ac:dyDescent="0.25">
      <c r="K43" s="137" t="s">
        <v>31</v>
      </c>
      <c r="L43" s="138">
        <f>SUMIFS(Job_Status[To Date Gross Profit],Job_Status[Work Type],K43,Job_Status[VAT],"GROWTH")</f>
        <v>1317437.810000001</v>
      </c>
      <c r="M43" s="139">
        <f>SUMIFS(Job_Status[GP at completion],Job_Status[Work Type],K43,Job_Status[VAT],"GROWTH")</f>
        <v>1220247.810000001</v>
      </c>
      <c r="N43" s="140">
        <f>IFERROR(L43/P43,"")</f>
        <v>0.5513376312496604</v>
      </c>
      <c r="O43" s="140">
        <f>IFERROR(M43/Q43,"")</f>
        <v>0.53231536770287169</v>
      </c>
      <c r="P43" s="138">
        <f>SUMIFS(Job_Status[Actual], Job_Status[Work Type],K43,Job_Status[VAT],"GROWTH")</f>
        <v>2389530</v>
      </c>
      <c r="Q43" s="138">
        <f>SUMIFS(Job_Status[Forecasted Revenue], Job_Status[Work Type],K43,Job_Status[VAT],"GROWTH")</f>
        <v>2292340</v>
      </c>
      <c r="T43" s="112" t="s">
        <v>152</v>
      </c>
      <c r="U43" s="259"/>
      <c r="V43" s="259"/>
      <c r="W43" s="259"/>
      <c r="X43" s="259"/>
      <c r="Y43" s="259"/>
      <c r="Z43" s="259"/>
      <c r="AA43" s="259"/>
      <c r="AB43" s="259"/>
      <c r="AC43" s="259"/>
      <c r="AD43" s="259"/>
      <c r="AE43" s="259"/>
      <c r="AF43" s="259"/>
    </row>
    <row r="44" spans="11:32" x14ac:dyDescent="0.25">
      <c r="K44" s="137" t="s">
        <v>34</v>
      </c>
      <c r="L44" s="138">
        <f>SUMIFS(Job_Status[To Date Gross Profit],Job_Status[Work Type],K44,Job_Status[VAT],"GROWTH")</f>
        <v>4899.5</v>
      </c>
      <c r="M44" s="139">
        <f>SUMIFS(Job_Status[GP at completion],Job_Status[Work Type],K44,Job_Status[VAT],"GROWTH")</f>
        <v>55254.529999999584</v>
      </c>
      <c r="N44" s="140">
        <f t="shared" ref="N44:O46" si="16">IFERROR(L44/P44,"")</f>
        <v>0.18012867647058822</v>
      </c>
      <c r="O44" s="140">
        <f t="shared" si="16"/>
        <v>6.6214830539342004E-2</v>
      </c>
      <c r="P44" s="138">
        <f>SUMIFS(Job_Status[Actual], Job_Status[Work Type],K44,Job_Status[VAT],"GROWTH")</f>
        <v>27200</v>
      </c>
      <c r="Q44" s="138">
        <f>SUMIFS(Job_Status[Forecasted Revenue], Job_Status[Work Type],K44,Job_Status[VAT],"GROWTH")</f>
        <v>834473.63</v>
      </c>
      <c r="T44" s="112" t="s">
        <v>110</v>
      </c>
      <c r="U44" s="157" cm="1">
        <f t="array" ref="U44">INDEX('FY2526 VAT Financial KPIs'!$G:$G, MATCH(1, ('FY2526 VAT Financial KPIs'!$A:$A="GROWTH")*('FY2526 VAT Financial KPIs'!$D:$D="Revenue"), 0))/12</f>
        <v>611111.11111111112</v>
      </c>
      <c r="V44" s="157" cm="1">
        <f t="array" ref="V44">INDEX('FY2526 VAT Financial KPIs'!$G:$G, MATCH(1, ('FY2526 VAT Financial KPIs'!$A:$A="GROWTH")*('FY2526 VAT Financial KPIs'!$D:$D="Revenue"), 0))/12</f>
        <v>611111.11111111112</v>
      </c>
      <c r="W44" s="157" cm="1">
        <f t="array" ref="W44">INDEX('FY2526 VAT Financial KPIs'!$G:$G, MATCH(1, ('FY2526 VAT Financial KPIs'!$A:$A="GROWTH")*('FY2526 VAT Financial KPIs'!$D:$D="Revenue"), 0))/12</f>
        <v>611111.11111111112</v>
      </c>
      <c r="X44" s="157" cm="1">
        <f t="array" ref="X44">INDEX('FY2526 VAT Financial KPIs'!$G:$G, MATCH(1, ('FY2526 VAT Financial KPIs'!$A:$A="GROWTH")*('FY2526 VAT Financial KPIs'!$D:$D="Revenue"), 0))/12</f>
        <v>611111.11111111112</v>
      </c>
      <c r="Y44" s="157" cm="1">
        <f t="array" ref="Y44">INDEX('FY2526 VAT Financial KPIs'!$G:$G, MATCH(1, ('FY2526 VAT Financial KPIs'!$A:$A="GROWTH")*('FY2526 VAT Financial KPIs'!$D:$D="Revenue"), 0))/12</f>
        <v>611111.11111111112</v>
      </c>
      <c r="Z44" s="157" cm="1">
        <f t="array" ref="Z44">INDEX('FY2526 VAT Financial KPIs'!$G:$G, MATCH(1, ('FY2526 VAT Financial KPIs'!$A:$A="GROWTH")*('FY2526 VAT Financial KPIs'!$D:$D="Revenue"), 0))/12</f>
        <v>611111.11111111112</v>
      </c>
      <c r="AA44" s="157" cm="1">
        <f t="array" ref="AA44">INDEX('FY2526 VAT Financial KPIs'!$G:$G, MATCH(1, ('FY2526 VAT Financial KPIs'!$A:$A="GROWTH")*('FY2526 VAT Financial KPIs'!$D:$D="Revenue"), 0))/12</f>
        <v>611111.11111111112</v>
      </c>
      <c r="AB44" s="157" cm="1">
        <f t="array" ref="AB44">INDEX('FY2526 VAT Financial KPIs'!$G:$G, MATCH(1, ('FY2526 VAT Financial KPIs'!$A:$A="GROWTH")*('FY2526 VAT Financial KPIs'!$D:$D="Revenue"), 0))/12</f>
        <v>611111.11111111112</v>
      </c>
      <c r="AC44" s="157" cm="1">
        <f t="array" ref="AC44">INDEX('FY2526 VAT Financial KPIs'!$G:$G, MATCH(1, ('FY2526 VAT Financial KPIs'!$A:$A="GROWTH")*('FY2526 VAT Financial KPIs'!$D:$D="Revenue"), 0))/12</f>
        <v>611111.11111111112</v>
      </c>
      <c r="AD44" s="157" cm="1">
        <f t="array" ref="AD44">INDEX('FY2526 VAT Financial KPIs'!$G:$G, MATCH(1, ('FY2526 VAT Financial KPIs'!$A:$A="GROWTH")*('FY2526 VAT Financial KPIs'!$D:$D="Revenue"), 0))/12</f>
        <v>611111.11111111112</v>
      </c>
      <c r="AE44" s="157" cm="1">
        <f t="array" ref="AE44">INDEX('FY2526 VAT Financial KPIs'!$G:$G, MATCH(1, ('FY2526 VAT Financial KPIs'!$A:$A="GROWTH")*('FY2526 VAT Financial KPIs'!$D:$D="Revenue"), 0))/12</f>
        <v>611111.11111111112</v>
      </c>
      <c r="AF44" s="157" cm="1">
        <f t="array" ref="AF44">INDEX('FY2526 VAT Financial KPIs'!$G:$G, MATCH(1, ('FY2526 VAT Financial KPIs'!$A:$A="GROWTH")*('FY2526 VAT Financial KPIs'!$D:$D="Revenue"), 0))/12</f>
        <v>611111.11111111112</v>
      </c>
    </row>
    <row r="45" spans="11:32" x14ac:dyDescent="0.25">
      <c r="K45" s="137" t="s">
        <v>35</v>
      </c>
      <c r="L45" s="138">
        <f>SUMIFS(Job_Status[To Date Gross Profit],Job_Status[Work Type],K45,Job_Status[VAT],"GROWTH")</f>
        <v>0</v>
      </c>
      <c r="M45" s="139">
        <f>SUMIFS(Job_Status[GP at completion],Job_Status[Work Type],K45,Job_Status[VAT],"GROWTH")</f>
        <v>0</v>
      </c>
      <c r="N45" s="140" t="str">
        <f t="shared" si="16"/>
        <v/>
      </c>
      <c r="O45" s="140" t="str">
        <f t="shared" si="16"/>
        <v/>
      </c>
      <c r="P45" s="138">
        <f>SUMIFS(Job_Status[Actual], Job_Status[Work Type],K45,Job_Status[VAT],"GROWTH")</f>
        <v>0</v>
      </c>
      <c r="Q45" s="138">
        <f>SUMIFS(Job_Status[Forecasted Revenue], Job_Status[Work Type],K45,Job_Status[VAT],"GROWTH")</f>
        <v>0</v>
      </c>
      <c r="T45" s="112" t="s">
        <v>111</v>
      </c>
      <c r="U45" s="157" cm="1">
        <f t="array" ref="U45">INDEX('FY2526 VAT Financial KPIs'!$F:$F, MATCH(1, ('FY2526 VAT Financial KPIs'!$A:$A="GROWTH")*('FY2526 VAT Financial KPIs'!$D:$D="Revenue"), 0))/12</f>
        <v>458333.33333333331</v>
      </c>
      <c r="V45" s="157" cm="1">
        <f t="array" ref="V45">INDEX('FY2526 VAT Financial KPIs'!$F:$F, MATCH(1, ('FY2526 VAT Financial KPIs'!$A:$A="GROWTH")*('FY2526 VAT Financial KPIs'!$D:$D="Revenue"), 0))/12</f>
        <v>458333.33333333331</v>
      </c>
      <c r="W45" s="157" cm="1">
        <f t="array" ref="W45">INDEX('FY2526 VAT Financial KPIs'!$F:$F, MATCH(1, ('FY2526 VAT Financial KPIs'!$A:$A="GROWTH")*('FY2526 VAT Financial KPIs'!$D:$D="Revenue"), 0))/12</f>
        <v>458333.33333333331</v>
      </c>
      <c r="X45" s="157" cm="1">
        <f t="array" ref="X45">INDEX('FY2526 VAT Financial KPIs'!$F:$F, MATCH(1, ('FY2526 VAT Financial KPIs'!$A:$A="GROWTH")*('FY2526 VAT Financial KPIs'!$D:$D="Revenue"), 0))/12</f>
        <v>458333.33333333331</v>
      </c>
      <c r="Y45" s="157" cm="1">
        <f t="array" ref="Y45">INDEX('FY2526 VAT Financial KPIs'!$F:$F, MATCH(1, ('FY2526 VAT Financial KPIs'!$A:$A="GROWTH")*('FY2526 VAT Financial KPIs'!$D:$D="Revenue"), 0))/12</f>
        <v>458333.33333333331</v>
      </c>
      <c r="Z45" s="157" cm="1">
        <f t="array" ref="Z45">INDEX('FY2526 VAT Financial KPIs'!$F:$F, MATCH(1, ('FY2526 VAT Financial KPIs'!$A:$A="GROWTH")*('FY2526 VAT Financial KPIs'!$D:$D="Revenue"), 0))/12</f>
        <v>458333.33333333331</v>
      </c>
      <c r="AA45" s="157" cm="1">
        <f t="array" ref="AA45">INDEX('FY2526 VAT Financial KPIs'!$F:$F, MATCH(1, ('FY2526 VAT Financial KPIs'!$A:$A="GROWTH")*('FY2526 VAT Financial KPIs'!$D:$D="Revenue"), 0))/12</f>
        <v>458333.33333333331</v>
      </c>
      <c r="AB45" s="157" cm="1">
        <f t="array" ref="AB45">INDEX('FY2526 VAT Financial KPIs'!$F:$F, MATCH(1, ('FY2526 VAT Financial KPIs'!$A:$A="GROWTH")*('FY2526 VAT Financial KPIs'!$D:$D="Revenue"), 0))/12</f>
        <v>458333.33333333331</v>
      </c>
      <c r="AC45" s="157" cm="1">
        <f t="array" ref="AC45">INDEX('FY2526 VAT Financial KPIs'!$F:$F, MATCH(1, ('FY2526 VAT Financial KPIs'!$A:$A="GROWTH")*('FY2526 VAT Financial KPIs'!$D:$D="Revenue"), 0))/12</f>
        <v>458333.33333333331</v>
      </c>
      <c r="AD45" s="157" cm="1">
        <f t="array" ref="AD45">INDEX('FY2526 VAT Financial KPIs'!$F:$F, MATCH(1, ('FY2526 VAT Financial KPIs'!$A:$A="GROWTH")*('FY2526 VAT Financial KPIs'!$D:$D="Revenue"), 0))/12</f>
        <v>458333.33333333331</v>
      </c>
      <c r="AE45" s="157" cm="1">
        <f t="array" ref="AE45">INDEX('FY2526 VAT Financial KPIs'!$F:$F, MATCH(1, ('FY2526 VAT Financial KPIs'!$A:$A="GROWTH")*('FY2526 VAT Financial KPIs'!$D:$D="Revenue"), 0))/12</f>
        <v>458333.33333333331</v>
      </c>
      <c r="AF45" s="157" cm="1">
        <f t="array" ref="AF45">INDEX('FY2526 VAT Financial KPIs'!$F:$F, MATCH(1, ('FY2526 VAT Financial KPIs'!$A:$A="GROWTH")*('FY2526 VAT Financial KPIs'!$D:$D="Revenue"), 0))/12</f>
        <v>458333.33333333331</v>
      </c>
    </row>
    <row r="46" spans="11:32" x14ac:dyDescent="0.25">
      <c r="K46" s="141" t="s">
        <v>39</v>
      </c>
      <c r="L46" s="142">
        <f>SUMIFS(Job_Status[To Date Gross Profit],Job_Status[Work Type],K46,Job_Status[VAT],"GROWTH")</f>
        <v>0</v>
      </c>
      <c r="M46" s="143">
        <f>SUMIFS(Job_Status[GP at completion],Job_Status[Work Type],K46,Job_Status[VAT],"GROWTH")</f>
        <v>0</v>
      </c>
      <c r="N46" s="144" t="str">
        <f t="shared" si="16"/>
        <v/>
      </c>
      <c r="O46" s="144" t="str">
        <f t="shared" si="16"/>
        <v/>
      </c>
      <c r="P46" s="142">
        <f>SUMIFS(Job_Status[Actual], Job_Status[Work Type],K46,Job_Status[VAT],"GROWTH")</f>
        <v>0</v>
      </c>
      <c r="Q46" s="142">
        <f>SUMIFS(Job_Status[Forecasted Revenue], Job_Status[Work Type],K46,Job_Status[VAT],"GROWTH")</f>
        <v>0</v>
      </c>
      <c r="T46" s="112" t="s">
        <v>4</v>
      </c>
      <c r="U46" s="157" cm="1">
        <f t="array" ref="U46">INDEX('FY2526 VAT Financial KPIs'!$E:$E, MATCH(1, ('FY2526 VAT Financial KPIs'!$A:$A="GROWTH")*('FY2526 VAT Financial KPIs'!$D:$D="Revenue"), 0))/12</f>
        <v>304054.05405405402</v>
      </c>
      <c r="V46" s="157" cm="1">
        <f t="array" ref="V46">INDEX('FY2526 VAT Financial KPIs'!$E:$E, MATCH(1, ('FY2526 VAT Financial KPIs'!$A:$A="GROWTH")*('FY2526 VAT Financial KPIs'!$D:$D="Revenue"), 0))/12</f>
        <v>304054.05405405402</v>
      </c>
      <c r="W46" s="157" cm="1">
        <f t="array" ref="W46">INDEX('FY2526 VAT Financial KPIs'!$E:$E, MATCH(1, ('FY2526 VAT Financial KPIs'!$A:$A="GROWTH")*('FY2526 VAT Financial KPIs'!$D:$D="Revenue"), 0))/12</f>
        <v>304054.05405405402</v>
      </c>
      <c r="X46" s="157" cm="1">
        <f t="array" ref="X46">INDEX('FY2526 VAT Financial KPIs'!$E:$E, MATCH(1, ('FY2526 VAT Financial KPIs'!$A:$A="GROWTH")*('FY2526 VAT Financial KPIs'!$D:$D="Revenue"), 0))/12</f>
        <v>304054.05405405402</v>
      </c>
      <c r="Y46" s="157" cm="1">
        <f t="array" ref="Y46">INDEX('FY2526 VAT Financial KPIs'!$E:$E, MATCH(1, ('FY2526 VAT Financial KPIs'!$A:$A="GROWTH")*('FY2526 VAT Financial KPIs'!$D:$D="Revenue"), 0))/12</f>
        <v>304054.05405405402</v>
      </c>
      <c r="Z46" s="157" cm="1">
        <f t="array" ref="Z46">INDEX('FY2526 VAT Financial KPIs'!$E:$E, MATCH(1, ('FY2526 VAT Financial KPIs'!$A:$A="GROWTH")*('FY2526 VAT Financial KPIs'!$D:$D="Revenue"), 0))/12</f>
        <v>304054.05405405402</v>
      </c>
      <c r="AA46" s="157" cm="1">
        <f t="array" ref="AA46">INDEX('FY2526 VAT Financial KPIs'!$E:$E, MATCH(1, ('FY2526 VAT Financial KPIs'!$A:$A="GROWTH")*('FY2526 VAT Financial KPIs'!$D:$D="Revenue"), 0))/12</f>
        <v>304054.05405405402</v>
      </c>
      <c r="AB46" s="157" cm="1">
        <f t="array" ref="AB46">INDEX('FY2526 VAT Financial KPIs'!$E:$E, MATCH(1, ('FY2526 VAT Financial KPIs'!$A:$A="GROWTH")*('FY2526 VAT Financial KPIs'!$D:$D="Revenue"), 0))/12</f>
        <v>304054.05405405402</v>
      </c>
      <c r="AC46" s="157" cm="1">
        <f t="array" ref="AC46">INDEX('FY2526 VAT Financial KPIs'!$E:$E, MATCH(1, ('FY2526 VAT Financial KPIs'!$A:$A="GROWTH")*('FY2526 VAT Financial KPIs'!$D:$D="Revenue"), 0))/12</f>
        <v>304054.05405405402</v>
      </c>
      <c r="AD46" s="157" cm="1">
        <f t="array" ref="AD46">INDEX('FY2526 VAT Financial KPIs'!$E:$E, MATCH(1, ('FY2526 VAT Financial KPIs'!$A:$A="GROWTH")*('FY2526 VAT Financial KPIs'!$D:$D="Revenue"), 0))/12</f>
        <v>304054.05405405402</v>
      </c>
      <c r="AE46" s="157" cm="1">
        <f t="array" ref="AE46">INDEX('FY2526 VAT Financial KPIs'!$E:$E, MATCH(1, ('FY2526 VAT Financial KPIs'!$A:$A="GROWTH")*('FY2526 VAT Financial KPIs'!$D:$D="Revenue"), 0))/12</f>
        <v>304054.05405405402</v>
      </c>
      <c r="AF46" s="157" cm="1">
        <f t="array" ref="AF46">INDEX('FY2526 VAT Financial KPIs'!$E:$E, MATCH(1, ('FY2526 VAT Financial KPIs'!$A:$A="GROWTH")*('FY2526 VAT Financial KPIs'!$D:$D="Revenue"), 0))/12</f>
        <v>304054.05405405402</v>
      </c>
    </row>
    <row r="47" spans="11:32" ht="15.75" thickBot="1" x14ac:dyDescent="0.3">
      <c r="K47" s="127" t="s">
        <v>174</v>
      </c>
      <c r="L47" s="128">
        <f>SUBTOTAL(109,Table14212733[Earned to Date])</f>
        <v>1322337.310000001</v>
      </c>
      <c r="M47" s="129">
        <f>SUBTOTAL(109,Table14212733[@Completion])</f>
        <v>1275502.3400000005</v>
      </c>
      <c r="N47" s="130">
        <f>Table14212733[[#Totals],[Earned to Date]]/Table14212733[[#Totals],[Earned to Date  ]]</f>
        <v>0.54715971995216717</v>
      </c>
      <c r="O47" s="130">
        <f>Table14212733[[#Totals],[@Completion]]/Table14212733[[#Totals],[@ Completion  ]]</f>
        <v>0.40792400537156431</v>
      </c>
      <c r="P47" s="128">
        <f>SUBTOTAL(109,Table14212733[[Earned to Date  ]])</f>
        <v>2416730</v>
      </c>
      <c r="Q47" s="131">
        <f>SUBTOTAL(109,Table14212733[@ Completion  ])</f>
        <v>3126813.63</v>
      </c>
    </row>
    <row r="48" spans="11:32" ht="15.75" thickTop="1" x14ac:dyDescent="0.25">
      <c r="K48" s="13" t="s">
        <v>187</v>
      </c>
      <c r="M48" s="132" cm="1">
        <f t="array" ref="M48">INDEX('FY2526 VAT Financial KPIs'!$F:$F, MATCH(1, ('FY2526 VAT Financial KPIs'!$A:$A="GROWTH")*('FY2526 VAT Financial KPIs'!$D:$D="Gross Margin Contribution"), 0))</f>
        <v>2200000</v>
      </c>
      <c r="N48" s="133" cm="1">
        <f t="array" ref="N48">INDEX('FY2526 VAT Financial KPIs'!$F:$F, MATCH(1, ('FY2526 VAT Financial KPIs'!$A:$A="GROWTH")*('FY2526 VAT Financial KPIs'!$D:$D="Gross Margin Contribution %"), 0))</f>
        <v>0.4</v>
      </c>
      <c r="O48" s="133" cm="1">
        <f t="array" ref="O48">INDEX('FY2526 VAT Financial KPIs'!$F:$F, MATCH(1, ('FY2526 VAT Financial KPIs'!$A:$A="GROWTH")*('FY2526 VAT Financial KPIs'!$D:$D="Gross Margin Contribution %"), 0))</f>
        <v>0.4</v>
      </c>
      <c r="Q48" s="132" cm="1">
        <f t="array" ref="Q48">INDEX('FY2526 VAT Financial KPIs'!$F:$F, MATCH(1, ('FY2526 VAT Financial KPIs'!$A:$A="GROWTH")*('FY2526 VAT Financial KPIs'!$D:$D="Revenue"), 0))</f>
        <v>5500000</v>
      </c>
    </row>
    <row r="50" spans="10:18" x14ac:dyDescent="0.25">
      <c r="J50" s="7" t="s">
        <v>29</v>
      </c>
      <c r="K50" t="s">
        <v>30</v>
      </c>
    </row>
    <row r="51" spans="10:18" x14ac:dyDescent="0.25">
      <c r="J51" s="7" t="s">
        <v>16</v>
      </c>
      <c r="K51" t="s">
        <v>22</v>
      </c>
      <c r="M51" s="13" t="s">
        <v>190</v>
      </c>
    </row>
    <row r="53" spans="10:18" x14ac:dyDescent="0.25">
      <c r="J53" s="7" t="s">
        <v>36</v>
      </c>
      <c r="K53" s="7" t="s">
        <v>37</v>
      </c>
      <c r="L53" s="7" t="s">
        <v>32</v>
      </c>
      <c r="M53" s="9" t="s">
        <v>121</v>
      </c>
      <c r="N53" s="9" t="s">
        <v>38</v>
      </c>
      <c r="O53" s="9" t="s">
        <v>122</v>
      </c>
      <c r="P53" s="9" t="s">
        <v>191</v>
      </c>
      <c r="Q53" s="8" t="s">
        <v>3</v>
      </c>
      <c r="R53" t="s">
        <v>15</v>
      </c>
    </row>
    <row r="54" spans="10:18" x14ac:dyDescent="0.25">
      <c r="J54" t="s">
        <v>42</v>
      </c>
      <c r="K54" t="s">
        <v>45</v>
      </c>
      <c r="L54" t="s">
        <v>34</v>
      </c>
      <c r="M54" s="148">
        <v>0.16400000000000001</v>
      </c>
      <c r="N54" s="8" t="s">
        <v>44</v>
      </c>
      <c r="O54" s="153">
        <v>46069</v>
      </c>
      <c r="P54" s="153">
        <v>46108</v>
      </c>
      <c r="Q54" s="267">
        <v>55200</v>
      </c>
      <c r="R54" s="4">
        <v>9052.8000000000011</v>
      </c>
    </row>
    <row r="55" spans="10:18" x14ac:dyDescent="0.25">
      <c r="K55" t="s">
        <v>63</v>
      </c>
      <c r="L55" t="s">
        <v>34</v>
      </c>
      <c r="M55" s="148">
        <v>0.32</v>
      </c>
      <c r="N55" s="8" t="s">
        <v>5</v>
      </c>
      <c r="O55" s="153">
        <v>46113</v>
      </c>
      <c r="P55" s="153">
        <v>46844</v>
      </c>
      <c r="Q55" s="267">
        <v>10812528</v>
      </c>
      <c r="R55" s="4">
        <v>3460008.96</v>
      </c>
    </row>
    <row r="56" spans="10:18" x14ac:dyDescent="0.25">
      <c r="K56" t="s">
        <v>64</v>
      </c>
      <c r="L56" t="s">
        <v>34</v>
      </c>
      <c r="M56" s="148">
        <v>0.4</v>
      </c>
      <c r="N56" s="8" t="s">
        <v>5</v>
      </c>
      <c r="O56" s="153">
        <v>46113</v>
      </c>
      <c r="P56" s="153">
        <v>46600</v>
      </c>
      <c r="Q56" s="267">
        <v>4188470</v>
      </c>
      <c r="R56" s="4">
        <v>1675388</v>
      </c>
    </row>
    <row r="57" spans="10:18" x14ac:dyDescent="0.25">
      <c r="J57" t="s">
        <v>66</v>
      </c>
      <c r="K57" t="s">
        <v>67</v>
      </c>
      <c r="L57" t="s">
        <v>39</v>
      </c>
      <c r="M57" s="148">
        <v>0.154</v>
      </c>
      <c r="N57" s="8" t="s">
        <v>44</v>
      </c>
      <c r="O57" s="153">
        <v>46204</v>
      </c>
      <c r="P57" s="153">
        <v>46568</v>
      </c>
      <c r="Q57" s="267">
        <v>466560</v>
      </c>
      <c r="R57" s="4">
        <v>71850.240000000005</v>
      </c>
    </row>
    <row r="58" spans="10:18" x14ac:dyDescent="0.25">
      <c r="K58" t="s">
        <v>69</v>
      </c>
      <c r="L58" t="s">
        <v>34</v>
      </c>
      <c r="M58" s="148">
        <v>0.28999999999999998</v>
      </c>
      <c r="N58" s="8" t="s">
        <v>44</v>
      </c>
      <c r="O58" s="153">
        <v>46076</v>
      </c>
      <c r="P58" s="153">
        <v>46157</v>
      </c>
      <c r="Q58" s="267">
        <v>298214</v>
      </c>
      <c r="R58" s="4">
        <v>86482.06</v>
      </c>
    </row>
    <row r="59" spans="10:18" x14ac:dyDescent="0.25">
      <c r="K59" t="s">
        <v>82</v>
      </c>
      <c r="L59" t="s">
        <v>34</v>
      </c>
      <c r="M59" s="148">
        <v>0.2</v>
      </c>
      <c r="N59" s="8" t="s">
        <v>44</v>
      </c>
      <c r="O59" s="153">
        <v>46083</v>
      </c>
      <c r="P59" s="153">
        <v>46203</v>
      </c>
      <c r="Q59" s="267">
        <v>311572</v>
      </c>
      <c r="R59" s="4">
        <v>62314.400000000001</v>
      </c>
    </row>
    <row r="60" spans="10:18" x14ac:dyDescent="0.25">
      <c r="J60" t="s">
        <v>132</v>
      </c>
      <c r="K60" t="s">
        <v>142</v>
      </c>
      <c r="L60" t="s">
        <v>34</v>
      </c>
      <c r="M60" s="148">
        <v>0.3</v>
      </c>
      <c r="N60" s="8" t="s">
        <v>55</v>
      </c>
      <c r="O60" s="153">
        <v>46125</v>
      </c>
      <c r="P60" s="153">
        <v>46157</v>
      </c>
      <c r="Q60" s="267">
        <v>145440</v>
      </c>
      <c r="R60" s="4">
        <v>43632</v>
      </c>
    </row>
    <row r="61" spans="10:18" x14ac:dyDescent="0.25">
      <c r="K61" t="s">
        <v>140</v>
      </c>
      <c r="L61" t="s">
        <v>34</v>
      </c>
      <c r="M61" s="148" t="s">
        <v>126</v>
      </c>
      <c r="N61" s="8" t="s">
        <v>5</v>
      </c>
      <c r="O61" s="152" t="s">
        <v>126</v>
      </c>
      <c r="P61" s="152" t="s">
        <v>126</v>
      </c>
      <c r="Q61" s="267">
        <v>3000000</v>
      </c>
      <c r="R61" s="4">
        <v>0</v>
      </c>
    </row>
    <row r="62" spans="10:18" x14ac:dyDescent="0.25">
      <c r="J62" t="s">
        <v>192</v>
      </c>
      <c r="K62" t="s">
        <v>224</v>
      </c>
      <c r="L62" t="s">
        <v>34</v>
      </c>
      <c r="M62" s="148" t="s">
        <v>126</v>
      </c>
      <c r="N62" s="8" t="s">
        <v>44</v>
      </c>
      <c r="O62" s="152" t="s">
        <v>126</v>
      </c>
      <c r="P62" s="152" t="s">
        <v>126</v>
      </c>
      <c r="Q62" s="267">
        <v>0</v>
      </c>
      <c r="R62" s="4">
        <v>0</v>
      </c>
    </row>
    <row r="63" spans="10:18" x14ac:dyDescent="0.25">
      <c r="K63" t="s">
        <v>225</v>
      </c>
      <c r="L63" t="s">
        <v>35</v>
      </c>
      <c r="M63" s="148">
        <v>0.27</v>
      </c>
      <c r="N63" s="8" t="s">
        <v>44</v>
      </c>
      <c r="O63" s="153">
        <v>46055</v>
      </c>
      <c r="P63" s="153">
        <v>46387</v>
      </c>
      <c r="Q63" s="267">
        <v>1999992</v>
      </c>
      <c r="R63" s="4">
        <v>539997.84000000008</v>
      </c>
    </row>
    <row r="64" spans="10:18" x14ac:dyDescent="0.25">
      <c r="K64" t="s">
        <v>226</v>
      </c>
      <c r="L64" t="s">
        <v>34</v>
      </c>
      <c r="M64" s="148" t="s">
        <v>126</v>
      </c>
      <c r="N64" s="8" t="s">
        <v>126</v>
      </c>
      <c r="O64" s="152" t="s">
        <v>126</v>
      </c>
      <c r="P64" s="152" t="s">
        <v>126</v>
      </c>
      <c r="Q64" s="267">
        <v>0</v>
      </c>
      <c r="R64" s="4">
        <v>0</v>
      </c>
    </row>
    <row r="65" spans="10:18" x14ac:dyDescent="0.25">
      <c r="K65" t="s">
        <v>612</v>
      </c>
      <c r="L65" t="s">
        <v>34</v>
      </c>
      <c r="M65" s="148" t="s">
        <v>126</v>
      </c>
      <c r="N65" s="8" t="s">
        <v>126</v>
      </c>
      <c r="O65" s="152" t="s">
        <v>126</v>
      </c>
      <c r="P65" s="152" t="s">
        <v>126</v>
      </c>
      <c r="Q65" s="267">
        <v>0</v>
      </c>
      <c r="R65" s="4">
        <v>0</v>
      </c>
    </row>
    <row r="66" spans="10:18" x14ac:dyDescent="0.25">
      <c r="K66" t="s">
        <v>613</v>
      </c>
      <c r="L66" t="s">
        <v>34</v>
      </c>
      <c r="M66" s="148" t="s">
        <v>126</v>
      </c>
      <c r="N66" s="8" t="s">
        <v>126</v>
      </c>
      <c r="O66" s="152" t="s">
        <v>126</v>
      </c>
      <c r="P66" s="152" t="s">
        <v>126</v>
      </c>
      <c r="Q66" s="267">
        <v>0</v>
      </c>
      <c r="R66" s="4">
        <v>0</v>
      </c>
    </row>
    <row r="67" spans="10:18" x14ac:dyDescent="0.25">
      <c r="K67" t="s">
        <v>227</v>
      </c>
      <c r="L67" t="s">
        <v>31</v>
      </c>
      <c r="M67" s="148" t="s">
        <v>126</v>
      </c>
      <c r="N67" s="8" t="s">
        <v>126</v>
      </c>
      <c r="O67" s="152" t="s">
        <v>126</v>
      </c>
      <c r="P67" s="152" t="s">
        <v>126</v>
      </c>
      <c r="Q67" s="267">
        <v>0</v>
      </c>
      <c r="R67" s="4">
        <v>0</v>
      </c>
    </row>
    <row r="68" spans="10:18" x14ac:dyDescent="0.25">
      <c r="K68" t="s">
        <v>228</v>
      </c>
      <c r="L68" t="s">
        <v>34</v>
      </c>
      <c r="M68" s="148" t="s">
        <v>126</v>
      </c>
      <c r="N68" s="8" t="s">
        <v>55</v>
      </c>
      <c r="O68" s="152" t="s">
        <v>126</v>
      </c>
      <c r="P68" s="152" t="s">
        <v>126</v>
      </c>
      <c r="Q68" s="267">
        <v>0</v>
      </c>
      <c r="R68" s="4">
        <v>0</v>
      </c>
    </row>
    <row r="69" spans="10:18" x14ac:dyDescent="0.25">
      <c r="K69" t="s">
        <v>229</v>
      </c>
      <c r="L69" t="s">
        <v>34</v>
      </c>
      <c r="M69" s="148" t="s">
        <v>126</v>
      </c>
      <c r="N69" s="8" t="s">
        <v>126</v>
      </c>
      <c r="O69" s="152" t="s">
        <v>126</v>
      </c>
      <c r="P69" s="152" t="s">
        <v>126</v>
      </c>
      <c r="Q69" s="267">
        <v>0</v>
      </c>
      <c r="R69" s="4">
        <v>0</v>
      </c>
    </row>
    <row r="70" spans="10:18" x14ac:dyDescent="0.25">
      <c r="K70" t="s">
        <v>230</v>
      </c>
      <c r="L70" t="s">
        <v>126</v>
      </c>
      <c r="M70" s="148" t="s">
        <v>126</v>
      </c>
      <c r="N70" s="8" t="s">
        <v>126</v>
      </c>
      <c r="O70" s="152" t="s">
        <v>126</v>
      </c>
      <c r="P70" s="152" t="s">
        <v>126</v>
      </c>
      <c r="Q70" s="267">
        <v>0</v>
      </c>
      <c r="R70" s="4">
        <v>0</v>
      </c>
    </row>
    <row r="71" spans="10:18" x14ac:dyDescent="0.25">
      <c r="K71" t="s">
        <v>231</v>
      </c>
      <c r="L71" t="s">
        <v>126</v>
      </c>
      <c r="M71" s="148" t="s">
        <v>126</v>
      </c>
      <c r="N71" s="8" t="s">
        <v>126</v>
      </c>
      <c r="O71" s="152" t="s">
        <v>126</v>
      </c>
      <c r="P71" s="152" t="s">
        <v>126</v>
      </c>
      <c r="Q71" s="267">
        <v>0</v>
      </c>
      <c r="R71" s="4">
        <v>0</v>
      </c>
    </row>
    <row r="72" spans="10:18" x14ac:dyDescent="0.25">
      <c r="K72" t="s">
        <v>232</v>
      </c>
      <c r="L72" t="s">
        <v>126</v>
      </c>
      <c r="M72" s="148" t="s">
        <v>126</v>
      </c>
      <c r="N72" s="8" t="s">
        <v>126</v>
      </c>
      <c r="O72" s="152" t="s">
        <v>126</v>
      </c>
      <c r="P72" s="152" t="s">
        <v>126</v>
      </c>
      <c r="Q72" s="267">
        <v>0</v>
      </c>
      <c r="R72" s="4">
        <v>0</v>
      </c>
    </row>
    <row r="73" spans="10:18" x14ac:dyDescent="0.25">
      <c r="K73" t="s">
        <v>233</v>
      </c>
      <c r="L73" t="s">
        <v>126</v>
      </c>
      <c r="M73" s="148" t="s">
        <v>126</v>
      </c>
      <c r="N73" s="8" t="s">
        <v>126</v>
      </c>
      <c r="O73" s="152" t="s">
        <v>126</v>
      </c>
      <c r="P73" s="152" t="s">
        <v>126</v>
      </c>
      <c r="Q73" s="267">
        <v>0</v>
      </c>
      <c r="R73" s="4">
        <v>0</v>
      </c>
    </row>
    <row r="74" spans="10:18" x14ac:dyDescent="0.25">
      <c r="K74" t="s">
        <v>234</v>
      </c>
      <c r="L74" t="s">
        <v>34</v>
      </c>
      <c r="M74" s="148">
        <v>0.42</v>
      </c>
      <c r="N74" s="8" t="s">
        <v>126</v>
      </c>
      <c r="O74" s="152" t="s">
        <v>126</v>
      </c>
      <c r="P74" s="152" t="s">
        <v>126</v>
      </c>
      <c r="Q74" s="267">
        <v>3000000</v>
      </c>
      <c r="R74" s="4">
        <v>1260000</v>
      </c>
    </row>
    <row r="75" spans="10:18" x14ac:dyDescent="0.25">
      <c r="K75" t="s">
        <v>235</v>
      </c>
      <c r="L75" t="s">
        <v>34</v>
      </c>
      <c r="M75" s="148">
        <v>0.42</v>
      </c>
      <c r="N75" s="8" t="s">
        <v>126</v>
      </c>
      <c r="O75" s="152" t="s">
        <v>126</v>
      </c>
      <c r="P75" s="152" t="s">
        <v>126</v>
      </c>
      <c r="Q75" s="267">
        <v>3000000</v>
      </c>
      <c r="R75" s="4">
        <v>1260000</v>
      </c>
    </row>
    <row r="76" spans="10:18" x14ac:dyDescent="0.25">
      <c r="K76" t="s">
        <v>236</v>
      </c>
      <c r="L76" t="s">
        <v>34</v>
      </c>
      <c r="M76" s="148">
        <v>0.42</v>
      </c>
      <c r="N76" s="8" t="s">
        <v>126</v>
      </c>
      <c r="O76" s="152" t="s">
        <v>126</v>
      </c>
      <c r="P76" s="152" t="s">
        <v>126</v>
      </c>
      <c r="Q76" s="267">
        <v>3000000</v>
      </c>
      <c r="R76" s="4">
        <v>1260000</v>
      </c>
    </row>
    <row r="77" spans="10:18" x14ac:dyDescent="0.25">
      <c r="K77" t="s">
        <v>237</v>
      </c>
      <c r="L77" t="s">
        <v>34</v>
      </c>
      <c r="M77" s="148">
        <v>0.42</v>
      </c>
      <c r="N77" s="8" t="s">
        <v>126</v>
      </c>
      <c r="O77" s="153">
        <v>46054</v>
      </c>
      <c r="P77" s="153">
        <v>46326</v>
      </c>
      <c r="Q77" s="267">
        <v>3000000</v>
      </c>
      <c r="R77" s="4">
        <v>1260000</v>
      </c>
    </row>
    <row r="78" spans="10:18" x14ac:dyDescent="0.25">
      <c r="K78" t="s">
        <v>238</v>
      </c>
      <c r="L78" t="s">
        <v>126</v>
      </c>
      <c r="M78" s="148" t="s">
        <v>126</v>
      </c>
      <c r="N78" s="8" t="s">
        <v>126</v>
      </c>
      <c r="O78" s="152" t="s">
        <v>126</v>
      </c>
      <c r="P78" s="152" t="s">
        <v>126</v>
      </c>
      <c r="Q78" s="267">
        <v>0</v>
      </c>
      <c r="R78" s="4">
        <v>0</v>
      </c>
    </row>
    <row r="79" spans="10:18" x14ac:dyDescent="0.25">
      <c r="J79" t="s">
        <v>85</v>
      </c>
      <c r="Q79" s="267">
        <v>33277976</v>
      </c>
      <c r="R79" s="4">
        <v>10988726.300000001</v>
      </c>
    </row>
  </sheetData>
  <mergeCells count="3">
    <mergeCell ref="L41:M41"/>
    <mergeCell ref="N41:O41"/>
    <mergeCell ref="P41:Q41"/>
  </mergeCells>
  <conditionalFormatting pivot="1" sqref="Q54:Q70">
    <cfRule type="cellIs" dxfId="504" priority="13" operator="equal">
      <formula>0</formula>
    </cfRule>
  </conditionalFormatting>
  <conditionalFormatting sqref="L49:P49 L54:P71">
    <cfRule type="containsText" dxfId="503" priority="8" operator="containsText" text="(blank)">
      <formula>NOT(ISERROR(SEARCH("(blank)",L49)))</formula>
    </cfRule>
  </conditionalFormatting>
  <conditionalFormatting sqref="L6:P15">
    <cfRule type="cellIs" dxfId="502" priority="7" operator="lessThan">
      <formula>0</formula>
    </cfRule>
  </conditionalFormatting>
  <conditionalFormatting sqref="L18:P27">
    <cfRule type="cellIs" dxfId="501" priority="6" operator="lessThan">
      <formula>0</formula>
    </cfRule>
  </conditionalFormatting>
  <conditionalFormatting sqref="L30:P39">
    <cfRule type="cellIs" dxfId="500" priority="5" operator="lessThan">
      <formula>0</formula>
    </cfRule>
  </conditionalFormatting>
  <conditionalFormatting sqref="L9:P9 L11:P11 L13:P13 L15:P15">
    <cfRule type="cellIs" dxfId="499" priority="4" operator="greaterThan">
      <formula>0</formula>
    </cfRule>
  </conditionalFormatting>
  <conditionalFormatting sqref="L21:P21 L23:P23 L25:P25 L27:P27">
    <cfRule type="cellIs" dxfId="498" priority="3" operator="greaterThan">
      <formula>0</formula>
    </cfRule>
  </conditionalFormatting>
  <conditionalFormatting sqref="L33:P33 L35:P35 L37:P37 L39:P39">
    <cfRule type="cellIs" dxfId="497" priority="2" operator="greaterThan">
      <formula>0</formula>
    </cfRule>
  </conditionalFormatting>
  <conditionalFormatting sqref="M51">
    <cfRule type="containsText" dxfId="496" priority="1" operator="containsText" text="(blank)">
      <formula>NOT(ISERROR(SEARCH("(blank)",M51)))</formula>
    </cfRule>
  </conditionalFormatting>
  <dataValidations disablePrompts="1" count="2">
    <dataValidation type="list" allowBlank="1" showInputMessage="1" showErrorMessage="1" sqref="L3:N3" xr:uid="{C3EA82B7-716C-4B53-AD96-02560765D66F}">
      <formula1>"TRUE, FALSE"</formula1>
    </dataValidation>
    <dataValidation type="list" allowBlank="1" showInputMessage="1" showErrorMessage="1" sqref="X37" xr:uid="{3E090B38-5558-4D6E-A3E4-E9898B5E8A89}">
      <formula1>"All, DAFF, SAU, VIC, GROWTH"</formula1>
    </dataValidation>
  </dataValidations>
  <pageMargins left="0.7" right="0.7" top="0.75" bottom="0.75" header="0.3" footer="0.3"/>
  <drawing r:id="rId2"/>
  <tableParts count="8">
    <tablePart r:id="rId3"/>
    <tablePart r:id="rId4"/>
    <tablePart r:id="rId5"/>
    <tablePart r:id="rId6"/>
    <tablePart r:id="rId7"/>
    <tablePart r:id="rId8"/>
    <tablePart r:id="rId9"/>
    <tablePart r:id="rId10"/>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8FD12-77AB-4273-BA04-CAA9D0D95286}">
  <sheetPr>
    <tabColor theme="6"/>
  </sheetPr>
  <dimension ref="A1:W28"/>
  <sheetViews>
    <sheetView workbookViewId="0">
      <selection activeCell="G18" sqref="G18"/>
    </sheetView>
  </sheetViews>
  <sheetFormatPr defaultRowHeight="15" x14ac:dyDescent="0.25"/>
  <cols>
    <col min="1" max="1" width="16.7109375" customWidth="1"/>
    <col min="2" max="2" width="22.7109375" customWidth="1"/>
    <col min="3" max="3" width="76.7109375" bestFit="1" customWidth="1"/>
    <col min="4" max="4" width="12" customWidth="1"/>
    <col min="5" max="6" width="13.7109375" style="8" customWidth="1"/>
    <col min="7" max="7" width="15.42578125" customWidth="1"/>
    <col min="8" max="8" width="12" customWidth="1"/>
    <col min="9" max="9" width="15.7109375" bestFit="1" customWidth="1"/>
    <col min="10" max="10" width="12" customWidth="1"/>
    <col min="11" max="11" width="28" bestFit="1" customWidth="1"/>
    <col min="12" max="12" width="31.5703125" customWidth="1"/>
    <col min="13" max="13" width="28" bestFit="1" customWidth="1"/>
    <col min="14" max="14" width="65.140625" bestFit="1" customWidth="1"/>
    <col min="15" max="15" width="9.42578125" customWidth="1"/>
    <col min="16" max="16" width="13.42578125" customWidth="1"/>
    <col min="17" max="17" width="9.42578125" customWidth="1"/>
    <col min="18" max="18" width="13.42578125" customWidth="1"/>
    <col min="19" max="19" width="9.42578125" customWidth="1"/>
    <col min="20" max="20" width="13.42578125" customWidth="1"/>
    <col min="21" max="21" width="9.42578125" customWidth="1"/>
    <col min="22" max="22" width="13.42578125" customWidth="1"/>
    <col min="23" max="23" width="11.42578125" customWidth="1"/>
  </cols>
  <sheetData>
    <row r="1" spans="1:23" ht="21" x14ac:dyDescent="0.35">
      <c r="A1" s="11" t="s">
        <v>239</v>
      </c>
    </row>
    <row r="2" spans="1:23" x14ac:dyDescent="0.25">
      <c r="A2" s="7" t="s">
        <v>29</v>
      </c>
      <c r="B2" t="s">
        <v>30</v>
      </c>
    </row>
    <row r="3" spans="1:23" x14ac:dyDescent="0.25">
      <c r="A3" s="7" t="s">
        <v>240</v>
      </c>
      <c r="B3" t="s">
        <v>33</v>
      </c>
      <c r="C3" s="8"/>
      <c r="D3" s="8"/>
      <c r="G3" s="8"/>
      <c r="H3" s="8"/>
      <c r="I3" s="8"/>
      <c r="J3" s="8"/>
      <c r="W3" s="8"/>
    </row>
    <row r="4" spans="1:23" x14ac:dyDescent="0.25">
      <c r="C4" s="8"/>
      <c r="D4" s="8"/>
      <c r="G4" s="8"/>
      <c r="H4" s="8"/>
      <c r="I4" s="8"/>
      <c r="J4" s="8"/>
      <c r="W4" s="8"/>
    </row>
    <row r="5" spans="1:23" x14ac:dyDescent="0.25">
      <c r="A5" s="9" t="s">
        <v>32</v>
      </c>
      <c r="B5" s="7" t="s">
        <v>36</v>
      </c>
      <c r="C5" s="7" t="s">
        <v>37</v>
      </c>
      <c r="D5" s="7" t="s">
        <v>16</v>
      </c>
      <c r="E5" s="9" t="s">
        <v>121</v>
      </c>
      <c r="F5" s="9" t="s">
        <v>241</v>
      </c>
      <c r="G5" s="8" t="s">
        <v>120</v>
      </c>
    </row>
    <row r="6" spans="1:23" x14ac:dyDescent="0.25">
      <c r="A6" t="s">
        <v>34</v>
      </c>
      <c r="B6" t="s">
        <v>42</v>
      </c>
      <c r="C6" t="s">
        <v>63</v>
      </c>
      <c r="D6" t="s">
        <v>22</v>
      </c>
      <c r="E6" s="148">
        <v>0.32</v>
      </c>
      <c r="F6" t="s">
        <v>242</v>
      </c>
      <c r="G6" s="268">
        <v>10812528</v>
      </c>
    </row>
    <row r="7" spans="1:23" x14ac:dyDescent="0.25">
      <c r="C7" t="s">
        <v>64</v>
      </c>
      <c r="D7" t="s">
        <v>22</v>
      </c>
      <c r="E7" s="148">
        <v>0.4</v>
      </c>
      <c r="F7" t="s">
        <v>242</v>
      </c>
      <c r="G7" s="268">
        <v>4188470</v>
      </c>
    </row>
    <row r="8" spans="1:23" x14ac:dyDescent="0.25">
      <c r="B8" t="s">
        <v>66</v>
      </c>
      <c r="C8" t="s">
        <v>72</v>
      </c>
      <c r="D8" t="s">
        <v>17</v>
      </c>
      <c r="E8" s="148">
        <v>0.2</v>
      </c>
      <c r="F8" t="s">
        <v>243</v>
      </c>
      <c r="G8" s="268">
        <v>533310.75</v>
      </c>
    </row>
    <row r="9" spans="1:23" x14ac:dyDescent="0.25">
      <c r="C9" t="s">
        <v>619</v>
      </c>
      <c r="D9" t="s">
        <v>20</v>
      </c>
      <c r="E9" s="148">
        <v>0.3</v>
      </c>
      <c r="F9" t="s">
        <v>243</v>
      </c>
      <c r="G9" s="268">
        <v>444574.24</v>
      </c>
    </row>
    <row r="10" spans="1:23" x14ac:dyDescent="0.25">
      <c r="B10" t="s">
        <v>132</v>
      </c>
      <c r="C10" t="s">
        <v>140</v>
      </c>
      <c r="D10" t="s">
        <v>22</v>
      </c>
      <c r="E10" s="148" t="s">
        <v>126</v>
      </c>
      <c r="F10" t="s">
        <v>602</v>
      </c>
      <c r="G10" s="268">
        <v>3000000</v>
      </c>
    </row>
    <row r="11" spans="1:23" x14ac:dyDescent="0.25">
      <c r="C11" t="s">
        <v>142</v>
      </c>
      <c r="D11" t="s">
        <v>22</v>
      </c>
      <c r="E11" s="148">
        <v>0.3</v>
      </c>
      <c r="F11" t="s">
        <v>243</v>
      </c>
      <c r="G11" s="268">
        <v>145440</v>
      </c>
    </row>
    <row r="12" spans="1:23" x14ac:dyDescent="0.25">
      <c r="A12" t="s">
        <v>131</v>
      </c>
      <c r="B12" t="s">
        <v>132</v>
      </c>
      <c r="C12" t="s">
        <v>144</v>
      </c>
      <c r="D12" t="s">
        <v>208</v>
      </c>
      <c r="E12" s="148" t="s">
        <v>126</v>
      </c>
      <c r="F12" t="s">
        <v>244</v>
      </c>
      <c r="G12" s="268"/>
    </row>
    <row r="13" spans="1:23" x14ac:dyDescent="0.25">
      <c r="A13" t="s">
        <v>39</v>
      </c>
      <c r="B13" t="s">
        <v>66</v>
      </c>
      <c r="C13" t="s">
        <v>79</v>
      </c>
      <c r="D13" t="s">
        <v>21</v>
      </c>
      <c r="E13" s="148">
        <v>0.17</v>
      </c>
      <c r="F13" t="s">
        <v>245</v>
      </c>
      <c r="G13" s="268">
        <v>526240</v>
      </c>
    </row>
    <row r="14" spans="1:23" x14ac:dyDescent="0.25">
      <c r="A14" s="12" t="s">
        <v>85</v>
      </c>
      <c r="B14" s="12"/>
      <c r="C14" s="12"/>
      <c r="D14" s="12"/>
      <c r="E14" s="12"/>
      <c r="F14" s="12"/>
      <c r="G14" s="268">
        <v>19650562.990000002</v>
      </c>
    </row>
    <row r="15" spans="1:23" x14ac:dyDescent="0.25">
      <c r="E15"/>
      <c r="F15"/>
    </row>
    <row r="16" spans="1:23" x14ac:dyDescent="0.25">
      <c r="E16"/>
      <c r="F16"/>
    </row>
    <row r="17" spans="5:10" x14ac:dyDescent="0.25">
      <c r="E17"/>
      <c r="F17"/>
    </row>
    <row r="18" spans="5:10" x14ac:dyDescent="0.25">
      <c r="E18"/>
      <c r="F18"/>
    </row>
    <row r="19" spans="5:10" x14ac:dyDescent="0.25">
      <c r="E19"/>
      <c r="F19"/>
    </row>
    <row r="20" spans="5:10" x14ac:dyDescent="0.25">
      <c r="E20"/>
      <c r="F20"/>
    </row>
    <row r="21" spans="5:10" x14ac:dyDescent="0.25">
      <c r="E21"/>
      <c r="F21"/>
    </row>
    <row r="22" spans="5:10" x14ac:dyDescent="0.25">
      <c r="E22"/>
      <c r="F22"/>
    </row>
    <row r="23" spans="5:10" x14ac:dyDescent="0.25">
      <c r="E23"/>
      <c r="F23"/>
      <c r="J23" s="8"/>
    </row>
    <row r="24" spans="5:10" x14ac:dyDescent="0.25">
      <c r="E24"/>
      <c r="F24"/>
      <c r="J24" s="8"/>
    </row>
    <row r="25" spans="5:10" x14ac:dyDescent="0.25">
      <c r="E25"/>
      <c r="F25"/>
    </row>
    <row r="26" spans="5:10" x14ac:dyDescent="0.25">
      <c r="E26"/>
      <c r="F26"/>
    </row>
    <row r="27" spans="5:10" x14ac:dyDescent="0.25">
      <c r="E27"/>
      <c r="F27"/>
    </row>
    <row r="28" spans="5:10" x14ac:dyDescent="0.25">
      <c r="E28"/>
      <c r="F2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51A6C-A0A0-4E09-9A4A-3D597DF730E1}">
  <sheetPr>
    <tabColor theme="1"/>
  </sheetPr>
  <dimension ref="A1:R139"/>
  <sheetViews>
    <sheetView workbookViewId="0">
      <selection activeCell="A13" sqref="A13"/>
    </sheetView>
  </sheetViews>
  <sheetFormatPr defaultRowHeight="15" x14ac:dyDescent="0.25"/>
  <cols>
    <col min="1" max="1" width="64.7109375" bestFit="1" customWidth="1"/>
    <col min="2" max="2" width="8.42578125" bestFit="1" customWidth="1"/>
    <col min="3" max="3" width="6.28515625" bestFit="1" customWidth="1"/>
    <col min="4" max="4" width="8.85546875" bestFit="1" customWidth="1"/>
    <col min="5" max="5" width="12.42578125" bestFit="1" customWidth="1"/>
    <col min="6" max="6" width="10" bestFit="1" customWidth="1"/>
    <col min="7" max="8" width="12" bestFit="1" customWidth="1"/>
    <col min="9" max="9" width="9.42578125" bestFit="1" customWidth="1"/>
    <col min="10" max="10" width="10.42578125" bestFit="1" customWidth="1"/>
    <col min="11" max="11" width="8.140625" bestFit="1" customWidth="1"/>
    <col min="12" max="12" width="8.7109375" bestFit="1" customWidth="1"/>
    <col min="13" max="14" width="7.7109375" bestFit="1" customWidth="1"/>
    <col min="15" max="15" width="6.7109375" bestFit="1" customWidth="1"/>
    <col min="16" max="16" width="12.85546875" bestFit="1" customWidth="1"/>
    <col min="17" max="17" width="9.7109375" bestFit="1" customWidth="1"/>
    <col min="18" max="18" width="18.42578125" bestFit="1" customWidth="1"/>
  </cols>
  <sheetData>
    <row r="1" spans="1:18" x14ac:dyDescent="0.25">
      <c r="A1" t="s">
        <v>246</v>
      </c>
      <c r="B1" t="s">
        <v>36</v>
      </c>
      <c r="C1" t="s">
        <v>95</v>
      </c>
      <c r="D1" t="s">
        <v>96</v>
      </c>
      <c r="E1" t="s">
        <v>97</v>
      </c>
      <c r="F1" t="s">
        <v>98</v>
      </c>
      <c r="G1" t="s">
        <v>99</v>
      </c>
      <c r="H1" t="s">
        <v>100</v>
      </c>
      <c r="I1" t="s">
        <v>101</v>
      </c>
      <c r="J1" t="s">
        <v>102</v>
      </c>
      <c r="K1" t="s">
        <v>103</v>
      </c>
      <c r="L1" t="s">
        <v>104</v>
      </c>
      <c r="M1" t="s">
        <v>105</v>
      </c>
      <c r="N1" t="s">
        <v>106</v>
      </c>
      <c r="O1" t="s">
        <v>16</v>
      </c>
      <c r="P1" t="s">
        <v>247</v>
      </c>
      <c r="Q1" t="s">
        <v>248</v>
      </c>
      <c r="R1" t="s">
        <v>249</v>
      </c>
    </row>
    <row r="2" spans="1:18" x14ac:dyDescent="0.25">
      <c r="A2" t="s">
        <v>67</v>
      </c>
      <c r="B2" t="s">
        <v>76</v>
      </c>
      <c r="C2">
        <v>0</v>
      </c>
      <c r="D2">
        <v>0</v>
      </c>
      <c r="E2">
        <v>0</v>
      </c>
      <c r="F2">
        <v>0</v>
      </c>
      <c r="G2">
        <v>0</v>
      </c>
      <c r="H2">
        <v>0</v>
      </c>
      <c r="I2">
        <v>0</v>
      </c>
      <c r="J2">
        <v>0</v>
      </c>
      <c r="K2">
        <v>0</v>
      </c>
      <c r="L2">
        <v>0</v>
      </c>
      <c r="M2">
        <v>0</v>
      </c>
      <c r="N2">
        <v>5760</v>
      </c>
      <c r="O2" t="s">
        <v>250</v>
      </c>
      <c r="P2" t="str">
        <f>_xlfn.XLOOKUP(OppSpreadData[[#This Row],[Opportunity Name]],Table_query[Name],Table_query[Status])</f>
        <v>Risk</v>
      </c>
      <c r="Q2">
        <f>SUM(OppSpreadData[[#This Row],[July]:[June]])</f>
        <v>5760</v>
      </c>
      <c r="R2" t="str">
        <f>_xlfn.XLOOKUP(OppSpreadData[[#This Row],[Opportunity Name]],Table_query[Name],Table_query[Phase])</f>
        <v>3.DF - Submitted</v>
      </c>
    </row>
    <row r="3" spans="1:18" x14ac:dyDescent="0.25">
      <c r="A3" t="s">
        <v>68</v>
      </c>
      <c r="B3" t="s">
        <v>76</v>
      </c>
      <c r="C3">
        <v>0</v>
      </c>
      <c r="D3">
        <v>0</v>
      </c>
      <c r="E3">
        <v>0</v>
      </c>
      <c r="F3">
        <v>0</v>
      </c>
      <c r="G3">
        <v>0</v>
      </c>
      <c r="H3">
        <v>0</v>
      </c>
      <c r="I3">
        <v>0</v>
      </c>
      <c r="J3">
        <v>32250</v>
      </c>
      <c r="K3">
        <v>80625</v>
      </c>
      <c r="L3">
        <v>48375</v>
      </c>
      <c r="M3">
        <v>0</v>
      </c>
      <c r="N3">
        <v>0</v>
      </c>
      <c r="O3" t="s">
        <v>250</v>
      </c>
      <c r="P3" t="str">
        <f>_xlfn.XLOOKUP(OppSpreadData[[#This Row],[Opportunity Name]],Table_query[Name],Table_query[Status])</f>
        <v>Risk</v>
      </c>
      <c r="Q3">
        <f>SUM(OppSpreadData[[#This Row],[July]:[June]])</f>
        <v>161250</v>
      </c>
      <c r="R3" t="str">
        <f>_xlfn.XLOOKUP(OppSpreadData[[#This Row],[Opportunity Name]],Table_query[Name],Table_query[Phase])</f>
        <v>3.DF - Submitted</v>
      </c>
    </row>
    <row r="4" spans="1:18" x14ac:dyDescent="0.25">
      <c r="A4" t="s">
        <v>69</v>
      </c>
      <c r="B4" t="s">
        <v>76</v>
      </c>
      <c r="C4">
        <v>0</v>
      </c>
      <c r="D4">
        <v>0</v>
      </c>
      <c r="E4">
        <v>0</v>
      </c>
      <c r="F4">
        <v>0</v>
      </c>
      <c r="G4">
        <v>0</v>
      </c>
      <c r="H4">
        <v>0</v>
      </c>
      <c r="I4">
        <v>0</v>
      </c>
      <c r="J4">
        <v>32960</v>
      </c>
      <c r="K4">
        <v>145520</v>
      </c>
      <c r="L4">
        <v>123040</v>
      </c>
      <c r="M4">
        <v>31200.000000000004</v>
      </c>
      <c r="N4">
        <v>0</v>
      </c>
      <c r="O4" t="s">
        <v>250</v>
      </c>
      <c r="P4" t="str">
        <f>_xlfn.XLOOKUP(OppSpreadData[[#This Row],[Opportunity Name]],Table_query[Name],Table_query[Status])</f>
        <v>Risk</v>
      </c>
      <c r="Q4">
        <f>SUM(OppSpreadData[[#This Row],[July]:[June]])</f>
        <v>332720</v>
      </c>
      <c r="R4" t="str">
        <f>_xlfn.XLOOKUP(OppSpreadData[[#This Row],[Opportunity Name]],Table_query[Name],Table_query[Phase])</f>
        <v>3.DF - Submitted</v>
      </c>
    </row>
    <row r="5" spans="1:18" x14ac:dyDescent="0.25">
      <c r="A5" t="s">
        <v>43</v>
      </c>
      <c r="B5" t="s">
        <v>77</v>
      </c>
      <c r="C5">
        <v>0</v>
      </c>
      <c r="D5">
        <v>0</v>
      </c>
      <c r="E5">
        <v>0</v>
      </c>
      <c r="F5">
        <v>0</v>
      </c>
      <c r="G5">
        <v>0</v>
      </c>
      <c r="H5">
        <v>0</v>
      </c>
      <c r="I5">
        <v>0</v>
      </c>
      <c r="J5">
        <v>54000</v>
      </c>
      <c r="K5">
        <v>255280</v>
      </c>
      <c r="L5">
        <v>158640</v>
      </c>
      <c r="M5">
        <v>91240</v>
      </c>
      <c r="N5">
        <v>282400</v>
      </c>
      <c r="O5" t="s">
        <v>250</v>
      </c>
      <c r="P5" t="e">
        <f>_xlfn.XLOOKUP(OppSpreadData[[#This Row],[Opportunity Name]],Table_query[Name],Table_query[Status])</f>
        <v>#N/A</v>
      </c>
      <c r="Q5">
        <f>SUM(OppSpreadData[[#This Row],[July]:[June]])</f>
        <v>841560</v>
      </c>
      <c r="R5" t="e">
        <f>_xlfn.XLOOKUP(OppSpreadData[[#This Row],[Opportunity Name]],Table_query[Name],Table_query[Phase])</f>
        <v>#N/A</v>
      </c>
    </row>
    <row r="6" spans="1:18" x14ac:dyDescent="0.25">
      <c r="A6" t="s">
        <v>41</v>
      </c>
      <c r="B6" t="s">
        <v>78</v>
      </c>
      <c r="C6">
        <v>0</v>
      </c>
      <c r="D6">
        <v>0</v>
      </c>
      <c r="E6">
        <v>0</v>
      </c>
      <c r="F6">
        <v>0</v>
      </c>
      <c r="G6">
        <v>0</v>
      </c>
      <c r="H6">
        <v>0</v>
      </c>
      <c r="I6">
        <v>0</v>
      </c>
      <c r="J6">
        <v>0</v>
      </c>
      <c r="K6">
        <v>34960</v>
      </c>
      <c r="L6">
        <v>27360</v>
      </c>
      <c r="M6">
        <v>30400</v>
      </c>
      <c r="N6">
        <v>30400</v>
      </c>
      <c r="O6" t="s">
        <v>17</v>
      </c>
      <c r="P6" t="e">
        <f>_xlfn.XLOOKUP(OppSpreadData[[#This Row],[Opportunity Name]],Table_query[Name],Table_query[Status])</f>
        <v>#N/A</v>
      </c>
      <c r="Q6">
        <f>SUM(OppSpreadData[[#This Row],[July]:[June]])</f>
        <v>123120</v>
      </c>
      <c r="R6" t="e">
        <f>_xlfn.XLOOKUP(OppSpreadData[[#This Row],[Opportunity Name]],Table_query[Name],Table_query[Phase])</f>
        <v>#N/A</v>
      </c>
    </row>
    <row r="7" spans="1:18" x14ac:dyDescent="0.25">
      <c r="A7" t="s">
        <v>70</v>
      </c>
      <c r="B7" t="s">
        <v>76</v>
      </c>
      <c r="C7">
        <v>0</v>
      </c>
      <c r="D7">
        <v>0</v>
      </c>
      <c r="E7">
        <v>0</v>
      </c>
      <c r="F7">
        <v>0</v>
      </c>
      <c r="G7">
        <v>0</v>
      </c>
      <c r="H7">
        <v>0</v>
      </c>
      <c r="I7">
        <v>0</v>
      </c>
      <c r="J7">
        <v>35560</v>
      </c>
      <c r="K7">
        <v>131145</v>
      </c>
      <c r="L7">
        <v>87165</v>
      </c>
      <c r="M7">
        <v>78245</v>
      </c>
      <c r="N7">
        <v>80135</v>
      </c>
      <c r="O7" t="s">
        <v>17</v>
      </c>
      <c r="P7" t="e">
        <f>_xlfn.XLOOKUP(OppSpreadData[[#This Row],[Opportunity Name]],Table_query[Name],Table_query[Status])</f>
        <v>#N/A</v>
      </c>
      <c r="Q7">
        <f>SUM(OppSpreadData[[#This Row],[July]:[June]])</f>
        <v>412250</v>
      </c>
      <c r="R7" t="e">
        <f>_xlfn.XLOOKUP(OppSpreadData[[#This Row],[Opportunity Name]],Table_query[Name],Table_query[Phase])</f>
        <v>#N/A</v>
      </c>
    </row>
    <row r="8" spans="1:18" x14ac:dyDescent="0.25">
      <c r="A8" t="s">
        <v>72</v>
      </c>
      <c r="B8" t="s">
        <v>76</v>
      </c>
      <c r="C8">
        <v>0</v>
      </c>
      <c r="D8">
        <v>0</v>
      </c>
      <c r="E8">
        <v>0</v>
      </c>
      <c r="F8">
        <v>0</v>
      </c>
      <c r="G8">
        <v>0</v>
      </c>
      <c r="H8">
        <v>0</v>
      </c>
      <c r="I8">
        <v>0</v>
      </c>
      <c r="J8">
        <v>35560</v>
      </c>
      <c r="K8">
        <v>131145</v>
      </c>
      <c r="L8">
        <v>87165</v>
      </c>
      <c r="M8">
        <v>78245</v>
      </c>
      <c r="N8">
        <v>80135</v>
      </c>
      <c r="O8" t="s">
        <v>17</v>
      </c>
      <c r="P8" t="str">
        <f>_xlfn.XLOOKUP(OppSpreadData[[#This Row],[Opportunity Name]],Table_query[Name],Table_query[Status])</f>
        <v>Risk</v>
      </c>
      <c r="Q8">
        <f>SUM(OppSpreadData[[#This Row],[July]:[June]])</f>
        <v>412250</v>
      </c>
      <c r="R8" t="str">
        <f>_xlfn.XLOOKUP(OppSpreadData[[#This Row],[Opportunity Name]],Table_query[Name],Table_query[Phase])</f>
        <v>3.DF - Submitted</v>
      </c>
    </row>
    <row r="9" spans="1:18" x14ac:dyDescent="0.25">
      <c r="A9" t="s">
        <v>79</v>
      </c>
      <c r="B9" t="s">
        <v>76</v>
      </c>
      <c r="C9">
        <v>0</v>
      </c>
      <c r="D9">
        <v>0</v>
      </c>
      <c r="E9">
        <v>0</v>
      </c>
      <c r="F9">
        <v>0</v>
      </c>
      <c r="G9">
        <v>0</v>
      </c>
      <c r="H9">
        <v>0</v>
      </c>
      <c r="I9">
        <v>0</v>
      </c>
      <c r="J9">
        <v>14300</v>
      </c>
      <c r="K9">
        <v>68640</v>
      </c>
      <c r="L9">
        <v>54340</v>
      </c>
      <c r="M9">
        <v>57200</v>
      </c>
      <c r="N9">
        <v>71500</v>
      </c>
      <c r="O9" t="s">
        <v>250</v>
      </c>
      <c r="P9" t="str">
        <f>_xlfn.XLOOKUP(OppSpreadData[[#This Row],[Opportunity Name]],Table_query[Name],Table_query[Status])</f>
        <v>Risk</v>
      </c>
      <c r="Q9">
        <f>SUM(OppSpreadData[[#This Row],[July]:[June]])</f>
        <v>265980</v>
      </c>
      <c r="R9" t="str">
        <f>_xlfn.XLOOKUP(OppSpreadData[[#This Row],[Opportunity Name]],Table_query[Name],Table_query[Phase])</f>
        <v>3.DF - Submitted</v>
      </c>
    </row>
    <row r="10" spans="1:18" x14ac:dyDescent="0.25">
      <c r="A10" t="s">
        <v>80</v>
      </c>
      <c r="B10" t="s">
        <v>76</v>
      </c>
      <c r="C10">
        <v>0</v>
      </c>
      <c r="D10">
        <v>0</v>
      </c>
      <c r="E10">
        <v>0</v>
      </c>
      <c r="F10">
        <v>0</v>
      </c>
      <c r="G10">
        <v>0</v>
      </c>
      <c r="H10">
        <v>0</v>
      </c>
      <c r="I10">
        <v>0</v>
      </c>
      <c r="J10">
        <v>6080</v>
      </c>
      <c r="K10">
        <v>38000</v>
      </c>
      <c r="L10">
        <v>27360</v>
      </c>
      <c r="M10">
        <v>27360</v>
      </c>
      <c r="N10">
        <v>36480</v>
      </c>
      <c r="O10" t="s">
        <v>250</v>
      </c>
      <c r="P10" t="str">
        <f>_xlfn.XLOOKUP(OppSpreadData[[#This Row],[Opportunity Name]],Table_query[Name],Table_query[Status])</f>
        <v>Risk</v>
      </c>
      <c r="Q10">
        <f>SUM(OppSpreadData[[#This Row],[July]:[June]])</f>
        <v>135280</v>
      </c>
      <c r="R10" t="str">
        <f>_xlfn.XLOOKUP(OppSpreadData[[#This Row],[Opportunity Name]],Table_query[Name],Table_query[Phase])</f>
        <v>3.DF - Submitted</v>
      </c>
    </row>
    <row r="11" spans="1:18" x14ac:dyDescent="0.25">
      <c r="A11" t="s">
        <v>81</v>
      </c>
      <c r="B11" t="s">
        <v>76</v>
      </c>
      <c r="C11">
        <v>0</v>
      </c>
      <c r="D11">
        <v>0</v>
      </c>
      <c r="E11">
        <v>0</v>
      </c>
      <c r="F11">
        <v>0</v>
      </c>
      <c r="G11">
        <v>0</v>
      </c>
      <c r="H11">
        <v>0</v>
      </c>
      <c r="I11">
        <v>0</v>
      </c>
      <c r="J11">
        <v>107760</v>
      </c>
      <c r="K11">
        <v>247848</v>
      </c>
      <c r="L11">
        <v>193968</v>
      </c>
      <c r="M11">
        <v>215520</v>
      </c>
      <c r="N11">
        <v>247848</v>
      </c>
      <c r="O11" t="s">
        <v>250</v>
      </c>
      <c r="P11" t="str">
        <f>_xlfn.XLOOKUP(OppSpreadData[[#This Row],[Opportunity Name]],Table_query[Name],Table_query[Status])</f>
        <v>Risk</v>
      </c>
      <c r="Q11">
        <f>SUM(OppSpreadData[[#This Row],[July]:[June]])</f>
        <v>1012944</v>
      </c>
      <c r="R11" t="str">
        <f>_xlfn.XLOOKUP(OppSpreadData[[#This Row],[Opportunity Name]],Table_query[Name],Table_query[Phase])</f>
        <v>3.DF - Submitted</v>
      </c>
    </row>
    <row r="12" spans="1:18" x14ac:dyDescent="0.25">
      <c r="A12" t="s">
        <v>82</v>
      </c>
      <c r="B12" t="s">
        <v>76</v>
      </c>
      <c r="C12">
        <v>0</v>
      </c>
      <c r="D12">
        <v>0</v>
      </c>
      <c r="E12">
        <v>0</v>
      </c>
      <c r="F12">
        <v>0</v>
      </c>
      <c r="G12">
        <v>0</v>
      </c>
      <c r="H12">
        <v>0</v>
      </c>
      <c r="I12">
        <v>0</v>
      </c>
      <c r="J12">
        <v>0</v>
      </c>
      <c r="K12">
        <v>145925</v>
      </c>
      <c r="L12">
        <v>126600</v>
      </c>
      <c r="M12">
        <v>24210</v>
      </c>
      <c r="N12">
        <v>0</v>
      </c>
      <c r="O12" t="s">
        <v>250</v>
      </c>
      <c r="P12" t="str">
        <f>_xlfn.XLOOKUP(OppSpreadData[[#This Row],[Opportunity Name]],Table_query[Name],Table_query[Status])</f>
        <v>Risk</v>
      </c>
      <c r="Q12">
        <f>SUM(OppSpreadData[[#This Row],[July]:[June]])</f>
        <v>296735</v>
      </c>
      <c r="R12" t="str">
        <f>_xlfn.XLOOKUP(OppSpreadData[[#This Row],[Opportunity Name]],Table_query[Name],Table_query[Phase])</f>
        <v>3.DF - Submitted</v>
      </c>
    </row>
    <row r="13" spans="1:18" x14ac:dyDescent="0.25">
      <c r="A13" t="s">
        <v>45</v>
      </c>
      <c r="B13" t="s">
        <v>77</v>
      </c>
      <c r="C13">
        <v>0</v>
      </c>
      <c r="D13">
        <v>0</v>
      </c>
      <c r="E13">
        <v>0</v>
      </c>
      <c r="F13">
        <v>0</v>
      </c>
      <c r="G13">
        <v>0</v>
      </c>
      <c r="H13">
        <v>0</v>
      </c>
      <c r="I13">
        <v>0</v>
      </c>
      <c r="J13">
        <v>19520</v>
      </c>
      <c r="K13">
        <v>39040</v>
      </c>
      <c r="L13">
        <v>0</v>
      </c>
      <c r="M13">
        <v>0</v>
      </c>
      <c r="N13">
        <v>0</v>
      </c>
      <c r="O13" t="s">
        <v>250</v>
      </c>
      <c r="P13" t="str">
        <f>_xlfn.XLOOKUP(OppSpreadData[[#This Row],[Opportunity Name]],Table_query[Name],Table_query[Status])</f>
        <v>Risk</v>
      </c>
      <c r="Q13">
        <f>SUM(OppSpreadData[[#This Row],[July]:[June]])</f>
        <v>58560</v>
      </c>
      <c r="R13" t="str">
        <f>_xlfn.XLOOKUP(OppSpreadData[[#This Row],[Opportunity Name]],Table_query[Name],Table_query[Phase])</f>
        <v>4.DVF - Shortlisted</v>
      </c>
    </row>
    <row r="14" spans="1:18" x14ac:dyDescent="0.25">
      <c r="A14" t="s">
        <v>52</v>
      </c>
      <c r="B14" t="s">
        <v>77</v>
      </c>
      <c r="C14">
        <v>0</v>
      </c>
      <c r="D14">
        <v>0</v>
      </c>
      <c r="E14">
        <v>0</v>
      </c>
      <c r="F14">
        <v>0</v>
      </c>
      <c r="G14">
        <v>0</v>
      </c>
      <c r="H14">
        <v>0</v>
      </c>
      <c r="I14">
        <v>0</v>
      </c>
      <c r="J14">
        <v>0</v>
      </c>
      <c r="K14">
        <v>0</v>
      </c>
      <c r="L14">
        <v>113440</v>
      </c>
      <c r="M14">
        <v>392960</v>
      </c>
      <c r="N14">
        <v>388920</v>
      </c>
      <c r="O14" t="s">
        <v>250</v>
      </c>
      <c r="P14" t="str">
        <f>_xlfn.XLOOKUP(OppSpreadData[[#This Row],[Opportunity Name]],Table_query[Name],Table_query[Status])</f>
        <v>Risk</v>
      </c>
      <c r="Q14">
        <f>SUM(OppSpreadData[[#This Row],[July]:[June]])</f>
        <v>895320</v>
      </c>
      <c r="R14" t="str">
        <f>_xlfn.XLOOKUP(OppSpreadData[[#This Row],[Opportunity Name]],Table_query[Name],Table_query[Phase])</f>
        <v>4.DVF - Shortlisted</v>
      </c>
    </row>
    <row r="15" spans="1:18" x14ac:dyDescent="0.25">
      <c r="A15" t="s">
        <v>54</v>
      </c>
      <c r="B15" t="s">
        <v>77</v>
      </c>
      <c r="C15">
        <v>0</v>
      </c>
      <c r="D15">
        <v>0</v>
      </c>
      <c r="E15">
        <v>0</v>
      </c>
      <c r="F15">
        <v>0</v>
      </c>
      <c r="G15">
        <v>0</v>
      </c>
      <c r="H15">
        <v>0</v>
      </c>
      <c r="I15">
        <v>0</v>
      </c>
      <c r="J15">
        <v>0</v>
      </c>
      <c r="K15">
        <v>0</v>
      </c>
      <c r="L15">
        <v>0</v>
      </c>
      <c r="M15">
        <v>36600</v>
      </c>
      <c r="N15">
        <v>143960</v>
      </c>
      <c r="O15" t="s">
        <v>250</v>
      </c>
      <c r="P15" t="str">
        <f>_xlfn.XLOOKUP(OppSpreadData[[#This Row],[Opportunity Name]],Table_query[Name],Table_query[Status])</f>
        <v>Fair</v>
      </c>
      <c r="Q15">
        <f>SUM(OppSpreadData[[#This Row],[July]:[June]])</f>
        <v>180560</v>
      </c>
      <c r="R15" t="str">
        <f>_xlfn.XLOOKUP(OppSpreadData[[#This Row],[Opportunity Name]],Table_query[Name],Table_query[Phase])</f>
        <v>4.DVF - Shortlisted</v>
      </c>
    </row>
    <row r="16" spans="1:18" x14ac:dyDescent="0.25">
      <c r="A16" t="s">
        <v>57</v>
      </c>
      <c r="B16" t="s">
        <v>77</v>
      </c>
      <c r="C16">
        <v>0</v>
      </c>
      <c r="D16">
        <v>0</v>
      </c>
      <c r="E16">
        <v>0</v>
      </c>
      <c r="F16">
        <v>0</v>
      </c>
      <c r="G16">
        <v>0</v>
      </c>
      <c r="H16">
        <v>0</v>
      </c>
      <c r="I16">
        <v>0</v>
      </c>
      <c r="J16">
        <v>10450</v>
      </c>
      <c r="K16">
        <v>50410</v>
      </c>
      <c r="L16">
        <v>41800</v>
      </c>
      <c r="M16">
        <v>31350</v>
      </c>
      <c r="N16">
        <v>25830</v>
      </c>
      <c r="O16" t="s">
        <v>250</v>
      </c>
      <c r="P16" t="str">
        <f>_xlfn.XLOOKUP(OppSpreadData[[#This Row],[Opportunity Name]],Table_query[Name],Table_query[Status])</f>
        <v>Good</v>
      </c>
      <c r="Q16">
        <f>SUM(OppSpreadData[[#This Row],[July]:[June]])</f>
        <v>159840</v>
      </c>
      <c r="R16" t="str">
        <f>_xlfn.XLOOKUP(OppSpreadData[[#This Row],[Opportunity Name]],Table_query[Name],Table_query[Phase])</f>
        <v>4.DVF - Shortlisted</v>
      </c>
    </row>
    <row r="17" spans="1:18" x14ac:dyDescent="0.25">
      <c r="A17" t="s">
        <v>59</v>
      </c>
      <c r="B17" t="s">
        <v>77</v>
      </c>
      <c r="C17">
        <v>0</v>
      </c>
      <c r="D17">
        <v>0</v>
      </c>
      <c r="E17">
        <v>0</v>
      </c>
      <c r="F17">
        <v>0</v>
      </c>
      <c r="G17">
        <v>0</v>
      </c>
      <c r="H17">
        <v>0</v>
      </c>
      <c r="I17">
        <v>0</v>
      </c>
      <c r="J17">
        <v>0</v>
      </c>
      <c r="K17">
        <v>4320</v>
      </c>
      <c r="L17">
        <v>38880</v>
      </c>
      <c r="M17">
        <v>43200</v>
      </c>
      <c r="N17">
        <v>43200</v>
      </c>
      <c r="O17" t="s">
        <v>18</v>
      </c>
      <c r="P17" t="str">
        <f>_xlfn.XLOOKUP(OppSpreadData[[#This Row],[Opportunity Name]],Table_query[Name],Table_query[Status])</f>
        <v>Good</v>
      </c>
      <c r="Q17">
        <f>SUM(OppSpreadData[[#This Row],[July]:[June]])</f>
        <v>129600</v>
      </c>
      <c r="R17" t="str">
        <f>_xlfn.XLOOKUP(OppSpreadData[[#This Row],[Opportunity Name]],Table_query[Name],Table_query[Phase])</f>
        <v>4.DVF - Shortlisted</v>
      </c>
    </row>
    <row r="18" spans="1:18" x14ac:dyDescent="0.25">
      <c r="A18" t="s">
        <v>61</v>
      </c>
      <c r="B18" t="s">
        <v>77</v>
      </c>
      <c r="C18">
        <v>0</v>
      </c>
      <c r="D18">
        <v>0</v>
      </c>
      <c r="E18">
        <v>0</v>
      </c>
      <c r="F18">
        <v>0</v>
      </c>
      <c r="G18">
        <v>0</v>
      </c>
      <c r="H18">
        <v>0</v>
      </c>
      <c r="I18">
        <v>0</v>
      </c>
      <c r="J18">
        <v>0</v>
      </c>
      <c r="K18">
        <v>5513.5199999999995</v>
      </c>
      <c r="L18">
        <v>33081.119999999995</v>
      </c>
      <c r="M18">
        <v>36756.799999999996</v>
      </c>
      <c r="N18">
        <v>36756.799999999996</v>
      </c>
      <c r="O18" t="s">
        <v>18</v>
      </c>
      <c r="P18" t="str">
        <f>_xlfn.XLOOKUP(OppSpreadData[[#This Row],[Opportunity Name]],Table_query[Name],Table_query[Status])</f>
        <v>Good</v>
      </c>
      <c r="Q18">
        <f>SUM(OppSpreadData[[#This Row],[July]:[June]])</f>
        <v>112108.23999999999</v>
      </c>
      <c r="R18" t="str">
        <f>_xlfn.XLOOKUP(OppSpreadData[[#This Row],[Opportunity Name]],Table_query[Name],Table_query[Phase])</f>
        <v>4.DVF - Shortlisted</v>
      </c>
    </row>
    <row r="19" spans="1:18" x14ac:dyDescent="0.25">
      <c r="A19" t="s">
        <v>83</v>
      </c>
      <c r="B19" t="s">
        <v>76</v>
      </c>
      <c r="C19">
        <v>0</v>
      </c>
      <c r="D19">
        <v>0</v>
      </c>
      <c r="E19">
        <v>0</v>
      </c>
      <c r="F19">
        <v>0</v>
      </c>
      <c r="G19">
        <v>0</v>
      </c>
      <c r="H19">
        <v>0</v>
      </c>
      <c r="I19">
        <v>0</v>
      </c>
      <c r="J19">
        <v>0</v>
      </c>
      <c r="K19">
        <v>484839.99999999971</v>
      </c>
      <c r="L19">
        <v>387871.99999999988</v>
      </c>
      <c r="M19">
        <v>387871.99999999988</v>
      </c>
      <c r="N19">
        <v>484839.99999999971</v>
      </c>
      <c r="O19" t="s">
        <v>18</v>
      </c>
      <c r="P19" t="str">
        <f>_xlfn.XLOOKUP(OppSpreadData[[#This Row],[Opportunity Name]],Table_query[Name],Table_query[Status])</f>
        <v>Risk</v>
      </c>
      <c r="Q19">
        <f>SUM(OppSpreadData[[#This Row],[July]:[June]])</f>
        <v>1745423.9999999993</v>
      </c>
      <c r="R19" t="str">
        <f>_xlfn.XLOOKUP(OppSpreadData[[#This Row],[Opportunity Name]],Table_query[Name],Table_query[Phase])</f>
        <v>3.DF - Submitted</v>
      </c>
    </row>
    <row r="20" spans="1:18" x14ac:dyDescent="0.25">
      <c r="A20" t="s">
        <v>63</v>
      </c>
      <c r="B20" t="s">
        <v>77</v>
      </c>
      <c r="C20">
        <v>0</v>
      </c>
      <c r="D20">
        <v>0</v>
      </c>
      <c r="E20">
        <v>0</v>
      </c>
      <c r="F20">
        <v>0</v>
      </c>
      <c r="G20">
        <v>0</v>
      </c>
      <c r="H20">
        <v>0</v>
      </c>
      <c r="I20">
        <v>0</v>
      </c>
      <c r="J20">
        <v>0</v>
      </c>
      <c r="K20">
        <v>0</v>
      </c>
      <c r="L20">
        <v>0</v>
      </c>
      <c r="M20">
        <v>0</v>
      </c>
      <c r="N20">
        <v>1274620</v>
      </c>
      <c r="O20" t="s">
        <v>250</v>
      </c>
      <c r="P20" t="str">
        <f>_xlfn.XLOOKUP(OppSpreadData[[#This Row],[Opportunity Name]],Table_query[Name],Table_query[Status])</f>
        <v>Good</v>
      </c>
      <c r="Q20">
        <f>SUM(OppSpreadData[[#This Row],[July]:[June]])</f>
        <v>1274620</v>
      </c>
      <c r="R20" t="str">
        <f>_xlfn.XLOOKUP(OppSpreadData[[#This Row],[Opportunity Name]],Table_query[Name],Table_query[Phase])</f>
        <v>4.DVF - Shortlisted</v>
      </c>
    </row>
    <row r="21" spans="1:18" x14ac:dyDescent="0.25">
      <c r="A21" t="s">
        <v>64</v>
      </c>
      <c r="B21" t="s">
        <v>77</v>
      </c>
      <c r="C21">
        <v>0</v>
      </c>
      <c r="D21">
        <v>0</v>
      </c>
      <c r="E21">
        <v>0</v>
      </c>
      <c r="F21">
        <v>0</v>
      </c>
      <c r="G21">
        <v>0</v>
      </c>
      <c r="H21">
        <v>0</v>
      </c>
      <c r="I21">
        <v>0</v>
      </c>
      <c r="J21">
        <v>0</v>
      </c>
      <c r="K21">
        <v>0</v>
      </c>
      <c r="L21">
        <v>693680</v>
      </c>
      <c r="M21">
        <v>625760</v>
      </c>
      <c r="N21">
        <v>608800</v>
      </c>
      <c r="O21" t="s">
        <v>250</v>
      </c>
      <c r="P21" t="str">
        <f>_xlfn.XLOOKUP(OppSpreadData[[#This Row],[Opportunity Name]],Table_query[Name],Table_query[Status])</f>
        <v>Good</v>
      </c>
      <c r="Q21">
        <f>SUM(OppSpreadData[[#This Row],[July]:[June]])</f>
        <v>1928240</v>
      </c>
      <c r="R21" t="str">
        <f>_xlfn.XLOOKUP(OppSpreadData[[#This Row],[Opportunity Name]],Table_query[Name],Table_query[Phase])</f>
        <v>4.DVF - Shortlisted</v>
      </c>
    </row>
    <row r="22" spans="1:18" x14ac:dyDescent="0.25">
      <c r="A22" t="s">
        <v>65</v>
      </c>
      <c r="B22" t="s">
        <v>77</v>
      </c>
      <c r="C22">
        <v>0</v>
      </c>
      <c r="D22">
        <v>0</v>
      </c>
      <c r="E22">
        <v>0</v>
      </c>
      <c r="F22">
        <v>0</v>
      </c>
      <c r="G22">
        <v>0</v>
      </c>
      <c r="H22">
        <v>0</v>
      </c>
      <c r="I22">
        <v>0</v>
      </c>
      <c r="J22">
        <v>9594.4</v>
      </c>
      <c r="K22">
        <v>47972.000000000007</v>
      </c>
      <c r="L22">
        <v>728857.60000000009</v>
      </c>
      <c r="M22">
        <v>51807.199999999997</v>
      </c>
      <c r="N22">
        <v>55110.799999999996</v>
      </c>
      <c r="O22" t="s">
        <v>250</v>
      </c>
      <c r="P22" t="str">
        <f>_xlfn.XLOOKUP(OppSpreadData[[#This Row],[Opportunity Name]],Table_query[Name],Table_query[Status])</f>
        <v>Good</v>
      </c>
      <c r="Q22">
        <f>SUM(OppSpreadData[[#This Row],[July]:[June]])</f>
        <v>893342.00000000012</v>
      </c>
      <c r="R22" t="str">
        <f>_xlfn.XLOOKUP(OppSpreadData[[#This Row],[Opportunity Name]],Table_query[Name],Table_query[Phase])</f>
        <v>4.DVF - Shortlisted</v>
      </c>
    </row>
    <row r="23" spans="1:18" x14ac:dyDescent="0.25">
      <c r="B23" t="s">
        <v>251</v>
      </c>
      <c r="C23">
        <v>0</v>
      </c>
      <c r="D23">
        <v>0</v>
      </c>
      <c r="E23">
        <v>0</v>
      </c>
      <c r="F23">
        <v>0</v>
      </c>
      <c r="G23">
        <v>0</v>
      </c>
      <c r="H23">
        <v>0</v>
      </c>
      <c r="I23">
        <v>0</v>
      </c>
      <c r="J23">
        <v>0</v>
      </c>
      <c r="K23">
        <v>0</v>
      </c>
      <c r="L23">
        <v>0</v>
      </c>
      <c r="M23">
        <v>0</v>
      </c>
      <c r="N23">
        <v>0</v>
      </c>
      <c r="O23" t="s">
        <v>251</v>
      </c>
      <c r="P23" t="e">
        <f>_xlfn.XLOOKUP(OppSpreadData[[#This Row],[Opportunity Name]],Table_query[Name],Table_query[Status])</f>
        <v>#N/A</v>
      </c>
      <c r="Q23">
        <f>SUM(OppSpreadData[[#This Row],[July]:[June]])</f>
        <v>0</v>
      </c>
      <c r="R23" t="e">
        <f>_xlfn.XLOOKUP(OppSpreadData[[#This Row],[Opportunity Name]],Table_query[Name],Table_query[Phase])</f>
        <v>#N/A</v>
      </c>
    </row>
    <row r="24" spans="1:18" x14ac:dyDescent="0.25">
      <c r="B24" t="s">
        <v>251</v>
      </c>
      <c r="C24">
        <v>0</v>
      </c>
      <c r="D24">
        <v>0</v>
      </c>
      <c r="E24">
        <v>0</v>
      </c>
      <c r="F24">
        <v>0</v>
      </c>
      <c r="G24">
        <v>0</v>
      </c>
      <c r="H24">
        <v>0</v>
      </c>
      <c r="I24">
        <v>0</v>
      </c>
      <c r="J24">
        <v>0</v>
      </c>
      <c r="K24">
        <v>0</v>
      </c>
      <c r="L24">
        <v>0</v>
      </c>
      <c r="M24">
        <v>0</v>
      </c>
      <c r="N24">
        <v>0</v>
      </c>
      <c r="O24" t="s">
        <v>251</v>
      </c>
      <c r="P24" t="e">
        <f>_xlfn.XLOOKUP(OppSpreadData[[#This Row],[Opportunity Name]],Table_query[Name],Table_query[Status])</f>
        <v>#N/A</v>
      </c>
      <c r="Q24">
        <f>SUM(OppSpreadData[[#This Row],[July]:[June]])</f>
        <v>0</v>
      </c>
      <c r="R24" t="e">
        <f>_xlfn.XLOOKUP(OppSpreadData[[#This Row],[Opportunity Name]],Table_query[Name],Table_query[Phase])</f>
        <v>#N/A</v>
      </c>
    </row>
    <row r="25" spans="1:18" x14ac:dyDescent="0.25">
      <c r="B25" t="s">
        <v>251</v>
      </c>
      <c r="C25">
        <v>0</v>
      </c>
      <c r="D25">
        <v>0</v>
      </c>
      <c r="E25">
        <v>0</v>
      </c>
      <c r="F25">
        <v>0</v>
      </c>
      <c r="G25">
        <v>0</v>
      </c>
      <c r="H25">
        <v>0</v>
      </c>
      <c r="I25">
        <v>0</v>
      </c>
      <c r="J25">
        <v>0</v>
      </c>
      <c r="K25">
        <v>0</v>
      </c>
      <c r="L25">
        <v>0</v>
      </c>
      <c r="M25">
        <v>0</v>
      </c>
      <c r="N25">
        <v>0</v>
      </c>
      <c r="O25" t="s">
        <v>251</v>
      </c>
      <c r="P25" t="e">
        <f>_xlfn.XLOOKUP(OppSpreadData[[#This Row],[Opportunity Name]],Table_query[Name],Table_query[Status])</f>
        <v>#N/A</v>
      </c>
      <c r="Q25">
        <f>SUM(OppSpreadData[[#This Row],[July]:[June]])</f>
        <v>0</v>
      </c>
      <c r="R25" t="e">
        <f>_xlfn.XLOOKUP(OppSpreadData[[#This Row],[Opportunity Name]],Table_query[Name],Table_query[Phase])</f>
        <v>#N/A</v>
      </c>
    </row>
    <row r="26" spans="1:18" x14ac:dyDescent="0.25">
      <c r="B26" t="s">
        <v>251</v>
      </c>
      <c r="C26">
        <v>0</v>
      </c>
      <c r="D26">
        <v>0</v>
      </c>
      <c r="E26">
        <v>0</v>
      </c>
      <c r="F26">
        <v>0</v>
      </c>
      <c r="G26">
        <v>0</v>
      </c>
      <c r="H26">
        <v>0</v>
      </c>
      <c r="I26">
        <v>0</v>
      </c>
      <c r="J26">
        <v>0</v>
      </c>
      <c r="K26">
        <v>0</v>
      </c>
      <c r="L26">
        <v>0</v>
      </c>
      <c r="M26">
        <v>0</v>
      </c>
      <c r="N26">
        <v>0</v>
      </c>
      <c r="O26" t="s">
        <v>251</v>
      </c>
      <c r="P26" t="e">
        <f>_xlfn.XLOOKUP(OppSpreadData[[#This Row],[Opportunity Name]],Table_query[Name],Table_query[Status])</f>
        <v>#N/A</v>
      </c>
      <c r="Q26">
        <f>SUM(OppSpreadData[[#This Row],[July]:[June]])</f>
        <v>0</v>
      </c>
      <c r="R26" t="e">
        <f>_xlfn.XLOOKUP(OppSpreadData[[#This Row],[Opportunity Name]],Table_query[Name],Table_query[Phase])</f>
        <v>#N/A</v>
      </c>
    </row>
    <row r="27" spans="1:18" x14ac:dyDescent="0.25">
      <c r="B27" t="s">
        <v>251</v>
      </c>
      <c r="C27">
        <v>0</v>
      </c>
      <c r="D27">
        <v>0</v>
      </c>
      <c r="E27">
        <v>0</v>
      </c>
      <c r="F27">
        <v>0</v>
      </c>
      <c r="G27">
        <v>0</v>
      </c>
      <c r="H27">
        <v>0</v>
      </c>
      <c r="I27">
        <v>0</v>
      </c>
      <c r="J27">
        <v>0</v>
      </c>
      <c r="K27">
        <v>0</v>
      </c>
      <c r="L27">
        <v>0</v>
      </c>
      <c r="M27">
        <v>0</v>
      </c>
      <c r="N27">
        <v>0</v>
      </c>
      <c r="O27" t="s">
        <v>251</v>
      </c>
      <c r="P27" t="e">
        <f>_xlfn.XLOOKUP(OppSpreadData[[#This Row],[Opportunity Name]],Table_query[Name],Table_query[Status])</f>
        <v>#N/A</v>
      </c>
      <c r="Q27">
        <f>SUM(OppSpreadData[[#This Row],[July]:[June]])</f>
        <v>0</v>
      </c>
      <c r="R27" t="e">
        <f>_xlfn.XLOOKUP(OppSpreadData[[#This Row],[Opportunity Name]],Table_query[Name],Table_query[Phase])</f>
        <v>#N/A</v>
      </c>
    </row>
    <row r="28" spans="1:18" x14ac:dyDescent="0.25">
      <c r="B28" t="s">
        <v>251</v>
      </c>
      <c r="C28">
        <v>0</v>
      </c>
      <c r="D28">
        <v>0</v>
      </c>
      <c r="E28">
        <v>0</v>
      </c>
      <c r="F28">
        <v>0</v>
      </c>
      <c r="G28">
        <v>0</v>
      </c>
      <c r="H28">
        <v>0</v>
      </c>
      <c r="I28">
        <v>0</v>
      </c>
      <c r="J28">
        <v>0</v>
      </c>
      <c r="K28">
        <v>0</v>
      </c>
      <c r="L28">
        <v>0</v>
      </c>
      <c r="M28">
        <v>0</v>
      </c>
      <c r="N28">
        <v>0</v>
      </c>
      <c r="O28" t="s">
        <v>251</v>
      </c>
      <c r="P28" t="e">
        <f>_xlfn.XLOOKUP(OppSpreadData[[#This Row],[Opportunity Name]],Table_query[Name],Table_query[Status])</f>
        <v>#N/A</v>
      </c>
      <c r="Q28">
        <f>SUM(OppSpreadData[[#This Row],[July]:[June]])</f>
        <v>0</v>
      </c>
      <c r="R28" t="e">
        <f>_xlfn.XLOOKUP(OppSpreadData[[#This Row],[Opportunity Name]],Table_query[Name],Table_query[Phase])</f>
        <v>#N/A</v>
      </c>
    </row>
    <row r="29" spans="1:18" x14ac:dyDescent="0.25">
      <c r="B29" t="s">
        <v>251</v>
      </c>
      <c r="C29">
        <v>0</v>
      </c>
      <c r="D29">
        <v>0</v>
      </c>
      <c r="E29">
        <v>0</v>
      </c>
      <c r="F29">
        <v>0</v>
      </c>
      <c r="G29">
        <v>0</v>
      </c>
      <c r="H29">
        <v>0</v>
      </c>
      <c r="I29">
        <v>0</v>
      </c>
      <c r="J29">
        <v>0</v>
      </c>
      <c r="K29">
        <v>0</v>
      </c>
      <c r="L29">
        <v>0</v>
      </c>
      <c r="M29">
        <v>0</v>
      </c>
      <c r="N29">
        <v>0</v>
      </c>
      <c r="O29" t="s">
        <v>251</v>
      </c>
      <c r="P29" t="e">
        <f>_xlfn.XLOOKUP(OppSpreadData[[#This Row],[Opportunity Name]],Table_query[Name],Table_query[Status])</f>
        <v>#N/A</v>
      </c>
      <c r="Q29">
        <f>SUM(OppSpreadData[[#This Row],[July]:[June]])</f>
        <v>0</v>
      </c>
      <c r="R29" t="e">
        <f>_xlfn.XLOOKUP(OppSpreadData[[#This Row],[Opportunity Name]],Table_query[Name],Table_query[Phase])</f>
        <v>#N/A</v>
      </c>
    </row>
    <row r="30" spans="1:18" x14ac:dyDescent="0.25">
      <c r="B30" t="s">
        <v>251</v>
      </c>
      <c r="C30">
        <v>0</v>
      </c>
      <c r="D30">
        <v>0</v>
      </c>
      <c r="E30">
        <v>0</v>
      </c>
      <c r="F30">
        <v>0</v>
      </c>
      <c r="G30">
        <v>0</v>
      </c>
      <c r="H30">
        <v>0</v>
      </c>
      <c r="I30">
        <v>0</v>
      </c>
      <c r="J30">
        <v>0</v>
      </c>
      <c r="K30">
        <v>0</v>
      </c>
      <c r="L30">
        <v>0</v>
      </c>
      <c r="M30">
        <v>0</v>
      </c>
      <c r="N30">
        <v>0</v>
      </c>
      <c r="O30" t="s">
        <v>251</v>
      </c>
      <c r="P30" t="e">
        <f>_xlfn.XLOOKUP(OppSpreadData[[#This Row],[Opportunity Name]],Table_query[Name],Table_query[Status])</f>
        <v>#N/A</v>
      </c>
      <c r="Q30">
        <f>SUM(OppSpreadData[[#This Row],[July]:[June]])</f>
        <v>0</v>
      </c>
      <c r="R30" t="e">
        <f>_xlfn.XLOOKUP(OppSpreadData[[#This Row],[Opportunity Name]],Table_query[Name],Table_query[Phase])</f>
        <v>#N/A</v>
      </c>
    </row>
    <row r="31" spans="1:18" x14ac:dyDescent="0.25">
      <c r="B31" t="s">
        <v>251</v>
      </c>
      <c r="C31">
        <v>0</v>
      </c>
      <c r="D31">
        <v>0</v>
      </c>
      <c r="E31">
        <v>0</v>
      </c>
      <c r="F31">
        <v>0</v>
      </c>
      <c r="G31">
        <v>0</v>
      </c>
      <c r="H31">
        <v>0</v>
      </c>
      <c r="I31">
        <v>0</v>
      </c>
      <c r="J31">
        <v>0</v>
      </c>
      <c r="K31">
        <v>0</v>
      </c>
      <c r="L31">
        <v>0</v>
      </c>
      <c r="M31">
        <v>0</v>
      </c>
      <c r="N31">
        <v>0</v>
      </c>
      <c r="O31" t="s">
        <v>251</v>
      </c>
      <c r="P31" t="e">
        <f>_xlfn.XLOOKUP(OppSpreadData[[#This Row],[Opportunity Name]],Table_query[Name],Table_query[Status])</f>
        <v>#N/A</v>
      </c>
      <c r="Q31">
        <f>SUM(OppSpreadData[[#This Row],[July]:[June]])</f>
        <v>0</v>
      </c>
      <c r="R31" t="e">
        <f>_xlfn.XLOOKUP(OppSpreadData[[#This Row],[Opportunity Name]],Table_query[Name],Table_query[Phase])</f>
        <v>#N/A</v>
      </c>
    </row>
    <row r="32" spans="1:18" x14ac:dyDescent="0.25">
      <c r="B32" t="s">
        <v>251</v>
      </c>
      <c r="C32">
        <v>0</v>
      </c>
      <c r="D32">
        <v>0</v>
      </c>
      <c r="E32">
        <v>0</v>
      </c>
      <c r="F32">
        <v>0</v>
      </c>
      <c r="G32">
        <v>0</v>
      </c>
      <c r="H32">
        <v>0</v>
      </c>
      <c r="I32">
        <v>0</v>
      </c>
      <c r="J32">
        <v>0</v>
      </c>
      <c r="K32">
        <v>0</v>
      </c>
      <c r="L32">
        <v>0</v>
      </c>
      <c r="M32">
        <v>0</v>
      </c>
      <c r="N32">
        <v>0</v>
      </c>
      <c r="O32" t="s">
        <v>251</v>
      </c>
      <c r="P32" t="e">
        <f>_xlfn.XLOOKUP(OppSpreadData[[#This Row],[Opportunity Name]],Table_query[Name],Table_query[Status])</f>
        <v>#N/A</v>
      </c>
      <c r="Q32">
        <f>SUM(OppSpreadData[[#This Row],[July]:[June]])</f>
        <v>0</v>
      </c>
      <c r="R32" t="e">
        <f>_xlfn.XLOOKUP(OppSpreadData[[#This Row],[Opportunity Name]],Table_query[Name],Table_query[Phase])</f>
        <v>#N/A</v>
      </c>
    </row>
    <row r="33" spans="2:18" x14ac:dyDescent="0.25">
      <c r="B33" t="s">
        <v>251</v>
      </c>
      <c r="C33">
        <v>0</v>
      </c>
      <c r="D33">
        <v>0</v>
      </c>
      <c r="E33">
        <v>0</v>
      </c>
      <c r="F33">
        <v>0</v>
      </c>
      <c r="G33">
        <v>0</v>
      </c>
      <c r="H33">
        <v>0</v>
      </c>
      <c r="I33">
        <v>0</v>
      </c>
      <c r="J33">
        <v>0</v>
      </c>
      <c r="K33">
        <v>0</v>
      </c>
      <c r="L33">
        <v>0</v>
      </c>
      <c r="M33">
        <v>0</v>
      </c>
      <c r="N33">
        <v>0</v>
      </c>
      <c r="O33" t="s">
        <v>251</v>
      </c>
      <c r="P33" t="e">
        <f>_xlfn.XLOOKUP(OppSpreadData[[#This Row],[Opportunity Name]],Table_query[Name],Table_query[Status])</f>
        <v>#N/A</v>
      </c>
      <c r="Q33">
        <f>SUM(OppSpreadData[[#This Row],[July]:[June]])</f>
        <v>0</v>
      </c>
      <c r="R33" t="e">
        <f>_xlfn.XLOOKUP(OppSpreadData[[#This Row],[Opportunity Name]],Table_query[Name],Table_query[Phase])</f>
        <v>#N/A</v>
      </c>
    </row>
    <row r="34" spans="2:18" x14ac:dyDescent="0.25">
      <c r="B34" t="s">
        <v>251</v>
      </c>
      <c r="C34">
        <v>0</v>
      </c>
      <c r="D34">
        <v>0</v>
      </c>
      <c r="E34">
        <v>0</v>
      </c>
      <c r="F34">
        <v>0</v>
      </c>
      <c r="G34">
        <v>0</v>
      </c>
      <c r="H34">
        <v>0</v>
      </c>
      <c r="I34">
        <v>0</v>
      </c>
      <c r="J34">
        <v>0</v>
      </c>
      <c r="K34">
        <v>0</v>
      </c>
      <c r="L34">
        <v>0</v>
      </c>
      <c r="M34">
        <v>0</v>
      </c>
      <c r="N34">
        <v>0</v>
      </c>
      <c r="O34" t="s">
        <v>251</v>
      </c>
      <c r="P34" t="e">
        <f>_xlfn.XLOOKUP(OppSpreadData[[#This Row],[Opportunity Name]],Table_query[Name],Table_query[Status])</f>
        <v>#N/A</v>
      </c>
      <c r="Q34">
        <f>SUM(OppSpreadData[[#This Row],[July]:[June]])</f>
        <v>0</v>
      </c>
      <c r="R34" t="e">
        <f>_xlfn.XLOOKUP(OppSpreadData[[#This Row],[Opportunity Name]],Table_query[Name],Table_query[Phase])</f>
        <v>#N/A</v>
      </c>
    </row>
    <row r="35" spans="2:18" x14ac:dyDescent="0.25">
      <c r="B35" t="s">
        <v>251</v>
      </c>
      <c r="C35">
        <v>0</v>
      </c>
      <c r="D35">
        <v>0</v>
      </c>
      <c r="E35">
        <v>0</v>
      </c>
      <c r="F35">
        <v>0</v>
      </c>
      <c r="G35">
        <v>0</v>
      </c>
      <c r="H35">
        <v>0</v>
      </c>
      <c r="I35">
        <v>0</v>
      </c>
      <c r="J35">
        <v>0</v>
      </c>
      <c r="K35">
        <v>0</v>
      </c>
      <c r="L35">
        <v>0</v>
      </c>
      <c r="M35">
        <v>0</v>
      </c>
      <c r="N35">
        <v>0</v>
      </c>
      <c r="O35" t="s">
        <v>251</v>
      </c>
      <c r="P35" t="e">
        <f>_xlfn.XLOOKUP(OppSpreadData[[#This Row],[Opportunity Name]],Table_query[Name],Table_query[Status])</f>
        <v>#N/A</v>
      </c>
      <c r="Q35">
        <f>SUM(OppSpreadData[[#This Row],[July]:[June]])</f>
        <v>0</v>
      </c>
      <c r="R35" t="e">
        <f>_xlfn.XLOOKUP(OppSpreadData[[#This Row],[Opportunity Name]],Table_query[Name],Table_query[Phase])</f>
        <v>#N/A</v>
      </c>
    </row>
    <row r="36" spans="2:18" x14ac:dyDescent="0.25">
      <c r="B36" t="s">
        <v>251</v>
      </c>
      <c r="C36">
        <v>0</v>
      </c>
      <c r="D36">
        <v>0</v>
      </c>
      <c r="E36">
        <v>0</v>
      </c>
      <c r="F36">
        <v>0</v>
      </c>
      <c r="G36">
        <v>0</v>
      </c>
      <c r="H36">
        <v>0</v>
      </c>
      <c r="I36">
        <v>0</v>
      </c>
      <c r="J36">
        <v>0</v>
      </c>
      <c r="K36">
        <v>0</v>
      </c>
      <c r="L36">
        <v>0</v>
      </c>
      <c r="M36">
        <v>0</v>
      </c>
      <c r="N36">
        <v>0</v>
      </c>
      <c r="O36" t="s">
        <v>251</v>
      </c>
      <c r="P36" t="e">
        <f>_xlfn.XLOOKUP(OppSpreadData[[#This Row],[Opportunity Name]],Table_query[Name],Table_query[Status])</f>
        <v>#N/A</v>
      </c>
      <c r="Q36">
        <f>SUM(OppSpreadData[[#This Row],[July]:[June]])</f>
        <v>0</v>
      </c>
      <c r="R36" t="e">
        <f>_xlfn.XLOOKUP(OppSpreadData[[#This Row],[Opportunity Name]],Table_query[Name],Table_query[Phase])</f>
        <v>#N/A</v>
      </c>
    </row>
    <row r="37" spans="2:18" x14ac:dyDescent="0.25">
      <c r="B37" t="s">
        <v>251</v>
      </c>
      <c r="C37">
        <v>0</v>
      </c>
      <c r="D37">
        <v>0</v>
      </c>
      <c r="E37">
        <v>0</v>
      </c>
      <c r="F37">
        <v>0</v>
      </c>
      <c r="G37">
        <v>0</v>
      </c>
      <c r="H37">
        <v>0</v>
      </c>
      <c r="I37">
        <v>0</v>
      </c>
      <c r="J37">
        <v>0</v>
      </c>
      <c r="K37">
        <v>0</v>
      </c>
      <c r="L37">
        <v>0</v>
      </c>
      <c r="M37">
        <v>0</v>
      </c>
      <c r="N37">
        <v>0</v>
      </c>
      <c r="O37" t="s">
        <v>251</v>
      </c>
      <c r="P37" t="e">
        <f>_xlfn.XLOOKUP(OppSpreadData[[#This Row],[Opportunity Name]],Table_query[Name],Table_query[Status])</f>
        <v>#N/A</v>
      </c>
      <c r="Q37">
        <f>SUM(OppSpreadData[[#This Row],[July]:[June]])</f>
        <v>0</v>
      </c>
      <c r="R37" t="e">
        <f>_xlfn.XLOOKUP(OppSpreadData[[#This Row],[Opportunity Name]],Table_query[Name],Table_query[Phase])</f>
        <v>#N/A</v>
      </c>
    </row>
    <row r="38" spans="2:18" x14ac:dyDescent="0.25">
      <c r="B38" t="s">
        <v>251</v>
      </c>
      <c r="C38">
        <v>0</v>
      </c>
      <c r="D38">
        <v>0</v>
      </c>
      <c r="E38">
        <v>0</v>
      </c>
      <c r="F38">
        <v>0</v>
      </c>
      <c r="G38">
        <v>0</v>
      </c>
      <c r="H38">
        <v>0</v>
      </c>
      <c r="I38">
        <v>0</v>
      </c>
      <c r="J38">
        <v>0</v>
      </c>
      <c r="K38">
        <v>0</v>
      </c>
      <c r="L38">
        <v>0</v>
      </c>
      <c r="M38">
        <v>0</v>
      </c>
      <c r="N38">
        <v>0</v>
      </c>
      <c r="O38" t="s">
        <v>251</v>
      </c>
      <c r="P38" t="e">
        <f>_xlfn.XLOOKUP(OppSpreadData[[#This Row],[Opportunity Name]],Table_query[Name],Table_query[Status])</f>
        <v>#N/A</v>
      </c>
      <c r="Q38">
        <f>SUM(OppSpreadData[[#This Row],[July]:[June]])</f>
        <v>0</v>
      </c>
      <c r="R38" t="e">
        <f>_xlfn.XLOOKUP(OppSpreadData[[#This Row],[Opportunity Name]],Table_query[Name],Table_query[Phase])</f>
        <v>#N/A</v>
      </c>
    </row>
    <row r="39" spans="2:18" x14ac:dyDescent="0.25">
      <c r="B39" t="s">
        <v>251</v>
      </c>
      <c r="C39">
        <v>0</v>
      </c>
      <c r="D39">
        <v>0</v>
      </c>
      <c r="E39">
        <v>0</v>
      </c>
      <c r="F39">
        <v>0</v>
      </c>
      <c r="G39">
        <v>0</v>
      </c>
      <c r="H39">
        <v>0</v>
      </c>
      <c r="I39">
        <v>0</v>
      </c>
      <c r="J39">
        <v>0</v>
      </c>
      <c r="K39">
        <v>0</v>
      </c>
      <c r="L39">
        <v>0</v>
      </c>
      <c r="M39">
        <v>0</v>
      </c>
      <c r="N39">
        <v>0</v>
      </c>
      <c r="O39" t="s">
        <v>251</v>
      </c>
      <c r="P39" t="e">
        <f>_xlfn.XLOOKUP(OppSpreadData[[#This Row],[Opportunity Name]],Table_query[Name],Table_query[Status])</f>
        <v>#N/A</v>
      </c>
      <c r="Q39">
        <f>SUM(OppSpreadData[[#This Row],[July]:[June]])</f>
        <v>0</v>
      </c>
      <c r="R39" t="e">
        <f>_xlfn.XLOOKUP(OppSpreadData[[#This Row],[Opportunity Name]],Table_query[Name],Table_query[Phase])</f>
        <v>#N/A</v>
      </c>
    </row>
    <row r="40" spans="2:18" x14ac:dyDescent="0.25">
      <c r="B40" t="s">
        <v>251</v>
      </c>
      <c r="C40">
        <v>0</v>
      </c>
      <c r="D40">
        <v>0</v>
      </c>
      <c r="E40">
        <v>0</v>
      </c>
      <c r="F40">
        <v>0</v>
      </c>
      <c r="G40">
        <v>0</v>
      </c>
      <c r="H40">
        <v>0</v>
      </c>
      <c r="I40">
        <v>0</v>
      </c>
      <c r="J40">
        <v>0</v>
      </c>
      <c r="K40">
        <v>0</v>
      </c>
      <c r="L40">
        <v>0</v>
      </c>
      <c r="M40">
        <v>0</v>
      </c>
      <c r="N40">
        <v>0</v>
      </c>
      <c r="O40" t="s">
        <v>251</v>
      </c>
      <c r="P40" t="e">
        <f>_xlfn.XLOOKUP(OppSpreadData[[#This Row],[Opportunity Name]],Table_query[Name],Table_query[Status])</f>
        <v>#N/A</v>
      </c>
      <c r="Q40">
        <f>SUM(OppSpreadData[[#This Row],[July]:[June]])</f>
        <v>0</v>
      </c>
      <c r="R40" t="e">
        <f>_xlfn.XLOOKUP(OppSpreadData[[#This Row],[Opportunity Name]],Table_query[Name],Table_query[Phase])</f>
        <v>#N/A</v>
      </c>
    </row>
    <row r="41" spans="2:18" x14ac:dyDescent="0.25">
      <c r="B41" t="s">
        <v>251</v>
      </c>
      <c r="C41">
        <v>0</v>
      </c>
      <c r="D41">
        <v>0</v>
      </c>
      <c r="E41">
        <v>0</v>
      </c>
      <c r="F41">
        <v>0</v>
      </c>
      <c r="G41">
        <v>0</v>
      </c>
      <c r="H41">
        <v>0</v>
      </c>
      <c r="I41">
        <v>0</v>
      </c>
      <c r="J41">
        <v>0</v>
      </c>
      <c r="K41">
        <v>0</v>
      </c>
      <c r="L41">
        <v>0</v>
      </c>
      <c r="M41">
        <v>0</v>
      </c>
      <c r="N41">
        <v>0</v>
      </c>
      <c r="O41" t="s">
        <v>251</v>
      </c>
      <c r="P41" t="e">
        <f>_xlfn.XLOOKUP(OppSpreadData[[#This Row],[Opportunity Name]],Table_query[Name],Table_query[Status])</f>
        <v>#N/A</v>
      </c>
      <c r="Q41">
        <f>SUM(OppSpreadData[[#This Row],[July]:[June]])</f>
        <v>0</v>
      </c>
      <c r="R41" t="e">
        <f>_xlfn.XLOOKUP(OppSpreadData[[#This Row],[Opportunity Name]],Table_query[Name],Table_query[Phase])</f>
        <v>#N/A</v>
      </c>
    </row>
    <row r="42" spans="2:18" x14ac:dyDescent="0.25">
      <c r="B42" t="s">
        <v>251</v>
      </c>
      <c r="C42">
        <v>0</v>
      </c>
      <c r="D42">
        <v>0</v>
      </c>
      <c r="E42">
        <v>0</v>
      </c>
      <c r="F42">
        <v>0</v>
      </c>
      <c r="G42">
        <v>0</v>
      </c>
      <c r="H42">
        <v>0</v>
      </c>
      <c r="I42">
        <v>0</v>
      </c>
      <c r="J42">
        <v>0</v>
      </c>
      <c r="K42">
        <v>0</v>
      </c>
      <c r="L42">
        <v>0</v>
      </c>
      <c r="M42">
        <v>0</v>
      </c>
      <c r="N42">
        <v>0</v>
      </c>
      <c r="O42" t="s">
        <v>251</v>
      </c>
      <c r="P42" t="e">
        <f>_xlfn.XLOOKUP(OppSpreadData[[#This Row],[Opportunity Name]],Table_query[Name],Table_query[Status])</f>
        <v>#N/A</v>
      </c>
      <c r="Q42">
        <f>SUM(OppSpreadData[[#This Row],[July]:[June]])</f>
        <v>0</v>
      </c>
      <c r="R42" t="e">
        <f>_xlfn.XLOOKUP(OppSpreadData[[#This Row],[Opportunity Name]],Table_query[Name],Table_query[Phase])</f>
        <v>#N/A</v>
      </c>
    </row>
    <row r="43" spans="2:18" x14ac:dyDescent="0.25">
      <c r="B43" t="s">
        <v>251</v>
      </c>
      <c r="C43">
        <v>0</v>
      </c>
      <c r="D43">
        <v>0</v>
      </c>
      <c r="E43">
        <v>0</v>
      </c>
      <c r="F43">
        <v>0</v>
      </c>
      <c r="G43">
        <v>0</v>
      </c>
      <c r="H43">
        <v>0</v>
      </c>
      <c r="I43">
        <v>0</v>
      </c>
      <c r="J43">
        <v>0</v>
      </c>
      <c r="K43">
        <v>0</v>
      </c>
      <c r="L43">
        <v>0</v>
      </c>
      <c r="M43">
        <v>0</v>
      </c>
      <c r="N43">
        <v>0</v>
      </c>
      <c r="O43" t="s">
        <v>251</v>
      </c>
      <c r="P43" t="e">
        <f>_xlfn.XLOOKUP(OppSpreadData[[#This Row],[Opportunity Name]],Table_query[Name],Table_query[Status])</f>
        <v>#N/A</v>
      </c>
      <c r="Q43">
        <f>SUM(OppSpreadData[[#This Row],[July]:[June]])</f>
        <v>0</v>
      </c>
      <c r="R43" t="e">
        <f>_xlfn.XLOOKUP(OppSpreadData[[#This Row],[Opportunity Name]],Table_query[Name],Table_query[Phase])</f>
        <v>#N/A</v>
      </c>
    </row>
    <row r="44" spans="2:18" x14ac:dyDescent="0.25">
      <c r="B44" t="s">
        <v>251</v>
      </c>
      <c r="C44">
        <v>0</v>
      </c>
      <c r="D44">
        <v>0</v>
      </c>
      <c r="E44">
        <v>0</v>
      </c>
      <c r="F44">
        <v>0</v>
      </c>
      <c r="G44">
        <v>0</v>
      </c>
      <c r="H44">
        <v>0</v>
      </c>
      <c r="I44">
        <v>0</v>
      </c>
      <c r="J44">
        <v>0</v>
      </c>
      <c r="K44">
        <v>0</v>
      </c>
      <c r="L44">
        <v>0</v>
      </c>
      <c r="M44">
        <v>0</v>
      </c>
      <c r="N44">
        <v>0</v>
      </c>
      <c r="O44" t="s">
        <v>251</v>
      </c>
      <c r="P44" t="e">
        <f>_xlfn.XLOOKUP(OppSpreadData[[#This Row],[Opportunity Name]],Table_query[Name],Table_query[Status])</f>
        <v>#N/A</v>
      </c>
      <c r="Q44">
        <f>SUM(OppSpreadData[[#This Row],[July]:[June]])</f>
        <v>0</v>
      </c>
      <c r="R44" t="e">
        <f>_xlfn.XLOOKUP(OppSpreadData[[#This Row],[Opportunity Name]],Table_query[Name],Table_query[Phase])</f>
        <v>#N/A</v>
      </c>
    </row>
    <row r="45" spans="2:18" x14ac:dyDescent="0.25">
      <c r="B45" t="s">
        <v>251</v>
      </c>
      <c r="C45">
        <v>0</v>
      </c>
      <c r="D45">
        <v>0</v>
      </c>
      <c r="E45">
        <v>0</v>
      </c>
      <c r="F45">
        <v>0</v>
      </c>
      <c r="G45">
        <v>0</v>
      </c>
      <c r="H45">
        <v>0</v>
      </c>
      <c r="I45">
        <v>0</v>
      </c>
      <c r="J45">
        <v>0</v>
      </c>
      <c r="K45">
        <v>0</v>
      </c>
      <c r="L45">
        <v>0</v>
      </c>
      <c r="M45">
        <v>0</v>
      </c>
      <c r="N45">
        <v>0</v>
      </c>
      <c r="O45" t="s">
        <v>251</v>
      </c>
      <c r="P45" t="e">
        <f>_xlfn.XLOOKUP(OppSpreadData[[#This Row],[Opportunity Name]],Table_query[Name],Table_query[Status])</f>
        <v>#N/A</v>
      </c>
      <c r="Q45">
        <f>SUM(OppSpreadData[[#This Row],[July]:[June]])</f>
        <v>0</v>
      </c>
      <c r="R45" t="e">
        <f>_xlfn.XLOOKUP(OppSpreadData[[#This Row],[Opportunity Name]],Table_query[Name],Table_query[Phase])</f>
        <v>#N/A</v>
      </c>
    </row>
    <row r="46" spans="2:18" x14ac:dyDescent="0.25">
      <c r="B46" t="s">
        <v>251</v>
      </c>
      <c r="C46">
        <v>0</v>
      </c>
      <c r="D46">
        <v>0</v>
      </c>
      <c r="E46">
        <v>0</v>
      </c>
      <c r="F46">
        <v>0</v>
      </c>
      <c r="G46">
        <v>0</v>
      </c>
      <c r="H46">
        <v>0</v>
      </c>
      <c r="I46">
        <v>0</v>
      </c>
      <c r="J46">
        <v>0</v>
      </c>
      <c r="K46">
        <v>0</v>
      </c>
      <c r="L46">
        <v>0</v>
      </c>
      <c r="M46">
        <v>0</v>
      </c>
      <c r="N46">
        <v>0</v>
      </c>
      <c r="O46" t="s">
        <v>251</v>
      </c>
      <c r="P46" t="e">
        <f>_xlfn.XLOOKUP(OppSpreadData[[#This Row],[Opportunity Name]],Table_query[Name],Table_query[Status])</f>
        <v>#N/A</v>
      </c>
      <c r="Q46">
        <f>SUM(OppSpreadData[[#This Row],[July]:[June]])</f>
        <v>0</v>
      </c>
      <c r="R46" t="e">
        <f>_xlfn.XLOOKUP(OppSpreadData[[#This Row],[Opportunity Name]],Table_query[Name],Table_query[Phase])</f>
        <v>#N/A</v>
      </c>
    </row>
    <row r="47" spans="2:18" x14ac:dyDescent="0.25">
      <c r="B47" t="s">
        <v>251</v>
      </c>
      <c r="C47">
        <v>0</v>
      </c>
      <c r="D47">
        <v>0</v>
      </c>
      <c r="E47">
        <v>0</v>
      </c>
      <c r="F47">
        <v>0</v>
      </c>
      <c r="G47">
        <v>0</v>
      </c>
      <c r="H47">
        <v>0</v>
      </c>
      <c r="I47">
        <v>0</v>
      </c>
      <c r="J47">
        <v>0</v>
      </c>
      <c r="K47">
        <v>0</v>
      </c>
      <c r="L47">
        <v>0</v>
      </c>
      <c r="M47">
        <v>0</v>
      </c>
      <c r="N47">
        <v>0</v>
      </c>
      <c r="O47" t="s">
        <v>251</v>
      </c>
      <c r="P47" t="e">
        <f>_xlfn.XLOOKUP(OppSpreadData[[#This Row],[Opportunity Name]],Table_query[Name],Table_query[Status])</f>
        <v>#N/A</v>
      </c>
      <c r="Q47">
        <f>SUM(OppSpreadData[[#This Row],[July]:[June]])</f>
        <v>0</v>
      </c>
      <c r="R47" t="e">
        <f>_xlfn.XLOOKUP(OppSpreadData[[#This Row],[Opportunity Name]],Table_query[Name],Table_query[Phase])</f>
        <v>#N/A</v>
      </c>
    </row>
    <row r="48" spans="2:18" x14ac:dyDescent="0.25">
      <c r="B48" t="s">
        <v>251</v>
      </c>
      <c r="C48">
        <v>0</v>
      </c>
      <c r="D48">
        <v>0</v>
      </c>
      <c r="E48">
        <v>0</v>
      </c>
      <c r="F48">
        <v>0</v>
      </c>
      <c r="G48">
        <v>0</v>
      </c>
      <c r="H48">
        <v>0</v>
      </c>
      <c r="I48">
        <v>0</v>
      </c>
      <c r="J48">
        <v>0</v>
      </c>
      <c r="K48">
        <v>0</v>
      </c>
      <c r="L48">
        <v>0</v>
      </c>
      <c r="M48">
        <v>0</v>
      </c>
      <c r="N48">
        <v>0</v>
      </c>
      <c r="O48" t="s">
        <v>251</v>
      </c>
      <c r="P48" t="e">
        <f>_xlfn.XLOOKUP(OppSpreadData[[#This Row],[Opportunity Name]],Table_query[Name],Table_query[Status])</f>
        <v>#N/A</v>
      </c>
      <c r="Q48">
        <f>SUM(OppSpreadData[[#This Row],[July]:[June]])</f>
        <v>0</v>
      </c>
      <c r="R48" t="e">
        <f>_xlfn.XLOOKUP(OppSpreadData[[#This Row],[Opportunity Name]],Table_query[Name],Table_query[Phase])</f>
        <v>#N/A</v>
      </c>
    </row>
    <row r="49" spans="2:18" x14ac:dyDescent="0.25">
      <c r="B49" t="s">
        <v>251</v>
      </c>
      <c r="C49">
        <v>0</v>
      </c>
      <c r="D49">
        <v>0</v>
      </c>
      <c r="E49">
        <v>0</v>
      </c>
      <c r="F49">
        <v>0</v>
      </c>
      <c r="G49">
        <v>0</v>
      </c>
      <c r="H49">
        <v>0</v>
      </c>
      <c r="I49">
        <v>0</v>
      </c>
      <c r="J49">
        <v>0</v>
      </c>
      <c r="K49">
        <v>0</v>
      </c>
      <c r="L49">
        <v>0</v>
      </c>
      <c r="M49">
        <v>0</v>
      </c>
      <c r="N49">
        <v>0</v>
      </c>
      <c r="O49" t="s">
        <v>251</v>
      </c>
      <c r="P49" t="e">
        <f>_xlfn.XLOOKUP(OppSpreadData[[#This Row],[Opportunity Name]],Table_query[Name],Table_query[Status])</f>
        <v>#N/A</v>
      </c>
      <c r="Q49">
        <f>SUM(OppSpreadData[[#This Row],[July]:[June]])</f>
        <v>0</v>
      </c>
      <c r="R49" t="e">
        <f>_xlfn.XLOOKUP(OppSpreadData[[#This Row],[Opportunity Name]],Table_query[Name],Table_query[Phase])</f>
        <v>#N/A</v>
      </c>
    </row>
    <row r="50" spans="2:18" x14ac:dyDescent="0.25">
      <c r="B50" t="s">
        <v>251</v>
      </c>
      <c r="C50">
        <v>0</v>
      </c>
      <c r="D50">
        <v>0</v>
      </c>
      <c r="E50">
        <v>0</v>
      </c>
      <c r="F50">
        <v>0</v>
      </c>
      <c r="G50">
        <v>0</v>
      </c>
      <c r="H50">
        <v>0</v>
      </c>
      <c r="I50">
        <v>0</v>
      </c>
      <c r="J50">
        <v>0</v>
      </c>
      <c r="K50">
        <v>0</v>
      </c>
      <c r="L50">
        <v>0</v>
      </c>
      <c r="M50">
        <v>0</v>
      </c>
      <c r="N50">
        <v>0</v>
      </c>
      <c r="O50" t="s">
        <v>251</v>
      </c>
      <c r="P50" t="e">
        <f>_xlfn.XLOOKUP(OppSpreadData[[#This Row],[Opportunity Name]],Table_query[Name],Table_query[Status])</f>
        <v>#N/A</v>
      </c>
      <c r="Q50">
        <f>SUM(OppSpreadData[[#This Row],[July]:[June]])</f>
        <v>0</v>
      </c>
      <c r="R50" t="e">
        <f>_xlfn.XLOOKUP(OppSpreadData[[#This Row],[Opportunity Name]],Table_query[Name],Table_query[Phase])</f>
        <v>#N/A</v>
      </c>
    </row>
    <row r="51" spans="2:18" x14ac:dyDescent="0.25">
      <c r="B51" t="s">
        <v>251</v>
      </c>
      <c r="C51">
        <v>0</v>
      </c>
      <c r="D51">
        <v>0</v>
      </c>
      <c r="E51">
        <v>0</v>
      </c>
      <c r="F51">
        <v>0</v>
      </c>
      <c r="G51">
        <v>0</v>
      </c>
      <c r="H51">
        <v>0</v>
      </c>
      <c r="I51">
        <v>0</v>
      </c>
      <c r="J51">
        <v>0</v>
      </c>
      <c r="K51">
        <v>0</v>
      </c>
      <c r="L51">
        <v>0</v>
      </c>
      <c r="M51">
        <v>0</v>
      </c>
      <c r="N51">
        <v>0</v>
      </c>
      <c r="O51" t="s">
        <v>251</v>
      </c>
      <c r="P51" t="e">
        <f>_xlfn.XLOOKUP(OppSpreadData[[#This Row],[Opportunity Name]],Table_query[Name],Table_query[Status])</f>
        <v>#N/A</v>
      </c>
      <c r="Q51">
        <f>SUM(OppSpreadData[[#This Row],[July]:[June]])</f>
        <v>0</v>
      </c>
      <c r="R51" t="e">
        <f>_xlfn.XLOOKUP(OppSpreadData[[#This Row],[Opportunity Name]],Table_query[Name],Table_query[Phase])</f>
        <v>#N/A</v>
      </c>
    </row>
    <row r="52" spans="2:18" x14ac:dyDescent="0.25">
      <c r="B52" t="s">
        <v>251</v>
      </c>
      <c r="C52">
        <v>0</v>
      </c>
      <c r="D52">
        <v>0</v>
      </c>
      <c r="E52">
        <v>0</v>
      </c>
      <c r="F52">
        <v>0</v>
      </c>
      <c r="G52">
        <v>0</v>
      </c>
      <c r="H52">
        <v>0</v>
      </c>
      <c r="I52">
        <v>0</v>
      </c>
      <c r="J52">
        <v>0</v>
      </c>
      <c r="K52">
        <v>0</v>
      </c>
      <c r="L52">
        <v>0</v>
      </c>
      <c r="M52">
        <v>0</v>
      </c>
      <c r="N52">
        <v>0</v>
      </c>
      <c r="O52" t="s">
        <v>251</v>
      </c>
      <c r="P52" t="e">
        <f>_xlfn.XLOOKUP(OppSpreadData[[#This Row],[Opportunity Name]],Table_query[Name],Table_query[Status])</f>
        <v>#N/A</v>
      </c>
      <c r="Q52">
        <f>SUM(OppSpreadData[[#This Row],[July]:[June]])</f>
        <v>0</v>
      </c>
      <c r="R52" t="e">
        <f>_xlfn.XLOOKUP(OppSpreadData[[#This Row],[Opportunity Name]],Table_query[Name],Table_query[Phase])</f>
        <v>#N/A</v>
      </c>
    </row>
    <row r="53" spans="2:18" x14ac:dyDescent="0.25">
      <c r="B53" t="s">
        <v>251</v>
      </c>
      <c r="C53">
        <v>0</v>
      </c>
      <c r="D53">
        <v>0</v>
      </c>
      <c r="E53">
        <v>0</v>
      </c>
      <c r="F53">
        <v>0</v>
      </c>
      <c r="G53">
        <v>0</v>
      </c>
      <c r="H53">
        <v>0</v>
      </c>
      <c r="I53">
        <v>0</v>
      </c>
      <c r="J53">
        <v>0</v>
      </c>
      <c r="K53">
        <v>0</v>
      </c>
      <c r="L53">
        <v>0</v>
      </c>
      <c r="M53">
        <v>0</v>
      </c>
      <c r="N53">
        <v>0</v>
      </c>
      <c r="O53" t="s">
        <v>251</v>
      </c>
      <c r="P53" t="e">
        <f>_xlfn.XLOOKUP(OppSpreadData[[#This Row],[Opportunity Name]],Table_query[Name],Table_query[Status])</f>
        <v>#N/A</v>
      </c>
      <c r="Q53">
        <f>SUM(OppSpreadData[[#This Row],[July]:[June]])</f>
        <v>0</v>
      </c>
      <c r="R53" t="e">
        <f>_xlfn.XLOOKUP(OppSpreadData[[#This Row],[Opportunity Name]],Table_query[Name],Table_query[Phase])</f>
        <v>#N/A</v>
      </c>
    </row>
    <row r="54" spans="2:18" x14ac:dyDescent="0.25">
      <c r="B54" t="s">
        <v>251</v>
      </c>
      <c r="C54">
        <v>0</v>
      </c>
      <c r="D54">
        <v>0</v>
      </c>
      <c r="E54">
        <v>0</v>
      </c>
      <c r="F54">
        <v>0</v>
      </c>
      <c r="G54">
        <v>0</v>
      </c>
      <c r="H54">
        <v>0</v>
      </c>
      <c r="I54">
        <v>0</v>
      </c>
      <c r="J54">
        <v>0</v>
      </c>
      <c r="K54">
        <v>0</v>
      </c>
      <c r="L54">
        <v>0</v>
      </c>
      <c r="M54">
        <v>0</v>
      </c>
      <c r="N54">
        <v>0</v>
      </c>
      <c r="O54" t="s">
        <v>251</v>
      </c>
      <c r="P54" t="e">
        <f>_xlfn.XLOOKUP(OppSpreadData[[#This Row],[Opportunity Name]],Table_query[Name],Table_query[Status])</f>
        <v>#N/A</v>
      </c>
      <c r="Q54">
        <f>SUM(OppSpreadData[[#This Row],[July]:[June]])</f>
        <v>0</v>
      </c>
      <c r="R54" t="e">
        <f>_xlfn.XLOOKUP(OppSpreadData[[#This Row],[Opportunity Name]],Table_query[Name],Table_query[Phase])</f>
        <v>#N/A</v>
      </c>
    </row>
    <row r="55" spans="2:18" x14ac:dyDescent="0.25">
      <c r="B55" t="s">
        <v>251</v>
      </c>
      <c r="C55">
        <v>0</v>
      </c>
      <c r="D55">
        <v>0</v>
      </c>
      <c r="E55">
        <v>0</v>
      </c>
      <c r="F55">
        <v>0</v>
      </c>
      <c r="G55">
        <v>0</v>
      </c>
      <c r="H55">
        <v>0</v>
      </c>
      <c r="I55">
        <v>0</v>
      </c>
      <c r="J55">
        <v>0</v>
      </c>
      <c r="K55">
        <v>0</v>
      </c>
      <c r="L55">
        <v>0</v>
      </c>
      <c r="M55">
        <v>0</v>
      </c>
      <c r="N55">
        <v>0</v>
      </c>
      <c r="O55" t="s">
        <v>251</v>
      </c>
      <c r="P55" t="e">
        <f>_xlfn.XLOOKUP(OppSpreadData[[#This Row],[Opportunity Name]],Table_query[Name],Table_query[Status])</f>
        <v>#N/A</v>
      </c>
      <c r="Q55">
        <f>SUM(OppSpreadData[[#This Row],[July]:[June]])</f>
        <v>0</v>
      </c>
      <c r="R55" t="e">
        <f>_xlfn.XLOOKUP(OppSpreadData[[#This Row],[Opportunity Name]],Table_query[Name],Table_query[Phase])</f>
        <v>#N/A</v>
      </c>
    </row>
    <row r="56" spans="2:18" x14ac:dyDescent="0.25">
      <c r="B56" t="s">
        <v>251</v>
      </c>
      <c r="C56">
        <v>0</v>
      </c>
      <c r="D56">
        <v>0</v>
      </c>
      <c r="E56">
        <v>0</v>
      </c>
      <c r="F56">
        <v>0</v>
      </c>
      <c r="G56">
        <v>0</v>
      </c>
      <c r="H56">
        <v>0</v>
      </c>
      <c r="I56">
        <v>0</v>
      </c>
      <c r="J56">
        <v>0</v>
      </c>
      <c r="K56">
        <v>0</v>
      </c>
      <c r="L56">
        <v>0</v>
      </c>
      <c r="M56">
        <v>0</v>
      </c>
      <c r="N56">
        <v>0</v>
      </c>
      <c r="O56" t="s">
        <v>251</v>
      </c>
      <c r="P56" t="e">
        <f>_xlfn.XLOOKUP(OppSpreadData[[#This Row],[Opportunity Name]],Table_query[Name],Table_query[Status])</f>
        <v>#N/A</v>
      </c>
      <c r="Q56">
        <f>SUM(OppSpreadData[[#This Row],[July]:[June]])</f>
        <v>0</v>
      </c>
      <c r="R56" t="e">
        <f>_xlfn.XLOOKUP(OppSpreadData[[#This Row],[Opportunity Name]],Table_query[Name],Table_query[Phase])</f>
        <v>#N/A</v>
      </c>
    </row>
    <row r="57" spans="2:18" x14ac:dyDescent="0.25">
      <c r="B57" t="s">
        <v>251</v>
      </c>
      <c r="C57">
        <v>0</v>
      </c>
      <c r="D57">
        <v>0</v>
      </c>
      <c r="E57">
        <v>0</v>
      </c>
      <c r="F57">
        <v>0</v>
      </c>
      <c r="G57">
        <v>0</v>
      </c>
      <c r="H57">
        <v>0</v>
      </c>
      <c r="I57">
        <v>0</v>
      </c>
      <c r="J57">
        <v>0</v>
      </c>
      <c r="K57">
        <v>0</v>
      </c>
      <c r="L57">
        <v>0</v>
      </c>
      <c r="M57">
        <v>0</v>
      </c>
      <c r="N57">
        <v>0</v>
      </c>
      <c r="O57" t="s">
        <v>251</v>
      </c>
      <c r="P57" t="e">
        <f>_xlfn.XLOOKUP(OppSpreadData[[#This Row],[Opportunity Name]],Table_query[Name],Table_query[Status])</f>
        <v>#N/A</v>
      </c>
      <c r="Q57">
        <f>SUM(OppSpreadData[[#This Row],[July]:[June]])</f>
        <v>0</v>
      </c>
      <c r="R57" t="e">
        <f>_xlfn.XLOOKUP(OppSpreadData[[#This Row],[Opportunity Name]],Table_query[Name],Table_query[Phase])</f>
        <v>#N/A</v>
      </c>
    </row>
    <row r="58" spans="2:18" x14ac:dyDescent="0.25">
      <c r="B58" t="s">
        <v>251</v>
      </c>
      <c r="C58">
        <v>0</v>
      </c>
      <c r="D58">
        <v>0</v>
      </c>
      <c r="E58">
        <v>0</v>
      </c>
      <c r="F58">
        <v>0</v>
      </c>
      <c r="G58">
        <v>0</v>
      </c>
      <c r="H58">
        <v>0</v>
      </c>
      <c r="I58">
        <v>0</v>
      </c>
      <c r="J58">
        <v>0</v>
      </c>
      <c r="K58">
        <v>0</v>
      </c>
      <c r="L58">
        <v>0</v>
      </c>
      <c r="M58">
        <v>0</v>
      </c>
      <c r="N58">
        <v>0</v>
      </c>
      <c r="O58" t="s">
        <v>251</v>
      </c>
      <c r="P58" t="e">
        <f>_xlfn.XLOOKUP(OppSpreadData[[#This Row],[Opportunity Name]],Table_query[Name],Table_query[Status])</f>
        <v>#N/A</v>
      </c>
      <c r="Q58">
        <f>SUM(OppSpreadData[[#This Row],[July]:[June]])</f>
        <v>0</v>
      </c>
      <c r="R58" t="e">
        <f>_xlfn.XLOOKUP(OppSpreadData[[#This Row],[Opportunity Name]],Table_query[Name],Table_query[Phase])</f>
        <v>#N/A</v>
      </c>
    </row>
    <row r="59" spans="2:18" x14ac:dyDescent="0.25">
      <c r="B59" t="s">
        <v>251</v>
      </c>
      <c r="C59">
        <v>0</v>
      </c>
      <c r="D59">
        <v>0</v>
      </c>
      <c r="E59">
        <v>0</v>
      </c>
      <c r="F59">
        <v>0</v>
      </c>
      <c r="G59">
        <v>0</v>
      </c>
      <c r="H59">
        <v>0</v>
      </c>
      <c r="I59">
        <v>0</v>
      </c>
      <c r="J59">
        <v>0</v>
      </c>
      <c r="K59">
        <v>0</v>
      </c>
      <c r="L59">
        <v>0</v>
      </c>
      <c r="M59">
        <v>0</v>
      </c>
      <c r="N59">
        <v>0</v>
      </c>
      <c r="O59" t="s">
        <v>251</v>
      </c>
      <c r="P59" t="e">
        <f>_xlfn.XLOOKUP(OppSpreadData[[#This Row],[Opportunity Name]],Table_query[Name],Table_query[Status])</f>
        <v>#N/A</v>
      </c>
      <c r="Q59">
        <f>SUM(OppSpreadData[[#This Row],[July]:[June]])</f>
        <v>0</v>
      </c>
      <c r="R59" t="e">
        <f>_xlfn.XLOOKUP(OppSpreadData[[#This Row],[Opportunity Name]],Table_query[Name],Table_query[Phase])</f>
        <v>#N/A</v>
      </c>
    </row>
    <row r="60" spans="2:18" x14ac:dyDescent="0.25">
      <c r="B60" t="s">
        <v>251</v>
      </c>
      <c r="C60">
        <v>0</v>
      </c>
      <c r="D60">
        <v>0</v>
      </c>
      <c r="E60">
        <v>0</v>
      </c>
      <c r="F60">
        <v>0</v>
      </c>
      <c r="G60">
        <v>0</v>
      </c>
      <c r="H60">
        <v>0</v>
      </c>
      <c r="I60">
        <v>0</v>
      </c>
      <c r="J60">
        <v>0</v>
      </c>
      <c r="K60">
        <v>0</v>
      </c>
      <c r="L60">
        <v>0</v>
      </c>
      <c r="M60">
        <v>0</v>
      </c>
      <c r="N60">
        <v>0</v>
      </c>
      <c r="O60" t="s">
        <v>251</v>
      </c>
      <c r="P60" t="e">
        <f>_xlfn.XLOOKUP(OppSpreadData[[#This Row],[Opportunity Name]],Table_query[Name],Table_query[Status])</f>
        <v>#N/A</v>
      </c>
      <c r="Q60">
        <f>SUM(OppSpreadData[[#This Row],[July]:[June]])</f>
        <v>0</v>
      </c>
      <c r="R60" t="e">
        <f>_xlfn.XLOOKUP(OppSpreadData[[#This Row],[Opportunity Name]],Table_query[Name],Table_query[Phase])</f>
        <v>#N/A</v>
      </c>
    </row>
    <row r="61" spans="2:18" x14ac:dyDescent="0.25">
      <c r="B61" t="s">
        <v>251</v>
      </c>
      <c r="C61">
        <v>0</v>
      </c>
      <c r="D61">
        <v>0</v>
      </c>
      <c r="E61">
        <v>0</v>
      </c>
      <c r="F61">
        <v>0</v>
      </c>
      <c r="G61">
        <v>0</v>
      </c>
      <c r="H61">
        <v>0</v>
      </c>
      <c r="I61">
        <v>0</v>
      </c>
      <c r="J61">
        <v>0</v>
      </c>
      <c r="K61">
        <v>0</v>
      </c>
      <c r="L61">
        <v>0</v>
      </c>
      <c r="M61">
        <v>0</v>
      </c>
      <c r="N61">
        <v>0</v>
      </c>
      <c r="O61" t="s">
        <v>251</v>
      </c>
      <c r="P61" t="e">
        <f>_xlfn.XLOOKUP(OppSpreadData[[#This Row],[Opportunity Name]],Table_query[Name],Table_query[Status])</f>
        <v>#N/A</v>
      </c>
      <c r="Q61">
        <f>SUM(OppSpreadData[[#This Row],[July]:[June]])</f>
        <v>0</v>
      </c>
      <c r="R61" t="e">
        <f>_xlfn.XLOOKUP(OppSpreadData[[#This Row],[Opportunity Name]],Table_query[Name],Table_query[Phase])</f>
        <v>#N/A</v>
      </c>
    </row>
    <row r="62" spans="2:18" x14ac:dyDescent="0.25">
      <c r="B62" t="s">
        <v>251</v>
      </c>
      <c r="C62">
        <v>0</v>
      </c>
      <c r="D62">
        <v>0</v>
      </c>
      <c r="E62">
        <v>0</v>
      </c>
      <c r="F62">
        <v>0</v>
      </c>
      <c r="G62">
        <v>0</v>
      </c>
      <c r="H62">
        <v>0</v>
      </c>
      <c r="I62">
        <v>0</v>
      </c>
      <c r="J62">
        <v>0</v>
      </c>
      <c r="K62">
        <v>0</v>
      </c>
      <c r="L62">
        <v>0</v>
      </c>
      <c r="M62">
        <v>0</v>
      </c>
      <c r="N62">
        <v>0</v>
      </c>
      <c r="O62" t="s">
        <v>251</v>
      </c>
      <c r="P62" t="e">
        <f>_xlfn.XLOOKUP(OppSpreadData[[#This Row],[Opportunity Name]],Table_query[Name],Table_query[Status])</f>
        <v>#N/A</v>
      </c>
      <c r="Q62">
        <f>SUM(OppSpreadData[[#This Row],[July]:[June]])</f>
        <v>0</v>
      </c>
      <c r="R62" t="e">
        <f>_xlfn.XLOOKUP(OppSpreadData[[#This Row],[Opportunity Name]],Table_query[Name],Table_query[Phase])</f>
        <v>#N/A</v>
      </c>
    </row>
    <row r="63" spans="2:18" x14ac:dyDescent="0.25">
      <c r="B63" t="s">
        <v>251</v>
      </c>
      <c r="C63">
        <v>0</v>
      </c>
      <c r="D63">
        <v>0</v>
      </c>
      <c r="E63">
        <v>0</v>
      </c>
      <c r="F63">
        <v>0</v>
      </c>
      <c r="G63">
        <v>0</v>
      </c>
      <c r="H63">
        <v>0</v>
      </c>
      <c r="I63">
        <v>0</v>
      </c>
      <c r="J63">
        <v>0</v>
      </c>
      <c r="K63">
        <v>0</v>
      </c>
      <c r="L63">
        <v>0</v>
      </c>
      <c r="M63">
        <v>0</v>
      </c>
      <c r="N63">
        <v>0</v>
      </c>
      <c r="O63" t="s">
        <v>251</v>
      </c>
      <c r="P63" t="e">
        <f>_xlfn.XLOOKUP(OppSpreadData[[#This Row],[Opportunity Name]],Table_query[Name],Table_query[Status])</f>
        <v>#N/A</v>
      </c>
      <c r="Q63">
        <f>SUM(OppSpreadData[[#This Row],[July]:[June]])</f>
        <v>0</v>
      </c>
      <c r="R63" t="e">
        <f>_xlfn.XLOOKUP(OppSpreadData[[#This Row],[Opportunity Name]],Table_query[Name],Table_query[Phase])</f>
        <v>#N/A</v>
      </c>
    </row>
    <row r="64" spans="2:18" x14ac:dyDescent="0.25">
      <c r="B64" t="s">
        <v>251</v>
      </c>
      <c r="C64">
        <v>0</v>
      </c>
      <c r="D64">
        <v>0</v>
      </c>
      <c r="E64">
        <v>0</v>
      </c>
      <c r="F64">
        <v>0</v>
      </c>
      <c r="G64">
        <v>0</v>
      </c>
      <c r="H64">
        <v>0</v>
      </c>
      <c r="I64">
        <v>0</v>
      </c>
      <c r="J64">
        <v>0</v>
      </c>
      <c r="K64">
        <v>0</v>
      </c>
      <c r="L64">
        <v>0</v>
      </c>
      <c r="M64">
        <v>0</v>
      </c>
      <c r="N64">
        <v>0</v>
      </c>
      <c r="O64" t="s">
        <v>251</v>
      </c>
      <c r="P64" t="e">
        <f>_xlfn.XLOOKUP(OppSpreadData[[#This Row],[Opportunity Name]],Table_query[Name],Table_query[Status])</f>
        <v>#N/A</v>
      </c>
      <c r="Q64">
        <f>SUM(OppSpreadData[[#This Row],[July]:[June]])</f>
        <v>0</v>
      </c>
      <c r="R64" t="e">
        <f>_xlfn.XLOOKUP(OppSpreadData[[#This Row],[Opportunity Name]],Table_query[Name],Table_query[Phase])</f>
        <v>#N/A</v>
      </c>
    </row>
    <row r="65" spans="2:18" x14ac:dyDescent="0.25">
      <c r="B65" t="s">
        <v>251</v>
      </c>
      <c r="C65">
        <v>0</v>
      </c>
      <c r="D65">
        <v>0</v>
      </c>
      <c r="E65">
        <v>0</v>
      </c>
      <c r="F65">
        <v>0</v>
      </c>
      <c r="G65">
        <v>0</v>
      </c>
      <c r="H65">
        <v>0</v>
      </c>
      <c r="I65">
        <v>0</v>
      </c>
      <c r="J65">
        <v>0</v>
      </c>
      <c r="K65">
        <v>0</v>
      </c>
      <c r="L65">
        <v>0</v>
      </c>
      <c r="M65">
        <v>0</v>
      </c>
      <c r="N65">
        <v>0</v>
      </c>
      <c r="O65" t="s">
        <v>251</v>
      </c>
      <c r="P65" t="e">
        <f>_xlfn.XLOOKUP(OppSpreadData[[#This Row],[Opportunity Name]],Table_query[Name],Table_query[Status])</f>
        <v>#N/A</v>
      </c>
      <c r="Q65">
        <f>SUM(OppSpreadData[[#This Row],[July]:[June]])</f>
        <v>0</v>
      </c>
      <c r="R65" t="e">
        <f>_xlfn.XLOOKUP(OppSpreadData[[#This Row],[Opportunity Name]],Table_query[Name],Table_query[Phase])</f>
        <v>#N/A</v>
      </c>
    </row>
    <row r="66" spans="2:18" x14ac:dyDescent="0.25">
      <c r="B66" t="s">
        <v>251</v>
      </c>
      <c r="C66">
        <v>0</v>
      </c>
      <c r="D66">
        <v>0</v>
      </c>
      <c r="E66">
        <v>0</v>
      </c>
      <c r="F66">
        <v>0</v>
      </c>
      <c r="G66">
        <v>0</v>
      </c>
      <c r="H66">
        <v>0</v>
      </c>
      <c r="I66">
        <v>0</v>
      </c>
      <c r="J66">
        <v>0</v>
      </c>
      <c r="K66">
        <v>0</v>
      </c>
      <c r="L66">
        <v>0</v>
      </c>
      <c r="M66">
        <v>0</v>
      </c>
      <c r="N66">
        <v>0</v>
      </c>
      <c r="O66" t="s">
        <v>251</v>
      </c>
      <c r="P66" t="e">
        <f>_xlfn.XLOOKUP(OppSpreadData[[#This Row],[Opportunity Name]],Table_query[Name],Table_query[Status])</f>
        <v>#N/A</v>
      </c>
      <c r="Q66">
        <f>SUM(OppSpreadData[[#This Row],[July]:[June]])</f>
        <v>0</v>
      </c>
      <c r="R66" t="e">
        <f>_xlfn.XLOOKUP(OppSpreadData[[#This Row],[Opportunity Name]],Table_query[Name],Table_query[Phase])</f>
        <v>#N/A</v>
      </c>
    </row>
    <row r="67" spans="2:18" x14ac:dyDescent="0.25">
      <c r="B67" t="s">
        <v>251</v>
      </c>
      <c r="C67">
        <v>0</v>
      </c>
      <c r="D67">
        <v>0</v>
      </c>
      <c r="E67">
        <v>0</v>
      </c>
      <c r="F67">
        <v>0</v>
      </c>
      <c r="G67">
        <v>0</v>
      </c>
      <c r="H67">
        <v>0</v>
      </c>
      <c r="I67">
        <v>0</v>
      </c>
      <c r="J67">
        <v>0</v>
      </c>
      <c r="K67">
        <v>0</v>
      </c>
      <c r="L67">
        <v>0</v>
      </c>
      <c r="M67">
        <v>0</v>
      </c>
      <c r="N67">
        <v>0</v>
      </c>
      <c r="O67" t="s">
        <v>251</v>
      </c>
      <c r="P67" t="e">
        <f>_xlfn.XLOOKUP(OppSpreadData[[#This Row],[Opportunity Name]],Table_query[Name],Table_query[Status])</f>
        <v>#N/A</v>
      </c>
      <c r="Q67">
        <f>SUM(OppSpreadData[[#This Row],[July]:[June]])</f>
        <v>0</v>
      </c>
      <c r="R67" t="e">
        <f>_xlfn.XLOOKUP(OppSpreadData[[#This Row],[Opportunity Name]],Table_query[Name],Table_query[Phase])</f>
        <v>#N/A</v>
      </c>
    </row>
    <row r="68" spans="2:18" x14ac:dyDescent="0.25">
      <c r="B68" t="s">
        <v>251</v>
      </c>
      <c r="C68">
        <v>0</v>
      </c>
      <c r="D68">
        <v>0</v>
      </c>
      <c r="E68">
        <v>0</v>
      </c>
      <c r="F68">
        <v>0</v>
      </c>
      <c r="G68">
        <v>0</v>
      </c>
      <c r="H68">
        <v>0</v>
      </c>
      <c r="I68">
        <v>0</v>
      </c>
      <c r="J68">
        <v>0</v>
      </c>
      <c r="K68">
        <v>0</v>
      </c>
      <c r="L68">
        <v>0</v>
      </c>
      <c r="M68">
        <v>0</v>
      </c>
      <c r="N68">
        <v>0</v>
      </c>
      <c r="O68" t="s">
        <v>251</v>
      </c>
      <c r="P68" t="e">
        <f>_xlfn.XLOOKUP(OppSpreadData[[#This Row],[Opportunity Name]],Table_query[Name],Table_query[Status])</f>
        <v>#N/A</v>
      </c>
      <c r="Q68">
        <f>SUM(OppSpreadData[[#This Row],[July]:[June]])</f>
        <v>0</v>
      </c>
      <c r="R68" t="e">
        <f>_xlfn.XLOOKUP(OppSpreadData[[#This Row],[Opportunity Name]],Table_query[Name],Table_query[Phase])</f>
        <v>#N/A</v>
      </c>
    </row>
    <row r="69" spans="2:18" x14ac:dyDescent="0.25">
      <c r="B69" t="s">
        <v>251</v>
      </c>
      <c r="C69">
        <v>0</v>
      </c>
      <c r="D69">
        <v>0</v>
      </c>
      <c r="E69">
        <v>0</v>
      </c>
      <c r="F69">
        <v>0</v>
      </c>
      <c r="G69">
        <v>0</v>
      </c>
      <c r="H69">
        <v>0</v>
      </c>
      <c r="I69">
        <v>0</v>
      </c>
      <c r="J69">
        <v>0</v>
      </c>
      <c r="K69">
        <v>0</v>
      </c>
      <c r="L69">
        <v>0</v>
      </c>
      <c r="M69">
        <v>0</v>
      </c>
      <c r="N69">
        <v>0</v>
      </c>
      <c r="O69" t="s">
        <v>251</v>
      </c>
      <c r="P69" t="e">
        <f>_xlfn.XLOOKUP(OppSpreadData[[#This Row],[Opportunity Name]],Table_query[Name],Table_query[Status])</f>
        <v>#N/A</v>
      </c>
      <c r="Q69">
        <f>SUM(OppSpreadData[[#This Row],[July]:[June]])</f>
        <v>0</v>
      </c>
      <c r="R69" t="e">
        <f>_xlfn.XLOOKUP(OppSpreadData[[#This Row],[Opportunity Name]],Table_query[Name],Table_query[Phase])</f>
        <v>#N/A</v>
      </c>
    </row>
    <row r="70" spans="2:18" x14ac:dyDescent="0.25">
      <c r="B70" t="s">
        <v>251</v>
      </c>
      <c r="C70">
        <v>0</v>
      </c>
      <c r="D70">
        <v>0</v>
      </c>
      <c r="E70">
        <v>0</v>
      </c>
      <c r="F70">
        <v>0</v>
      </c>
      <c r="G70">
        <v>0</v>
      </c>
      <c r="H70">
        <v>0</v>
      </c>
      <c r="I70">
        <v>0</v>
      </c>
      <c r="J70">
        <v>0</v>
      </c>
      <c r="K70">
        <v>0</v>
      </c>
      <c r="L70">
        <v>0</v>
      </c>
      <c r="M70">
        <v>0</v>
      </c>
      <c r="N70">
        <v>0</v>
      </c>
      <c r="O70" t="s">
        <v>251</v>
      </c>
      <c r="P70" t="e">
        <f>_xlfn.XLOOKUP(OppSpreadData[[#This Row],[Opportunity Name]],Table_query[Name],Table_query[Status])</f>
        <v>#N/A</v>
      </c>
      <c r="Q70">
        <f>SUM(OppSpreadData[[#This Row],[July]:[June]])</f>
        <v>0</v>
      </c>
      <c r="R70" t="e">
        <f>_xlfn.XLOOKUP(OppSpreadData[[#This Row],[Opportunity Name]],Table_query[Name],Table_query[Phase])</f>
        <v>#N/A</v>
      </c>
    </row>
    <row r="71" spans="2:18" x14ac:dyDescent="0.25">
      <c r="B71" t="s">
        <v>251</v>
      </c>
      <c r="C71">
        <v>0</v>
      </c>
      <c r="D71">
        <v>0</v>
      </c>
      <c r="E71">
        <v>0</v>
      </c>
      <c r="F71">
        <v>0</v>
      </c>
      <c r="G71">
        <v>0</v>
      </c>
      <c r="H71">
        <v>0</v>
      </c>
      <c r="I71">
        <v>0</v>
      </c>
      <c r="J71">
        <v>0</v>
      </c>
      <c r="K71">
        <v>0</v>
      </c>
      <c r="L71">
        <v>0</v>
      </c>
      <c r="M71">
        <v>0</v>
      </c>
      <c r="N71">
        <v>0</v>
      </c>
      <c r="O71" t="s">
        <v>251</v>
      </c>
      <c r="P71" t="e">
        <f>_xlfn.XLOOKUP(OppSpreadData[[#This Row],[Opportunity Name]],Table_query[Name],Table_query[Status])</f>
        <v>#N/A</v>
      </c>
      <c r="Q71">
        <f>SUM(OppSpreadData[[#This Row],[July]:[June]])</f>
        <v>0</v>
      </c>
      <c r="R71" t="e">
        <f>_xlfn.XLOOKUP(OppSpreadData[[#This Row],[Opportunity Name]],Table_query[Name],Table_query[Phase])</f>
        <v>#N/A</v>
      </c>
    </row>
    <row r="72" spans="2:18" x14ac:dyDescent="0.25">
      <c r="B72" t="s">
        <v>251</v>
      </c>
      <c r="C72">
        <v>0</v>
      </c>
      <c r="D72">
        <v>0</v>
      </c>
      <c r="E72">
        <v>0</v>
      </c>
      <c r="F72">
        <v>0</v>
      </c>
      <c r="G72">
        <v>0</v>
      </c>
      <c r="H72">
        <v>0</v>
      </c>
      <c r="I72">
        <v>0</v>
      </c>
      <c r="J72">
        <v>0</v>
      </c>
      <c r="K72">
        <v>0</v>
      </c>
      <c r="L72">
        <v>0</v>
      </c>
      <c r="M72">
        <v>0</v>
      </c>
      <c r="N72">
        <v>0</v>
      </c>
      <c r="O72" t="s">
        <v>251</v>
      </c>
      <c r="P72" t="e">
        <f>_xlfn.XLOOKUP(OppSpreadData[[#This Row],[Opportunity Name]],Table_query[Name],Table_query[Status])</f>
        <v>#N/A</v>
      </c>
      <c r="Q72">
        <f>SUM(OppSpreadData[[#This Row],[July]:[June]])</f>
        <v>0</v>
      </c>
      <c r="R72" t="e">
        <f>_xlfn.XLOOKUP(OppSpreadData[[#This Row],[Opportunity Name]],Table_query[Name],Table_query[Phase])</f>
        <v>#N/A</v>
      </c>
    </row>
    <row r="73" spans="2:18" x14ac:dyDescent="0.25">
      <c r="B73" t="s">
        <v>251</v>
      </c>
      <c r="C73">
        <v>0</v>
      </c>
      <c r="D73">
        <v>0</v>
      </c>
      <c r="E73">
        <v>0</v>
      </c>
      <c r="F73">
        <v>0</v>
      </c>
      <c r="G73">
        <v>0</v>
      </c>
      <c r="H73">
        <v>0</v>
      </c>
      <c r="I73">
        <v>0</v>
      </c>
      <c r="J73">
        <v>0</v>
      </c>
      <c r="K73">
        <v>0</v>
      </c>
      <c r="L73">
        <v>0</v>
      </c>
      <c r="M73">
        <v>0</v>
      </c>
      <c r="N73">
        <v>0</v>
      </c>
      <c r="O73" t="s">
        <v>251</v>
      </c>
      <c r="P73" t="e">
        <f>_xlfn.XLOOKUP(OppSpreadData[[#This Row],[Opportunity Name]],Table_query[Name],Table_query[Status])</f>
        <v>#N/A</v>
      </c>
      <c r="Q73">
        <f>SUM(OppSpreadData[[#This Row],[July]:[June]])</f>
        <v>0</v>
      </c>
      <c r="R73" t="e">
        <f>_xlfn.XLOOKUP(OppSpreadData[[#This Row],[Opportunity Name]],Table_query[Name],Table_query[Phase])</f>
        <v>#N/A</v>
      </c>
    </row>
    <row r="74" spans="2:18" x14ac:dyDescent="0.25">
      <c r="B74" t="s">
        <v>251</v>
      </c>
      <c r="C74">
        <v>0</v>
      </c>
      <c r="D74">
        <v>0</v>
      </c>
      <c r="E74">
        <v>0</v>
      </c>
      <c r="F74">
        <v>0</v>
      </c>
      <c r="G74">
        <v>0</v>
      </c>
      <c r="H74">
        <v>0</v>
      </c>
      <c r="I74">
        <v>0</v>
      </c>
      <c r="J74">
        <v>0</v>
      </c>
      <c r="K74">
        <v>0</v>
      </c>
      <c r="L74">
        <v>0</v>
      </c>
      <c r="M74">
        <v>0</v>
      </c>
      <c r="N74">
        <v>0</v>
      </c>
      <c r="O74" t="s">
        <v>251</v>
      </c>
      <c r="P74" t="e">
        <f>_xlfn.XLOOKUP(OppSpreadData[[#This Row],[Opportunity Name]],Table_query[Name],Table_query[Status])</f>
        <v>#N/A</v>
      </c>
      <c r="Q74">
        <f>SUM(OppSpreadData[[#This Row],[July]:[June]])</f>
        <v>0</v>
      </c>
      <c r="R74" t="e">
        <f>_xlfn.XLOOKUP(OppSpreadData[[#This Row],[Opportunity Name]],Table_query[Name],Table_query[Phase])</f>
        <v>#N/A</v>
      </c>
    </row>
    <row r="75" spans="2:18" x14ac:dyDescent="0.25">
      <c r="B75" t="s">
        <v>251</v>
      </c>
      <c r="C75">
        <v>0</v>
      </c>
      <c r="D75">
        <v>0</v>
      </c>
      <c r="E75">
        <v>0</v>
      </c>
      <c r="F75">
        <v>0</v>
      </c>
      <c r="G75">
        <v>0</v>
      </c>
      <c r="H75">
        <v>0</v>
      </c>
      <c r="I75">
        <v>0</v>
      </c>
      <c r="J75">
        <v>0</v>
      </c>
      <c r="K75">
        <v>0</v>
      </c>
      <c r="L75">
        <v>0</v>
      </c>
      <c r="M75">
        <v>0</v>
      </c>
      <c r="N75">
        <v>0</v>
      </c>
      <c r="O75" t="s">
        <v>251</v>
      </c>
      <c r="P75" t="e">
        <f>_xlfn.XLOOKUP(OppSpreadData[[#This Row],[Opportunity Name]],Table_query[Name],Table_query[Status])</f>
        <v>#N/A</v>
      </c>
      <c r="Q75">
        <f>SUM(OppSpreadData[[#This Row],[July]:[June]])</f>
        <v>0</v>
      </c>
      <c r="R75" t="e">
        <f>_xlfn.XLOOKUP(OppSpreadData[[#This Row],[Opportunity Name]],Table_query[Name],Table_query[Phase])</f>
        <v>#N/A</v>
      </c>
    </row>
    <row r="76" spans="2:18" x14ac:dyDescent="0.25">
      <c r="B76" t="s">
        <v>251</v>
      </c>
      <c r="C76">
        <v>0</v>
      </c>
      <c r="D76">
        <v>0</v>
      </c>
      <c r="E76">
        <v>0</v>
      </c>
      <c r="F76">
        <v>0</v>
      </c>
      <c r="G76">
        <v>0</v>
      </c>
      <c r="H76">
        <v>0</v>
      </c>
      <c r="I76">
        <v>0</v>
      </c>
      <c r="J76">
        <v>0</v>
      </c>
      <c r="K76">
        <v>0</v>
      </c>
      <c r="L76">
        <v>0</v>
      </c>
      <c r="M76">
        <v>0</v>
      </c>
      <c r="N76">
        <v>0</v>
      </c>
      <c r="O76" t="s">
        <v>251</v>
      </c>
      <c r="P76" t="e">
        <f>_xlfn.XLOOKUP(OppSpreadData[[#This Row],[Opportunity Name]],Table_query[Name],Table_query[Status])</f>
        <v>#N/A</v>
      </c>
      <c r="Q76">
        <f>SUM(OppSpreadData[[#This Row],[July]:[June]])</f>
        <v>0</v>
      </c>
      <c r="R76" t="e">
        <f>_xlfn.XLOOKUP(OppSpreadData[[#This Row],[Opportunity Name]],Table_query[Name],Table_query[Phase])</f>
        <v>#N/A</v>
      </c>
    </row>
    <row r="77" spans="2:18" x14ac:dyDescent="0.25">
      <c r="B77" t="s">
        <v>251</v>
      </c>
      <c r="C77">
        <v>0</v>
      </c>
      <c r="D77">
        <v>0</v>
      </c>
      <c r="E77">
        <v>0</v>
      </c>
      <c r="F77">
        <v>0</v>
      </c>
      <c r="G77">
        <v>0</v>
      </c>
      <c r="H77">
        <v>0</v>
      </c>
      <c r="I77">
        <v>0</v>
      </c>
      <c r="J77">
        <v>0</v>
      </c>
      <c r="K77">
        <v>0</v>
      </c>
      <c r="L77">
        <v>0</v>
      </c>
      <c r="M77">
        <v>0</v>
      </c>
      <c r="N77">
        <v>0</v>
      </c>
      <c r="O77" t="s">
        <v>251</v>
      </c>
      <c r="P77" t="e">
        <f>_xlfn.XLOOKUP(OppSpreadData[[#This Row],[Opportunity Name]],Table_query[Name],Table_query[Status])</f>
        <v>#N/A</v>
      </c>
      <c r="Q77">
        <f>SUM(OppSpreadData[[#This Row],[July]:[June]])</f>
        <v>0</v>
      </c>
      <c r="R77" t="e">
        <f>_xlfn.XLOOKUP(OppSpreadData[[#This Row],[Opportunity Name]],Table_query[Name],Table_query[Phase])</f>
        <v>#N/A</v>
      </c>
    </row>
    <row r="78" spans="2:18" x14ac:dyDescent="0.25">
      <c r="B78" t="s">
        <v>251</v>
      </c>
      <c r="C78">
        <v>0</v>
      </c>
      <c r="D78">
        <v>0</v>
      </c>
      <c r="E78">
        <v>0</v>
      </c>
      <c r="F78">
        <v>0</v>
      </c>
      <c r="G78">
        <v>0</v>
      </c>
      <c r="H78">
        <v>0</v>
      </c>
      <c r="I78">
        <v>0</v>
      </c>
      <c r="J78">
        <v>0</v>
      </c>
      <c r="K78">
        <v>0</v>
      </c>
      <c r="L78">
        <v>0</v>
      </c>
      <c r="M78">
        <v>0</v>
      </c>
      <c r="N78">
        <v>0</v>
      </c>
      <c r="O78" t="s">
        <v>251</v>
      </c>
      <c r="P78" t="e">
        <f>_xlfn.XLOOKUP(OppSpreadData[[#This Row],[Opportunity Name]],Table_query[Name],Table_query[Status])</f>
        <v>#N/A</v>
      </c>
      <c r="Q78">
        <f>SUM(OppSpreadData[[#This Row],[July]:[June]])</f>
        <v>0</v>
      </c>
      <c r="R78" t="e">
        <f>_xlfn.XLOOKUP(OppSpreadData[[#This Row],[Opportunity Name]],Table_query[Name],Table_query[Phase])</f>
        <v>#N/A</v>
      </c>
    </row>
    <row r="79" spans="2:18" x14ac:dyDescent="0.25">
      <c r="B79" t="s">
        <v>251</v>
      </c>
      <c r="C79">
        <v>0</v>
      </c>
      <c r="D79">
        <v>0</v>
      </c>
      <c r="E79">
        <v>0</v>
      </c>
      <c r="F79">
        <v>0</v>
      </c>
      <c r="G79">
        <v>0</v>
      </c>
      <c r="H79">
        <v>0</v>
      </c>
      <c r="I79">
        <v>0</v>
      </c>
      <c r="J79">
        <v>0</v>
      </c>
      <c r="K79">
        <v>0</v>
      </c>
      <c r="L79">
        <v>0</v>
      </c>
      <c r="M79">
        <v>0</v>
      </c>
      <c r="N79">
        <v>0</v>
      </c>
      <c r="O79" t="s">
        <v>251</v>
      </c>
      <c r="P79" t="e">
        <f>_xlfn.XLOOKUP(OppSpreadData[[#This Row],[Opportunity Name]],Table_query[Name],Table_query[Status])</f>
        <v>#N/A</v>
      </c>
      <c r="Q79">
        <f>SUM(OppSpreadData[[#This Row],[July]:[June]])</f>
        <v>0</v>
      </c>
      <c r="R79" t="e">
        <f>_xlfn.XLOOKUP(OppSpreadData[[#This Row],[Opportunity Name]],Table_query[Name],Table_query[Phase])</f>
        <v>#N/A</v>
      </c>
    </row>
    <row r="80" spans="2:18" x14ac:dyDescent="0.25">
      <c r="B80" t="s">
        <v>251</v>
      </c>
      <c r="C80">
        <v>0</v>
      </c>
      <c r="D80">
        <v>0</v>
      </c>
      <c r="E80">
        <v>0</v>
      </c>
      <c r="F80">
        <v>0</v>
      </c>
      <c r="G80">
        <v>0</v>
      </c>
      <c r="H80">
        <v>0</v>
      </c>
      <c r="I80">
        <v>0</v>
      </c>
      <c r="J80">
        <v>0</v>
      </c>
      <c r="K80">
        <v>0</v>
      </c>
      <c r="L80">
        <v>0</v>
      </c>
      <c r="M80">
        <v>0</v>
      </c>
      <c r="N80">
        <v>0</v>
      </c>
      <c r="O80" t="s">
        <v>251</v>
      </c>
      <c r="P80" t="e">
        <f>_xlfn.XLOOKUP(OppSpreadData[[#This Row],[Opportunity Name]],Table_query[Name],Table_query[Status])</f>
        <v>#N/A</v>
      </c>
      <c r="Q80">
        <f>SUM(OppSpreadData[[#This Row],[July]:[June]])</f>
        <v>0</v>
      </c>
      <c r="R80" t="e">
        <f>_xlfn.XLOOKUP(OppSpreadData[[#This Row],[Opportunity Name]],Table_query[Name],Table_query[Phase])</f>
        <v>#N/A</v>
      </c>
    </row>
    <row r="81" spans="2:18" x14ac:dyDescent="0.25">
      <c r="B81" t="s">
        <v>251</v>
      </c>
      <c r="C81">
        <v>0</v>
      </c>
      <c r="D81">
        <v>0</v>
      </c>
      <c r="E81">
        <v>0</v>
      </c>
      <c r="F81">
        <v>0</v>
      </c>
      <c r="G81">
        <v>0</v>
      </c>
      <c r="H81">
        <v>0</v>
      </c>
      <c r="I81">
        <v>0</v>
      </c>
      <c r="J81">
        <v>0</v>
      </c>
      <c r="K81">
        <v>0</v>
      </c>
      <c r="L81">
        <v>0</v>
      </c>
      <c r="M81">
        <v>0</v>
      </c>
      <c r="N81">
        <v>0</v>
      </c>
      <c r="O81" t="s">
        <v>251</v>
      </c>
      <c r="P81" t="e">
        <f>_xlfn.XLOOKUP(OppSpreadData[[#This Row],[Opportunity Name]],Table_query[Name],Table_query[Status])</f>
        <v>#N/A</v>
      </c>
      <c r="Q81">
        <f>SUM(OppSpreadData[[#This Row],[July]:[June]])</f>
        <v>0</v>
      </c>
      <c r="R81" t="e">
        <f>_xlfn.XLOOKUP(OppSpreadData[[#This Row],[Opportunity Name]],Table_query[Name],Table_query[Phase])</f>
        <v>#N/A</v>
      </c>
    </row>
    <row r="82" spans="2:18" x14ac:dyDescent="0.25">
      <c r="B82" t="s">
        <v>251</v>
      </c>
      <c r="C82">
        <v>0</v>
      </c>
      <c r="D82">
        <v>0</v>
      </c>
      <c r="E82">
        <v>0</v>
      </c>
      <c r="F82">
        <v>0</v>
      </c>
      <c r="G82">
        <v>0</v>
      </c>
      <c r="H82">
        <v>0</v>
      </c>
      <c r="I82">
        <v>0</v>
      </c>
      <c r="J82">
        <v>0</v>
      </c>
      <c r="K82">
        <v>0</v>
      </c>
      <c r="L82">
        <v>0</v>
      </c>
      <c r="M82">
        <v>0</v>
      </c>
      <c r="N82">
        <v>0</v>
      </c>
      <c r="O82" t="s">
        <v>251</v>
      </c>
      <c r="P82" t="e">
        <f>_xlfn.XLOOKUP(OppSpreadData[[#This Row],[Opportunity Name]],Table_query[Name],Table_query[Status])</f>
        <v>#N/A</v>
      </c>
      <c r="Q82">
        <f>SUM(OppSpreadData[[#This Row],[July]:[June]])</f>
        <v>0</v>
      </c>
      <c r="R82" t="e">
        <f>_xlfn.XLOOKUP(OppSpreadData[[#This Row],[Opportunity Name]],Table_query[Name],Table_query[Phase])</f>
        <v>#N/A</v>
      </c>
    </row>
    <row r="83" spans="2:18" x14ac:dyDescent="0.25">
      <c r="B83" t="s">
        <v>251</v>
      </c>
      <c r="C83">
        <v>0</v>
      </c>
      <c r="D83">
        <v>0</v>
      </c>
      <c r="E83">
        <v>0</v>
      </c>
      <c r="F83">
        <v>0</v>
      </c>
      <c r="G83">
        <v>0</v>
      </c>
      <c r="H83">
        <v>0</v>
      </c>
      <c r="I83">
        <v>0</v>
      </c>
      <c r="J83">
        <v>0</v>
      </c>
      <c r="K83">
        <v>0</v>
      </c>
      <c r="L83">
        <v>0</v>
      </c>
      <c r="M83">
        <v>0</v>
      </c>
      <c r="N83">
        <v>0</v>
      </c>
      <c r="O83" t="s">
        <v>251</v>
      </c>
      <c r="P83" t="e">
        <f>_xlfn.XLOOKUP(OppSpreadData[[#This Row],[Opportunity Name]],Table_query[Name],Table_query[Status])</f>
        <v>#N/A</v>
      </c>
      <c r="Q83">
        <f>SUM(OppSpreadData[[#This Row],[July]:[June]])</f>
        <v>0</v>
      </c>
      <c r="R83" t="e">
        <f>_xlfn.XLOOKUP(OppSpreadData[[#This Row],[Opportunity Name]],Table_query[Name],Table_query[Phase])</f>
        <v>#N/A</v>
      </c>
    </row>
    <row r="84" spans="2:18" x14ac:dyDescent="0.25">
      <c r="B84" t="s">
        <v>251</v>
      </c>
      <c r="C84">
        <v>0</v>
      </c>
      <c r="D84">
        <v>0</v>
      </c>
      <c r="E84">
        <v>0</v>
      </c>
      <c r="F84">
        <v>0</v>
      </c>
      <c r="G84">
        <v>0</v>
      </c>
      <c r="H84">
        <v>0</v>
      </c>
      <c r="I84">
        <v>0</v>
      </c>
      <c r="J84">
        <v>0</v>
      </c>
      <c r="K84">
        <v>0</v>
      </c>
      <c r="L84">
        <v>0</v>
      </c>
      <c r="M84">
        <v>0</v>
      </c>
      <c r="N84">
        <v>0</v>
      </c>
      <c r="O84" t="s">
        <v>251</v>
      </c>
      <c r="P84" t="e">
        <f>_xlfn.XLOOKUP(OppSpreadData[[#This Row],[Opportunity Name]],Table_query[Name],Table_query[Status])</f>
        <v>#N/A</v>
      </c>
      <c r="Q84">
        <f>SUM(OppSpreadData[[#This Row],[July]:[June]])</f>
        <v>0</v>
      </c>
      <c r="R84" t="e">
        <f>_xlfn.XLOOKUP(OppSpreadData[[#This Row],[Opportunity Name]],Table_query[Name],Table_query[Phase])</f>
        <v>#N/A</v>
      </c>
    </row>
    <row r="85" spans="2:18" x14ac:dyDescent="0.25">
      <c r="B85" t="s">
        <v>251</v>
      </c>
      <c r="C85">
        <v>0</v>
      </c>
      <c r="D85">
        <v>0</v>
      </c>
      <c r="E85">
        <v>0</v>
      </c>
      <c r="F85">
        <v>0</v>
      </c>
      <c r="G85">
        <v>0</v>
      </c>
      <c r="H85">
        <v>0</v>
      </c>
      <c r="I85">
        <v>0</v>
      </c>
      <c r="J85">
        <v>0</v>
      </c>
      <c r="K85">
        <v>0</v>
      </c>
      <c r="L85">
        <v>0</v>
      </c>
      <c r="M85">
        <v>0</v>
      </c>
      <c r="N85">
        <v>0</v>
      </c>
      <c r="O85" t="s">
        <v>251</v>
      </c>
      <c r="P85" t="e">
        <f>_xlfn.XLOOKUP(OppSpreadData[[#This Row],[Opportunity Name]],Table_query[Name],Table_query[Status])</f>
        <v>#N/A</v>
      </c>
      <c r="Q85">
        <f>SUM(OppSpreadData[[#This Row],[July]:[June]])</f>
        <v>0</v>
      </c>
      <c r="R85" t="e">
        <f>_xlfn.XLOOKUP(OppSpreadData[[#This Row],[Opportunity Name]],Table_query[Name],Table_query[Phase])</f>
        <v>#N/A</v>
      </c>
    </row>
    <row r="86" spans="2:18" x14ac:dyDescent="0.25">
      <c r="B86" t="s">
        <v>251</v>
      </c>
      <c r="C86">
        <v>0</v>
      </c>
      <c r="D86">
        <v>0</v>
      </c>
      <c r="E86">
        <v>0</v>
      </c>
      <c r="F86">
        <v>0</v>
      </c>
      <c r="G86">
        <v>0</v>
      </c>
      <c r="H86">
        <v>0</v>
      </c>
      <c r="I86">
        <v>0</v>
      </c>
      <c r="J86">
        <v>0</v>
      </c>
      <c r="K86">
        <v>0</v>
      </c>
      <c r="L86">
        <v>0</v>
      </c>
      <c r="M86">
        <v>0</v>
      </c>
      <c r="N86">
        <v>0</v>
      </c>
      <c r="O86" t="s">
        <v>251</v>
      </c>
      <c r="P86" t="e">
        <f>_xlfn.XLOOKUP(OppSpreadData[[#This Row],[Opportunity Name]],Table_query[Name],Table_query[Status])</f>
        <v>#N/A</v>
      </c>
      <c r="Q86">
        <f>SUM(OppSpreadData[[#This Row],[July]:[June]])</f>
        <v>0</v>
      </c>
      <c r="R86" t="e">
        <f>_xlfn.XLOOKUP(OppSpreadData[[#This Row],[Opportunity Name]],Table_query[Name],Table_query[Phase])</f>
        <v>#N/A</v>
      </c>
    </row>
    <row r="87" spans="2:18" x14ac:dyDescent="0.25">
      <c r="B87" t="s">
        <v>251</v>
      </c>
      <c r="C87">
        <v>0</v>
      </c>
      <c r="D87">
        <v>0</v>
      </c>
      <c r="E87">
        <v>0</v>
      </c>
      <c r="F87">
        <v>0</v>
      </c>
      <c r="G87">
        <v>0</v>
      </c>
      <c r="H87">
        <v>0</v>
      </c>
      <c r="I87">
        <v>0</v>
      </c>
      <c r="J87">
        <v>0</v>
      </c>
      <c r="K87">
        <v>0</v>
      </c>
      <c r="L87">
        <v>0</v>
      </c>
      <c r="M87">
        <v>0</v>
      </c>
      <c r="N87">
        <v>0</v>
      </c>
      <c r="O87" t="s">
        <v>251</v>
      </c>
      <c r="P87" t="e">
        <f>_xlfn.XLOOKUP(OppSpreadData[[#This Row],[Opportunity Name]],Table_query[Name],Table_query[Status])</f>
        <v>#N/A</v>
      </c>
      <c r="Q87">
        <f>SUM(OppSpreadData[[#This Row],[July]:[June]])</f>
        <v>0</v>
      </c>
      <c r="R87" t="e">
        <f>_xlfn.XLOOKUP(OppSpreadData[[#This Row],[Opportunity Name]],Table_query[Name],Table_query[Phase])</f>
        <v>#N/A</v>
      </c>
    </row>
    <row r="88" spans="2:18" x14ac:dyDescent="0.25">
      <c r="B88" t="s">
        <v>251</v>
      </c>
      <c r="C88">
        <v>0</v>
      </c>
      <c r="D88">
        <v>0</v>
      </c>
      <c r="E88">
        <v>0</v>
      </c>
      <c r="F88">
        <v>0</v>
      </c>
      <c r="G88">
        <v>0</v>
      </c>
      <c r="H88">
        <v>0</v>
      </c>
      <c r="I88">
        <v>0</v>
      </c>
      <c r="J88">
        <v>0</v>
      </c>
      <c r="K88">
        <v>0</v>
      </c>
      <c r="L88">
        <v>0</v>
      </c>
      <c r="M88">
        <v>0</v>
      </c>
      <c r="N88">
        <v>0</v>
      </c>
      <c r="O88" t="s">
        <v>251</v>
      </c>
      <c r="P88" t="e">
        <f>_xlfn.XLOOKUP(OppSpreadData[[#This Row],[Opportunity Name]],Table_query[Name],Table_query[Status])</f>
        <v>#N/A</v>
      </c>
      <c r="Q88">
        <f>SUM(OppSpreadData[[#This Row],[July]:[June]])</f>
        <v>0</v>
      </c>
      <c r="R88" t="e">
        <f>_xlfn.XLOOKUP(OppSpreadData[[#This Row],[Opportunity Name]],Table_query[Name],Table_query[Phase])</f>
        <v>#N/A</v>
      </c>
    </row>
    <row r="89" spans="2:18" x14ac:dyDescent="0.25">
      <c r="B89" t="s">
        <v>251</v>
      </c>
      <c r="C89">
        <v>0</v>
      </c>
      <c r="D89">
        <v>0</v>
      </c>
      <c r="E89">
        <v>0</v>
      </c>
      <c r="F89">
        <v>0</v>
      </c>
      <c r="G89">
        <v>0</v>
      </c>
      <c r="H89">
        <v>0</v>
      </c>
      <c r="I89">
        <v>0</v>
      </c>
      <c r="J89">
        <v>0</v>
      </c>
      <c r="K89">
        <v>0</v>
      </c>
      <c r="L89">
        <v>0</v>
      </c>
      <c r="M89">
        <v>0</v>
      </c>
      <c r="N89">
        <v>0</v>
      </c>
      <c r="O89" t="s">
        <v>251</v>
      </c>
      <c r="P89" t="e">
        <f>_xlfn.XLOOKUP(OppSpreadData[[#This Row],[Opportunity Name]],Table_query[Name],Table_query[Status])</f>
        <v>#N/A</v>
      </c>
      <c r="Q89">
        <f>SUM(OppSpreadData[[#This Row],[July]:[June]])</f>
        <v>0</v>
      </c>
      <c r="R89" t="e">
        <f>_xlfn.XLOOKUP(OppSpreadData[[#This Row],[Opportunity Name]],Table_query[Name],Table_query[Phase])</f>
        <v>#N/A</v>
      </c>
    </row>
    <row r="90" spans="2:18" x14ac:dyDescent="0.25">
      <c r="B90" t="s">
        <v>251</v>
      </c>
      <c r="C90">
        <v>0</v>
      </c>
      <c r="D90">
        <v>0</v>
      </c>
      <c r="E90">
        <v>0</v>
      </c>
      <c r="F90">
        <v>0</v>
      </c>
      <c r="G90">
        <v>0</v>
      </c>
      <c r="H90">
        <v>0</v>
      </c>
      <c r="I90">
        <v>0</v>
      </c>
      <c r="J90">
        <v>0</v>
      </c>
      <c r="K90">
        <v>0</v>
      </c>
      <c r="L90">
        <v>0</v>
      </c>
      <c r="M90">
        <v>0</v>
      </c>
      <c r="N90">
        <v>0</v>
      </c>
      <c r="O90" t="s">
        <v>251</v>
      </c>
      <c r="P90" t="e">
        <f>_xlfn.XLOOKUP(OppSpreadData[[#This Row],[Opportunity Name]],Table_query[Name],Table_query[Status])</f>
        <v>#N/A</v>
      </c>
      <c r="Q90">
        <f>SUM(OppSpreadData[[#This Row],[July]:[June]])</f>
        <v>0</v>
      </c>
      <c r="R90" t="e">
        <f>_xlfn.XLOOKUP(OppSpreadData[[#This Row],[Opportunity Name]],Table_query[Name],Table_query[Phase])</f>
        <v>#N/A</v>
      </c>
    </row>
    <row r="91" spans="2:18" x14ac:dyDescent="0.25">
      <c r="B91" t="s">
        <v>251</v>
      </c>
      <c r="C91">
        <v>0</v>
      </c>
      <c r="D91">
        <v>0</v>
      </c>
      <c r="E91">
        <v>0</v>
      </c>
      <c r="F91">
        <v>0</v>
      </c>
      <c r="G91">
        <v>0</v>
      </c>
      <c r="H91">
        <v>0</v>
      </c>
      <c r="I91">
        <v>0</v>
      </c>
      <c r="J91">
        <v>0</v>
      </c>
      <c r="K91">
        <v>0</v>
      </c>
      <c r="L91">
        <v>0</v>
      </c>
      <c r="M91">
        <v>0</v>
      </c>
      <c r="N91">
        <v>0</v>
      </c>
      <c r="O91" t="s">
        <v>251</v>
      </c>
      <c r="P91" t="e">
        <f>_xlfn.XLOOKUP(OppSpreadData[[#This Row],[Opportunity Name]],Table_query[Name],Table_query[Status])</f>
        <v>#N/A</v>
      </c>
      <c r="Q91">
        <f>SUM(OppSpreadData[[#This Row],[July]:[June]])</f>
        <v>0</v>
      </c>
      <c r="R91" t="e">
        <f>_xlfn.XLOOKUP(OppSpreadData[[#This Row],[Opportunity Name]],Table_query[Name],Table_query[Phase])</f>
        <v>#N/A</v>
      </c>
    </row>
    <row r="92" spans="2:18" x14ac:dyDescent="0.25">
      <c r="B92" t="s">
        <v>251</v>
      </c>
      <c r="C92">
        <v>0</v>
      </c>
      <c r="D92">
        <v>0</v>
      </c>
      <c r="E92">
        <v>0</v>
      </c>
      <c r="F92">
        <v>0</v>
      </c>
      <c r="G92">
        <v>0</v>
      </c>
      <c r="H92">
        <v>0</v>
      </c>
      <c r="I92">
        <v>0</v>
      </c>
      <c r="J92">
        <v>0</v>
      </c>
      <c r="K92">
        <v>0</v>
      </c>
      <c r="L92">
        <v>0</v>
      </c>
      <c r="M92">
        <v>0</v>
      </c>
      <c r="N92">
        <v>0</v>
      </c>
      <c r="O92" t="s">
        <v>251</v>
      </c>
      <c r="P92" t="e">
        <f>_xlfn.XLOOKUP(OppSpreadData[[#This Row],[Opportunity Name]],Table_query[Name],Table_query[Status])</f>
        <v>#N/A</v>
      </c>
      <c r="Q92">
        <f>SUM(OppSpreadData[[#This Row],[July]:[June]])</f>
        <v>0</v>
      </c>
      <c r="R92" t="e">
        <f>_xlfn.XLOOKUP(OppSpreadData[[#This Row],[Opportunity Name]],Table_query[Name],Table_query[Phase])</f>
        <v>#N/A</v>
      </c>
    </row>
    <row r="93" spans="2:18" x14ac:dyDescent="0.25">
      <c r="B93" t="s">
        <v>251</v>
      </c>
      <c r="C93">
        <v>0</v>
      </c>
      <c r="D93">
        <v>0</v>
      </c>
      <c r="E93">
        <v>0</v>
      </c>
      <c r="F93">
        <v>0</v>
      </c>
      <c r="G93">
        <v>0</v>
      </c>
      <c r="H93">
        <v>0</v>
      </c>
      <c r="I93">
        <v>0</v>
      </c>
      <c r="J93">
        <v>0</v>
      </c>
      <c r="K93">
        <v>0</v>
      </c>
      <c r="L93">
        <v>0</v>
      </c>
      <c r="M93">
        <v>0</v>
      </c>
      <c r="N93">
        <v>0</v>
      </c>
      <c r="O93" t="s">
        <v>251</v>
      </c>
      <c r="P93" t="e">
        <f>_xlfn.XLOOKUP(OppSpreadData[[#This Row],[Opportunity Name]],Table_query[Name],Table_query[Status])</f>
        <v>#N/A</v>
      </c>
      <c r="Q93">
        <f>SUM(OppSpreadData[[#This Row],[July]:[June]])</f>
        <v>0</v>
      </c>
      <c r="R93" t="e">
        <f>_xlfn.XLOOKUP(OppSpreadData[[#This Row],[Opportunity Name]],Table_query[Name],Table_query[Phase])</f>
        <v>#N/A</v>
      </c>
    </row>
    <row r="94" spans="2:18" x14ac:dyDescent="0.25">
      <c r="B94" t="s">
        <v>251</v>
      </c>
      <c r="C94">
        <v>0</v>
      </c>
      <c r="D94">
        <v>0</v>
      </c>
      <c r="E94">
        <v>0</v>
      </c>
      <c r="F94">
        <v>0</v>
      </c>
      <c r="G94">
        <v>0</v>
      </c>
      <c r="H94">
        <v>0</v>
      </c>
      <c r="I94">
        <v>0</v>
      </c>
      <c r="J94">
        <v>0</v>
      </c>
      <c r="K94">
        <v>0</v>
      </c>
      <c r="L94">
        <v>0</v>
      </c>
      <c r="M94">
        <v>0</v>
      </c>
      <c r="N94">
        <v>0</v>
      </c>
      <c r="O94" t="s">
        <v>251</v>
      </c>
      <c r="P94" t="e">
        <f>_xlfn.XLOOKUP(OppSpreadData[[#This Row],[Opportunity Name]],Table_query[Name],Table_query[Status])</f>
        <v>#N/A</v>
      </c>
      <c r="Q94">
        <f>SUM(OppSpreadData[[#This Row],[July]:[June]])</f>
        <v>0</v>
      </c>
      <c r="R94" t="e">
        <f>_xlfn.XLOOKUP(OppSpreadData[[#This Row],[Opportunity Name]],Table_query[Name],Table_query[Phase])</f>
        <v>#N/A</v>
      </c>
    </row>
    <row r="95" spans="2:18" x14ac:dyDescent="0.25">
      <c r="B95" t="s">
        <v>251</v>
      </c>
      <c r="C95">
        <v>0</v>
      </c>
      <c r="D95">
        <v>0</v>
      </c>
      <c r="E95">
        <v>0</v>
      </c>
      <c r="F95">
        <v>0</v>
      </c>
      <c r="G95">
        <v>0</v>
      </c>
      <c r="H95">
        <v>0</v>
      </c>
      <c r="I95">
        <v>0</v>
      </c>
      <c r="J95">
        <v>0</v>
      </c>
      <c r="K95">
        <v>0</v>
      </c>
      <c r="L95">
        <v>0</v>
      </c>
      <c r="M95">
        <v>0</v>
      </c>
      <c r="N95">
        <v>0</v>
      </c>
      <c r="O95" t="s">
        <v>251</v>
      </c>
      <c r="P95" t="e">
        <f>_xlfn.XLOOKUP(OppSpreadData[[#This Row],[Opportunity Name]],Table_query[Name],Table_query[Status])</f>
        <v>#N/A</v>
      </c>
      <c r="Q95">
        <f>SUM(OppSpreadData[[#This Row],[July]:[June]])</f>
        <v>0</v>
      </c>
      <c r="R95" t="e">
        <f>_xlfn.XLOOKUP(OppSpreadData[[#This Row],[Opportunity Name]],Table_query[Name],Table_query[Phase])</f>
        <v>#N/A</v>
      </c>
    </row>
    <row r="96" spans="2:18" x14ac:dyDescent="0.25">
      <c r="B96" t="s">
        <v>251</v>
      </c>
      <c r="C96">
        <v>0</v>
      </c>
      <c r="D96">
        <v>0</v>
      </c>
      <c r="E96">
        <v>0</v>
      </c>
      <c r="F96">
        <v>0</v>
      </c>
      <c r="G96">
        <v>0</v>
      </c>
      <c r="H96">
        <v>0</v>
      </c>
      <c r="I96">
        <v>0</v>
      </c>
      <c r="J96">
        <v>0</v>
      </c>
      <c r="K96">
        <v>0</v>
      </c>
      <c r="L96">
        <v>0</v>
      </c>
      <c r="M96">
        <v>0</v>
      </c>
      <c r="N96">
        <v>0</v>
      </c>
      <c r="O96" t="s">
        <v>251</v>
      </c>
      <c r="P96" t="e">
        <f>_xlfn.XLOOKUP(OppSpreadData[[#This Row],[Opportunity Name]],Table_query[Name],Table_query[Status])</f>
        <v>#N/A</v>
      </c>
      <c r="Q96">
        <f>SUM(OppSpreadData[[#This Row],[July]:[June]])</f>
        <v>0</v>
      </c>
      <c r="R96" t="e">
        <f>_xlfn.XLOOKUP(OppSpreadData[[#This Row],[Opportunity Name]],Table_query[Name],Table_query[Phase])</f>
        <v>#N/A</v>
      </c>
    </row>
    <row r="97" spans="2:18" x14ac:dyDescent="0.25">
      <c r="B97" t="s">
        <v>251</v>
      </c>
      <c r="C97">
        <v>0</v>
      </c>
      <c r="D97">
        <v>0</v>
      </c>
      <c r="E97">
        <v>0</v>
      </c>
      <c r="F97">
        <v>0</v>
      </c>
      <c r="G97">
        <v>0</v>
      </c>
      <c r="H97">
        <v>0</v>
      </c>
      <c r="I97">
        <v>0</v>
      </c>
      <c r="J97">
        <v>0</v>
      </c>
      <c r="K97">
        <v>0</v>
      </c>
      <c r="L97">
        <v>0</v>
      </c>
      <c r="M97">
        <v>0</v>
      </c>
      <c r="N97">
        <v>0</v>
      </c>
      <c r="O97" t="s">
        <v>251</v>
      </c>
      <c r="P97" t="e">
        <f>_xlfn.XLOOKUP(OppSpreadData[[#This Row],[Opportunity Name]],Table_query[Name],Table_query[Status])</f>
        <v>#N/A</v>
      </c>
      <c r="Q97">
        <f>SUM(OppSpreadData[[#This Row],[July]:[June]])</f>
        <v>0</v>
      </c>
      <c r="R97" t="e">
        <f>_xlfn.XLOOKUP(OppSpreadData[[#This Row],[Opportunity Name]],Table_query[Name],Table_query[Phase])</f>
        <v>#N/A</v>
      </c>
    </row>
    <row r="98" spans="2:18" x14ac:dyDescent="0.25">
      <c r="B98" t="s">
        <v>251</v>
      </c>
      <c r="C98">
        <v>0</v>
      </c>
      <c r="D98">
        <v>0</v>
      </c>
      <c r="E98">
        <v>0</v>
      </c>
      <c r="F98">
        <v>0</v>
      </c>
      <c r="G98">
        <v>0</v>
      </c>
      <c r="H98">
        <v>0</v>
      </c>
      <c r="I98">
        <v>0</v>
      </c>
      <c r="J98">
        <v>0</v>
      </c>
      <c r="K98">
        <v>0</v>
      </c>
      <c r="L98">
        <v>0</v>
      </c>
      <c r="M98">
        <v>0</v>
      </c>
      <c r="N98">
        <v>0</v>
      </c>
      <c r="O98" t="s">
        <v>251</v>
      </c>
      <c r="P98" t="e">
        <f>_xlfn.XLOOKUP(OppSpreadData[[#This Row],[Opportunity Name]],Table_query[Name],Table_query[Status])</f>
        <v>#N/A</v>
      </c>
      <c r="Q98">
        <f>SUM(OppSpreadData[[#This Row],[July]:[June]])</f>
        <v>0</v>
      </c>
      <c r="R98" t="e">
        <f>_xlfn.XLOOKUP(OppSpreadData[[#This Row],[Opportunity Name]],Table_query[Name],Table_query[Phase])</f>
        <v>#N/A</v>
      </c>
    </row>
    <row r="99" spans="2:18" x14ac:dyDescent="0.25">
      <c r="B99" t="s">
        <v>251</v>
      </c>
      <c r="C99">
        <v>0</v>
      </c>
      <c r="D99">
        <v>0</v>
      </c>
      <c r="E99">
        <v>0</v>
      </c>
      <c r="F99">
        <v>0</v>
      </c>
      <c r="G99">
        <v>0</v>
      </c>
      <c r="H99">
        <v>0</v>
      </c>
      <c r="I99">
        <v>0</v>
      </c>
      <c r="J99">
        <v>0</v>
      </c>
      <c r="K99">
        <v>0</v>
      </c>
      <c r="L99">
        <v>0</v>
      </c>
      <c r="M99">
        <v>0</v>
      </c>
      <c r="N99">
        <v>0</v>
      </c>
      <c r="O99" t="s">
        <v>251</v>
      </c>
      <c r="P99" t="e">
        <f>_xlfn.XLOOKUP(OppSpreadData[[#This Row],[Opportunity Name]],Table_query[Name],Table_query[Status])</f>
        <v>#N/A</v>
      </c>
      <c r="Q99">
        <f>SUM(OppSpreadData[[#This Row],[July]:[June]])</f>
        <v>0</v>
      </c>
      <c r="R99" t="e">
        <f>_xlfn.XLOOKUP(OppSpreadData[[#This Row],[Opportunity Name]],Table_query[Name],Table_query[Phase])</f>
        <v>#N/A</v>
      </c>
    </row>
    <row r="100" spans="2:18" x14ac:dyDescent="0.25">
      <c r="B100" t="s">
        <v>251</v>
      </c>
      <c r="C100">
        <v>0</v>
      </c>
      <c r="D100">
        <v>0</v>
      </c>
      <c r="E100">
        <v>0</v>
      </c>
      <c r="F100">
        <v>0</v>
      </c>
      <c r="G100">
        <v>0</v>
      </c>
      <c r="H100">
        <v>0</v>
      </c>
      <c r="I100">
        <v>0</v>
      </c>
      <c r="J100">
        <v>0</v>
      </c>
      <c r="K100">
        <v>0</v>
      </c>
      <c r="L100">
        <v>0</v>
      </c>
      <c r="M100">
        <v>0</v>
      </c>
      <c r="N100">
        <v>0</v>
      </c>
      <c r="O100" t="s">
        <v>251</v>
      </c>
      <c r="P100" t="e">
        <f>_xlfn.XLOOKUP(OppSpreadData[[#This Row],[Opportunity Name]],Table_query[Name],Table_query[Status])</f>
        <v>#N/A</v>
      </c>
      <c r="Q100">
        <f>SUM(OppSpreadData[[#This Row],[July]:[June]])</f>
        <v>0</v>
      </c>
      <c r="R100" t="e">
        <f>_xlfn.XLOOKUP(OppSpreadData[[#This Row],[Opportunity Name]],Table_query[Name],Table_query[Phase])</f>
        <v>#N/A</v>
      </c>
    </row>
    <row r="101" spans="2:18" x14ac:dyDescent="0.25">
      <c r="B101" t="s">
        <v>251</v>
      </c>
      <c r="C101">
        <v>0</v>
      </c>
      <c r="D101">
        <v>0</v>
      </c>
      <c r="E101">
        <v>0</v>
      </c>
      <c r="F101">
        <v>0</v>
      </c>
      <c r="G101">
        <v>0</v>
      </c>
      <c r="H101">
        <v>0</v>
      </c>
      <c r="I101">
        <v>0</v>
      </c>
      <c r="J101">
        <v>0</v>
      </c>
      <c r="K101">
        <v>0</v>
      </c>
      <c r="L101">
        <v>0</v>
      </c>
      <c r="M101">
        <v>0</v>
      </c>
      <c r="N101">
        <v>0</v>
      </c>
      <c r="O101" t="s">
        <v>251</v>
      </c>
      <c r="P101" t="e">
        <f>_xlfn.XLOOKUP(OppSpreadData[[#This Row],[Opportunity Name]],Table_query[Name],Table_query[Status])</f>
        <v>#N/A</v>
      </c>
      <c r="Q101">
        <f>SUM(OppSpreadData[[#This Row],[July]:[June]])</f>
        <v>0</v>
      </c>
      <c r="R101" t="e">
        <f>_xlfn.XLOOKUP(OppSpreadData[[#This Row],[Opportunity Name]],Table_query[Name],Table_query[Phase])</f>
        <v>#N/A</v>
      </c>
    </row>
    <row r="102" spans="2:18" x14ac:dyDescent="0.25">
      <c r="B102" t="s">
        <v>251</v>
      </c>
      <c r="C102">
        <v>0</v>
      </c>
      <c r="D102">
        <v>0</v>
      </c>
      <c r="E102">
        <v>0</v>
      </c>
      <c r="F102">
        <v>0</v>
      </c>
      <c r="G102">
        <v>0</v>
      </c>
      <c r="H102">
        <v>0</v>
      </c>
      <c r="I102">
        <v>0</v>
      </c>
      <c r="J102">
        <v>0</v>
      </c>
      <c r="K102">
        <v>0</v>
      </c>
      <c r="L102">
        <v>0</v>
      </c>
      <c r="M102">
        <v>0</v>
      </c>
      <c r="N102">
        <v>0</v>
      </c>
      <c r="O102" t="s">
        <v>251</v>
      </c>
      <c r="P102" t="e">
        <f>_xlfn.XLOOKUP(OppSpreadData[[#This Row],[Opportunity Name]],Table_query[Name],Table_query[Status])</f>
        <v>#N/A</v>
      </c>
      <c r="Q102">
        <f>SUM(OppSpreadData[[#This Row],[July]:[June]])</f>
        <v>0</v>
      </c>
      <c r="R102" t="e">
        <f>_xlfn.XLOOKUP(OppSpreadData[[#This Row],[Opportunity Name]],Table_query[Name],Table_query[Phase])</f>
        <v>#N/A</v>
      </c>
    </row>
    <row r="103" spans="2:18" x14ac:dyDescent="0.25">
      <c r="B103" t="s">
        <v>251</v>
      </c>
      <c r="C103">
        <v>0</v>
      </c>
      <c r="D103">
        <v>0</v>
      </c>
      <c r="E103">
        <v>0</v>
      </c>
      <c r="F103">
        <v>0</v>
      </c>
      <c r="G103">
        <v>0</v>
      </c>
      <c r="H103">
        <v>0</v>
      </c>
      <c r="I103">
        <v>0</v>
      </c>
      <c r="J103">
        <v>0</v>
      </c>
      <c r="K103">
        <v>0</v>
      </c>
      <c r="L103">
        <v>0</v>
      </c>
      <c r="M103">
        <v>0</v>
      </c>
      <c r="N103">
        <v>0</v>
      </c>
      <c r="O103" t="s">
        <v>251</v>
      </c>
      <c r="P103" t="e">
        <f>_xlfn.XLOOKUP(OppSpreadData[[#This Row],[Opportunity Name]],Table_query[Name],Table_query[Status])</f>
        <v>#N/A</v>
      </c>
      <c r="Q103">
        <f>SUM(OppSpreadData[[#This Row],[July]:[June]])</f>
        <v>0</v>
      </c>
      <c r="R103" t="e">
        <f>_xlfn.XLOOKUP(OppSpreadData[[#This Row],[Opportunity Name]],Table_query[Name],Table_query[Phase])</f>
        <v>#N/A</v>
      </c>
    </row>
    <row r="104" spans="2:18" x14ac:dyDescent="0.25">
      <c r="B104" t="s">
        <v>251</v>
      </c>
      <c r="C104">
        <v>0</v>
      </c>
      <c r="D104">
        <v>0</v>
      </c>
      <c r="E104">
        <v>0</v>
      </c>
      <c r="F104">
        <v>0</v>
      </c>
      <c r="G104">
        <v>0</v>
      </c>
      <c r="H104">
        <v>0</v>
      </c>
      <c r="I104">
        <v>0</v>
      </c>
      <c r="J104">
        <v>0</v>
      </c>
      <c r="K104">
        <v>0</v>
      </c>
      <c r="L104">
        <v>0</v>
      </c>
      <c r="M104">
        <v>0</v>
      </c>
      <c r="N104">
        <v>0</v>
      </c>
      <c r="O104" t="s">
        <v>251</v>
      </c>
      <c r="P104" t="e">
        <f>_xlfn.XLOOKUP(OppSpreadData[[#This Row],[Opportunity Name]],Table_query[Name],Table_query[Status])</f>
        <v>#N/A</v>
      </c>
      <c r="Q104">
        <f>SUM(OppSpreadData[[#This Row],[July]:[June]])</f>
        <v>0</v>
      </c>
      <c r="R104" t="e">
        <f>_xlfn.XLOOKUP(OppSpreadData[[#This Row],[Opportunity Name]],Table_query[Name],Table_query[Phase])</f>
        <v>#N/A</v>
      </c>
    </row>
    <row r="105" spans="2:18" x14ac:dyDescent="0.25">
      <c r="B105" t="s">
        <v>251</v>
      </c>
      <c r="C105">
        <v>0</v>
      </c>
      <c r="D105">
        <v>0</v>
      </c>
      <c r="E105">
        <v>0</v>
      </c>
      <c r="F105">
        <v>0</v>
      </c>
      <c r="G105">
        <v>0</v>
      </c>
      <c r="H105">
        <v>0</v>
      </c>
      <c r="I105">
        <v>0</v>
      </c>
      <c r="J105">
        <v>0</v>
      </c>
      <c r="K105">
        <v>0</v>
      </c>
      <c r="L105">
        <v>0</v>
      </c>
      <c r="M105">
        <v>0</v>
      </c>
      <c r="N105">
        <v>0</v>
      </c>
      <c r="O105" t="s">
        <v>251</v>
      </c>
      <c r="P105" t="e">
        <f>_xlfn.XLOOKUP(OppSpreadData[[#This Row],[Opportunity Name]],Table_query[Name],Table_query[Status])</f>
        <v>#N/A</v>
      </c>
      <c r="Q105">
        <f>SUM(OppSpreadData[[#This Row],[July]:[June]])</f>
        <v>0</v>
      </c>
      <c r="R105" t="e">
        <f>_xlfn.XLOOKUP(OppSpreadData[[#This Row],[Opportunity Name]],Table_query[Name],Table_query[Phase])</f>
        <v>#N/A</v>
      </c>
    </row>
    <row r="106" spans="2:18" x14ac:dyDescent="0.25">
      <c r="B106" t="s">
        <v>251</v>
      </c>
      <c r="C106">
        <v>0</v>
      </c>
      <c r="D106">
        <v>0</v>
      </c>
      <c r="E106">
        <v>0</v>
      </c>
      <c r="F106">
        <v>0</v>
      </c>
      <c r="G106">
        <v>0</v>
      </c>
      <c r="H106">
        <v>0</v>
      </c>
      <c r="I106">
        <v>0</v>
      </c>
      <c r="J106">
        <v>0</v>
      </c>
      <c r="K106">
        <v>0</v>
      </c>
      <c r="L106">
        <v>0</v>
      </c>
      <c r="M106">
        <v>0</v>
      </c>
      <c r="N106">
        <v>0</v>
      </c>
      <c r="O106" t="s">
        <v>251</v>
      </c>
      <c r="P106" t="e">
        <f>_xlfn.XLOOKUP(OppSpreadData[[#This Row],[Opportunity Name]],Table_query[Name],Table_query[Status])</f>
        <v>#N/A</v>
      </c>
      <c r="Q106">
        <f>SUM(OppSpreadData[[#This Row],[July]:[June]])</f>
        <v>0</v>
      </c>
      <c r="R106" t="e">
        <f>_xlfn.XLOOKUP(OppSpreadData[[#This Row],[Opportunity Name]],Table_query[Name],Table_query[Phase])</f>
        <v>#N/A</v>
      </c>
    </row>
    <row r="107" spans="2:18" x14ac:dyDescent="0.25">
      <c r="B107" t="s">
        <v>251</v>
      </c>
      <c r="C107">
        <v>0</v>
      </c>
      <c r="D107">
        <v>0</v>
      </c>
      <c r="E107">
        <v>0</v>
      </c>
      <c r="F107">
        <v>0</v>
      </c>
      <c r="G107">
        <v>0</v>
      </c>
      <c r="H107">
        <v>0</v>
      </c>
      <c r="I107">
        <v>0</v>
      </c>
      <c r="J107">
        <v>0</v>
      </c>
      <c r="K107">
        <v>0</v>
      </c>
      <c r="L107">
        <v>0</v>
      </c>
      <c r="M107">
        <v>0</v>
      </c>
      <c r="N107">
        <v>0</v>
      </c>
      <c r="O107" t="s">
        <v>251</v>
      </c>
      <c r="P107" t="e">
        <f>_xlfn.XLOOKUP(OppSpreadData[[#This Row],[Opportunity Name]],Table_query[Name],Table_query[Status])</f>
        <v>#N/A</v>
      </c>
      <c r="Q107">
        <f>SUM(OppSpreadData[[#This Row],[July]:[June]])</f>
        <v>0</v>
      </c>
      <c r="R107" t="e">
        <f>_xlfn.XLOOKUP(OppSpreadData[[#This Row],[Opportunity Name]],Table_query[Name],Table_query[Phase])</f>
        <v>#N/A</v>
      </c>
    </row>
    <row r="108" spans="2:18" x14ac:dyDescent="0.25">
      <c r="B108" t="s">
        <v>251</v>
      </c>
      <c r="C108">
        <v>0</v>
      </c>
      <c r="D108">
        <v>0</v>
      </c>
      <c r="E108">
        <v>0</v>
      </c>
      <c r="F108">
        <v>0</v>
      </c>
      <c r="G108">
        <v>0</v>
      </c>
      <c r="H108">
        <v>0</v>
      </c>
      <c r="I108">
        <v>0</v>
      </c>
      <c r="J108">
        <v>0</v>
      </c>
      <c r="K108">
        <v>0</v>
      </c>
      <c r="L108">
        <v>0</v>
      </c>
      <c r="M108">
        <v>0</v>
      </c>
      <c r="N108">
        <v>0</v>
      </c>
      <c r="O108" t="s">
        <v>251</v>
      </c>
      <c r="P108" t="e">
        <f>_xlfn.XLOOKUP(OppSpreadData[[#This Row],[Opportunity Name]],Table_query[Name],Table_query[Status])</f>
        <v>#N/A</v>
      </c>
      <c r="Q108">
        <f>SUM(OppSpreadData[[#This Row],[July]:[June]])</f>
        <v>0</v>
      </c>
      <c r="R108" t="e">
        <f>_xlfn.XLOOKUP(OppSpreadData[[#This Row],[Opportunity Name]],Table_query[Name],Table_query[Phase])</f>
        <v>#N/A</v>
      </c>
    </row>
    <row r="109" spans="2:18" x14ac:dyDescent="0.25">
      <c r="B109" t="s">
        <v>251</v>
      </c>
      <c r="C109">
        <v>0</v>
      </c>
      <c r="D109">
        <v>0</v>
      </c>
      <c r="E109">
        <v>0</v>
      </c>
      <c r="F109">
        <v>0</v>
      </c>
      <c r="G109">
        <v>0</v>
      </c>
      <c r="H109">
        <v>0</v>
      </c>
      <c r="I109">
        <v>0</v>
      </c>
      <c r="J109">
        <v>0</v>
      </c>
      <c r="K109">
        <v>0</v>
      </c>
      <c r="L109">
        <v>0</v>
      </c>
      <c r="M109">
        <v>0</v>
      </c>
      <c r="N109">
        <v>0</v>
      </c>
      <c r="O109" t="s">
        <v>251</v>
      </c>
      <c r="P109" t="e">
        <f>_xlfn.XLOOKUP(OppSpreadData[[#This Row],[Opportunity Name]],Table_query[Name],Table_query[Status])</f>
        <v>#N/A</v>
      </c>
      <c r="Q109">
        <f>SUM(OppSpreadData[[#This Row],[July]:[June]])</f>
        <v>0</v>
      </c>
      <c r="R109" t="e">
        <f>_xlfn.XLOOKUP(OppSpreadData[[#This Row],[Opportunity Name]],Table_query[Name],Table_query[Phase])</f>
        <v>#N/A</v>
      </c>
    </row>
    <row r="110" spans="2:18" x14ac:dyDescent="0.25">
      <c r="B110" t="s">
        <v>251</v>
      </c>
      <c r="C110">
        <v>0</v>
      </c>
      <c r="D110">
        <v>0</v>
      </c>
      <c r="E110">
        <v>0</v>
      </c>
      <c r="F110">
        <v>0</v>
      </c>
      <c r="G110">
        <v>0</v>
      </c>
      <c r="H110">
        <v>0</v>
      </c>
      <c r="I110">
        <v>0</v>
      </c>
      <c r="J110">
        <v>0</v>
      </c>
      <c r="K110">
        <v>0</v>
      </c>
      <c r="L110">
        <v>0</v>
      </c>
      <c r="M110">
        <v>0</v>
      </c>
      <c r="N110">
        <v>0</v>
      </c>
      <c r="O110" t="s">
        <v>251</v>
      </c>
      <c r="P110" t="e">
        <f>_xlfn.XLOOKUP(OppSpreadData[[#This Row],[Opportunity Name]],Table_query[Name],Table_query[Status])</f>
        <v>#N/A</v>
      </c>
      <c r="Q110">
        <f>SUM(OppSpreadData[[#This Row],[July]:[June]])</f>
        <v>0</v>
      </c>
      <c r="R110" t="e">
        <f>_xlfn.XLOOKUP(OppSpreadData[[#This Row],[Opportunity Name]],Table_query[Name],Table_query[Phase])</f>
        <v>#N/A</v>
      </c>
    </row>
    <row r="111" spans="2:18" x14ac:dyDescent="0.25">
      <c r="B111" t="s">
        <v>251</v>
      </c>
      <c r="C111">
        <v>0</v>
      </c>
      <c r="D111">
        <v>0</v>
      </c>
      <c r="E111">
        <v>0</v>
      </c>
      <c r="F111">
        <v>0</v>
      </c>
      <c r="G111">
        <v>0</v>
      </c>
      <c r="H111">
        <v>0</v>
      </c>
      <c r="I111">
        <v>0</v>
      </c>
      <c r="J111">
        <v>0</v>
      </c>
      <c r="K111">
        <v>0</v>
      </c>
      <c r="L111">
        <v>0</v>
      </c>
      <c r="M111">
        <v>0</v>
      </c>
      <c r="N111">
        <v>0</v>
      </c>
      <c r="O111" t="s">
        <v>251</v>
      </c>
      <c r="P111" t="e">
        <f>_xlfn.XLOOKUP(OppSpreadData[[#This Row],[Opportunity Name]],Table_query[Name],Table_query[Status])</f>
        <v>#N/A</v>
      </c>
      <c r="Q111">
        <f>SUM(OppSpreadData[[#This Row],[July]:[June]])</f>
        <v>0</v>
      </c>
      <c r="R111" t="e">
        <f>_xlfn.XLOOKUP(OppSpreadData[[#This Row],[Opportunity Name]],Table_query[Name],Table_query[Phase])</f>
        <v>#N/A</v>
      </c>
    </row>
    <row r="112" spans="2:18" x14ac:dyDescent="0.25">
      <c r="B112" t="s">
        <v>251</v>
      </c>
      <c r="C112">
        <v>0</v>
      </c>
      <c r="D112">
        <v>0</v>
      </c>
      <c r="E112">
        <v>0</v>
      </c>
      <c r="F112">
        <v>0</v>
      </c>
      <c r="G112">
        <v>0</v>
      </c>
      <c r="H112">
        <v>0</v>
      </c>
      <c r="I112">
        <v>0</v>
      </c>
      <c r="J112">
        <v>0</v>
      </c>
      <c r="K112">
        <v>0</v>
      </c>
      <c r="L112">
        <v>0</v>
      </c>
      <c r="M112">
        <v>0</v>
      </c>
      <c r="N112">
        <v>0</v>
      </c>
      <c r="O112" t="s">
        <v>251</v>
      </c>
      <c r="P112" t="e">
        <f>_xlfn.XLOOKUP(OppSpreadData[[#This Row],[Opportunity Name]],Table_query[Name],Table_query[Status])</f>
        <v>#N/A</v>
      </c>
      <c r="Q112">
        <f>SUM(OppSpreadData[[#This Row],[July]:[June]])</f>
        <v>0</v>
      </c>
      <c r="R112" t="e">
        <f>_xlfn.XLOOKUP(OppSpreadData[[#This Row],[Opportunity Name]],Table_query[Name],Table_query[Phase])</f>
        <v>#N/A</v>
      </c>
    </row>
    <row r="113" spans="2:18" x14ac:dyDescent="0.25">
      <c r="B113" t="s">
        <v>251</v>
      </c>
      <c r="C113">
        <v>0</v>
      </c>
      <c r="D113">
        <v>0</v>
      </c>
      <c r="E113">
        <v>0</v>
      </c>
      <c r="F113">
        <v>0</v>
      </c>
      <c r="G113">
        <v>0</v>
      </c>
      <c r="H113">
        <v>0</v>
      </c>
      <c r="I113">
        <v>0</v>
      </c>
      <c r="J113">
        <v>0</v>
      </c>
      <c r="K113">
        <v>0</v>
      </c>
      <c r="L113">
        <v>0</v>
      </c>
      <c r="M113">
        <v>0</v>
      </c>
      <c r="N113">
        <v>0</v>
      </c>
      <c r="O113" t="s">
        <v>251</v>
      </c>
      <c r="P113" t="e">
        <f>_xlfn.XLOOKUP(OppSpreadData[[#This Row],[Opportunity Name]],Table_query[Name],Table_query[Status])</f>
        <v>#N/A</v>
      </c>
      <c r="Q113">
        <f>SUM(OppSpreadData[[#This Row],[July]:[June]])</f>
        <v>0</v>
      </c>
      <c r="R113" t="e">
        <f>_xlfn.XLOOKUP(OppSpreadData[[#This Row],[Opportunity Name]],Table_query[Name],Table_query[Phase])</f>
        <v>#N/A</v>
      </c>
    </row>
    <row r="114" spans="2:18" x14ac:dyDescent="0.25">
      <c r="B114" t="s">
        <v>251</v>
      </c>
      <c r="C114">
        <v>0</v>
      </c>
      <c r="D114">
        <v>0</v>
      </c>
      <c r="E114">
        <v>0</v>
      </c>
      <c r="F114">
        <v>0</v>
      </c>
      <c r="G114">
        <v>0</v>
      </c>
      <c r="H114">
        <v>0</v>
      </c>
      <c r="I114">
        <v>0</v>
      </c>
      <c r="J114">
        <v>0</v>
      </c>
      <c r="K114">
        <v>0</v>
      </c>
      <c r="L114">
        <v>0</v>
      </c>
      <c r="M114">
        <v>0</v>
      </c>
      <c r="N114">
        <v>0</v>
      </c>
      <c r="O114" t="s">
        <v>251</v>
      </c>
      <c r="P114" t="e">
        <f>_xlfn.XLOOKUP(OppSpreadData[[#This Row],[Opportunity Name]],Table_query[Name],Table_query[Status])</f>
        <v>#N/A</v>
      </c>
      <c r="Q114">
        <f>SUM(OppSpreadData[[#This Row],[July]:[June]])</f>
        <v>0</v>
      </c>
      <c r="R114" t="e">
        <f>_xlfn.XLOOKUP(OppSpreadData[[#This Row],[Opportunity Name]],Table_query[Name],Table_query[Phase])</f>
        <v>#N/A</v>
      </c>
    </row>
    <row r="115" spans="2:18" x14ac:dyDescent="0.25">
      <c r="B115" t="s">
        <v>251</v>
      </c>
      <c r="C115">
        <v>0</v>
      </c>
      <c r="D115">
        <v>0</v>
      </c>
      <c r="E115">
        <v>0</v>
      </c>
      <c r="F115">
        <v>0</v>
      </c>
      <c r="G115">
        <v>0</v>
      </c>
      <c r="H115">
        <v>0</v>
      </c>
      <c r="I115">
        <v>0</v>
      </c>
      <c r="J115">
        <v>0</v>
      </c>
      <c r="K115">
        <v>0</v>
      </c>
      <c r="L115">
        <v>0</v>
      </c>
      <c r="M115">
        <v>0</v>
      </c>
      <c r="N115">
        <v>0</v>
      </c>
      <c r="O115" t="s">
        <v>251</v>
      </c>
      <c r="P115" t="e">
        <f>_xlfn.XLOOKUP(OppSpreadData[[#This Row],[Opportunity Name]],Table_query[Name],Table_query[Status])</f>
        <v>#N/A</v>
      </c>
      <c r="Q115">
        <f>SUM(OppSpreadData[[#This Row],[July]:[June]])</f>
        <v>0</v>
      </c>
      <c r="R115" t="e">
        <f>_xlfn.XLOOKUP(OppSpreadData[[#This Row],[Opportunity Name]],Table_query[Name],Table_query[Phase])</f>
        <v>#N/A</v>
      </c>
    </row>
    <row r="116" spans="2:18" x14ac:dyDescent="0.25">
      <c r="B116" t="s">
        <v>251</v>
      </c>
      <c r="C116">
        <v>0</v>
      </c>
      <c r="D116">
        <v>0</v>
      </c>
      <c r="E116">
        <v>0</v>
      </c>
      <c r="F116">
        <v>0</v>
      </c>
      <c r="G116">
        <v>0</v>
      </c>
      <c r="H116">
        <v>0</v>
      </c>
      <c r="I116">
        <v>0</v>
      </c>
      <c r="J116">
        <v>0</v>
      </c>
      <c r="K116">
        <v>0</v>
      </c>
      <c r="L116">
        <v>0</v>
      </c>
      <c r="M116">
        <v>0</v>
      </c>
      <c r="N116">
        <v>0</v>
      </c>
      <c r="O116" t="s">
        <v>251</v>
      </c>
      <c r="P116" t="e">
        <f>_xlfn.XLOOKUP(OppSpreadData[[#This Row],[Opportunity Name]],Table_query[Name],Table_query[Status])</f>
        <v>#N/A</v>
      </c>
      <c r="Q116">
        <f>SUM(OppSpreadData[[#This Row],[July]:[June]])</f>
        <v>0</v>
      </c>
      <c r="R116" t="e">
        <f>_xlfn.XLOOKUP(OppSpreadData[[#This Row],[Opportunity Name]],Table_query[Name],Table_query[Phase])</f>
        <v>#N/A</v>
      </c>
    </row>
    <row r="117" spans="2:18" x14ac:dyDescent="0.25">
      <c r="B117" t="s">
        <v>251</v>
      </c>
      <c r="C117">
        <v>0</v>
      </c>
      <c r="D117">
        <v>0</v>
      </c>
      <c r="E117">
        <v>0</v>
      </c>
      <c r="F117">
        <v>0</v>
      </c>
      <c r="G117">
        <v>0</v>
      </c>
      <c r="H117">
        <v>0</v>
      </c>
      <c r="I117">
        <v>0</v>
      </c>
      <c r="J117">
        <v>0</v>
      </c>
      <c r="K117">
        <v>0</v>
      </c>
      <c r="L117">
        <v>0</v>
      </c>
      <c r="M117">
        <v>0</v>
      </c>
      <c r="N117">
        <v>0</v>
      </c>
      <c r="O117" t="s">
        <v>251</v>
      </c>
      <c r="P117" t="e">
        <f>_xlfn.XLOOKUP(OppSpreadData[[#This Row],[Opportunity Name]],Table_query[Name],Table_query[Status])</f>
        <v>#N/A</v>
      </c>
      <c r="Q117">
        <f>SUM(OppSpreadData[[#This Row],[July]:[June]])</f>
        <v>0</v>
      </c>
      <c r="R117" t="e">
        <f>_xlfn.XLOOKUP(OppSpreadData[[#This Row],[Opportunity Name]],Table_query[Name],Table_query[Phase])</f>
        <v>#N/A</v>
      </c>
    </row>
    <row r="118" spans="2:18" x14ac:dyDescent="0.25">
      <c r="B118" t="s">
        <v>251</v>
      </c>
      <c r="C118">
        <v>0</v>
      </c>
      <c r="D118">
        <v>0</v>
      </c>
      <c r="E118">
        <v>0</v>
      </c>
      <c r="F118">
        <v>0</v>
      </c>
      <c r="G118">
        <v>0</v>
      </c>
      <c r="H118">
        <v>0</v>
      </c>
      <c r="I118">
        <v>0</v>
      </c>
      <c r="J118">
        <v>0</v>
      </c>
      <c r="K118">
        <v>0</v>
      </c>
      <c r="L118">
        <v>0</v>
      </c>
      <c r="M118">
        <v>0</v>
      </c>
      <c r="N118">
        <v>0</v>
      </c>
      <c r="O118" t="s">
        <v>251</v>
      </c>
      <c r="P118" t="e">
        <f>_xlfn.XLOOKUP(OppSpreadData[[#This Row],[Opportunity Name]],Table_query[Name],Table_query[Status])</f>
        <v>#N/A</v>
      </c>
      <c r="Q118">
        <f>SUM(OppSpreadData[[#This Row],[July]:[June]])</f>
        <v>0</v>
      </c>
      <c r="R118" t="e">
        <f>_xlfn.XLOOKUP(OppSpreadData[[#This Row],[Opportunity Name]],Table_query[Name],Table_query[Phase])</f>
        <v>#N/A</v>
      </c>
    </row>
    <row r="119" spans="2:18" x14ac:dyDescent="0.25">
      <c r="B119" t="s">
        <v>251</v>
      </c>
      <c r="C119">
        <v>0</v>
      </c>
      <c r="D119">
        <v>0</v>
      </c>
      <c r="E119">
        <v>0</v>
      </c>
      <c r="F119">
        <v>0</v>
      </c>
      <c r="G119">
        <v>0</v>
      </c>
      <c r="H119">
        <v>0</v>
      </c>
      <c r="I119">
        <v>0</v>
      </c>
      <c r="J119">
        <v>0</v>
      </c>
      <c r="K119">
        <v>0</v>
      </c>
      <c r="L119">
        <v>0</v>
      </c>
      <c r="M119">
        <v>0</v>
      </c>
      <c r="N119">
        <v>0</v>
      </c>
      <c r="O119" t="s">
        <v>251</v>
      </c>
      <c r="P119" t="e">
        <f>_xlfn.XLOOKUP(OppSpreadData[[#This Row],[Opportunity Name]],Table_query[Name],Table_query[Status])</f>
        <v>#N/A</v>
      </c>
      <c r="Q119">
        <f>SUM(OppSpreadData[[#This Row],[July]:[June]])</f>
        <v>0</v>
      </c>
      <c r="R119" t="e">
        <f>_xlfn.XLOOKUP(OppSpreadData[[#This Row],[Opportunity Name]],Table_query[Name],Table_query[Phase])</f>
        <v>#N/A</v>
      </c>
    </row>
    <row r="120" spans="2:18" x14ac:dyDescent="0.25">
      <c r="B120" t="s">
        <v>251</v>
      </c>
      <c r="C120">
        <v>0</v>
      </c>
      <c r="D120">
        <v>0</v>
      </c>
      <c r="E120">
        <v>0</v>
      </c>
      <c r="F120">
        <v>0</v>
      </c>
      <c r="G120">
        <v>0</v>
      </c>
      <c r="H120">
        <v>0</v>
      </c>
      <c r="I120">
        <v>0</v>
      </c>
      <c r="J120">
        <v>0</v>
      </c>
      <c r="K120">
        <v>0</v>
      </c>
      <c r="L120">
        <v>0</v>
      </c>
      <c r="M120">
        <v>0</v>
      </c>
      <c r="N120">
        <v>0</v>
      </c>
      <c r="O120" t="s">
        <v>251</v>
      </c>
      <c r="P120" t="e">
        <f>_xlfn.XLOOKUP(OppSpreadData[[#This Row],[Opportunity Name]],Table_query[Name],Table_query[Status])</f>
        <v>#N/A</v>
      </c>
      <c r="Q120">
        <f>SUM(OppSpreadData[[#This Row],[July]:[June]])</f>
        <v>0</v>
      </c>
      <c r="R120" t="e">
        <f>_xlfn.XLOOKUP(OppSpreadData[[#This Row],[Opportunity Name]],Table_query[Name],Table_query[Phase])</f>
        <v>#N/A</v>
      </c>
    </row>
    <row r="121" spans="2:18" x14ac:dyDescent="0.25">
      <c r="B121" t="s">
        <v>251</v>
      </c>
      <c r="C121">
        <v>0</v>
      </c>
      <c r="D121">
        <v>0</v>
      </c>
      <c r="E121">
        <v>0</v>
      </c>
      <c r="F121">
        <v>0</v>
      </c>
      <c r="G121">
        <v>0</v>
      </c>
      <c r="H121">
        <v>0</v>
      </c>
      <c r="I121">
        <v>0</v>
      </c>
      <c r="J121">
        <v>0</v>
      </c>
      <c r="K121">
        <v>0</v>
      </c>
      <c r="L121">
        <v>0</v>
      </c>
      <c r="M121">
        <v>0</v>
      </c>
      <c r="N121">
        <v>0</v>
      </c>
      <c r="O121" t="s">
        <v>251</v>
      </c>
      <c r="P121" t="e">
        <f>_xlfn.XLOOKUP(OppSpreadData[[#This Row],[Opportunity Name]],Table_query[Name],Table_query[Status])</f>
        <v>#N/A</v>
      </c>
      <c r="Q121">
        <f>SUM(OppSpreadData[[#This Row],[July]:[June]])</f>
        <v>0</v>
      </c>
      <c r="R121" t="e">
        <f>_xlfn.XLOOKUP(OppSpreadData[[#This Row],[Opportunity Name]],Table_query[Name],Table_query[Phase])</f>
        <v>#N/A</v>
      </c>
    </row>
    <row r="122" spans="2:18" x14ac:dyDescent="0.25">
      <c r="B122" t="s">
        <v>251</v>
      </c>
      <c r="C122">
        <v>0</v>
      </c>
      <c r="D122">
        <v>0</v>
      </c>
      <c r="E122">
        <v>0</v>
      </c>
      <c r="F122">
        <v>0</v>
      </c>
      <c r="G122">
        <v>0</v>
      </c>
      <c r="H122">
        <v>0</v>
      </c>
      <c r="I122">
        <v>0</v>
      </c>
      <c r="J122">
        <v>0</v>
      </c>
      <c r="K122">
        <v>0</v>
      </c>
      <c r="L122">
        <v>0</v>
      </c>
      <c r="M122">
        <v>0</v>
      </c>
      <c r="N122">
        <v>0</v>
      </c>
      <c r="O122" t="s">
        <v>251</v>
      </c>
      <c r="P122" t="e">
        <f>_xlfn.XLOOKUP(OppSpreadData[[#This Row],[Opportunity Name]],Table_query[Name],Table_query[Status])</f>
        <v>#N/A</v>
      </c>
      <c r="Q122">
        <f>SUM(OppSpreadData[[#This Row],[July]:[June]])</f>
        <v>0</v>
      </c>
      <c r="R122" t="e">
        <f>_xlfn.XLOOKUP(OppSpreadData[[#This Row],[Opportunity Name]],Table_query[Name],Table_query[Phase])</f>
        <v>#N/A</v>
      </c>
    </row>
    <row r="123" spans="2:18" x14ac:dyDescent="0.25">
      <c r="B123" t="s">
        <v>251</v>
      </c>
      <c r="C123">
        <v>0</v>
      </c>
      <c r="D123">
        <v>0</v>
      </c>
      <c r="E123">
        <v>0</v>
      </c>
      <c r="F123">
        <v>0</v>
      </c>
      <c r="G123">
        <v>0</v>
      </c>
      <c r="H123">
        <v>0</v>
      </c>
      <c r="I123">
        <v>0</v>
      </c>
      <c r="J123">
        <v>0</v>
      </c>
      <c r="K123">
        <v>0</v>
      </c>
      <c r="L123">
        <v>0</v>
      </c>
      <c r="M123">
        <v>0</v>
      </c>
      <c r="N123">
        <v>0</v>
      </c>
      <c r="O123" t="s">
        <v>251</v>
      </c>
      <c r="P123" t="e">
        <f>_xlfn.XLOOKUP(OppSpreadData[[#This Row],[Opportunity Name]],Table_query[Name],Table_query[Status])</f>
        <v>#N/A</v>
      </c>
      <c r="Q123">
        <f>SUM(OppSpreadData[[#This Row],[July]:[June]])</f>
        <v>0</v>
      </c>
      <c r="R123" t="e">
        <f>_xlfn.XLOOKUP(OppSpreadData[[#This Row],[Opportunity Name]],Table_query[Name],Table_query[Phase])</f>
        <v>#N/A</v>
      </c>
    </row>
    <row r="124" spans="2:18" x14ac:dyDescent="0.25">
      <c r="B124" t="s">
        <v>251</v>
      </c>
      <c r="C124">
        <v>0</v>
      </c>
      <c r="D124">
        <v>0</v>
      </c>
      <c r="E124">
        <v>0</v>
      </c>
      <c r="F124">
        <v>0</v>
      </c>
      <c r="G124">
        <v>0</v>
      </c>
      <c r="H124">
        <v>0</v>
      </c>
      <c r="I124">
        <v>0</v>
      </c>
      <c r="J124">
        <v>0</v>
      </c>
      <c r="K124">
        <v>0</v>
      </c>
      <c r="L124">
        <v>0</v>
      </c>
      <c r="M124">
        <v>0</v>
      </c>
      <c r="N124">
        <v>0</v>
      </c>
      <c r="O124" t="s">
        <v>251</v>
      </c>
      <c r="P124" t="e">
        <f>_xlfn.XLOOKUP(OppSpreadData[[#This Row],[Opportunity Name]],Table_query[Name],Table_query[Status])</f>
        <v>#N/A</v>
      </c>
      <c r="Q124">
        <f>SUM(OppSpreadData[[#This Row],[July]:[June]])</f>
        <v>0</v>
      </c>
      <c r="R124" t="e">
        <f>_xlfn.XLOOKUP(OppSpreadData[[#This Row],[Opportunity Name]],Table_query[Name],Table_query[Phase])</f>
        <v>#N/A</v>
      </c>
    </row>
    <row r="125" spans="2:18" x14ac:dyDescent="0.25">
      <c r="B125" t="s">
        <v>251</v>
      </c>
      <c r="C125">
        <v>0</v>
      </c>
      <c r="D125">
        <v>0</v>
      </c>
      <c r="E125">
        <v>0</v>
      </c>
      <c r="F125">
        <v>0</v>
      </c>
      <c r="G125">
        <v>0</v>
      </c>
      <c r="H125">
        <v>0</v>
      </c>
      <c r="I125">
        <v>0</v>
      </c>
      <c r="J125">
        <v>0</v>
      </c>
      <c r="K125">
        <v>0</v>
      </c>
      <c r="L125">
        <v>0</v>
      </c>
      <c r="M125">
        <v>0</v>
      </c>
      <c r="N125">
        <v>0</v>
      </c>
      <c r="O125" t="s">
        <v>251</v>
      </c>
      <c r="P125" t="e">
        <f>_xlfn.XLOOKUP(OppSpreadData[[#This Row],[Opportunity Name]],Table_query[Name],Table_query[Status])</f>
        <v>#N/A</v>
      </c>
      <c r="Q125">
        <f>SUM(OppSpreadData[[#This Row],[July]:[June]])</f>
        <v>0</v>
      </c>
      <c r="R125" t="e">
        <f>_xlfn.XLOOKUP(OppSpreadData[[#This Row],[Opportunity Name]],Table_query[Name],Table_query[Phase])</f>
        <v>#N/A</v>
      </c>
    </row>
    <row r="126" spans="2:18" x14ac:dyDescent="0.25">
      <c r="B126" t="s">
        <v>251</v>
      </c>
      <c r="C126">
        <v>0</v>
      </c>
      <c r="D126">
        <v>0</v>
      </c>
      <c r="E126">
        <v>0</v>
      </c>
      <c r="F126">
        <v>0</v>
      </c>
      <c r="G126">
        <v>0</v>
      </c>
      <c r="H126">
        <v>0</v>
      </c>
      <c r="I126">
        <v>0</v>
      </c>
      <c r="J126">
        <v>0</v>
      </c>
      <c r="K126">
        <v>0</v>
      </c>
      <c r="L126">
        <v>0</v>
      </c>
      <c r="M126">
        <v>0</v>
      </c>
      <c r="N126">
        <v>0</v>
      </c>
      <c r="O126" t="s">
        <v>251</v>
      </c>
      <c r="P126" t="e">
        <f>_xlfn.XLOOKUP(OppSpreadData[[#This Row],[Opportunity Name]],Table_query[Name],Table_query[Status])</f>
        <v>#N/A</v>
      </c>
      <c r="Q126">
        <f>SUM(OppSpreadData[[#This Row],[July]:[June]])</f>
        <v>0</v>
      </c>
      <c r="R126" t="e">
        <f>_xlfn.XLOOKUP(OppSpreadData[[#This Row],[Opportunity Name]],Table_query[Name],Table_query[Phase])</f>
        <v>#N/A</v>
      </c>
    </row>
    <row r="127" spans="2:18" x14ac:dyDescent="0.25">
      <c r="B127" t="s">
        <v>251</v>
      </c>
      <c r="C127">
        <v>0</v>
      </c>
      <c r="D127">
        <v>0</v>
      </c>
      <c r="E127">
        <v>0</v>
      </c>
      <c r="F127">
        <v>0</v>
      </c>
      <c r="G127">
        <v>0</v>
      </c>
      <c r="H127">
        <v>0</v>
      </c>
      <c r="I127">
        <v>0</v>
      </c>
      <c r="J127">
        <v>0</v>
      </c>
      <c r="K127">
        <v>0</v>
      </c>
      <c r="L127">
        <v>0</v>
      </c>
      <c r="M127">
        <v>0</v>
      </c>
      <c r="N127">
        <v>0</v>
      </c>
      <c r="O127" t="s">
        <v>251</v>
      </c>
      <c r="P127" t="e">
        <f>_xlfn.XLOOKUP(OppSpreadData[[#This Row],[Opportunity Name]],Table_query[Name],Table_query[Status])</f>
        <v>#N/A</v>
      </c>
      <c r="Q127">
        <f>SUM(OppSpreadData[[#This Row],[July]:[June]])</f>
        <v>0</v>
      </c>
      <c r="R127" t="e">
        <f>_xlfn.XLOOKUP(OppSpreadData[[#This Row],[Opportunity Name]],Table_query[Name],Table_query[Phase])</f>
        <v>#N/A</v>
      </c>
    </row>
    <row r="128" spans="2:18" x14ac:dyDescent="0.25">
      <c r="B128" t="s">
        <v>251</v>
      </c>
      <c r="C128">
        <v>0</v>
      </c>
      <c r="D128">
        <v>0</v>
      </c>
      <c r="E128">
        <v>0</v>
      </c>
      <c r="F128">
        <v>0</v>
      </c>
      <c r="G128">
        <v>0</v>
      </c>
      <c r="H128">
        <v>0</v>
      </c>
      <c r="I128">
        <v>0</v>
      </c>
      <c r="J128">
        <v>0</v>
      </c>
      <c r="K128">
        <v>0</v>
      </c>
      <c r="L128">
        <v>0</v>
      </c>
      <c r="M128">
        <v>0</v>
      </c>
      <c r="N128">
        <v>0</v>
      </c>
      <c r="O128" t="s">
        <v>251</v>
      </c>
      <c r="P128" t="e">
        <f>_xlfn.XLOOKUP(OppSpreadData[[#This Row],[Opportunity Name]],Table_query[Name],Table_query[Status])</f>
        <v>#N/A</v>
      </c>
      <c r="Q128">
        <f>SUM(OppSpreadData[[#This Row],[July]:[June]])</f>
        <v>0</v>
      </c>
      <c r="R128" t="e">
        <f>_xlfn.XLOOKUP(OppSpreadData[[#This Row],[Opportunity Name]],Table_query[Name],Table_query[Phase])</f>
        <v>#N/A</v>
      </c>
    </row>
    <row r="129" spans="2:18" x14ac:dyDescent="0.25">
      <c r="B129" t="s">
        <v>251</v>
      </c>
      <c r="C129">
        <v>0</v>
      </c>
      <c r="D129">
        <v>0</v>
      </c>
      <c r="E129">
        <v>0</v>
      </c>
      <c r="F129">
        <v>0</v>
      </c>
      <c r="G129">
        <v>0</v>
      </c>
      <c r="H129">
        <v>0</v>
      </c>
      <c r="I129">
        <v>0</v>
      </c>
      <c r="J129">
        <v>0</v>
      </c>
      <c r="K129">
        <v>0</v>
      </c>
      <c r="L129">
        <v>0</v>
      </c>
      <c r="M129">
        <v>0</v>
      </c>
      <c r="N129">
        <v>0</v>
      </c>
      <c r="O129" t="s">
        <v>251</v>
      </c>
      <c r="P129" t="e">
        <f>_xlfn.XLOOKUP(OppSpreadData[[#This Row],[Opportunity Name]],Table_query[Name],Table_query[Status])</f>
        <v>#N/A</v>
      </c>
      <c r="Q129">
        <f>SUM(OppSpreadData[[#This Row],[July]:[June]])</f>
        <v>0</v>
      </c>
      <c r="R129" t="e">
        <f>_xlfn.XLOOKUP(OppSpreadData[[#This Row],[Opportunity Name]],Table_query[Name],Table_query[Phase])</f>
        <v>#N/A</v>
      </c>
    </row>
    <row r="130" spans="2:18" x14ac:dyDescent="0.25">
      <c r="B130" t="s">
        <v>251</v>
      </c>
      <c r="C130">
        <v>0</v>
      </c>
      <c r="D130">
        <v>0</v>
      </c>
      <c r="E130">
        <v>0</v>
      </c>
      <c r="F130">
        <v>0</v>
      </c>
      <c r="G130">
        <v>0</v>
      </c>
      <c r="H130">
        <v>0</v>
      </c>
      <c r="I130">
        <v>0</v>
      </c>
      <c r="J130">
        <v>0</v>
      </c>
      <c r="K130">
        <v>0</v>
      </c>
      <c r="L130">
        <v>0</v>
      </c>
      <c r="M130">
        <v>0</v>
      </c>
      <c r="N130">
        <v>0</v>
      </c>
      <c r="O130" t="s">
        <v>251</v>
      </c>
      <c r="P130" t="e">
        <f>_xlfn.XLOOKUP(OppSpreadData[[#This Row],[Opportunity Name]],Table_query[Name],Table_query[Status])</f>
        <v>#N/A</v>
      </c>
      <c r="Q130">
        <f>SUM(OppSpreadData[[#This Row],[July]:[June]])</f>
        <v>0</v>
      </c>
      <c r="R130" t="e">
        <f>_xlfn.XLOOKUP(OppSpreadData[[#This Row],[Opportunity Name]],Table_query[Name],Table_query[Phase])</f>
        <v>#N/A</v>
      </c>
    </row>
    <row r="131" spans="2:18" x14ac:dyDescent="0.25">
      <c r="B131" t="s">
        <v>251</v>
      </c>
      <c r="C131">
        <v>0</v>
      </c>
      <c r="D131">
        <v>0</v>
      </c>
      <c r="E131">
        <v>0</v>
      </c>
      <c r="F131">
        <v>0</v>
      </c>
      <c r="G131">
        <v>0</v>
      </c>
      <c r="H131">
        <v>0</v>
      </c>
      <c r="I131">
        <v>0</v>
      </c>
      <c r="J131">
        <v>0</v>
      </c>
      <c r="K131">
        <v>0</v>
      </c>
      <c r="L131">
        <v>0</v>
      </c>
      <c r="M131">
        <v>0</v>
      </c>
      <c r="N131">
        <v>0</v>
      </c>
      <c r="O131" t="s">
        <v>251</v>
      </c>
      <c r="P131" t="e">
        <f>_xlfn.XLOOKUP(OppSpreadData[[#This Row],[Opportunity Name]],Table_query[Name],Table_query[Status])</f>
        <v>#N/A</v>
      </c>
      <c r="Q131">
        <f>SUM(OppSpreadData[[#This Row],[July]:[June]])</f>
        <v>0</v>
      </c>
      <c r="R131" t="e">
        <f>_xlfn.XLOOKUP(OppSpreadData[[#This Row],[Opportunity Name]],Table_query[Name],Table_query[Phase])</f>
        <v>#N/A</v>
      </c>
    </row>
    <row r="132" spans="2:18" x14ac:dyDescent="0.25">
      <c r="B132" t="s">
        <v>251</v>
      </c>
      <c r="C132">
        <v>0</v>
      </c>
      <c r="D132">
        <v>0</v>
      </c>
      <c r="E132">
        <v>0</v>
      </c>
      <c r="F132">
        <v>0</v>
      </c>
      <c r="G132">
        <v>0</v>
      </c>
      <c r="H132">
        <v>0</v>
      </c>
      <c r="I132">
        <v>0</v>
      </c>
      <c r="J132">
        <v>0</v>
      </c>
      <c r="K132">
        <v>0</v>
      </c>
      <c r="L132">
        <v>0</v>
      </c>
      <c r="M132">
        <v>0</v>
      </c>
      <c r="N132">
        <v>0</v>
      </c>
      <c r="O132" t="s">
        <v>251</v>
      </c>
      <c r="P132" t="e">
        <f>_xlfn.XLOOKUP(OppSpreadData[[#This Row],[Opportunity Name]],Table_query[Name],Table_query[Status])</f>
        <v>#N/A</v>
      </c>
      <c r="Q132">
        <f>SUM(OppSpreadData[[#This Row],[July]:[June]])</f>
        <v>0</v>
      </c>
      <c r="R132" t="e">
        <f>_xlfn.XLOOKUP(OppSpreadData[[#This Row],[Opportunity Name]],Table_query[Name],Table_query[Phase])</f>
        <v>#N/A</v>
      </c>
    </row>
    <row r="133" spans="2:18" x14ac:dyDescent="0.25">
      <c r="B133" t="s">
        <v>251</v>
      </c>
      <c r="C133">
        <v>0</v>
      </c>
      <c r="D133">
        <v>0</v>
      </c>
      <c r="E133">
        <v>0</v>
      </c>
      <c r="F133">
        <v>0</v>
      </c>
      <c r="G133">
        <v>0</v>
      </c>
      <c r="H133">
        <v>0</v>
      </c>
      <c r="I133">
        <v>0</v>
      </c>
      <c r="J133">
        <v>0</v>
      </c>
      <c r="K133">
        <v>0</v>
      </c>
      <c r="L133">
        <v>0</v>
      </c>
      <c r="M133">
        <v>0</v>
      </c>
      <c r="N133">
        <v>0</v>
      </c>
      <c r="O133" t="s">
        <v>251</v>
      </c>
      <c r="P133" t="e">
        <f>_xlfn.XLOOKUP(OppSpreadData[[#This Row],[Opportunity Name]],Table_query[Name],Table_query[Status])</f>
        <v>#N/A</v>
      </c>
      <c r="Q133">
        <f>SUM(OppSpreadData[[#This Row],[July]:[June]])</f>
        <v>0</v>
      </c>
      <c r="R133" t="e">
        <f>_xlfn.XLOOKUP(OppSpreadData[[#This Row],[Opportunity Name]],Table_query[Name],Table_query[Phase])</f>
        <v>#N/A</v>
      </c>
    </row>
    <row r="134" spans="2:18" x14ac:dyDescent="0.25">
      <c r="B134" t="s">
        <v>251</v>
      </c>
      <c r="C134">
        <v>0</v>
      </c>
      <c r="D134">
        <v>0</v>
      </c>
      <c r="E134">
        <v>0</v>
      </c>
      <c r="F134">
        <v>0</v>
      </c>
      <c r="G134">
        <v>0</v>
      </c>
      <c r="H134">
        <v>0</v>
      </c>
      <c r="I134">
        <v>0</v>
      </c>
      <c r="J134">
        <v>0</v>
      </c>
      <c r="K134">
        <v>0</v>
      </c>
      <c r="L134">
        <v>0</v>
      </c>
      <c r="M134">
        <v>0</v>
      </c>
      <c r="N134">
        <v>0</v>
      </c>
      <c r="O134" t="s">
        <v>251</v>
      </c>
      <c r="P134" t="e">
        <f>_xlfn.XLOOKUP(OppSpreadData[[#This Row],[Opportunity Name]],Table_query[Name],Table_query[Status])</f>
        <v>#N/A</v>
      </c>
      <c r="Q134">
        <f>SUM(OppSpreadData[[#This Row],[July]:[June]])</f>
        <v>0</v>
      </c>
      <c r="R134" t="e">
        <f>_xlfn.XLOOKUP(OppSpreadData[[#This Row],[Opportunity Name]],Table_query[Name],Table_query[Phase])</f>
        <v>#N/A</v>
      </c>
    </row>
    <row r="135" spans="2:18" x14ac:dyDescent="0.25">
      <c r="B135" t="s">
        <v>251</v>
      </c>
      <c r="C135">
        <v>0</v>
      </c>
      <c r="D135">
        <v>0</v>
      </c>
      <c r="E135">
        <v>0</v>
      </c>
      <c r="F135">
        <v>0</v>
      </c>
      <c r="G135">
        <v>0</v>
      </c>
      <c r="H135">
        <v>0</v>
      </c>
      <c r="I135">
        <v>0</v>
      </c>
      <c r="J135">
        <v>0</v>
      </c>
      <c r="K135">
        <v>0</v>
      </c>
      <c r="L135">
        <v>0</v>
      </c>
      <c r="M135">
        <v>0</v>
      </c>
      <c r="N135">
        <v>0</v>
      </c>
      <c r="O135" t="s">
        <v>251</v>
      </c>
      <c r="P135" t="e">
        <f>_xlfn.XLOOKUP(OppSpreadData[[#This Row],[Opportunity Name]],Table_query[Name],Table_query[Status])</f>
        <v>#N/A</v>
      </c>
      <c r="Q135">
        <f>SUM(OppSpreadData[[#This Row],[July]:[June]])</f>
        <v>0</v>
      </c>
      <c r="R135" t="e">
        <f>_xlfn.XLOOKUP(OppSpreadData[[#This Row],[Opportunity Name]],Table_query[Name],Table_query[Phase])</f>
        <v>#N/A</v>
      </c>
    </row>
    <row r="136" spans="2:18" x14ac:dyDescent="0.25">
      <c r="B136" t="s">
        <v>251</v>
      </c>
      <c r="C136">
        <v>0</v>
      </c>
      <c r="D136">
        <v>0</v>
      </c>
      <c r="E136">
        <v>0</v>
      </c>
      <c r="F136">
        <v>0</v>
      </c>
      <c r="G136">
        <v>0</v>
      </c>
      <c r="H136">
        <v>0</v>
      </c>
      <c r="I136">
        <v>0</v>
      </c>
      <c r="J136">
        <v>0</v>
      </c>
      <c r="K136">
        <v>0</v>
      </c>
      <c r="L136">
        <v>0</v>
      </c>
      <c r="M136">
        <v>0</v>
      </c>
      <c r="N136">
        <v>0</v>
      </c>
      <c r="O136" t="s">
        <v>251</v>
      </c>
      <c r="P136" t="e">
        <f>_xlfn.XLOOKUP(OppSpreadData[[#This Row],[Opportunity Name]],Table_query[Name],Table_query[Status])</f>
        <v>#N/A</v>
      </c>
      <c r="Q136">
        <f>SUM(OppSpreadData[[#This Row],[July]:[June]])</f>
        <v>0</v>
      </c>
      <c r="R136" t="e">
        <f>_xlfn.XLOOKUP(OppSpreadData[[#This Row],[Opportunity Name]],Table_query[Name],Table_query[Phase])</f>
        <v>#N/A</v>
      </c>
    </row>
    <row r="137" spans="2:18" x14ac:dyDescent="0.25">
      <c r="B137" t="s">
        <v>251</v>
      </c>
      <c r="C137">
        <v>0</v>
      </c>
      <c r="D137">
        <v>0</v>
      </c>
      <c r="E137">
        <v>0</v>
      </c>
      <c r="F137">
        <v>0</v>
      </c>
      <c r="G137">
        <v>0</v>
      </c>
      <c r="H137">
        <v>0</v>
      </c>
      <c r="I137">
        <v>0</v>
      </c>
      <c r="J137">
        <v>0</v>
      </c>
      <c r="K137">
        <v>0</v>
      </c>
      <c r="L137">
        <v>0</v>
      </c>
      <c r="M137">
        <v>0</v>
      </c>
      <c r="N137">
        <v>0</v>
      </c>
      <c r="O137" t="s">
        <v>251</v>
      </c>
      <c r="P137" t="e">
        <f>_xlfn.XLOOKUP(OppSpreadData[[#This Row],[Opportunity Name]],Table_query[Name],Table_query[Status])</f>
        <v>#N/A</v>
      </c>
      <c r="Q137">
        <f>SUM(OppSpreadData[[#This Row],[July]:[June]])</f>
        <v>0</v>
      </c>
      <c r="R137" t="e">
        <f>_xlfn.XLOOKUP(OppSpreadData[[#This Row],[Opportunity Name]],Table_query[Name],Table_query[Phase])</f>
        <v>#N/A</v>
      </c>
    </row>
    <row r="138" spans="2:18" x14ac:dyDescent="0.25">
      <c r="B138" t="s">
        <v>251</v>
      </c>
      <c r="C138">
        <v>0</v>
      </c>
      <c r="D138">
        <v>0</v>
      </c>
      <c r="E138">
        <v>0</v>
      </c>
      <c r="F138">
        <v>0</v>
      </c>
      <c r="G138">
        <v>0</v>
      </c>
      <c r="H138">
        <v>0</v>
      </c>
      <c r="I138">
        <v>0</v>
      </c>
      <c r="J138">
        <v>0</v>
      </c>
      <c r="K138">
        <v>0</v>
      </c>
      <c r="L138">
        <v>0</v>
      </c>
      <c r="M138">
        <v>0</v>
      </c>
      <c r="N138">
        <v>0</v>
      </c>
      <c r="O138" t="s">
        <v>251</v>
      </c>
      <c r="P138" t="e">
        <f>_xlfn.XLOOKUP(OppSpreadData[[#This Row],[Opportunity Name]],Table_query[Name],Table_query[Status])</f>
        <v>#N/A</v>
      </c>
      <c r="Q138">
        <f>SUM(OppSpreadData[[#This Row],[July]:[June]])</f>
        <v>0</v>
      </c>
      <c r="R138" t="e">
        <f>_xlfn.XLOOKUP(OppSpreadData[[#This Row],[Opportunity Name]],Table_query[Name],Table_query[Phase])</f>
        <v>#N/A</v>
      </c>
    </row>
    <row r="139" spans="2:18" x14ac:dyDescent="0.25">
      <c r="B139" t="s">
        <v>251</v>
      </c>
      <c r="C139">
        <v>0</v>
      </c>
      <c r="D139">
        <v>0</v>
      </c>
      <c r="E139">
        <v>0</v>
      </c>
      <c r="F139">
        <v>0</v>
      </c>
      <c r="G139">
        <v>0</v>
      </c>
      <c r="H139">
        <v>0</v>
      </c>
      <c r="I139">
        <v>0</v>
      </c>
      <c r="J139">
        <v>0</v>
      </c>
      <c r="K139">
        <v>0</v>
      </c>
      <c r="L139">
        <v>0</v>
      </c>
      <c r="M139">
        <v>0</v>
      </c>
      <c r="N139">
        <v>0</v>
      </c>
      <c r="O139" t="s">
        <v>251</v>
      </c>
      <c r="P139" t="e">
        <f>_xlfn.XLOOKUP(OppSpreadData[[#This Row],[Opportunity Name]],Table_query[Name],Table_query[Status])</f>
        <v>#N/A</v>
      </c>
      <c r="Q139">
        <f>SUM(OppSpreadData[[#This Row],[July]:[June]])</f>
        <v>0</v>
      </c>
      <c r="R139" t="e">
        <f>_xlfn.XLOOKUP(OppSpreadData[[#This Row],[Opportunity Name]],Table_query[Name],Table_query[Phase])</f>
        <v>#N/A</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E84A4-B609-467E-A62C-3CCF6E140F42}">
  <sheetPr>
    <tabColor theme="1"/>
  </sheetPr>
  <dimension ref="A1:AI32"/>
  <sheetViews>
    <sheetView workbookViewId="0">
      <selection activeCell="E22" sqref="E22"/>
    </sheetView>
  </sheetViews>
  <sheetFormatPr defaultRowHeight="15" x14ac:dyDescent="0.25"/>
  <cols>
    <col min="1" max="1" width="70.5703125" bestFit="1" customWidth="1"/>
    <col min="2" max="2" width="17" customWidth="1"/>
    <col min="3" max="4" width="13.28515625" customWidth="1"/>
    <col min="5" max="6" width="10.5703125" bestFit="1" customWidth="1"/>
    <col min="7" max="7" width="11" bestFit="1" customWidth="1"/>
    <col min="8" max="16" width="10.5703125" bestFit="1" customWidth="1"/>
    <col min="17" max="17" width="10.5703125" customWidth="1"/>
    <col min="19" max="19" width="70.5703125" bestFit="1" customWidth="1"/>
    <col min="23" max="34" width="13.140625" customWidth="1"/>
  </cols>
  <sheetData>
    <row r="1" spans="1:35" x14ac:dyDescent="0.25">
      <c r="A1" s="13" t="s">
        <v>252</v>
      </c>
      <c r="S1" s="13" t="s">
        <v>253</v>
      </c>
    </row>
    <row r="2" spans="1:35" x14ac:dyDescent="0.25">
      <c r="E2" s="6">
        <v>45839</v>
      </c>
      <c r="F2" s="6">
        <v>45870</v>
      </c>
      <c r="G2" s="6">
        <v>45901</v>
      </c>
      <c r="H2" s="6">
        <v>45931</v>
      </c>
      <c r="I2" s="6">
        <v>45962</v>
      </c>
      <c r="J2" s="6">
        <v>45992</v>
      </c>
      <c r="K2" s="6">
        <v>46023</v>
      </c>
      <c r="L2" s="6">
        <v>46054</v>
      </c>
      <c r="M2" s="6">
        <v>46082</v>
      </c>
      <c r="N2" s="6">
        <v>46113</v>
      </c>
      <c r="O2" s="6">
        <v>46143</v>
      </c>
      <c r="P2" s="6">
        <v>46174</v>
      </c>
      <c r="Q2" s="6"/>
      <c r="W2" s="6">
        <v>45839</v>
      </c>
      <c r="X2" s="6">
        <v>45870</v>
      </c>
      <c r="Y2" s="6">
        <v>45901</v>
      </c>
      <c r="Z2" s="6">
        <v>45931</v>
      </c>
      <c r="AA2" s="6">
        <v>45962</v>
      </c>
      <c r="AB2" s="6">
        <v>45992</v>
      </c>
      <c r="AC2" s="6">
        <v>46023</v>
      </c>
      <c r="AD2" s="6">
        <v>46054</v>
      </c>
      <c r="AE2" s="6">
        <v>46082</v>
      </c>
      <c r="AF2" s="6">
        <v>46113</v>
      </c>
      <c r="AG2" s="6">
        <v>46143</v>
      </c>
      <c r="AH2" s="6">
        <v>46174</v>
      </c>
    </row>
    <row r="3" spans="1:35" x14ac:dyDescent="0.25">
      <c r="A3" s="13" t="s">
        <v>254</v>
      </c>
      <c r="B3" s="13" t="s">
        <v>36</v>
      </c>
      <c r="C3" s="13" t="s">
        <v>16</v>
      </c>
      <c r="D3" s="13" t="s">
        <v>38</v>
      </c>
      <c r="E3" s="118">
        <v>45869</v>
      </c>
      <c r="F3" s="118">
        <v>45899</v>
      </c>
      <c r="G3" s="118">
        <v>45930</v>
      </c>
      <c r="H3" s="118">
        <v>45961</v>
      </c>
      <c r="I3" s="118">
        <v>45991</v>
      </c>
      <c r="J3" s="118">
        <v>46022</v>
      </c>
      <c r="K3" s="118">
        <v>46053</v>
      </c>
      <c r="L3" s="118">
        <v>46081</v>
      </c>
      <c r="M3" s="118">
        <v>46112</v>
      </c>
      <c r="N3" s="118">
        <v>46142</v>
      </c>
      <c r="O3" s="118">
        <v>46173</v>
      </c>
      <c r="P3" s="118">
        <v>46203</v>
      </c>
      <c r="Q3" s="269" t="s">
        <v>255</v>
      </c>
      <c r="S3" s="13" t="s">
        <v>254</v>
      </c>
      <c r="T3" s="13" t="s">
        <v>36</v>
      </c>
      <c r="U3" s="13" t="s">
        <v>16</v>
      </c>
      <c r="V3" s="13" t="s">
        <v>38</v>
      </c>
      <c r="W3" s="118">
        <v>45869</v>
      </c>
      <c r="X3" s="118">
        <v>45899</v>
      </c>
      <c r="Y3" s="118">
        <v>45930</v>
      </c>
      <c r="Z3" s="118">
        <v>45961</v>
      </c>
      <c r="AA3" s="118">
        <v>45991</v>
      </c>
      <c r="AB3" s="118">
        <v>46022</v>
      </c>
      <c r="AC3" s="118">
        <v>46053</v>
      </c>
      <c r="AD3" s="118">
        <v>46081</v>
      </c>
      <c r="AE3" s="118">
        <v>46112</v>
      </c>
      <c r="AF3" s="118">
        <v>46142</v>
      </c>
      <c r="AG3" s="118">
        <v>46173</v>
      </c>
      <c r="AH3" s="118">
        <v>46203</v>
      </c>
      <c r="AI3" t="s">
        <v>255</v>
      </c>
    </row>
    <row r="4" spans="1:35" x14ac:dyDescent="0.25">
      <c r="A4" t="str" cm="1">
        <f t="array" aca="1" ref="A4:D10" ca="1">_xlfn.LET(
  _xlpm.path, "sites/RGSales/Shared Documents/General/1.Open Opportunities",
  _xlpm.phaseFilter, "2.Q - Qualified",
  _xlpm.worktypeExcludes, {"Panel","RFI/EOI"},
  _xlpm.tbl, Table_query[],
  _xlpm.rows, _xlfn._xlws.FILTER(_xlpm.tbl, (Table_query[Path]=_xlpm.path) * (Table_query[Phase]=_xlpm.phaseFilter) * ISNA(_xlfn.XMATCH(Table_query[Work Type], _xlpm.worktypeExcludes))),
  _xlpm.ncol, _xlfn.XMATCH("Name",   Table_query[#Headers]),
  _xlpm.pcol, _xlfn.XMATCH("Phase",  Table_query[#Headers]),
  _xlpm.vcol, _xlfn.XMATCH("VAT",    Table_query[#Headers]),
  _xlpm.scol, _xlfn.XMATCH("Status", Table_query[#Headers]),
  _xlpm.namesCol,  _xlfn.CHOOSECOLS(_xlpm.rows, _xlpm.ncol),
  _xlpm.phaseCol,  _xlfn.CHOOSECOLS(_xlpm.rows, _xlpm.pcol),
  _xlpm.vatCol,    _xlfn.CHOOSECOLS(_xlpm.rows, _xlpm.vcol),
  _xlpm.statusCol, _xlfn.CHOOSECOLS(_xlpm.rows, _xlpm.scol),
  _xlpm.uNames,    _xlfn.UNIQUE(_xlpm.namesCol),
  _xlfn.HSTACK(
    _xlpm.uNames,
    _xlfn.MAKEARRAY(ROWS(_xlpm.uNames),1,_xlfn.LAMBDA(_xlpm.r,_xlpm.c,"Q")),
    _xlfn.XLOOKUP(_xlpm.uNames, _xlpm.namesCol, _xlpm.vatCol,    , , -1),
    _xlfn.XLOOKUP(_xlpm.uNames, _xlpm.namesCol, _xlpm.statusCol, , , -1)
  )
)</f>
        <v>BSSXXX BlueScope Steel SAP architects</v>
      </c>
      <c r="B4" t="str">
        <f ca="1"/>
        <v>Q</v>
      </c>
      <c r="C4" t="str">
        <f ca="1"/>
        <v>Vic Gov</v>
      </c>
      <c r="D4" t="str">
        <f ca="1"/>
        <v>Risk</v>
      </c>
      <c r="E4" s="98">
        <f ca="1">IFERROR(IF(AND(E$2 &gt;= EOMONTH(_xlfn.XLOOKUP($A4,Table_query[Name],Table_query[Start Date]),-1)+1, E$3 &lt;= _xlfn.XLOOKUP('Q Spread Calculation'!$A4,Table_query[Name],Table_query[Expiry Date])),
   _xlfn.XLOOKUP('Q Spread Calculation'!$A4,Table_query[Name],Table_query[Monthly Gross Margin Contribution]),
   0),"")</f>
        <v>0</v>
      </c>
      <c r="F4" s="98">
        <f ca="1">IFERROR(IF(AND(F$2 &gt;= EOMONTH(_xlfn.XLOOKUP($A4,Table_query[Name],Table_query[Start Date]),-1)+1, F$3 &lt;= _xlfn.XLOOKUP('Q Spread Calculation'!$A4,Table_query[Name],Table_query[Expiry Date])),
   _xlfn.XLOOKUP('Q Spread Calculation'!$A4,Table_query[Name],Table_query[Monthly Gross Margin Contribution]),
   0),"")</f>
        <v>0</v>
      </c>
      <c r="G4" s="98">
        <f ca="1">IFERROR(IF(AND(G$2 &gt;= EOMONTH(_xlfn.XLOOKUP($A4,Table_query[Name],Table_query[Start Date]),-1)+1, G$3 &lt;= _xlfn.XLOOKUP('Q Spread Calculation'!$A4,Table_query[Name],Table_query[Expiry Date])),
   _xlfn.XLOOKUP('Q Spread Calculation'!$A4,Table_query[Name],Table_query[Monthly Gross Margin Contribution]),
   0),"")</f>
        <v>0</v>
      </c>
      <c r="H4" s="98">
        <f ca="1">IFERROR(IF(AND(H$2 &gt;= EOMONTH(_xlfn.XLOOKUP($A4,Table_query[Name],Table_query[Start Date]),-1)+1, H$3 &lt;= _xlfn.XLOOKUP('Q Spread Calculation'!$A4,Table_query[Name],Table_query[Expiry Date])),
   _xlfn.XLOOKUP('Q Spread Calculation'!$A4,Table_query[Name],Table_query[Monthly Gross Margin Contribution]),
   0),"")</f>
        <v>0</v>
      </c>
      <c r="I4" s="98">
        <f ca="1">IFERROR(IF(AND(I$2 &gt;= EOMONTH(_xlfn.XLOOKUP($A4,Table_query[Name],Table_query[Start Date]),-1)+1, I$3 &lt;= _xlfn.XLOOKUP('Q Spread Calculation'!$A4,Table_query[Name],Table_query[Expiry Date])),
   _xlfn.XLOOKUP('Q Spread Calculation'!$A4,Table_query[Name],Table_query[Monthly Gross Margin Contribution]),
   0),"")</f>
        <v>0</v>
      </c>
      <c r="J4" s="98">
        <f ca="1">IFERROR(IF(AND(J$2 &gt;= EOMONTH(_xlfn.XLOOKUP($A4,Table_query[Name],Table_query[Start Date]),-1)+1, J$3 &lt;= _xlfn.XLOOKUP('Q Spread Calculation'!$A4,Table_query[Name],Table_query[Expiry Date])),
   _xlfn.XLOOKUP('Q Spread Calculation'!$A4,Table_query[Name],Table_query[Monthly Gross Margin Contribution]),
   0),"")</f>
        <v>0</v>
      </c>
      <c r="K4" s="98">
        <f ca="1">IFERROR(IF(AND(K$2 &gt;= EOMONTH(_xlfn.XLOOKUP($A4,Table_query[Name],Table_query[Start Date]),-1)+1, K$3 &lt;= _xlfn.XLOOKUP('Q Spread Calculation'!$A4,Table_query[Name],Table_query[Expiry Date])),
   _xlfn.XLOOKUP('Q Spread Calculation'!$A4,Table_query[Name],Table_query[Monthly Gross Margin Contribution]),
   0),"")</f>
        <v>0</v>
      </c>
      <c r="L4" s="98">
        <f ca="1">IFERROR(IF(AND(L$2 &gt;= EOMONTH(_xlfn.XLOOKUP($A4,Table_query[Name],Table_query[Start Date]),-1)+1, L$3 &lt;= _xlfn.XLOOKUP('Q Spread Calculation'!$A4,Table_query[Name],Table_query[Expiry Date])),
   _xlfn.XLOOKUP('Q Spread Calculation'!$A4,Table_query[Name],Table_query[Monthly Gross Margin Contribution]),
   0),"")</f>
        <v>0</v>
      </c>
      <c r="M4" s="98">
        <f ca="1">IFERROR(IF(AND(M$2 &gt;= EOMONTH(_xlfn.XLOOKUP($A4,Table_query[Name],Table_query[Start Date]),-1)+1, M$3 &lt;= _xlfn.XLOOKUP('Q Spread Calculation'!$A4,Table_query[Name],Table_query[Expiry Date])),
   _xlfn.XLOOKUP('Q Spread Calculation'!$A4,Table_query[Name],Table_query[Monthly Gross Margin Contribution]),
   0),"")</f>
        <v>29568.000000000004</v>
      </c>
      <c r="N4" s="98">
        <f ca="1">IFERROR(IF(AND(N$2 &gt;= EOMONTH(_xlfn.XLOOKUP($A4,Table_query[Name],Table_query[Start Date]),-1)+1, N$3 &lt;= _xlfn.XLOOKUP('Q Spread Calculation'!$A4,Table_query[Name],Table_query[Expiry Date])),
   _xlfn.XLOOKUP('Q Spread Calculation'!$A4,Table_query[Name],Table_query[Monthly Gross Margin Contribution]),
   0),"")</f>
        <v>29568.000000000004</v>
      </c>
      <c r="O4" s="98">
        <f ca="1">IFERROR(IF(AND(O$2 &gt;= EOMONTH(_xlfn.XLOOKUP($A4,Table_query[Name],Table_query[Start Date]),-1)+1, O$3 &lt;= _xlfn.XLOOKUP('Q Spread Calculation'!$A4,Table_query[Name],Table_query[Expiry Date])),
   _xlfn.XLOOKUP('Q Spread Calculation'!$A4,Table_query[Name],Table_query[Monthly Gross Margin Contribution]),
   0),"")</f>
        <v>0</v>
      </c>
      <c r="P4" s="98">
        <f ca="1">IFERROR(IF(AND(P$2 &gt;= EOMONTH(_xlfn.XLOOKUP($A4,Table_query[Name],Table_query[Start Date]),-1)+1, P$3 &lt;= _xlfn.XLOOKUP('Q Spread Calculation'!$A4,Table_query[Name],Table_query[Expiry Date])),
   _xlfn.XLOOKUP('Q Spread Calculation'!$A4,Table_query[Name],Table_query[Monthly Gross Margin Contribution]),
   0),"")</f>
        <v>0</v>
      </c>
      <c r="Q4" t="str">
        <f ca="1">_xlfn.XLOOKUP(A4,Table_query[Name],Table_query[Phase])</f>
        <v>2.Q - Qualified</v>
      </c>
      <c r="S4" t="str" cm="1">
        <f t="array" aca="1" ref="S4:V10" ca="1">_xlfn.LET(
  _xlpm.path, "sites/RGSales/Shared Documents/General/1.Open Opportunities",
  _xlpm.phaseFilter, "2.Q - Qualified",
  _xlpm.worktypeExcludes, {"Panel","RFI/EOI"},
  _xlpm.tbl, Table_query[],
  _xlpm.rows, _xlfn._xlws.FILTER(_xlpm.tbl, (Table_query[Path]=_xlpm.path) * (Table_query[Phase]=_xlpm.phaseFilter) * ISNA(_xlfn.XMATCH(Table_query[Work Type], _xlpm.worktypeExcludes))),
  _xlpm.ncol, _xlfn.XMATCH("Name",   Table_query[#Headers]),
  _xlpm.pcol, _xlfn.XMATCH("Phase",  Table_query[#Headers]),
  _xlpm.vcol, _xlfn.XMATCH("VAT",    Table_query[#Headers]),
  _xlpm.scol, _xlfn.XMATCH("Status", Table_query[#Headers]),
  _xlpm.namesCol,  _xlfn.CHOOSECOLS(_xlpm.rows, _xlpm.ncol),
  _xlpm.phaseCol,  _xlfn.CHOOSECOLS(_xlpm.rows, _xlpm.pcol),
  _xlpm.vatCol,    _xlfn.CHOOSECOLS(_xlpm.rows, _xlpm.vcol),
  _xlpm.statusCol, _xlfn.CHOOSECOLS(_xlpm.rows, _xlpm.scol),
  _xlpm.uNames,    _xlfn.UNIQUE(_xlpm.namesCol),
  _xlfn.HSTACK(
    _xlpm.uNames,
    _xlfn.MAKEARRAY(ROWS(_xlpm.uNames),1,_xlfn.LAMBDA(_xlpm.r,_xlpm.c,"Q")),
    _xlfn.XLOOKUP(_xlpm.uNames, _xlpm.namesCol, _xlpm.vatCol,    , , -1),
    _xlfn.XLOOKUP(_xlpm.uNames, _xlpm.namesCol, _xlpm.statusCol, , , -1)
  )
)</f>
        <v>BSSXXX BlueScope Steel SAP architects</v>
      </c>
      <c r="T4" t="str">
        <f ca="1"/>
        <v>Q</v>
      </c>
      <c r="U4" t="str">
        <f ca="1"/>
        <v>Vic Gov</v>
      </c>
      <c r="V4" t="str">
        <f ca="1"/>
        <v>Risk</v>
      </c>
      <c r="W4">
        <f ca="1">IFERROR(IF(AND(W$2 &gt;= EOMONTH(_xlfn.XLOOKUP($S4,Table_query[Name],Table_query[Start Date]),-1)+1, W$3 &lt;= _xlfn.XLOOKUP('Q Spread Calculation'!$S4,Table_query[Name],Table_query[Expiry Date])),
   _xlfn.XLOOKUP('Q Spread Calculation'!$S4,Table_query[Name],Table_query[Monthly Revenue Spread]),
   0),"")</f>
        <v>0</v>
      </c>
      <c r="X4">
        <f ca="1">IFERROR(IF(AND(X$2 &gt;= EOMONTH(_xlfn.XLOOKUP($S4,Table_query[Name],Table_query[Start Date]),-1)+1, X$3 &lt;= _xlfn.XLOOKUP('Q Spread Calculation'!$S4,Table_query[Name],Table_query[Expiry Date])),
   _xlfn.XLOOKUP('Q Spread Calculation'!$S4,Table_query[Name],Table_query[Monthly Revenue Spread]),
   0),"")</f>
        <v>0</v>
      </c>
      <c r="Y4">
        <f ca="1">IFERROR(IF(AND(Y$2 &gt;= EOMONTH(_xlfn.XLOOKUP($S4,Table_query[Name],Table_query[Start Date]),-1)+1, Y$3 &lt;= _xlfn.XLOOKUP('Q Spread Calculation'!$S4,Table_query[Name],Table_query[Expiry Date])),
   _xlfn.XLOOKUP('Q Spread Calculation'!$S4,Table_query[Name],Table_query[Monthly Revenue Spread]),
   0),"")</f>
        <v>0</v>
      </c>
      <c r="Z4">
        <f ca="1">IFERROR(IF(AND(Z$2 &gt;= EOMONTH(_xlfn.XLOOKUP($S4,Table_query[Name],Table_query[Start Date]),-1)+1, Z$3 &lt;= _xlfn.XLOOKUP('Q Spread Calculation'!$S4,Table_query[Name],Table_query[Expiry Date])),
   _xlfn.XLOOKUP('Q Spread Calculation'!$S4,Table_query[Name],Table_query[Monthly Revenue Spread]),
   0),"")</f>
        <v>0</v>
      </c>
      <c r="AA4">
        <f ca="1">IFERROR(IF(AND(AA$2 &gt;= EOMONTH(_xlfn.XLOOKUP($S4,Table_query[Name],Table_query[Start Date]),-1)+1, AA$3 &lt;= _xlfn.XLOOKUP('Q Spread Calculation'!$S4,Table_query[Name],Table_query[Expiry Date])),
   _xlfn.XLOOKUP('Q Spread Calculation'!$S4,Table_query[Name],Table_query[Monthly Revenue Spread]),
   0),"")</f>
        <v>0</v>
      </c>
      <c r="AB4">
        <f ca="1">IFERROR(IF(AND(AB$2 &gt;= EOMONTH(_xlfn.XLOOKUP($S4,Table_query[Name],Table_query[Start Date]),-1)+1, AB$3 &lt;= _xlfn.XLOOKUP('Q Spread Calculation'!$S4,Table_query[Name],Table_query[Expiry Date])),
   _xlfn.XLOOKUP('Q Spread Calculation'!$S4,Table_query[Name],Table_query[Monthly Revenue Spread]),
   0),"")</f>
        <v>0</v>
      </c>
      <c r="AC4">
        <f ca="1">IFERROR(IF(AND(AC$2 &gt;= EOMONTH(_xlfn.XLOOKUP($S4,Table_query[Name],Table_query[Start Date]),-1)+1, AC$3 &lt;= _xlfn.XLOOKUP('Q Spread Calculation'!$S4,Table_query[Name],Table_query[Expiry Date])),
   _xlfn.XLOOKUP('Q Spread Calculation'!$S4,Table_query[Name],Table_query[Monthly Revenue Spread]),
   0),"")</f>
        <v>0</v>
      </c>
      <c r="AD4">
        <f ca="1">IFERROR(IF(AND(AD$2 &gt;= EOMONTH(_xlfn.XLOOKUP($S4,Table_query[Name],Table_query[Start Date]),-1)+1, AD$3 &lt;= _xlfn.XLOOKUP('Q Spread Calculation'!$S4,Table_query[Name],Table_query[Expiry Date])),
   _xlfn.XLOOKUP('Q Spread Calculation'!$S4,Table_query[Name],Table_query[Monthly Revenue Spread]),
   0),"")</f>
        <v>0</v>
      </c>
      <c r="AE4">
        <f ca="1">IFERROR(IF(AND(AE$2 &gt;= EOMONTH(_xlfn.XLOOKUP($S4,Table_query[Name],Table_query[Start Date]),-1)+1, AE$3 &lt;= _xlfn.XLOOKUP('Q Spread Calculation'!$S4,Table_query[Name],Table_query[Expiry Date])),
   _xlfn.XLOOKUP('Q Spread Calculation'!$S4,Table_query[Name],Table_query[Monthly Revenue Spread]),
   0),"")</f>
        <v>105600</v>
      </c>
      <c r="AF4">
        <f ca="1">IFERROR(IF(AND(AF$2 &gt;= EOMONTH(_xlfn.XLOOKUP($S4,Table_query[Name],Table_query[Start Date]),-1)+1, AF$3 &lt;= _xlfn.XLOOKUP('Q Spread Calculation'!$S4,Table_query[Name],Table_query[Expiry Date])),
   _xlfn.XLOOKUP('Q Spread Calculation'!$S4,Table_query[Name],Table_query[Monthly Revenue Spread]),
   0),"")</f>
        <v>105600</v>
      </c>
      <c r="AG4">
        <f ca="1">IFERROR(IF(AND(AG$2 &gt;= EOMONTH(_xlfn.XLOOKUP($S4,Table_query[Name],Table_query[Start Date]),-1)+1, AG$3 &lt;= _xlfn.XLOOKUP('Q Spread Calculation'!$S4,Table_query[Name],Table_query[Expiry Date])),
   _xlfn.XLOOKUP('Q Spread Calculation'!$S4,Table_query[Name],Table_query[Monthly Revenue Spread]),
   0),"")</f>
        <v>0</v>
      </c>
      <c r="AH4">
        <f ca="1">IFERROR(IF(AND(AH$2 &gt;= EOMONTH(_xlfn.XLOOKUP($S4,Table_query[Name],Table_query[Start Date]),-1)+1, AH$3 &lt;= _xlfn.XLOOKUP('Q Spread Calculation'!$S4,Table_query[Name],Table_query[Expiry Date])),
   _xlfn.XLOOKUP('Q Spread Calculation'!$S4,Table_query[Name],Table_query[Monthly Revenue Spread]),
   0),"")</f>
        <v>0</v>
      </c>
      <c r="AI4" t="str">
        <f ca="1">_xlfn.XLOOKUP(S4,Table_query[Name],Table_query[Phase])</f>
        <v>2.Q - Qualified</v>
      </c>
    </row>
    <row r="5" spans="1:35" x14ac:dyDescent="0.25">
      <c r="A5" t="str">
        <f ca="1"/>
        <v>DAFXXX STEPS Post-Gateway Response</v>
      </c>
      <c r="B5" t="str">
        <f ca="1"/>
        <v>Q</v>
      </c>
      <c r="C5" t="str">
        <f ca="1"/>
        <v>DAFF</v>
      </c>
      <c r="D5" t="str">
        <f ca="1"/>
        <v>Good</v>
      </c>
      <c r="E5" s="98">
        <f ca="1">IFERROR(IF(AND(E$2 &gt;= EOMONTH(_xlfn.XLOOKUP($A5,Table_query[Name],Table_query[Start Date]),-1)+1, E$3 &lt;= _xlfn.XLOOKUP('Q Spread Calculation'!$A5,Table_query[Name],Table_query[Expiry Date])),
   _xlfn.XLOOKUP('Q Spread Calculation'!$A5,Table_query[Name],Table_query[Monthly Gross Margin Contribution]),
   0),"")</f>
        <v>0</v>
      </c>
      <c r="F5" s="98">
        <f ca="1">IFERROR(IF(AND(F$2 &gt;= EOMONTH(_xlfn.XLOOKUP($A5,Table_query[Name],Table_query[Start Date]),-1)+1, F$3 &lt;= _xlfn.XLOOKUP('Q Spread Calculation'!$A5,Table_query[Name],Table_query[Expiry Date])),
   _xlfn.XLOOKUP('Q Spread Calculation'!$A5,Table_query[Name],Table_query[Monthly Gross Margin Contribution]),
   0),"")</f>
        <v>0</v>
      </c>
      <c r="G5" s="98">
        <f ca="1">IFERROR(IF(AND(G$2 &gt;= EOMONTH(_xlfn.XLOOKUP($A5,Table_query[Name],Table_query[Start Date]),-1)+1, G$3 &lt;= _xlfn.XLOOKUP('Q Spread Calculation'!$A5,Table_query[Name],Table_query[Expiry Date])),
   _xlfn.XLOOKUP('Q Spread Calculation'!$A5,Table_query[Name],Table_query[Monthly Gross Margin Contribution]),
   0),"")</f>
        <v>0</v>
      </c>
      <c r="H5" s="98">
        <f ca="1">IFERROR(IF(AND(H$2 &gt;= EOMONTH(_xlfn.XLOOKUP($A5,Table_query[Name],Table_query[Start Date]),-1)+1, H$3 &lt;= _xlfn.XLOOKUP('Q Spread Calculation'!$A5,Table_query[Name],Table_query[Expiry Date])),
   _xlfn.XLOOKUP('Q Spread Calculation'!$A5,Table_query[Name],Table_query[Monthly Gross Margin Contribution]),
   0),"")</f>
        <v>0</v>
      </c>
      <c r="I5" s="98">
        <f ca="1">IFERROR(IF(AND(I$2 &gt;= EOMONTH(_xlfn.XLOOKUP($A5,Table_query[Name],Table_query[Start Date]),-1)+1, I$3 &lt;= _xlfn.XLOOKUP('Q Spread Calculation'!$A5,Table_query[Name],Table_query[Expiry Date])),
   _xlfn.XLOOKUP('Q Spread Calculation'!$A5,Table_query[Name],Table_query[Monthly Gross Margin Contribution]),
   0),"")</f>
        <v>0</v>
      </c>
      <c r="J5" s="98">
        <f ca="1">IFERROR(IF(AND(J$2 &gt;= EOMONTH(_xlfn.XLOOKUP($A5,Table_query[Name],Table_query[Start Date]),-1)+1, J$3 &lt;= _xlfn.XLOOKUP('Q Spread Calculation'!$A5,Table_query[Name],Table_query[Expiry Date])),
   _xlfn.XLOOKUP('Q Spread Calculation'!$A5,Table_query[Name],Table_query[Monthly Gross Margin Contribution]),
   0),"")</f>
        <v>0</v>
      </c>
      <c r="K5" s="98">
        <f ca="1">IFERROR(IF(AND(K$2 &gt;= EOMONTH(_xlfn.XLOOKUP($A5,Table_query[Name],Table_query[Start Date]),-1)+1, K$3 &lt;= _xlfn.XLOOKUP('Q Spread Calculation'!$A5,Table_query[Name],Table_query[Expiry Date])),
   _xlfn.XLOOKUP('Q Spread Calculation'!$A5,Table_query[Name],Table_query[Monthly Gross Margin Contribution]),
   0),"")</f>
        <v>0</v>
      </c>
      <c r="L5" s="98">
        <f ca="1">IFERROR(IF(AND(L$2 &gt;= EOMONTH(_xlfn.XLOOKUP($A5,Table_query[Name],Table_query[Start Date]),-1)+1, L$3 &lt;= _xlfn.XLOOKUP('Q Spread Calculation'!$A5,Table_query[Name],Table_query[Expiry Date])),
   _xlfn.XLOOKUP('Q Spread Calculation'!$A5,Table_query[Name],Table_query[Monthly Gross Margin Contribution]),
   0),"")</f>
        <v>0</v>
      </c>
      <c r="M5" s="98">
        <f ca="1">IFERROR(IF(AND(M$2 &gt;= EOMONTH(_xlfn.XLOOKUP($A5,Table_query[Name],Table_query[Start Date]),-1)+1, M$3 &lt;= _xlfn.XLOOKUP('Q Spread Calculation'!$A5,Table_query[Name],Table_query[Expiry Date])),
   _xlfn.XLOOKUP('Q Spread Calculation'!$A5,Table_query[Name],Table_query[Monthly Gross Margin Contribution]),
   0),"")</f>
        <v>0</v>
      </c>
      <c r="N5" s="98">
        <f ca="1">IFERROR(IF(AND(N$2 &gt;= EOMONTH(_xlfn.XLOOKUP($A5,Table_query[Name],Table_query[Start Date]),-1)+1, N$3 &lt;= _xlfn.XLOOKUP('Q Spread Calculation'!$A5,Table_query[Name],Table_query[Expiry Date])),
   _xlfn.XLOOKUP('Q Spread Calculation'!$A5,Table_query[Name],Table_query[Monthly Gross Margin Contribution]),
   0),"")</f>
        <v>0</v>
      </c>
      <c r="O5" s="98">
        <f ca="1">IFERROR(IF(AND(O$2 &gt;= EOMONTH(_xlfn.XLOOKUP($A5,Table_query[Name],Table_query[Start Date]),-1)+1, O$3 &lt;= _xlfn.XLOOKUP('Q Spread Calculation'!$A5,Table_query[Name],Table_query[Expiry Date])),
   _xlfn.XLOOKUP('Q Spread Calculation'!$A5,Table_query[Name],Table_query[Monthly Gross Margin Contribution]),
   0),"")</f>
        <v>12500</v>
      </c>
      <c r="P5" s="98">
        <f ca="1">IFERROR(IF(AND(P$2 &gt;= EOMONTH(_xlfn.XLOOKUP($A5,Table_query[Name],Table_query[Start Date]),-1)+1, P$3 &lt;= _xlfn.XLOOKUP('Q Spread Calculation'!$A5,Table_query[Name],Table_query[Expiry Date])),
   _xlfn.XLOOKUP('Q Spread Calculation'!$A5,Table_query[Name],Table_query[Monthly Gross Margin Contribution]),
   0),"")</f>
        <v>0</v>
      </c>
      <c r="Q5" t="str">
        <f ca="1">_xlfn.XLOOKUP(A5,Table_query[Name],Table_query[Phase])</f>
        <v>2.Q - Qualified</v>
      </c>
      <c r="S5" t="str">
        <f ca="1"/>
        <v>DAFXXX STEPS Post-Gateway Response</v>
      </c>
      <c r="T5" t="str">
        <f ca="1"/>
        <v>Q</v>
      </c>
      <c r="U5" t="str">
        <f ca="1"/>
        <v>DAFF</v>
      </c>
      <c r="V5" t="str">
        <f ca="1"/>
        <v>Good</v>
      </c>
      <c r="W5">
        <f ca="1">IFERROR(IF(AND(W$2 &gt;= EOMONTH(_xlfn.XLOOKUP($S5,Table_query[Name],Table_query[Start Date]),-1)+1, W$3 &lt;= _xlfn.XLOOKUP('Q Spread Calculation'!$S5,Table_query[Name],Table_query[Expiry Date])),
   _xlfn.XLOOKUP('Q Spread Calculation'!$S5,Table_query[Name],Table_query[Monthly Revenue Spread]),
   0),"")</f>
        <v>0</v>
      </c>
      <c r="X5">
        <f ca="1">IFERROR(IF(AND(X$2 &gt;= EOMONTH(_xlfn.XLOOKUP($S5,Table_query[Name],Table_query[Start Date]),-1)+1, X$3 &lt;= _xlfn.XLOOKUP('Q Spread Calculation'!$S5,Table_query[Name],Table_query[Expiry Date])),
   _xlfn.XLOOKUP('Q Spread Calculation'!$S5,Table_query[Name],Table_query[Monthly Revenue Spread]),
   0),"")</f>
        <v>0</v>
      </c>
      <c r="Y5">
        <f ca="1">IFERROR(IF(AND(Y$2 &gt;= EOMONTH(_xlfn.XLOOKUP($S5,Table_query[Name],Table_query[Start Date]),-1)+1, Y$3 &lt;= _xlfn.XLOOKUP('Q Spread Calculation'!$S5,Table_query[Name],Table_query[Expiry Date])),
   _xlfn.XLOOKUP('Q Spread Calculation'!$S5,Table_query[Name],Table_query[Monthly Revenue Spread]),
   0),"")</f>
        <v>0</v>
      </c>
      <c r="Z5">
        <f ca="1">IFERROR(IF(AND(Z$2 &gt;= EOMONTH(_xlfn.XLOOKUP($S5,Table_query[Name],Table_query[Start Date]),-1)+1, Z$3 &lt;= _xlfn.XLOOKUP('Q Spread Calculation'!$S5,Table_query[Name],Table_query[Expiry Date])),
   _xlfn.XLOOKUP('Q Spread Calculation'!$S5,Table_query[Name],Table_query[Monthly Revenue Spread]),
   0),"")</f>
        <v>0</v>
      </c>
      <c r="AA5">
        <f ca="1">IFERROR(IF(AND(AA$2 &gt;= EOMONTH(_xlfn.XLOOKUP($S5,Table_query[Name],Table_query[Start Date]),-1)+1, AA$3 &lt;= _xlfn.XLOOKUP('Q Spread Calculation'!$S5,Table_query[Name],Table_query[Expiry Date])),
   _xlfn.XLOOKUP('Q Spread Calculation'!$S5,Table_query[Name],Table_query[Monthly Revenue Spread]),
   0),"")</f>
        <v>0</v>
      </c>
      <c r="AB5">
        <f ca="1">IFERROR(IF(AND(AB$2 &gt;= EOMONTH(_xlfn.XLOOKUP($S5,Table_query[Name],Table_query[Start Date]),-1)+1, AB$3 &lt;= _xlfn.XLOOKUP('Q Spread Calculation'!$S5,Table_query[Name],Table_query[Expiry Date])),
   _xlfn.XLOOKUP('Q Spread Calculation'!$S5,Table_query[Name],Table_query[Monthly Revenue Spread]),
   0),"")</f>
        <v>0</v>
      </c>
      <c r="AC5">
        <f ca="1">IFERROR(IF(AND(AC$2 &gt;= EOMONTH(_xlfn.XLOOKUP($S5,Table_query[Name],Table_query[Start Date]),-1)+1, AC$3 &lt;= _xlfn.XLOOKUP('Q Spread Calculation'!$S5,Table_query[Name],Table_query[Expiry Date])),
   _xlfn.XLOOKUP('Q Spread Calculation'!$S5,Table_query[Name],Table_query[Monthly Revenue Spread]),
   0),"")</f>
        <v>0</v>
      </c>
      <c r="AD5">
        <f ca="1">IFERROR(IF(AND(AD$2 &gt;= EOMONTH(_xlfn.XLOOKUP($S5,Table_query[Name],Table_query[Start Date]),-1)+1, AD$3 &lt;= _xlfn.XLOOKUP('Q Spread Calculation'!$S5,Table_query[Name],Table_query[Expiry Date])),
   _xlfn.XLOOKUP('Q Spread Calculation'!$S5,Table_query[Name],Table_query[Monthly Revenue Spread]),
   0),"")</f>
        <v>0</v>
      </c>
      <c r="AE5">
        <f ca="1">IFERROR(IF(AND(AE$2 &gt;= EOMONTH(_xlfn.XLOOKUP($S5,Table_query[Name],Table_query[Start Date]),-1)+1, AE$3 &lt;= _xlfn.XLOOKUP('Q Spread Calculation'!$S5,Table_query[Name],Table_query[Expiry Date])),
   _xlfn.XLOOKUP('Q Spread Calculation'!$S5,Table_query[Name],Table_query[Monthly Revenue Spread]),
   0),"")</f>
        <v>0</v>
      </c>
      <c r="AF5">
        <f ca="1">IFERROR(IF(AND(AF$2 &gt;= EOMONTH(_xlfn.XLOOKUP($S5,Table_query[Name],Table_query[Start Date]),-1)+1, AF$3 &lt;= _xlfn.XLOOKUP('Q Spread Calculation'!$S5,Table_query[Name],Table_query[Expiry Date])),
   _xlfn.XLOOKUP('Q Spread Calculation'!$S5,Table_query[Name],Table_query[Monthly Revenue Spread]),
   0),"")</f>
        <v>0</v>
      </c>
      <c r="AG5">
        <f ca="1">IFERROR(IF(AND(AG$2 &gt;= EOMONTH(_xlfn.XLOOKUP($S5,Table_query[Name],Table_query[Start Date]),-1)+1, AG$3 &lt;= _xlfn.XLOOKUP('Q Spread Calculation'!$S5,Table_query[Name],Table_query[Expiry Date])),
   _xlfn.XLOOKUP('Q Spread Calculation'!$S5,Table_query[Name],Table_query[Monthly Revenue Spread]),
   0),"")</f>
        <v>50000</v>
      </c>
      <c r="AH5">
        <f ca="1">IFERROR(IF(AND(AH$2 &gt;= EOMONTH(_xlfn.XLOOKUP($S5,Table_query[Name],Table_query[Start Date]),-1)+1, AH$3 &lt;= _xlfn.XLOOKUP('Q Spread Calculation'!$S5,Table_query[Name],Table_query[Expiry Date])),
   _xlfn.XLOOKUP('Q Spread Calculation'!$S5,Table_query[Name],Table_query[Monthly Revenue Spread]),
   0),"")</f>
        <v>0</v>
      </c>
      <c r="AI5" t="str">
        <f ca="1">_xlfn.XLOOKUP(S5,Table_query[Name],Table_query[Phase])</f>
        <v>2.Q - Qualified</v>
      </c>
    </row>
    <row r="6" spans="1:35" x14ac:dyDescent="0.25">
      <c r="A6" t="str">
        <f ca="1"/>
        <v>DAFXXX Trade and Imports Comeback</v>
      </c>
      <c r="B6" t="str">
        <f ca="1"/>
        <v>Q</v>
      </c>
      <c r="C6" t="str">
        <f ca="1"/>
        <v>DAFF</v>
      </c>
      <c r="D6" t="str">
        <f ca="1"/>
        <v>Good</v>
      </c>
      <c r="E6" s="98">
        <f ca="1">IFERROR(IF(AND(E$2 &gt;= EOMONTH(_xlfn.XLOOKUP($A6,Table_query[Name],Table_query[Start Date]),-1)+1, E$3 &lt;= _xlfn.XLOOKUP('Q Spread Calculation'!$A6,Table_query[Name],Table_query[Expiry Date])),
   _xlfn.XLOOKUP('Q Spread Calculation'!$A6,Table_query[Name],Table_query[Monthly Gross Margin Contribution]),
   0),"")</f>
        <v>0</v>
      </c>
      <c r="F6" s="98">
        <f ca="1">IFERROR(IF(AND(F$2 &gt;= EOMONTH(_xlfn.XLOOKUP($A6,Table_query[Name],Table_query[Start Date]),-1)+1, F$3 &lt;= _xlfn.XLOOKUP('Q Spread Calculation'!$A6,Table_query[Name],Table_query[Expiry Date])),
   _xlfn.XLOOKUP('Q Spread Calculation'!$A6,Table_query[Name],Table_query[Monthly Gross Margin Contribution]),
   0),"")</f>
        <v>0</v>
      </c>
      <c r="G6" s="98">
        <f ca="1">IFERROR(IF(AND(G$2 &gt;= EOMONTH(_xlfn.XLOOKUP($A6,Table_query[Name],Table_query[Start Date]),-1)+1, G$3 &lt;= _xlfn.XLOOKUP('Q Spread Calculation'!$A6,Table_query[Name],Table_query[Expiry Date])),
   _xlfn.XLOOKUP('Q Spread Calculation'!$A6,Table_query[Name],Table_query[Monthly Gross Margin Contribution]),
   0),"")</f>
        <v>0</v>
      </c>
      <c r="H6" s="98">
        <f ca="1">IFERROR(IF(AND(H$2 &gt;= EOMONTH(_xlfn.XLOOKUP($A6,Table_query[Name],Table_query[Start Date]),-1)+1, H$3 &lt;= _xlfn.XLOOKUP('Q Spread Calculation'!$A6,Table_query[Name],Table_query[Expiry Date])),
   _xlfn.XLOOKUP('Q Spread Calculation'!$A6,Table_query[Name],Table_query[Monthly Gross Margin Contribution]),
   0),"")</f>
        <v>0</v>
      </c>
      <c r="I6" s="98">
        <f ca="1">IFERROR(IF(AND(I$2 &gt;= EOMONTH(_xlfn.XLOOKUP($A6,Table_query[Name],Table_query[Start Date]),-1)+1, I$3 &lt;= _xlfn.XLOOKUP('Q Spread Calculation'!$A6,Table_query[Name],Table_query[Expiry Date])),
   _xlfn.XLOOKUP('Q Spread Calculation'!$A6,Table_query[Name],Table_query[Monthly Gross Margin Contribution]),
   0),"")</f>
        <v>0</v>
      </c>
      <c r="J6" s="98">
        <f ca="1">IFERROR(IF(AND(J$2 &gt;= EOMONTH(_xlfn.XLOOKUP($A6,Table_query[Name],Table_query[Start Date]),-1)+1, J$3 &lt;= _xlfn.XLOOKUP('Q Spread Calculation'!$A6,Table_query[Name],Table_query[Expiry Date])),
   _xlfn.XLOOKUP('Q Spread Calculation'!$A6,Table_query[Name],Table_query[Monthly Gross Margin Contribution]),
   0),"")</f>
        <v>0</v>
      </c>
      <c r="K6" s="98">
        <f ca="1">IFERROR(IF(AND(K$2 &gt;= EOMONTH(_xlfn.XLOOKUP($A6,Table_query[Name],Table_query[Start Date]),-1)+1, K$3 &lt;= _xlfn.XLOOKUP('Q Spread Calculation'!$A6,Table_query[Name],Table_query[Expiry Date])),
   _xlfn.XLOOKUP('Q Spread Calculation'!$A6,Table_query[Name],Table_query[Monthly Gross Margin Contribution]),
   0),"")</f>
        <v>0</v>
      </c>
      <c r="L6" s="98">
        <f ca="1">IFERROR(IF(AND(L$2 &gt;= EOMONTH(_xlfn.XLOOKUP($A6,Table_query[Name],Table_query[Start Date]),-1)+1, L$3 &lt;= _xlfn.XLOOKUP('Q Spread Calculation'!$A6,Table_query[Name],Table_query[Expiry Date])),
   _xlfn.XLOOKUP('Q Spread Calculation'!$A6,Table_query[Name],Table_query[Monthly Gross Margin Contribution]),
   0),"")</f>
        <v>0</v>
      </c>
      <c r="M6" s="98">
        <f ca="1">IFERROR(IF(AND(M$2 &gt;= EOMONTH(_xlfn.XLOOKUP($A6,Table_query[Name],Table_query[Start Date]),-1)+1, M$3 &lt;= _xlfn.XLOOKUP('Q Spread Calculation'!$A6,Table_query[Name],Table_query[Expiry Date])),
   _xlfn.XLOOKUP('Q Spread Calculation'!$A6,Table_query[Name],Table_query[Monthly Gross Margin Contribution]),
   0),"")</f>
        <v>0</v>
      </c>
      <c r="N6" s="98">
        <f ca="1">IFERROR(IF(AND(N$2 &gt;= EOMONTH(_xlfn.XLOOKUP($A6,Table_query[Name],Table_query[Start Date]),-1)+1, N$3 &lt;= _xlfn.XLOOKUP('Q Spread Calculation'!$A6,Table_query[Name],Table_query[Expiry Date])),
   _xlfn.XLOOKUP('Q Spread Calculation'!$A6,Table_query[Name],Table_query[Monthly Gross Margin Contribution]),
   0),"")</f>
        <v>0</v>
      </c>
      <c r="O6" s="98">
        <f ca="1">IFERROR(IF(AND(O$2 &gt;= EOMONTH(_xlfn.XLOOKUP($A6,Table_query[Name],Table_query[Start Date]),-1)+1, O$3 &lt;= _xlfn.XLOOKUP('Q Spread Calculation'!$A6,Table_query[Name],Table_query[Expiry Date])),
   _xlfn.XLOOKUP('Q Spread Calculation'!$A6,Table_query[Name],Table_query[Monthly Gross Margin Contribution]),
   0),"")</f>
        <v>35714.285714285717</v>
      </c>
      <c r="P6" s="98">
        <f ca="1">IFERROR(IF(AND(P$2 &gt;= EOMONTH(_xlfn.XLOOKUP($A6,Table_query[Name],Table_query[Start Date]),-1)+1, P$3 &lt;= _xlfn.XLOOKUP('Q Spread Calculation'!$A6,Table_query[Name],Table_query[Expiry Date])),
   _xlfn.XLOOKUP('Q Spread Calculation'!$A6,Table_query[Name],Table_query[Monthly Gross Margin Contribution]),
   0),"")</f>
        <v>35714.285714285717</v>
      </c>
      <c r="Q6" t="str">
        <f ca="1">_xlfn.XLOOKUP(A6,Table_query[Name],Table_query[Phase])</f>
        <v>2.Q - Qualified</v>
      </c>
      <c r="S6" t="str">
        <f ca="1"/>
        <v>DAFXXX Trade and Imports Comeback</v>
      </c>
      <c r="T6" t="str">
        <f ca="1"/>
        <v>Q</v>
      </c>
      <c r="U6" t="str">
        <f ca="1"/>
        <v>DAFF</v>
      </c>
      <c r="V6" t="str">
        <f ca="1"/>
        <v>Good</v>
      </c>
      <c r="W6">
        <f ca="1">IFERROR(IF(AND(W$2 &gt;= EOMONTH(_xlfn.XLOOKUP($S6,Table_query[Name],Table_query[Start Date]),-1)+1, W$3 &lt;= _xlfn.XLOOKUP('Q Spread Calculation'!$S6,Table_query[Name],Table_query[Expiry Date])),
   _xlfn.XLOOKUP('Q Spread Calculation'!$S6,Table_query[Name],Table_query[Monthly Revenue Spread]),
   0),"")</f>
        <v>0</v>
      </c>
      <c r="X6">
        <f ca="1">IFERROR(IF(AND(X$2 &gt;= EOMONTH(_xlfn.XLOOKUP($S6,Table_query[Name],Table_query[Start Date]),-1)+1, X$3 &lt;= _xlfn.XLOOKUP('Q Spread Calculation'!$S6,Table_query[Name],Table_query[Expiry Date])),
   _xlfn.XLOOKUP('Q Spread Calculation'!$S6,Table_query[Name],Table_query[Monthly Revenue Spread]),
   0),"")</f>
        <v>0</v>
      </c>
      <c r="Y6">
        <f ca="1">IFERROR(IF(AND(Y$2 &gt;= EOMONTH(_xlfn.XLOOKUP($S6,Table_query[Name],Table_query[Start Date]),-1)+1, Y$3 &lt;= _xlfn.XLOOKUP('Q Spread Calculation'!$S6,Table_query[Name],Table_query[Expiry Date])),
   _xlfn.XLOOKUP('Q Spread Calculation'!$S6,Table_query[Name],Table_query[Monthly Revenue Spread]),
   0),"")</f>
        <v>0</v>
      </c>
      <c r="Z6">
        <f ca="1">IFERROR(IF(AND(Z$2 &gt;= EOMONTH(_xlfn.XLOOKUP($S6,Table_query[Name],Table_query[Start Date]),-1)+1, Z$3 &lt;= _xlfn.XLOOKUP('Q Spread Calculation'!$S6,Table_query[Name],Table_query[Expiry Date])),
   _xlfn.XLOOKUP('Q Spread Calculation'!$S6,Table_query[Name],Table_query[Monthly Revenue Spread]),
   0),"")</f>
        <v>0</v>
      </c>
      <c r="AA6">
        <f ca="1">IFERROR(IF(AND(AA$2 &gt;= EOMONTH(_xlfn.XLOOKUP($S6,Table_query[Name],Table_query[Start Date]),-1)+1, AA$3 &lt;= _xlfn.XLOOKUP('Q Spread Calculation'!$S6,Table_query[Name],Table_query[Expiry Date])),
   _xlfn.XLOOKUP('Q Spread Calculation'!$S6,Table_query[Name],Table_query[Monthly Revenue Spread]),
   0),"")</f>
        <v>0</v>
      </c>
      <c r="AB6">
        <f ca="1">IFERROR(IF(AND(AB$2 &gt;= EOMONTH(_xlfn.XLOOKUP($S6,Table_query[Name],Table_query[Start Date]),-1)+1, AB$3 &lt;= _xlfn.XLOOKUP('Q Spread Calculation'!$S6,Table_query[Name],Table_query[Expiry Date])),
   _xlfn.XLOOKUP('Q Spread Calculation'!$S6,Table_query[Name],Table_query[Monthly Revenue Spread]),
   0),"")</f>
        <v>0</v>
      </c>
      <c r="AC6">
        <f ca="1">IFERROR(IF(AND(AC$2 &gt;= EOMONTH(_xlfn.XLOOKUP($S6,Table_query[Name],Table_query[Start Date]),-1)+1, AC$3 &lt;= _xlfn.XLOOKUP('Q Spread Calculation'!$S6,Table_query[Name],Table_query[Expiry Date])),
   _xlfn.XLOOKUP('Q Spread Calculation'!$S6,Table_query[Name],Table_query[Monthly Revenue Spread]),
   0),"")</f>
        <v>0</v>
      </c>
      <c r="AD6">
        <f ca="1">IFERROR(IF(AND(AD$2 &gt;= EOMONTH(_xlfn.XLOOKUP($S6,Table_query[Name],Table_query[Start Date]),-1)+1, AD$3 &lt;= _xlfn.XLOOKUP('Q Spread Calculation'!$S6,Table_query[Name],Table_query[Expiry Date])),
   _xlfn.XLOOKUP('Q Spread Calculation'!$S6,Table_query[Name],Table_query[Monthly Revenue Spread]),
   0),"")</f>
        <v>0</v>
      </c>
      <c r="AE6">
        <f ca="1">IFERROR(IF(AND(AE$2 &gt;= EOMONTH(_xlfn.XLOOKUP($S6,Table_query[Name],Table_query[Start Date]),-1)+1, AE$3 &lt;= _xlfn.XLOOKUP('Q Spread Calculation'!$S6,Table_query[Name],Table_query[Expiry Date])),
   _xlfn.XLOOKUP('Q Spread Calculation'!$S6,Table_query[Name],Table_query[Monthly Revenue Spread]),
   0),"")</f>
        <v>0</v>
      </c>
      <c r="AF6">
        <f ca="1">IFERROR(IF(AND(AF$2 &gt;= EOMONTH(_xlfn.XLOOKUP($S6,Table_query[Name],Table_query[Start Date]),-1)+1, AF$3 &lt;= _xlfn.XLOOKUP('Q Spread Calculation'!$S6,Table_query[Name],Table_query[Expiry Date])),
   _xlfn.XLOOKUP('Q Spread Calculation'!$S6,Table_query[Name],Table_query[Monthly Revenue Spread]),
   0),"")</f>
        <v>0</v>
      </c>
      <c r="AG6">
        <f ca="1">IFERROR(IF(AND(AG$2 &gt;= EOMONTH(_xlfn.XLOOKUP($S6,Table_query[Name],Table_query[Start Date]),-1)+1, AG$3 &lt;= _xlfn.XLOOKUP('Q Spread Calculation'!$S6,Table_query[Name],Table_query[Expiry Date])),
   _xlfn.XLOOKUP('Q Spread Calculation'!$S6,Table_query[Name],Table_query[Monthly Revenue Spread]),
   0),"")</f>
        <v>142857.14285714287</v>
      </c>
      <c r="AH6">
        <f ca="1">IFERROR(IF(AND(AH$2 &gt;= EOMONTH(_xlfn.XLOOKUP($S6,Table_query[Name],Table_query[Start Date]),-1)+1, AH$3 &lt;= _xlfn.XLOOKUP('Q Spread Calculation'!$S6,Table_query[Name],Table_query[Expiry Date])),
   _xlfn.XLOOKUP('Q Spread Calculation'!$S6,Table_query[Name],Table_query[Monthly Revenue Spread]),
   0),"")</f>
        <v>142857.14285714287</v>
      </c>
      <c r="AI6" t="str">
        <f ca="1">_xlfn.XLOOKUP(S6,Table_query[Name],Table_query[Phase])</f>
        <v>2.Q - Qualified</v>
      </c>
    </row>
    <row r="7" spans="1:35" x14ac:dyDescent="0.25">
      <c r="A7" t="str">
        <f ca="1"/>
        <v>DOWXXX RFQ Downer Front Door Shared Services 202602</v>
      </c>
      <c r="B7" t="str">
        <f ca="1"/>
        <v>Q</v>
      </c>
      <c r="C7" t="str">
        <f ca="1"/>
        <v>GROWTH</v>
      </c>
      <c r="D7" t="str">
        <f ca="1"/>
        <v>Fair</v>
      </c>
      <c r="E7" s="98">
        <f ca="1">IFERROR(IF(AND(E$2 &gt;= EOMONTH(_xlfn.XLOOKUP($A7,Table_query[Name],Table_query[Start Date]),-1)+1, E$3 &lt;= _xlfn.XLOOKUP('Q Spread Calculation'!$A7,Table_query[Name],Table_query[Expiry Date])),
   _xlfn.XLOOKUP('Q Spread Calculation'!$A7,Table_query[Name],Table_query[Monthly Gross Margin Contribution]),
   0),"")</f>
        <v>0</v>
      </c>
      <c r="F7" s="98">
        <f ca="1">IFERROR(IF(AND(F$2 &gt;= EOMONTH(_xlfn.XLOOKUP($A7,Table_query[Name],Table_query[Start Date]),-1)+1, F$3 &lt;= _xlfn.XLOOKUP('Q Spread Calculation'!$A7,Table_query[Name],Table_query[Expiry Date])),
   _xlfn.XLOOKUP('Q Spread Calculation'!$A7,Table_query[Name],Table_query[Monthly Gross Margin Contribution]),
   0),"")</f>
        <v>0</v>
      </c>
      <c r="G7" s="98">
        <f ca="1">IFERROR(IF(AND(G$2 &gt;= EOMONTH(_xlfn.XLOOKUP($A7,Table_query[Name],Table_query[Start Date]),-1)+1, G$3 &lt;= _xlfn.XLOOKUP('Q Spread Calculation'!$A7,Table_query[Name],Table_query[Expiry Date])),
   _xlfn.XLOOKUP('Q Spread Calculation'!$A7,Table_query[Name],Table_query[Monthly Gross Margin Contribution]),
   0),"")</f>
        <v>0</v>
      </c>
      <c r="H7" s="98">
        <f ca="1">IFERROR(IF(AND(H$2 &gt;= EOMONTH(_xlfn.XLOOKUP($A7,Table_query[Name],Table_query[Start Date]),-1)+1, H$3 &lt;= _xlfn.XLOOKUP('Q Spread Calculation'!$A7,Table_query[Name],Table_query[Expiry Date])),
   _xlfn.XLOOKUP('Q Spread Calculation'!$A7,Table_query[Name],Table_query[Monthly Gross Margin Contribution]),
   0),"")</f>
        <v>0</v>
      </c>
      <c r="I7" s="98">
        <f ca="1">IFERROR(IF(AND(I$2 &gt;= EOMONTH(_xlfn.XLOOKUP($A7,Table_query[Name],Table_query[Start Date]),-1)+1, I$3 &lt;= _xlfn.XLOOKUP('Q Spread Calculation'!$A7,Table_query[Name],Table_query[Expiry Date])),
   _xlfn.XLOOKUP('Q Spread Calculation'!$A7,Table_query[Name],Table_query[Monthly Gross Margin Contribution]),
   0),"")</f>
        <v>0</v>
      </c>
      <c r="J7" s="98">
        <f ca="1">IFERROR(IF(AND(J$2 &gt;= EOMONTH(_xlfn.XLOOKUP($A7,Table_query[Name],Table_query[Start Date]),-1)+1, J$3 &lt;= _xlfn.XLOOKUP('Q Spread Calculation'!$A7,Table_query[Name],Table_query[Expiry Date])),
   _xlfn.XLOOKUP('Q Spread Calculation'!$A7,Table_query[Name],Table_query[Monthly Gross Margin Contribution]),
   0),"")</f>
        <v>0</v>
      </c>
      <c r="K7" s="98">
        <f ca="1">IFERROR(IF(AND(K$2 &gt;= EOMONTH(_xlfn.XLOOKUP($A7,Table_query[Name],Table_query[Start Date]),-1)+1, K$3 &lt;= _xlfn.XLOOKUP('Q Spread Calculation'!$A7,Table_query[Name],Table_query[Expiry Date])),
   _xlfn.XLOOKUP('Q Spread Calculation'!$A7,Table_query[Name],Table_query[Monthly Gross Margin Contribution]),
   0),"")</f>
        <v>0</v>
      </c>
      <c r="L7" s="98">
        <f ca="1">IFERROR(IF(AND(L$2 &gt;= EOMONTH(_xlfn.XLOOKUP($A7,Table_query[Name],Table_query[Start Date]),-1)+1, L$3 &lt;= _xlfn.XLOOKUP('Q Spread Calculation'!$A7,Table_query[Name],Table_query[Expiry Date])),
   _xlfn.XLOOKUP('Q Spread Calculation'!$A7,Table_query[Name],Table_query[Monthly Gross Margin Contribution]),
   0),"")</f>
        <v>0</v>
      </c>
      <c r="M7" s="98">
        <f ca="1">IFERROR(IF(AND(M$2 &gt;= EOMONTH(_xlfn.XLOOKUP($A7,Table_query[Name],Table_query[Start Date]),-1)+1, M$3 &lt;= _xlfn.XLOOKUP('Q Spread Calculation'!$A7,Table_query[Name],Table_query[Expiry Date])),
   _xlfn.XLOOKUP('Q Spread Calculation'!$A7,Table_query[Name],Table_query[Monthly Gross Margin Contribution]),
   0),"")</f>
        <v>0</v>
      </c>
      <c r="N7" s="98">
        <f ca="1">IFERROR(IF(AND(N$2 &gt;= EOMONTH(_xlfn.XLOOKUP($A7,Table_query[Name],Table_query[Start Date]),-1)+1, N$3 &lt;= _xlfn.XLOOKUP('Q Spread Calculation'!$A7,Table_query[Name],Table_query[Expiry Date])),
   _xlfn.XLOOKUP('Q Spread Calculation'!$A7,Table_query[Name],Table_query[Monthly Gross Margin Contribution]),
   0),"")</f>
        <v>21816</v>
      </c>
      <c r="O7" s="98">
        <f ca="1">IFERROR(IF(AND(O$2 &gt;= EOMONTH(_xlfn.XLOOKUP($A7,Table_query[Name],Table_query[Start Date]),-1)+1, O$3 &lt;= _xlfn.XLOOKUP('Q Spread Calculation'!$A7,Table_query[Name],Table_query[Expiry Date])),
   _xlfn.XLOOKUP('Q Spread Calculation'!$A7,Table_query[Name],Table_query[Monthly Gross Margin Contribution]),
   0),"")</f>
        <v>0</v>
      </c>
      <c r="P7" s="98">
        <f ca="1">IFERROR(IF(AND(P$2 &gt;= EOMONTH(_xlfn.XLOOKUP($A7,Table_query[Name],Table_query[Start Date]),-1)+1, P$3 &lt;= _xlfn.XLOOKUP('Q Spread Calculation'!$A7,Table_query[Name],Table_query[Expiry Date])),
   _xlfn.XLOOKUP('Q Spread Calculation'!$A7,Table_query[Name],Table_query[Monthly Gross Margin Contribution]),
   0),"")</f>
        <v>0</v>
      </c>
      <c r="Q7" t="str">
        <f ca="1">_xlfn.XLOOKUP(A7,Table_query[Name],Table_query[Phase])</f>
        <v>2.Q - Qualified</v>
      </c>
      <c r="S7" t="str">
        <f ca="1"/>
        <v>DOWXXX RFQ Downer Front Door Shared Services 202602</v>
      </c>
      <c r="T7" t="str">
        <f ca="1"/>
        <v>Q</v>
      </c>
      <c r="U7" t="str">
        <f ca="1"/>
        <v>GROWTH</v>
      </c>
      <c r="V7" t="str">
        <f ca="1"/>
        <v>Fair</v>
      </c>
      <c r="W7">
        <f ca="1">IFERROR(IF(AND(W$2 &gt;= EOMONTH(_xlfn.XLOOKUP($S7,Table_query[Name],Table_query[Start Date]),-1)+1, W$3 &lt;= _xlfn.XLOOKUP('Q Spread Calculation'!$S7,Table_query[Name],Table_query[Expiry Date])),
   _xlfn.XLOOKUP('Q Spread Calculation'!$S7,Table_query[Name],Table_query[Monthly Revenue Spread]),
   0),"")</f>
        <v>0</v>
      </c>
      <c r="X7">
        <f ca="1">IFERROR(IF(AND(X$2 &gt;= EOMONTH(_xlfn.XLOOKUP($S7,Table_query[Name],Table_query[Start Date]),-1)+1, X$3 &lt;= _xlfn.XLOOKUP('Q Spread Calculation'!$S7,Table_query[Name],Table_query[Expiry Date])),
   _xlfn.XLOOKUP('Q Spread Calculation'!$S7,Table_query[Name],Table_query[Monthly Revenue Spread]),
   0),"")</f>
        <v>0</v>
      </c>
      <c r="Y7">
        <f ca="1">IFERROR(IF(AND(Y$2 &gt;= EOMONTH(_xlfn.XLOOKUP($S7,Table_query[Name],Table_query[Start Date]),-1)+1, Y$3 &lt;= _xlfn.XLOOKUP('Q Spread Calculation'!$S7,Table_query[Name],Table_query[Expiry Date])),
   _xlfn.XLOOKUP('Q Spread Calculation'!$S7,Table_query[Name],Table_query[Monthly Revenue Spread]),
   0),"")</f>
        <v>0</v>
      </c>
      <c r="Z7">
        <f ca="1">IFERROR(IF(AND(Z$2 &gt;= EOMONTH(_xlfn.XLOOKUP($S7,Table_query[Name],Table_query[Start Date]),-1)+1, Z$3 &lt;= _xlfn.XLOOKUP('Q Spread Calculation'!$S7,Table_query[Name],Table_query[Expiry Date])),
   _xlfn.XLOOKUP('Q Spread Calculation'!$S7,Table_query[Name],Table_query[Monthly Revenue Spread]),
   0),"")</f>
        <v>0</v>
      </c>
      <c r="AA7">
        <f ca="1">IFERROR(IF(AND(AA$2 &gt;= EOMONTH(_xlfn.XLOOKUP($S7,Table_query[Name],Table_query[Start Date]),-1)+1, AA$3 &lt;= _xlfn.XLOOKUP('Q Spread Calculation'!$S7,Table_query[Name],Table_query[Expiry Date])),
   _xlfn.XLOOKUP('Q Spread Calculation'!$S7,Table_query[Name],Table_query[Monthly Revenue Spread]),
   0),"")</f>
        <v>0</v>
      </c>
      <c r="AB7">
        <f ca="1">IFERROR(IF(AND(AB$2 &gt;= EOMONTH(_xlfn.XLOOKUP($S7,Table_query[Name],Table_query[Start Date]),-1)+1, AB$3 &lt;= _xlfn.XLOOKUP('Q Spread Calculation'!$S7,Table_query[Name],Table_query[Expiry Date])),
   _xlfn.XLOOKUP('Q Spread Calculation'!$S7,Table_query[Name],Table_query[Monthly Revenue Spread]),
   0),"")</f>
        <v>0</v>
      </c>
      <c r="AC7">
        <f ca="1">IFERROR(IF(AND(AC$2 &gt;= EOMONTH(_xlfn.XLOOKUP($S7,Table_query[Name],Table_query[Start Date]),-1)+1, AC$3 &lt;= _xlfn.XLOOKUP('Q Spread Calculation'!$S7,Table_query[Name],Table_query[Expiry Date])),
   _xlfn.XLOOKUP('Q Spread Calculation'!$S7,Table_query[Name],Table_query[Monthly Revenue Spread]),
   0),"")</f>
        <v>0</v>
      </c>
      <c r="AD7">
        <f ca="1">IFERROR(IF(AND(AD$2 &gt;= EOMONTH(_xlfn.XLOOKUP($S7,Table_query[Name],Table_query[Start Date]),-1)+1, AD$3 &lt;= _xlfn.XLOOKUP('Q Spread Calculation'!$S7,Table_query[Name],Table_query[Expiry Date])),
   _xlfn.XLOOKUP('Q Spread Calculation'!$S7,Table_query[Name],Table_query[Monthly Revenue Spread]),
   0),"")</f>
        <v>0</v>
      </c>
      <c r="AE7">
        <f ca="1">IFERROR(IF(AND(AE$2 &gt;= EOMONTH(_xlfn.XLOOKUP($S7,Table_query[Name],Table_query[Start Date]),-1)+1, AE$3 &lt;= _xlfn.XLOOKUP('Q Spread Calculation'!$S7,Table_query[Name],Table_query[Expiry Date])),
   _xlfn.XLOOKUP('Q Spread Calculation'!$S7,Table_query[Name],Table_query[Monthly Revenue Spread]),
   0),"")</f>
        <v>0</v>
      </c>
      <c r="AF7">
        <f ca="1">IFERROR(IF(AND(AF$2 &gt;= EOMONTH(_xlfn.XLOOKUP($S7,Table_query[Name],Table_query[Start Date]),-1)+1, AF$3 &lt;= _xlfn.XLOOKUP('Q Spread Calculation'!$S7,Table_query[Name],Table_query[Expiry Date])),
   _xlfn.XLOOKUP('Q Spread Calculation'!$S7,Table_query[Name],Table_query[Monthly Revenue Spread]),
   0),"")</f>
        <v>72720</v>
      </c>
      <c r="AG7">
        <f ca="1">IFERROR(IF(AND(AG$2 &gt;= EOMONTH(_xlfn.XLOOKUP($S7,Table_query[Name],Table_query[Start Date]),-1)+1, AG$3 &lt;= _xlfn.XLOOKUP('Q Spread Calculation'!$S7,Table_query[Name],Table_query[Expiry Date])),
   _xlfn.XLOOKUP('Q Spread Calculation'!$S7,Table_query[Name],Table_query[Monthly Revenue Spread]),
   0),"")</f>
        <v>0</v>
      </c>
      <c r="AH7">
        <f ca="1">IFERROR(IF(AND(AH$2 &gt;= EOMONTH(_xlfn.XLOOKUP($S7,Table_query[Name],Table_query[Start Date]),-1)+1, AH$3 &lt;= _xlfn.XLOOKUP('Q Spread Calculation'!$S7,Table_query[Name],Table_query[Expiry Date])),
   _xlfn.XLOOKUP('Q Spread Calculation'!$S7,Table_query[Name],Table_query[Monthly Revenue Spread]),
   0),"")</f>
        <v>0</v>
      </c>
      <c r="AI7" t="str">
        <f ca="1">_xlfn.XLOOKUP(S7,Table_query[Name],Table_query[Phase])</f>
        <v>2.Q - Qualified</v>
      </c>
    </row>
    <row r="8" spans="1:35" x14ac:dyDescent="0.25">
      <c r="A8" t="str">
        <f ca="1"/>
        <v>DTAXXX RFQ ERP 202602</v>
      </c>
      <c r="B8" t="str">
        <f ca="1"/>
        <v>Q</v>
      </c>
      <c r="C8" t="str">
        <f ca="1"/>
        <v>GROWTH</v>
      </c>
      <c r="D8" t="str">
        <f ca="1"/>
        <v>Good</v>
      </c>
      <c r="E8" s="98" t="str">
        <f ca="1">IFERROR(IF(AND(E$2 &gt;= EOMONTH(_xlfn.XLOOKUP($A8,Table_query[Name],Table_query[Start Date]),-1)+1, E$3 &lt;= _xlfn.XLOOKUP('Q Spread Calculation'!$A8,Table_query[Name],Table_query[Expiry Date])),
   _xlfn.XLOOKUP('Q Spread Calculation'!$A8,Table_query[Name],Table_query[Monthly Gross Margin Contribution]),
   0),"")</f>
        <v/>
      </c>
      <c r="F8" s="98" t="str">
        <f ca="1">IFERROR(IF(AND(F$2 &gt;= EOMONTH(_xlfn.XLOOKUP($A8,Table_query[Name],Table_query[Start Date]),-1)+1, F$3 &lt;= _xlfn.XLOOKUP('Q Spread Calculation'!$A8,Table_query[Name],Table_query[Expiry Date])),
   _xlfn.XLOOKUP('Q Spread Calculation'!$A8,Table_query[Name],Table_query[Monthly Gross Margin Contribution]),
   0),"")</f>
        <v/>
      </c>
      <c r="G8" s="98" t="str">
        <f ca="1">IFERROR(IF(AND(G$2 &gt;= EOMONTH(_xlfn.XLOOKUP($A8,Table_query[Name],Table_query[Start Date]),-1)+1, G$3 &lt;= _xlfn.XLOOKUP('Q Spread Calculation'!$A8,Table_query[Name],Table_query[Expiry Date])),
   _xlfn.XLOOKUP('Q Spread Calculation'!$A8,Table_query[Name],Table_query[Monthly Gross Margin Contribution]),
   0),"")</f>
        <v/>
      </c>
      <c r="H8" s="98" t="str">
        <f ca="1">IFERROR(IF(AND(H$2 &gt;= EOMONTH(_xlfn.XLOOKUP($A8,Table_query[Name],Table_query[Start Date]),-1)+1, H$3 &lt;= _xlfn.XLOOKUP('Q Spread Calculation'!$A8,Table_query[Name],Table_query[Expiry Date])),
   _xlfn.XLOOKUP('Q Spread Calculation'!$A8,Table_query[Name],Table_query[Monthly Gross Margin Contribution]),
   0),"")</f>
        <v/>
      </c>
      <c r="I8" s="98" t="str">
        <f ca="1">IFERROR(IF(AND(I$2 &gt;= EOMONTH(_xlfn.XLOOKUP($A8,Table_query[Name],Table_query[Start Date]),-1)+1, I$3 &lt;= _xlfn.XLOOKUP('Q Spread Calculation'!$A8,Table_query[Name],Table_query[Expiry Date])),
   _xlfn.XLOOKUP('Q Spread Calculation'!$A8,Table_query[Name],Table_query[Monthly Gross Margin Contribution]),
   0),"")</f>
        <v/>
      </c>
      <c r="J8" s="98" t="str">
        <f ca="1">IFERROR(IF(AND(J$2 &gt;= EOMONTH(_xlfn.XLOOKUP($A8,Table_query[Name],Table_query[Start Date]),-1)+1, J$3 &lt;= _xlfn.XLOOKUP('Q Spread Calculation'!$A8,Table_query[Name],Table_query[Expiry Date])),
   _xlfn.XLOOKUP('Q Spread Calculation'!$A8,Table_query[Name],Table_query[Monthly Gross Margin Contribution]),
   0),"")</f>
        <v/>
      </c>
      <c r="K8" s="98" t="str">
        <f ca="1">IFERROR(IF(AND(K$2 &gt;= EOMONTH(_xlfn.XLOOKUP($A8,Table_query[Name],Table_query[Start Date]),-1)+1, K$3 &lt;= _xlfn.XLOOKUP('Q Spread Calculation'!$A8,Table_query[Name],Table_query[Expiry Date])),
   _xlfn.XLOOKUP('Q Spread Calculation'!$A8,Table_query[Name],Table_query[Monthly Gross Margin Contribution]),
   0),"")</f>
        <v/>
      </c>
      <c r="L8" s="98" t="str">
        <f ca="1">IFERROR(IF(AND(L$2 &gt;= EOMONTH(_xlfn.XLOOKUP($A8,Table_query[Name],Table_query[Start Date]),-1)+1, L$3 &lt;= _xlfn.XLOOKUP('Q Spread Calculation'!$A8,Table_query[Name],Table_query[Expiry Date])),
   _xlfn.XLOOKUP('Q Spread Calculation'!$A8,Table_query[Name],Table_query[Monthly Gross Margin Contribution]),
   0),"")</f>
        <v/>
      </c>
      <c r="M8" s="98" t="str">
        <f ca="1">IFERROR(IF(AND(M$2 &gt;= EOMONTH(_xlfn.XLOOKUP($A8,Table_query[Name],Table_query[Start Date]),-1)+1, M$3 &lt;= _xlfn.XLOOKUP('Q Spread Calculation'!$A8,Table_query[Name],Table_query[Expiry Date])),
   _xlfn.XLOOKUP('Q Spread Calculation'!$A8,Table_query[Name],Table_query[Monthly Gross Margin Contribution]),
   0),"")</f>
        <v/>
      </c>
      <c r="N8" s="98" t="str">
        <f ca="1">IFERROR(IF(AND(N$2 &gt;= EOMONTH(_xlfn.XLOOKUP($A8,Table_query[Name],Table_query[Start Date]),-1)+1, N$3 &lt;= _xlfn.XLOOKUP('Q Spread Calculation'!$A8,Table_query[Name],Table_query[Expiry Date])),
   _xlfn.XLOOKUP('Q Spread Calculation'!$A8,Table_query[Name],Table_query[Monthly Gross Margin Contribution]),
   0),"")</f>
        <v/>
      </c>
      <c r="O8" s="98" t="str">
        <f ca="1">IFERROR(IF(AND(O$2 &gt;= EOMONTH(_xlfn.XLOOKUP($A8,Table_query[Name],Table_query[Start Date]),-1)+1, O$3 &lt;= _xlfn.XLOOKUP('Q Spread Calculation'!$A8,Table_query[Name],Table_query[Expiry Date])),
   _xlfn.XLOOKUP('Q Spread Calculation'!$A8,Table_query[Name],Table_query[Monthly Gross Margin Contribution]),
   0),"")</f>
        <v/>
      </c>
      <c r="P8" s="98" t="str">
        <f ca="1">IFERROR(IF(AND(P$2 &gt;= EOMONTH(_xlfn.XLOOKUP($A8,Table_query[Name],Table_query[Start Date]),-1)+1, P$3 &lt;= _xlfn.XLOOKUP('Q Spread Calculation'!$A8,Table_query[Name],Table_query[Expiry Date])),
   _xlfn.XLOOKUP('Q Spread Calculation'!$A8,Table_query[Name],Table_query[Monthly Gross Margin Contribution]),
   0),"")</f>
        <v/>
      </c>
      <c r="Q8" t="str">
        <f ca="1">_xlfn.XLOOKUP(A8,Table_query[Name],Table_query[Phase])</f>
        <v>2.Q - Qualified</v>
      </c>
      <c r="S8" t="str">
        <f ca="1"/>
        <v>DTAXXX RFQ ERP 202602</v>
      </c>
      <c r="T8" t="str">
        <f ca="1"/>
        <v>Q</v>
      </c>
      <c r="U8" t="str">
        <f ca="1"/>
        <v>GROWTH</v>
      </c>
      <c r="V8" t="str">
        <f ca="1"/>
        <v>Good</v>
      </c>
      <c r="W8" t="str">
        <f ca="1">IFERROR(IF(AND(W$2 &gt;= EOMONTH(_xlfn.XLOOKUP($S8,Table_query[Name],Table_query[Start Date]),-1)+1, W$3 &lt;= _xlfn.XLOOKUP('Q Spread Calculation'!$S8,Table_query[Name],Table_query[Expiry Date])),
   _xlfn.XLOOKUP('Q Spread Calculation'!$S8,Table_query[Name],Table_query[Monthly Revenue Spread]),
   0),"")</f>
        <v/>
      </c>
      <c r="X8" t="str">
        <f ca="1">IFERROR(IF(AND(X$2 &gt;= EOMONTH(_xlfn.XLOOKUP($S8,Table_query[Name],Table_query[Start Date]),-1)+1, X$3 &lt;= _xlfn.XLOOKUP('Q Spread Calculation'!$S8,Table_query[Name],Table_query[Expiry Date])),
   _xlfn.XLOOKUP('Q Spread Calculation'!$S8,Table_query[Name],Table_query[Monthly Revenue Spread]),
   0),"")</f>
        <v/>
      </c>
      <c r="Y8" t="str">
        <f ca="1">IFERROR(IF(AND(Y$2 &gt;= EOMONTH(_xlfn.XLOOKUP($S8,Table_query[Name],Table_query[Start Date]),-1)+1, Y$3 &lt;= _xlfn.XLOOKUP('Q Spread Calculation'!$S8,Table_query[Name],Table_query[Expiry Date])),
   _xlfn.XLOOKUP('Q Spread Calculation'!$S8,Table_query[Name],Table_query[Monthly Revenue Spread]),
   0),"")</f>
        <v/>
      </c>
      <c r="Z8" t="str">
        <f ca="1">IFERROR(IF(AND(Z$2 &gt;= EOMONTH(_xlfn.XLOOKUP($S8,Table_query[Name],Table_query[Start Date]),-1)+1, Z$3 &lt;= _xlfn.XLOOKUP('Q Spread Calculation'!$S8,Table_query[Name],Table_query[Expiry Date])),
   _xlfn.XLOOKUP('Q Spread Calculation'!$S8,Table_query[Name],Table_query[Monthly Revenue Spread]),
   0),"")</f>
        <v/>
      </c>
      <c r="AA8" t="str">
        <f ca="1">IFERROR(IF(AND(AA$2 &gt;= EOMONTH(_xlfn.XLOOKUP($S8,Table_query[Name],Table_query[Start Date]),-1)+1, AA$3 &lt;= _xlfn.XLOOKUP('Q Spread Calculation'!$S8,Table_query[Name],Table_query[Expiry Date])),
   _xlfn.XLOOKUP('Q Spread Calculation'!$S8,Table_query[Name],Table_query[Monthly Revenue Spread]),
   0),"")</f>
        <v/>
      </c>
      <c r="AB8" t="str">
        <f ca="1">IFERROR(IF(AND(AB$2 &gt;= EOMONTH(_xlfn.XLOOKUP($S8,Table_query[Name],Table_query[Start Date]),-1)+1, AB$3 &lt;= _xlfn.XLOOKUP('Q Spread Calculation'!$S8,Table_query[Name],Table_query[Expiry Date])),
   _xlfn.XLOOKUP('Q Spread Calculation'!$S8,Table_query[Name],Table_query[Monthly Revenue Spread]),
   0),"")</f>
        <v/>
      </c>
      <c r="AC8" t="str">
        <f ca="1">IFERROR(IF(AND(AC$2 &gt;= EOMONTH(_xlfn.XLOOKUP($S8,Table_query[Name],Table_query[Start Date]),-1)+1, AC$3 &lt;= _xlfn.XLOOKUP('Q Spread Calculation'!$S8,Table_query[Name],Table_query[Expiry Date])),
   _xlfn.XLOOKUP('Q Spread Calculation'!$S8,Table_query[Name],Table_query[Monthly Revenue Spread]),
   0),"")</f>
        <v/>
      </c>
      <c r="AD8" t="str">
        <f ca="1">IFERROR(IF(AND(AD$2 &gt;= EOMONTH(_xlfn.XLOOKUP($S8,Table_query[Name],Table_query[Start Date]),-1)+1, AD$3 &lt;= _xlfn.XLOOKUP('Q Spread Calculation'!$S8,Table_query[Name],Table_query[Expiry Date])),
   _xlfn.XLOOKUP('Q Spread Calculation'!$S8,Table_query[Name],Table_query[Monthly Revenue Spread]),
   0),"")</f>
        <v/>
      </c>
      <c r="AE8" t="str">
        <f ca="1">IFERROR(IF(AND(AE$2 &gt;= EOMONTH(_xlfn.XLOOKUP($S8,Table_query[Name],Table_query[Start Date]),-1)+1, AE$3 &lt;= _xlfn.XLOOKUP('Q Spread Calculation'!$S8,Table_query[Name],Table_query[Expiry Date])),
   _xlfn.XLOOKUP('Q Spread Calculation'!$S8,Table_query[Name],Table_query[Monthly Revenue Spread]),
   0),"")</f>
        <v/>
      </c>
      <c r="AF8" t="str">
        <f ca="1">IFERROR(IF(AND(AF$2 &gt;= EOMONTH(_xlfn.XLOOKUP($S8,Table_query[Name],Table_query[Start Date]),-1)+1, AF$3 &lt;= _xlfn.XLOOKUP('Q Spread Calculation'!$S8,Table_query[Name],Table_query[Expiry Date])),
   _xlfn.XLOOKUP('Q Spread Calculation'!$S8,Table_query[Name],Table_query[Monthly Revenue Spread]),
   0),"")</f>
        <v/>
      </c>
      <c r="AG8" t="str">
        <f ca="1">IFERROR(IF(AND(AG$2 &gt;= EOMONTH(_xlfn.XLOOKUP($S8,Table_query[Name],Table_query[Start Date]),-1)+1, AG$3 &lt;= _xlfn.XLOOKUP('Q Spread Calculation'!$S8,Table_query[Name],Table_query[Expiry Date])),
   _xlfn.XLOOKUP('Q Spread Calculation'!$S8,Table_query[Name],Table_query[Monthly Revenue Spread]),
   0),"")</f>
        <v/>
      </c>
      <c r="AH8" t="str">
        <f ca="1">IFERROR(IF(AND(AH$2 &gt;= EOMONTH(_xlfn.XLOOKUP($S8,Table_query[Name],Table_query[Start Date]),-1)+1, AH$3 &lt;= _xlfn.XLOOKUP('Q Spread Calculation'!$S8,Table_query[Name],Table_query[Expiry Date])),
   _xlfn.XLOOKUP('Q Spread Calculation'!$S8,Table_query[Name],Table_query[Monthly Revenue Spread]),
   0),"")</f>
        <v/>
      </c>
      <c r="AI8" t="str">
        <f ca="1">_xlfn.XLOOKUP(S8,Table_query[Name],Table_query[Phase])</f>
        <v>2.Q - Qualified</v>
      </c>
    </row>
    <row r="9" spans="1:35" x14ac:dyDescent="0.25">
      <c r="A9" t="str">
        <f ca="1"/>
        <v>VICXXX DJSIR Opp 1 Technical T&amp;M</v>
      </c>
      <c r="B9" t="str">
        <f ca="1"/>
        <v>Q</v>
      </c>
      <c r="C9" t="str">
        <f ca="1"/>
        <v>Vic Gov</v>
      </c>
      <c r="D9" t="str">
        <f ca="1"/>
        <v>Good</v>
      </c>
      <c r="E9" s="98">
        <f ca="1">IFERROR(IF(AND(E$2 &gt;= EOMONTH(_xlfn.XLOOKUP($A9,Table_query[Name],Table_query[Start Date]),-1)+1, E$3 &lt;= _xlfn.XLOOKUP('Q Spread Calculation'!$A9,Table_query[Name],Table_query[Expiry Date])),
   _xlfn.XLOOKUP('Q Spread Calculation'!$A9,Table_query[Name],Table_query[Monthly Gross Margin Contribution]),
   0),"")</f>
        <v>0</v>
      </c>
      <c r="F9" s="98">
        <f ca="1">IFERROR(IF(AND(F$2 &gt;= EOMONTH(_xlfn.XLOOKUP($A9,Table_query[Name],Table_query[Start Date]),-1)+1, F$3 &lt;= _xlfn.XLOOKUP('Q Spread Calculation'!$A9,Table_query[Name],Table_query[Expiry Date])),
   _xlfn.XLOOKUP('Q Spread Calculation'!$A9,Table_query[Name],Table_query[Monthly Gross Margin Contribution]),
   0),"")</f>
        <v>0</v>
      </c>
      <c r="G9" s="98">
        <f ca="1">IFERROR(IF(AND(G$2 &gt;= EOMONTH(_xlfn.XLOOKUP($A9,Table_query[Name],Table_query[Start Date]),-1)+1, G$3 &lt;= _xlfn.XLOOKUP('Q Spread Calculation'!$A9,Table_query[Name],Table_query[Expiry Date])),
   _xlfn.XLOOKUP('Q Spread Calculation'!$A9,Table_query[Name],Table_query[Monthly Gross Margin Contribution]),
   0),"")</f>
        <v>0</v>
      </c>
      <c r="H9" s="98">
        <f ca="1">IFERROR(IF(AND(H$2 &gt;= EOMONTH(_xlfn.XLOOKUP($A9,Table_query[Name],Table_query[Start Date]),-1)+1, H$3 &lt;= _xlfn.XLOOKUP('Q Spread Calculation'!$A9,Table_query[Name],Table_query[Expiry Date])),
   _xlfn.XLOOKUP('Q Spread Calculation'!$A9,Table_query[Name],Table_query[Monthly Gross Margin Contribution]),
   0),"")</f>
        <v>0</v>
      </c>
      <c r="I9" s="98">
        <f ca="1">IFERROR(IF(AND(I$2 &gt;= EOMONTH(_xlfn.XLOOKUP($A9,Table_query[Name],Table_query[Start Date]),-1)+1, I$3 &lt;= _xlfn.XLOOKUP('Q Spread Calculation'!$A9,Table_query[Name],Table_query[Expiry Date])),
   _xlfn.XLOOKUP('Q Spread Calculation'!$A9,Table_query[Name],Table_query[Monthly Gross Margin Contribution]),
   0),"")</f>
        <v>0</v>
      </c>
      <c r="J9" s="98">
        <f ca="1">IFERROR(IF(AND(J$2 &gt;= EOMONTH(_xlfn.XLOOKUP($A9,Table_query[Name],Table_query[Start Date]),-1)+1, J$3 &lt;= _xlfn.XLOOKUP('Q Spread Calculation'!$A9,Table_query[Name],Table_query[Expiry Date])),
   _xlfn.XLOOKUP('Q Spread Calculation'!$A9,Table_query[Name],Table_query[Monthly Gross Margin Contribution]),
   0),"")</f>
        <v>0</v>
      </c>
      <c r="K9" s="98">
        <f ca="1">IFERROR(IF(AND(K$2 &gt;= EOMONTH(_xlfn.XLOOKUP($A9,Table_query[Name],Table_query[Start Date]),-1)+1, K$3 &lt;= _xlfn.XLOOKUP('Q Spread Calculation'!$A9,Table_query[Name],Table_query[Expiry Date])),
   _xlfn.XLOOKUP('Q Spread Calculation'!$A9,Table_query[Name],Table_query[Monthly Gross Margin Contribution]),
   0),"")</f>
        <v>0</v>
      </c>
      <c r="L9" s="98">
        <f ca="1">IFERROR(IF(AND(L$2 &gt;= EOMONTH(_xlfn.XLOOKUP($A9,Table_query[Name],Table_query[Start Date]),-1)+1, L$3 &lt;= _xlfn.XLOOKUP('Q Spread Calculation'!$A9,Table_query[Name],Table_query[Expiry Date])),
   _xlfn.XLOOKUP('Q Spread Calculation'!$A9,Table_query[Name],Table_query[Monthly Gross Margin Contribution]),
   0),"")</f>
        <v>18000</v>
      </c>
      <c r="M9" s="98">
        <f ca="1">IFERROR(IF(AND(M$2 &gt;= EOMONTH(_xlfn.XLOOKUP($A9,Table_query[Name],Table_query[Start Date]),-1)+1, M$3 &lt;= _xlfn.XLOOKUP('Q Spread Calculation'!$A9,Table_query[Name],Table_query[Expiry Date])),
   _xlfn.XLOOKUP('Q Spread Calculation'!$A9,Table_query[Name],Table_query[Monthly Gross Margin Contribution]),
   0),"")</f>
        <v>18000</v>
      </c>
      <c r="N9" s="98">
        <f ca="1">IFERROR(IF(AND(N$2 &gt;= EOMONTH(_xlfn.XLOOKUP($A9,Table_query[Name],Table_query[Start Date]),-1)+1, N$3 &lt;= _xlfn.XLOOKUP('Q Spread Calculation'!$A9,Table_query[Name],Table_query[Expiry Date])),
   _xlfn.XLOOKUP('Q Spread Calculation'!$A9,Table_query[Name],Table_query[Monthly Gross Margin Contribution]),
   0),"")</f>
        <v>18000</v>
      </c>
      <c r="O9" s="98">
        <f ca="1">IFERROR(IF(AND(O$2 &gt;= EOMONTH(_xlfn.XLOOKUP($A9,Table_query[Name],Table_query[Start Date]),-1)+1, O$3 &lt;= _xlfn.XLOOKUP('Q Spread Calculation'!$A9,Table_query[Name],Table_query[Expiry Date])),
   _xlfn.XLOOKUP('Q Spread Calculation'!$A9,Table_query[Name],Table_query[Monthly Gross Margin Contribution]),
   0),"")</f>
        <v>18000</v>
      </c>
      <c r="P9" s="98">
        <f ca="1">IFERROR(IF(AND(P$2 &gt;= EOMONTH(_xlfn.XLOOKUP($A9,Table_query[Name],Table_query[Start Date]),-1)+1, P$3 &lt;= _xlfn.XLOOKUP('Q Spread Calculation'!$A9,Table_query[Name],Table_query[Expiry Date])),
   _xlfn.XLOOKUP('Q Spread Calculation'!$A9,Table_query[Name],Table_query[Monthly Gross Margin Contribution]),
   0),"")</f>
        <v>18000</v>
      </c>
      <c r="Q9" t="str">
        <f ca="1">_xlfn.XLOOKUP(A9,Table_query[Name],Table_query[Phase])</f>
        <v>2.Q - Qualified</v>
      </c>
      <c r="S9" t="str">
        <f ca="1"/>
        <v>VICXXX DJSIR Opp 1 Technical T&amp;M</v>
      </c>
      <c r="T9" t="str">
        <f ca="1"/>
        <v>Q</v>
      </c>
      <c r="U9" t="str">
        <f ca="1"/>
        <v>Vic Gov</v>
      </c>
      <c r="V9" t="str">
        <f ca="1"/>
        <v>Good</v>
      </c>
      <c r="W9">
        <f ca="1">IFERROR(IF(AND(W$2 &gt;= EOMONTH(_xlfn.XLOOKUP($S9,Table_query[Name],Table_query[Start Date]),-1)+1, W$3 &lt;= _xlfn.XLOOKUP('Q Spread Calculation'!$S9,Table_query[Name],Table_query[Expiry Date])),
   _xlfn.XLOOKUP('Q Spread Calculation'!$S9,Table_query[Name],Table_query[Monthly Revenue Spread]),
   0),"")</f>
        <v>0</v>
      </c>
      <c r="X9">
        <f ca="1">IFERROR(IF(AND(X$2 &gt;= EOMONTH(_xlfn.XLOOKUP($S9,Table_query[Name],Table_query[Start Date]),-1)+1, X$3 &lt;= _xlfn.XLOOKUP('Q Spread Calculation'!$S9,Table_query[Name],Table_query[Expiry Date])),
   _xlfn.XLOOKUP('Q Spread Calculation'!$S9,Table_query[Name],Table_query[Monthly Revenue Spread]),
   0),"")</f>
        <v>0</v>
      </c>
      <c r="Y9">
        <f ca="1">IFERROR(IF(AND(Y$2 &gt;= EOMONTH(_xlfn.XLOOKUP($S9,Table_query[Name],Table_query[Start Date]),-1)+1, Y$3 &lt;= _xlfn.XLOOKUP('Q Spread Calculation'!$S9,Table_query[Name],Table_query[Expiry Date])),
   _xlfn.XLOOKUP('Q Spread Calculation'!$S9,Table_query[Name],Table_query[Monthly Revenue Spread]),
   0),"")</f>
        <v>0</v>
      </c>
      <c r="Z9">
        <f ca="1">IFERROR(IF(AND(Z$2 &gt;= EOMONTH(_xlfn.XLOOKUP($S9,Table_query[Name],Table_query[Start Date]),-1)+1, Z$3 &lt;= _xlfn.XLOOKUP('Q Spread Calculation'!$S9,Table_query[Name],Table_query[Expiry Date])),
   _xlfn.XLOOKUP('Q Spread Calculation'!$S9,Table_query[Name],Table_query[Monthly Revenue Spread]),
   0),"")</f>
        <v>0</v>
      </c>
      <c r="AA9">
        <f ca="1">IFERROR(IF(AND(AA$2 &gt;= EOMONTH(_xlfn.XLOOKUP($S9,Table_query[Name],Table_query[Start Date]),-1)+1, AA$3 &lt;= _xlfn.XLOOKUP('Q Spread Calculation'!$S9,Table_query[Name],Table_query[Expiry Date])),
   _xlfn.XLOOKUP('Q Spread Calculation'!$S9,Table_query[Name],Table_query[Monthly Revenue Spread]),
   0),"")</f>
        <v>0</v>
      </c>
      <c r="AB9">
        <f ca="1">IFERROR(IF(AND(AB$2 &gt;= EOMONTH(_xlfn.XLOOKUP($S9,Table_query[Name],Table_query[Start Date]),-1)+1, AB$3 &lt;= _xlfn.XLOOKUP('Q Spread Calculation'!$S9,Table_query[Name],Table_query[Expiry Date])),
   _xlfn.XLOOKUP('Q Spread Calculation'!$S9,Table_query[Name],Table_query[Monthly Revenue Spread]),
   0),"")</f>
        <v>0</v>
      </c>
      <c r="AC9">
        <f ca="1">IFERROR(IF(AND(AC$2 &gt;= EOMONTH(_xlfn.XLOOKUP($S9,Table_query[Name],Table_query[Start Date]),-1)+1, AC$3 &lt;= _xlfn.XLOOKUP('Q Spread Calculation'!$S9,Table_query[Name],Table_query[Expiry Date])),
   _xlfn.XLOOKUP('Q Spread Calculation'!$S9,Table_query[Name],Table_query[Monthly Revenue Spread]),
   0),"")</f>
        <v>0</v>
      </c>
      <c r="AD9">
        <f ca="1">IFERROR(IF(AND(AD$2 &gt;= EOMONTH(_xlfn.XLOOKUP($S9,Table_query[Name],Table_query[Start Date]),-1)+1, AD$3 &lt;= _xlfn.XLOOKUP('Q Spread Calculation'!$S9,Table_query[Name],Table_query[Expiry Date])),
   _xlfn.XLOOKUP('Q Spread Calculation'!$S9,Table_query[Name],Table_query[Monthly Revenue Spread]),
   0),"")</f>
        <v>120000</v>
      </c>
      <c r="AE9">
        <f ca="1">IFERROR(IF(AND(AE$2 &gt;= EOMONTH(_xlfn.XLOOKUP($S9,Table_query[Name],Table_query[Start Date]),-1)+1, AE$3 &lt;= _xlfn.XLOOKUP('Q Spread Calculation'!$S9,Table_query[Name],Table_query[Expiry Date])),
   _xlfn.XLOOKUP('Q Spread Calculation'!$S9,Table_query[Name],Table_query[Monthly Revenue Spread]),
   0),"")</f>
        <v>120000</v>
      </c>
      <c r="AF9">
        <f ca="1">IFERROR(IF(AND(AF$2 &gt;= EOMONTH(_xlfn.XLOOKUP($S9,Table_query[Name],Table_query[Start Date]),-1)+1, AF$3 &lt;= _xlfn.XLOOKUP('Q Spread Calculation'!$S9,Table_query[Name],Table_query[Expiry Date])),
   _xlfn.XLOOKUP('Q Spread Calculation'!$S9,Table_query[Name],Table_query[Monthly Revenue Spread]),
   0),"")</f>
        <v>120000</v>
      </c>
      <c r="AG9">
        <f ca="1">IFERROR(IF(AND(AG$2 &gt;= EOMONTH(_xlfn.XLOOKUP($S9,Table_query[Name],Table_query[Start Date]),-1)+1, AG$3 &lt;= _xlfn.XLOOKUP('Q Spread Calculation'!$S9,Table_query[Name],Table_query[Expiry Date])),
   _xlfn.XLOOKUP('Q Spread Calculation'!$S9,Table_query[Name],Table_query[Monthly Revenue Spread]),
   0),"")</f>
        <v>120000</v>
      </c>
      <c r="AH9">
        <f ca="1">IFERROR(IF(AND(AH$2 &gt;= EOMONTH(_xlfn.XLOOKUP($S9,Table_query[Name],Table_query[Start Date]),-1)+1, AH$3 &lt;= _xlfn.XLOOKUP('Q Spread Calculation'!$S9,Table_query[Name],Table_query[Expiry Date])),
   _xlfn.XLOOKUP('Q Spread Calculation'!$S9,Table_query[Name],Table_query[Monthly Revenue Spread]),
   0),"")</f>
        <v>120000</v>
      </c>
      <c r="AI9" t="str">
        <f ca="1">_xlfn.XLOOKUP(S9,Table_query[Name],Table_query[Phase])</f>
        <v>2.Q - Qualified</v>
      </c>
    </row>
    <row r="10" spans="1:35" x14ac:dyDescent="0.25">
      <c r="A10" t="str">
        <f ca="1"/>
        <v>VICXXX DJSIR Opp 2 Regional Hub Case Mgt</v>
      </c>
      <c r="B10" t="str">
        <f ca="1"/>
        <v>Q</v>
      </c>
      <c r="C10" t="str">
        <f ca="1"/>
        <v>Vic Gov</v>
      </c>
      <c r="D10" t="str">
        <f ca="1"/>
        <v>Fair</v>
      </c>
      <c r="E10" s="98">
        <f ca="1">IFERROR(IF(AND(E$2 &gt;= EOMONTH(_xlfn.XLOOKUP($A10,Table_query[Name],Table_query[Start Date]),-1)+1, E$3 &lt;= _xlfn.XLOOKUP('Q Spread Calculation'!$A10,Table_query[Name],Table_query[Expiry Date])),
   _xlfn.XLOOKUP('Q Spread Calculation'!$A10,Table_query[Name],Table_query[Monthly Gross Margin Contribution]),
   0),"")</f>
        <v>0</v>
      </c>
      <c r="F10" s="98">
        <f ca="1">IFERROR(IF(AND(F$2 &gt;= EOMONTH(_xlfn.XLOOKUP($A10,Table_query[Name],Table_query[Start Date]),-1)+1, F$3 &lt;= _xlfn.XLOOKUP('Q Spread Calculation'!$A10,Table_query[Name],Table_query[Expiry Date])),
   _xlfn.XLOOKUP('Q Spread Calculation'!$A10,Table_query[Name],Table_query[Monthly Gross Margin Contribution]),
   0),"")</f>
        <v>0</v>
      </c>
      <c r="G10" s="98">
        <f ca="1">IFERROR(IF(AND(G$2 &gt;= EOMONTH(_xlfn.XLOOKUP($A10,Table_query[Name],Table_query[Start Date]),-1)+1, G$3 &lt;= _xlfn.XLOOKUP('Q Spread Calculation'!$A10,Table_query[Name],Table_query[Expiry Date])),
   _xlfn.XLOOKUP('Q Spread Calculation'!$A10,Table_query[Name],Table_query[Monthly Gross Margin Contribution]),
   0),"")</f>
        <v>0</v>
      </c>
      <c r="H10" s="98">
        <f ca="1">IFERROR(IF(AND(H$2 &gt;= EOMONTH(_xlfn.XLOOKUP($A10,Table_query[Name],Table_query[Start Date]),-1)+1, H$3 &lt;= _xlfn.XLOOKUP('Q Spread Calculation'!$A10,Table_query[Name],Table_query[Expiry Date])),
   _xlfn.XLOOKUP('Q Spread Calculation'!$A10,Table_query[Name],Table_query[Monthly Gross Margin Contribution]),
   0),"")</f>
        <v>0</v>
      </c>
      <c r="I10" s="98">
        <f ca="1">IFERROR(IF(AND(I$2 &gt;= EOMONTH(_xlfn.XLOOKUP($A10,Table_query[Name],Table_query[Start Date]),-1)+1, I$3 &lt;= _xlfn.XLOOKUP('Q Spread Calculation'!$A10,Table_query[Name],Table_query[Expiry Date])),
   _xlfn.XLOOKUP('Q Spread Calculation'!$A10,Table_query[Name],Table_query[Monthly Gross Margin Contribution]),
   0),"")</f>
        <v>0</v>
      </c>
      <c r="J10" s="98">
        <f ca="1">IFERROR(IF(AND(J$2 &gt;= EOMONTH(_xlfn.XLOOKUP($A10,Table_query[Name],Table_query[Start Date]),-1)+1, J$3 &lt;= _xlfn.XLOOKUP('Q Spread Calculation'!$A10,Table_query[Name],Table_query[Expiry Date])),
   _xlfn.XLOOKUP('Q Spread Calculation'!$A10,Table_query[Name],Table_query[Monthly Gross Margin Contribution]),
   0),"")</f>
        <v>0</v>
      </c>
      <c r="K10" s="98">
        <f ca="1">IFERROR(IF(AND(K$2 &gt;= EOMONTH(_xlfn.XLOOKUP($A10,Table_query[Name],Table_query[Start Date]),-1)+1, K$3 &lt;= _xlfn.XLOOKUP('Q Spread Calculation'!$A10,Table_query[Name],Table_query[Expiry Date])),
   _xlfn.XLOOKUP('Q Spread Calculation'!$A10,Table_query[Name],Table_query[Monthly Gross Margin Contribution]),
   0),"")</f>
        <v>0</v>
      </c>
      <c r="L10" s="98">
        <f ca="1">IFERROR(IF(AND(L$2 &gt;= EOMONTH(_xlfn.XLOOKUP($A10,Table_query[Name],Table_query[Start Date]),-1)+1, L$3 &lt;= _xlfn.XLOOKUP('Q Spread Calculation'!$A10,Table_query[Name],Table_query[Expiry Date])),
   _xlfn.XLOOKUP('Q Spread Calculation'!$A10,Table_query[Name],Table_query[Monthly Gross Margin Contribution]),
   0),"")</f>
        <v>0</v>
      </c>
      <c r="M10" s="98">
        <f ca="1">IFERROR(IF(AND(M$2 &gt;= EOMONTH(_xlfn.XLOOKUP($A10,Table_query[Name],Table_query[Start Date]),-1)+1, M$3 &lt;= _xlfn.XLOOKUP('Q Spread Calculation'!$A10,Table_query[Name],Table_query[Expiry Date])),
   _xlfn.XLOOKUP('Q Spread Calculation'!$A10,Table_query[Name],Table_query[Monthly Gross Margin Contribution]),
   0),"")</f>
        <v>40000</v>
      </c>
      <c r="N10" s="98">
        <f ca="1">IFERROR(IF(AND(N$2 &gt;= EOMONTH(_xlfn.XLOOKUP($A10,Table_query[Name],Table_query[Start Date]),-1)+1, N$3 &lt;= _xlfn.XLOOKUP('Q Spread Calculation'!$A10,Table_query[Name],Table_query[Expiry Date])),
   _xlfn.XLOOKUP('Q Spread Calculation'!$A10,Table_query[Name],Table_query[Monthly Gross Margin Contribution]),
   0),"")</f>
        <v>40000</v>
      </c>
      <c r="O10" s="98">
        <f ca="1">IFERROR(IF(AND(O$2 &gt;= EOMONTH(_xlfn.XLOOKUP($A10,Table_query[Name],Table_query[Start Date]),-1)+1, O$3 &lt;= _xlfn.XLOOKUP('Q Spread Calculation'!$A10,Table_query[Name],Table_query[Expiry Date])),
   _xlfn.XLOOKUP('Q Spread Calculation'!$A10,Table_query[Name],Table_query[Monthly Gross Margin Contribution]),
   0),"")</f>
        <v>40000</v>
      </c>
      <c r="P10" s="98">
        <f ca="1">IFERROR(IF(AND(P$2 &gt;= EOMONTH(_xlfn.XLOOKUP($A10,Table_query[Name],Table_query[Start Date]),-1)+1, P$3 &lt;= _xlfn.XLOOKUP('Q Spread Calculation'!$A10,Table_query[Name],Table_query[Expiry Date])),
   _xlfn.XLOOKUP('Q Spread Calculation'!$A10,Table_query[Name],Table_query[Monthly Gross Margin Contribution]),
   0),"")</f>
        <v>40000</v>
      </c>
      <c r="Q10" t="str">
        <f ca="1">_xlfn.XLOOKUP(A10,Table_query[Name],Table_query[Phase])</f>
        <v>2.Q - Qualified</v>
      </c>
      <c r="S10" t="str">
        <f ca="1"/>
        <v>VICXXX DJSIR Opp 2 Regional Hub Case Mgt</v>
      </c>
      <c r="T10" t="str">
        <f ca="1"/>
        <v>Q</v>
      </c>
      <c r="U10" t="str">
        <f ca="1"/>
        <v>Vic Gov</v>
      </c>
      <c r="V10" t="str">
        <f ca="1"/>
        <v>Fair</v>
      </c>
      <c r="W10">
        <f ca="1">IFERROR(IF(AND(W$2 &gt;= EOMONTH(_xlfn.XLOOKUP($S10,Table_query[Name],Table_query[Start Date]),-1)+1, W$3 &lt;= _xlfn.XLOOKUP('Q Spread Calculation'!$S10,Table_query[Name],Table_query[Expiry Date])),
   _xlfn.XLOOKUP('Q Spread Calculation'!$S10,Table_query[Name],Table_query[Monthly Revenue Spread]),
   0),"")</f>
        <v>0</v>
      </c>
      <c r="X10">
        <f ca="1">IFERROR(IF(AND(X$2 &gt;= EOMONTH(_xlfn.XLOOKUP($S10,Table_query[Name],Table_query[Start Date]),-1)+1, X$3 &lt;= _xlfn.XLOOKUP('Q Spread Calculation'!$S10,Table_query[Name],Table_query[Expiry Date])),
   _xlfn.XLOOKUP('Q Spread Calculation'!$S10,Table_query[Name],Table_query[Monthly Revenue Spread]),
   0),"")</f>
        <v>0</v>
      </c>
      <c r="Y10">
        <f ca="1">IFERROR(IF(AND(Y$2 &gt;= EOMONTH(_xlfn.XLOOKUP($S10,Table_query[Name],Table_query[Start Date]),-1)+1, Y$3 &lt;= _xlfn.XLOOKUP('Q Spread Calculation'!$S10,Table_query[Name],Table_query[Expiry Date])),
   _xlfn.XLOOKUP('Q Spread Calculation'!$S10,Table_query[Name],Table_query[Monthly Revenue Spread]),
   0),"")</f>
        <v>0</v>
      </c>
      <c r="Z10">
        <f ca="1">IFERROR(IF(AND(Z$2 &gt;= EOMONTH(_xlfn.XLOOKUP($S10,Table_query[Name],Table_query[Start Date]),-1)+1, Z$3 &lt;= _xlfn.XLOOKUP('Q Spread Calculation'!$S10,Table_query[Name],Table_query[Expiry Date])),
   _xlfn.XLOOKUP('Q Spread Calculation'!$S10,Table_query[Name],Table_query[Monthly Revenue Spread]),
   0),"")</f>
        <v>0</v>
      </c>
      <c r="AA10">
        <f ca="1">IFERROR(IF(AND(AA$2 &gt;= EOMONTH(_xlfn.XLOOKUP($S10,Table_query[Name],Table_query[Start Date]),-1)+1, AA$3 &lt;= _xlfn.XLOOKUP('Q Spread Calculation'!$S10,Table_query[Name],Table_query[Expiry Date])),
   _xlfn.XLOOKUP('Q Spread Calculation'!$S10,Table_query[Name],Table_query[Monthly Revenue Spread]),
   0),"")</f>
        <v>0</v>
      </c>
      <c r="AB10">
        <f ca="1">IFERROR(IF(AND(AB$2 &gt;= EOMONTH(_xlfn.XLOOKUP($S10,Table_query[Name],Table_query[Start Date]),-1)+1, AB$3 &lt;= _xlfn.XLOOKUP('Q Spread Calculation'!$S10,Table_query[Name],Table_query[Expiry Date])),
   _xlfn.XLOOKUP('Q Spread Calculation'!$S10,Table_query[Name],Table_query[Monthly Revenue Spread]),
   0),"")</f>
        <v>0</v>
      </c>
      <c r="AC10">
        <f ca="1">IFERROR(IF(AND(AC$2 &gt;= EOMONTH(_xlfn.XLOOKUP($S10,Table_query[Name],Table_query[Start Date]),-1)+1, AC$3 &lt;= _xlfn.XLOOKUP('Q Spread Calculation'!$S10,Table_query[Name],Table_query[Expiry Date])),
   _xlfn.XLOOKUP('Q Spread Calculation'!$S10,Table_query[Name],Table_query[Monthly Revenue Spread]),
   0),"")</f>
        <v>0</v>
      </c>
      <c r="AD10">
        <f ca="1">IFERROR(IF(AND(AD$2 &gt;= EOMONTH(_xlfn.XLOOKUP($S10,Table_query[Name],Table_query[Start Date]),-1)+1, AD$3 &lt;= _xlfn.XLOOKUP('Q Spread Calculation'!$S10,Table_query[Name],Table_query[Expiry Date])),
   _xlfn.XLOOKUP('Q Spread Calculation'!$S10,Table_query[Name],Table_query[Monthly Revenue Spread]),
   0),"")</f>
        <v>0</v>
      </c>
      <c r="AE10">
        <f ca="1">IFERROR(IF(AND(AE$2 &gt;= EOMONTH(_xlfn.XLOOKUP($S10,Table_query[Name],Table_query[Start Date]),-1)+1, AE$3 &lt;= _xlfn.XLOOKUP('Q Spread Calculation'!$S10,Table_query[Name],Table_query[Expiry Date])),
   _xlfn.XLOOKUP('Q Spread Calculation'!$S10,Table_query[Name],Table_query[Monthly Revenue Spread]),
   0),"")</f>
        <v>200000</v>
      </c>
      <c r="AF10">
        <f ca="1">IFERROR(IF(AND(AF$2 &gt;= EOMONTH(_xlfn.XLOOKUP($S10,Table_query[Name],Table_query[Start Date]),-1)+1, AF$3 &lt;= _xlfn.XLOOKUP('Q Spread Calculation'!$S10,Table_query[Name],Table_query[Expiry Date])),
   _xlfn.XLOOKUP('Q Spread Calculation'!$S10,Table_query[Name],Table_query[Monthly Revenue Spread]),
   0),"")</f>
        <v>200000</v>
      </c>
      <c r="AG10">
        <f ca="1">IFERROR(IF(AND(AG$2 &gt;= EOMONTH(_xlfn.XLOOKUP($S10,Table_query[Name],Table_query[Start Date]),-1)+1, AG$3 &lt;= _xlfn.XLOOKUP('Q Spread Calculation'!$S10,Table_query[Name],Table_query[Expiry Date])),
   _xlfn.XLOOKUP('Q Spread Calculation'!$S10,Table_query[Name],Table_query[Monthly Revenue Spread]),
   0),"")</f>
        <v>200000</v>
      </c>
      <c r="AH10">
        <f ca="1">IFERROR(IF(AND(AH$2 &gt;= EOMONTH(_xlfn.XLOOKUP($S10,Table_query[Name],Table_query[Start Date]),-1)+1, AH$3 &lt;= _xlfn.XLOOKUP('Q Spread Calculation'!$S10,Table_query[Name],Table_query[Expiry Date])),
   _xlfn.XLOOKUP('Q Spread Calculation'!$S10,Table_query[Name],Table_query[Monthly Revenue Spread]),
   0),"")</f>
        <v>200000</v>
      </c>
      <c r="AI10" t="str">
        <f ca="1">_xlfn.XLOOKUP(S10,Table_query[Name],Table_query[Phase])</f>
        <v>2.Q - Qualified</v>
      </c>
    </row>
    <row r="11" spans="1:35" x14ac:dyDescent="0.25">
      <c r="E11" s="98" t="str">
        <f>IFERROR(IF(AND(E$2 &gt;= EOMONTH(_xlfn.XLOOKUP($A11,Table_query[Name],Table_query[Start Date]),-1)+1, E$3 &lt;= _xlfn.XLOOKUP('Q Spread Calculation'!$A11,Table_query[Name],Table_query[Expiry Date])),
   _xlfn.XLOOKUP('Q Spread Calculation'!$A11,Table_query[Name],Table_query[Monthly Gross Margin Contribution]),
   0),"")</f>
        <v/>
      </c>
      <c r="F11" s="98" t="str">
        <f>IFERROR(IF(AND(F$2 &gt;= EOMONTH(_xlfn.XLOOKUP($A11,Table_query[Name],Table_query[Start Date]),-1)+1, F$3 &lt;= _xlfn.XLOOKUP('Q Spread Calculation'!$A11,Table_query[Name],Table_query[Expiry Date])),
   _xlfn.XLOOKUP('Q Spread Calculation'!$A11,Table_query[Name],Table_query[Monthly Gross Margin Contribution]),
   0),"")</f>
        <v/>
      </c>
      <c r="G11" s="98" t="str">
        <f>IFERROR(IF(AND(G$2 &gt;= EOMONTH(_xlfn.XLOOKUP($A11,Table_query[Name],Table_query[Start Date]),-1)+1, G$3 &lt;= _xlfn.XLOOKUP('Q Spread Calculation'!$A11,Table_query[Name],Table_query[Expiry Date])),
   _xlfn.XLOOKUP('Q Spread Calculation'!$A11,Table_query[Name],Table_query[Monthly Gross Margin Contribution]),
   0),"")</f>
        <v/>
      </c>
      <c r="H11" s="98" t="str">
        <f>IFERROR(IF(AND(H$2 &gt;= EOMONTH(_xlfn.XLOOKUP($A11,Table_query[Name],Table_query[Start Date]),-1)+1, H$3 &lt;= _xlfn.XLOOKUP('Q Spread Calculation'!$A11,Table_query[Name],Table_query[Expiry Date])),
   _xlfn.XLOOKUP('Q Spread Calculation'!$A11,Table_query[Name],Table_query[Monthly Gross Margin Contribution]),
   0),"")</f>
        <v/>
      </c>
      <c r="I11" s="98" t="str">
        <f>IFERROR(IF(AND(I$2 &gt;= EOMONTH(_xlfn.XLOOKUP($A11,Table_query[Name],Table_query[Start Date]),-1)+1, I$3 &lt;= _xlfn.XLOOKUP('Q Spread Calculation'!$A11,Table_query[Name],Table_query[Expiry Date])),
   _xlfn.XLOOKUP('Q Spread Calculation'!$A11,Table_query[Name],Table_query[Monthly Gross Margin Contribution]),
   0),"")</f>
        <v/>
      </c>
      <c r="J11" s="98" t="str">
        <f>IFERROR(IF(AND(J$2 &gt;= EOMONTH(_xlfn.XLOOKUP($A11,Table_query[Name],Table_query[Start Date]),-1)+1, J$3 &lt;= _xlfn.XLOOKUP('Q Spread Calculation'!$A11,Table_query[Name],Table_query[Expiry Date])),
   _xlfn.XLOOKUP('Q Spread Calculation'!$A11,Table_query[Name],Table_query[Monthly Gross Margin Contribution]),
   0),"")</f>
        <v/>
      </c>
      <c r="K11" s="98" t="str">
        <f>IFERROR(IF(AND(K$2 &gt;= EOMONTH(_xlfn.XLOOKUP($A11,Table_query[Name],Table_query[Start Date]),-1)+1, K$3 &lt;= _xlfn.XLOOKUP('Q Spread Calculation'!$A11,Table_query[Name],Table_query[Expiry Date])),
   _xlfn.XLOOKUP('Q Spread Calculation'!$A11,Table_query[Name],Table_query[Monthly Gross Margin Contribution]),
   0),"")</f>
        <v/>
      </c>
      <c r="L11" s="98" t="str">
        <f>IFERROR(IF(AND(L$2 &gt;= EOMONTH(_xlfn.XLOOKUP($A11,Table_query[Name],Table_query[Start Date]),-1)+1, L$3 &lt;= _xlfn.XLOOKUP('Q Spread Calculation'!$A11,Table_query[Name],Table_query[Expiry Date])),
   _xlfn.XLOOKUP('Q Spread Calculation'!$A11,Table_query[Name],Table_query[Monthly Gross Margin Contribution]),
   0),"")</f>
        <v/>
      </c>
      <c r="M11" s="98" t="str">
        <f>IFERROR(IF(AND(M$2 &gt;= EOMONTH(_xlfn.XLOOKUP($A11,Table_query[Name],Table_query[Start Date]),-1)+1, M$3 &lt;= _xlfn.XLOOKUP('Q Spread Calculation'!$A11,Table_query[Name],Table_query[Expiry Date])),
   _xlfn.XLOOKUP('Q Spread Calculation'!$A11,Table_query[Name],Table_query[Monthly Gross Margin Contribution]),
   0),"")</f>
        <v/>
      </c>
      <c r="N11" s="98" t="str">
        <f>IFERROR(IF(AND(N$2 &gt;= EOMONTH(_xlfn.XLOOKUP($A11,Table_query[Name],Table_query[Start Date]),-1)+1, N$3 &lt;= _xlfn.XLOOKUP('Q Spread Calculation'!$A11,Table_query[Name],Table_query[Expiry Date])),
   _xlfn.XLOOKUP('Q Spread Calculation'!$A11,Table_query[Name],Table_query[Monthly Gross Margin Contribution]),
   0),"")</f>
        <v/>
      </c>
      <c r="O11" s="98" t="str">
        <f>IFERROR(IF(AND(O$2 &gt;= EOMONTH(_xlfn.XLOOKUP($A11,Table_query[Name],Table_query[Start Date]),-1)+1, O$3 &lt;= _xlfn.XLOOKUP('Q Spread Calculation'!$A11,Table_query[Name],Table_query[Expiry Date])),
   _xlfn.XLOOKUP('Q Spread Calculation'!$A11,Table_query[Name],Table_query[Monthly Gross Margin Contribution]),
   0),"")</f>
        <v/>
      </c>
      <c r="P11" s="98" t="str">
        <f>IFERROR(IF(AND(P$2 &gt;= EOMONTH(_xlfn.XLOOKUP($A11,Table_query[Name],Table_query[Start Date]),-1)+1, P$3 &lt;= _xlfn.XLOOKUP('Q Spread Calculation'!$A11,Table_query[Name],Table_query[Expiry Date])),
   _xlfn.XLOOKUP('Q Spread Calculation'!$A11,Table_query[Name],Table_query[Monthly Gross Margin Contribution]),
   0),"")</f>
        <v/>
      </c>
      <c r="Q11" t="e">
        <f>_xlfn.XLOOKUP(A11,Table_query[Name],Table_query[Phase])</f>
        <v>#N/A</v>
      </c>
      <c r="W11" t="str">
        <f>IFERROR(IF(AND(W$2 &gt;= EOMONTH(_xlfn.XLOOKUP($S11,Table_query[Name],Table_query[Start Date]),-1)+1, W$3 &lt;= _xlfn.XLOOKUP('Q Spread Calculation'!$S11,Table_query[Name],Table_query[Expiry Date])),
   _xlfn.XLOOKUP('Q Spread Calculation'!$S11,Table_query[Name],Table_query[Monthly Revenue Spread]),
   0),"")</f>
        <v/>
      </c>
      <c r="X11" t="str">
        <f>IFERROR(IF(AND(X$2 &gt;= EOMONTH(_xlfn.XLOOKUP($S11,Table_query[Name],Table_query[Start Date]),-1)+1, X$3 &lt;= _xlfn.XLOOKUP('Q Spread Calculation'!$S11,Table_query[Name],Table_query[Expiry Date])),
   _xlfn.XLOOKUP('Q Spread Calculation'!$S11,Table_query[Name],Table_query[Monthly Revenue Spread]),
   0),"")</f>
        <v/>
      </c>
      <c r="Y11" t="str">
        <f>IFERROR(IF(AND(Y$2 &gt;= EOMONTH(_xlfn.XLOOKUP($S11,Table_query[Name],Table_query[Start Date]),-1)+1, Y$3 &lt;= _xlfn.XLOOKUP('Q Spread Calculation'!$S11,Table_query[Name],Table_query[Expiry Date])),
   _xlfn.XLOOKUP('Q Spread Calculation'!$S11,Table_query[Name],Table_query[Monthly Revenue Spread]),
   0),"")</f>
        <v/>
      </c>
      <c r="Z11" t="str">
        <f>IFERROR(IF(AND(Z$2 &gt;= EOMONTH(_xlfn.XLOOKUP($S11,Table_query[Name],Table_query[Start Date]),-1)+1, Z$3 &lt;= _xlfn.XLOOKUP('Q Spread Calculation'!$S11,Table_query[Name],Table_query[Expiry Date])),
   _xlfn.XLOOKUP('Q Spread Calculation'!$S11,Table_query[Name],Table_query[Monthly Revenue Spread]),
   0),"")</f>
        <v/>
      </c>
      <c r="AA11" t="str">
        <f>IFERROR(IF(AND(AA$2 &gt;= EOMONTH(_xlfn.XLOOKUP($S11,Table_query[Name],Table_query[Start Date]),-1)+1, AA$3 &lt;= _xlfn.XLOOKUP('Q Spread Calculation'!$S11,Table_query[Name],Table_query[Expiry Date])),
   _xlfn.XLOOKUP('Q Spread Calculation'!$S11,Table_query[Name],Table_query[Monthly Revenue Spread]),
   0),"")</f>
        <v/>
      </c>
      <c r="AB11" t="str">
        <f>IFERROR(IF(AND(AB$2 &gt;= EOMONTH(_xlfn.XLOOKUP($S11,Table_query[Name],Table_query[Start Date]),-1)+1, AB$3 &lt;= _xlfn.XLOOKUP('Q Spread Calculation'!$S11,Table_query[Name],Table_query[Expiry Date])),
   _xlfn.XLOOKUP('Q Spread Calculation'!$S11,Table_query[Name],Table_query[Monthly Revenue Spread]),
   0),"")</f>
        <v/>
      </c>
      <c r="AC11" t="str">
        <f>IFERROR(IF(AND(AC$2 &gt;= EOMONTH(_xlfn.XLOOKUP($S11,Table_query[Name],Table_query[Start Date]),-1)+1, AC$3 &lt;= _xlfn.XLOOKUP('Q Spread Calculation'!$S11,Table_query[Name],Table_query[Expiry Date])),
   _xlfn.XLOOKUP('Q Spread Calculation'!$S11,Table_query[Name],Table_query[Monthly Revenue Spread]),
   0),"")</f>
        <v/>
      </c>
      <c r="AD11" t="str">
        <f>IFERROR(IF(AND(AD$2 &gt;= EOMONTH(_xlfn.XLOOKUP($S11,Table_query[Name],Table_query[Start Date]),-1)+1, AD$3 &lt;= _xlfn.XLOOKUP('Q Spread Calculation'!$S11,Table_query[Name],Table_query[Expiry Date])),
   _xlfn.XLOOKUP('Q Spread Calculation'!$S11,Table_query[Name],Table_query[Monthly Revenue Spread]),
   0),"")</f>
        <v/>
      </c>
      <c r="AE11" t="str">
        <f>IFERROR(IF(AND(AE$2 &gt;= EOMONTH(_xlfn.XLOOKUP($S11,Table_query[Name],Table_query[Start Date]),-1)+1, AE$3 &lt;= _xlfn.XLOOKUP('Q Spread Calculation'!$S11,Table_query[Name],Table_query[Expiry Date])),
   _xlfn.XLOOKUP('Q Spread Calculation'!$S11,Table_query[Name],Table_query[Monthly Revenue Spread]),
   0),"")</f>
        <v/>
      </c>
      <c r="AF11" t="str">
        <f>IFERROR(IF(AND(AF$2 &gt;= EOMONTH(_xlfn.XLOOKUP($S11,Table_query[Name],Table_query[Start Date]),-1)+1, AF$3 &lt;= _xlfn.XLOOKUP('Q Spread Calculation'!$S11,Table_query[Name],Table_query[Expiry Date])),
   _xlfn.XLOOKUP('Q Spread Calculation'!$S11,Table_query[Name],Table_query[Monthly Revenue Spread]),
   0),"")</f>
        <v/>
      </c>
      <c r="AG11" t="str">
        <f>IFERROR(IF(AND(AG$2 &gt;= EOMONTH(_xlfn.XLOOKUP($S11,Table_query[Name],Table_query[Start Date]),-1)+1, AG$3 &lt;= _xlfn.XLOOKUP('Q Spread Calculation'!$S11,Table_query[Name],Table_query[Expiry Date])),
   _xlfn.XLOOKUP('Q Spread Calculation'!$S11,Table_query[Name],Table_query[Monthly Revenue Spread]),
   0),"")</f>
        <v/>
      </c>
      <c r="AH11" t="str">
        <f>IFERROR(IF(AND(AH$2 &gt;= EOMONTH(_xlfn.XLOOKUP($S11,Table_query[Name],Table_query[Start Date]),-1)+1, AH$3 &lt;= _xlfn.XLOOKUP('Q Spread Calculation'!$S11,Table_query[Name],Table_query[Expiry Date])),
   _xlfn.XLOOKUP('Q Spread Calculation'!$S11,Table_query[Name],Table_query[Monthly Revenue Spread]),
   0),"")</f>
        <v/>
      </c>
      <c r="AI11" t="e">
        <f>_xlfn.XLOOKUP(S11,Table_query[Name],Table_query[Phase])</f>
        <v>#N/A</v>
      </c>
    </row>
    <row r="12" spans="1:35" x14ac:dyDescent="0.25">
      <c r="E12" s="98" t="str">
        <f>IFERROR(IF(AND(E$2 &gt;= EOMONTH(_xlfn.XLOOKUP($A12,Table_query[Name],Table_query[Start Date]),-1)+1, E$3 &lt;= _xlfn.XLOOKUP('Q Spread Calculation'!$A12,Table_query[Name],Table_query[Expiry Date])),
   _xlfn.XLOOKUP('Q Spread Calculation'!$A12,Table_query[Name],Table_query[Monthly Gross Margin Contribution]),
   0),"")</f>
        <v/>
      </c>
      <c r="F12" s="98" t="str">
        <f>IFERROR(IF(AND(F$2 &gt;= EOMONTH(_xlfn.XLOOKUP($A12,Table_query[Name],Table_query[Start Date]),-1)+1, F$3 &lt;= _xlfn.XLOOKUP('Q Spread Calculation'!$A12,Table_query[Name],Table_query[Expiry Date])),
   _xlfn.XLOOKUP('Q Spread Calculation'!$A12,Table_query[Name],Table_query[Monthly Gross Margin Contribution]),
   0),"")</f>
        <v/>
      </c>
      <c r="G12" s="98" t="str">
        <f>IFERROR(IF(AND(G$2 &gt;= EOMONTH(_xlfn.XLOOKUP($A12,Table_query[Name],Table_query[Start Date]),-1)+1, G$3 &lt;= _xlfn.XLOOKUP('Q Spread Calculation'!$A12,Table_query[Name],Table_query[Expiry Date])),
   _xlfn.XLOOKUP('Q Spread Calculation'!$A12,Table_query[Name],Table_query[Monthly Gross Margin Contribution]),
   0),"")</f>
        <v/>
      </c>
      <c r="H12" s="98" t="str">
        <f>IFERROR(IF(AND(H$2 &gt;= EOMONTH(_xlfn.XLOOKUP($A12,Table_query[Name],Table_query[Start Date]),-1)+1, H$3 &lt;= _xlfn.XLOOKUP('Q Spread Calculation'!$A12,Table_query[Name],Table_query[Expiry Date])),
   _xlfn.XLOOKUP('Q Spread Calculation'!$A12,Table_query[Name],Table_query[Monthly Gross Margin Contribution]),
   0),"")</f>
        <v/>
      </c>
      <c r="I12" s="98" t="str">
        <f>IFERROR(IF(AND(I$2 &gt;= EOMONTH(_xlfn.XLOOKUP($A12,Table_query[Name],Table_query[Start Date]),-1)+1, I$3 &lt;= _xlfn.XLOOKUP('Q Spread Calculation'!$A12,Table_query[Name],Table_query[Expiry Date])),
   _xlfn.XLOOKUP('Q Spread Calculation'!$A12,Table_query[Name],Table_query[Monthly Gross Margin Contribution]),
   0),"")</f>
        <v/>
      </c>
      <c r="J12" s="98" t="str">
        <f>IFERROR(IF(AND(J$2 &gt;= EOMONTH(_xlfn.XLOOKUP($A12,Table_query[Name],Table_query[Start Date]),-1)+1, J$3 &lt;= _xlfn.XLOOKUP('Q Spread Calculation'!$A12,Table_query[Name],Table_query[Expiry Date])),
   _xlfn.XLOOKUP('Q Spread Calculation'!$A12,Table_query[Name],Table_query[Monthly Gross Margin Contribution]),
   0),"")</f>
        <v/>
      </c>
      <c r="K12" s="98" t="str">
        <f>IFERROR(IF(AND(K$2 &gt;= EOMONTH(_xlfn.XLOOKUP($A12,Table_query[Name],Table_query[Start Date]),-1)+1, K$3 &lt;= _xlfn.XLOOKUP('Q Spread Calculation'!$A12,Table_query[Name],Table_query[Expiry Date])),
   _xlfn.XLOOKUP('Q Spread Calculation'!$A12,Table_query[Name],Table_query[Monthly Gross Margin Contribution]),
   0),"")</f>
        <v/>
      </c>
      <c r="L12" s="98" t="str">
        <f>IFERROR(IF(AND(L$2 &gt;= EOMONTH(_xlfn.XLOOKUP($A12,Table_query[Name],Table_query[Start Date]),-1)+1, L$3 &lt;= _xlfn.XLOOKUP('Q Spread Calculation'!$A12,Table_query[Name],Table_query[Expiry Date])),
   _xlfn.XLOOKUP('Q Spread Calculation'!$A12,Table_query[Name],Table_query[Monthly Gross Margin Contribution]),
   0),"")</f>
        <v/>
      </c>
      <c r="M12" s="98" t="str">
        <f>IFERROR(IF(AND(M$2 &gt;= EOMONTH(_xlfn.XLOOKUP($A12,Table_query[Name],Table_query[Start Date]),-1)+1, M$3 &lt;= _xlfn.XLOOKUP('Q Spread Calculation'!$A12,Table_query[Name],Table_query[Expiry Date])),
   _xlfn.XLOOKUP('Q Spread Calculation'!$A12,Table_query[Name],Table_query[Monthly Gross Margin Contribution]),
   0),"")</f>
        <v/>
      </c>
      <c r="N12" s="98" t="str">
        <f>IFERROR(IF(AND(N$2 &gt;= EOMONTH(_xlfn.XLOOKUP($A12,Table_query[Name],Table_query[Start Date]),-1)+1, N$3 &lt;= _xlfn.XLOOKUP('Q Spread Calculation'!$A12,Table_query[Name],Table_query[Expiry Date])),
   _xlfn.XLOOKUP('Q Spread Calculation'!$A12,Table_query[Name],Table_query[Monthly Gross Margin Contribution]),
   0),"")</f>
        <v/>
      </c>
      <c r="O12" s="98" t="str">
        <f>IFERROR(IF(AND(O$2 &gt;= EOMONTH(_xlfn.XLOOKUP($A12,Table_query[Name],Table_query[Start Date]),-1)+1, O$3 &lt;= _xlfn.XLOOKUP('Q Spread Calculation'!$A12,Table_query[Name],Table_query[Expiry Date])),
   _xlfn.XLOOKUP('Q Spread Calculation'!$A12,Table_query[Name],Table_query[Monthly Gross Margin Contribution]),
   0),"")</f>
        <v/>
      </c>
      <c r="P12" s="98" t="str">
        <f>IFERROR(IF(AND(P$2 &gt;= EOMONTH(_xlfn.XLOOKUP($A12,Table_query[Name],Table_query[Start Date]),-1)+1, P$3 &lt;= _xlfn.XLOOKUP('Q Spread Calculation'!$A12,Table_query[Name],Table_query[Expiry Date])),
   _xlfn.XLOOKUP('Q Spread Calculation'!$A12,Table_query[Name],Table_query[Monthly Gross Margin Contribution]),
   0),"")</f>
        <v/>
      </c>
      <c r="Q12" t="e">
        <f>_xlfn.XLOOKUP(A12,Table_query[Name],Table_query[Phase])</f>
        <v>#N/A</v>
      </c>
      <c r="W12" t="str">
        <f>IFERROR(IF(AND(W$2 &gt;= EOMONTH(_xlfn.XLOOKUP($S12,Table_query[Name],Table_query[Start Date]),-1)+1, W$3 &lt;= _xlfn.XLOOKUP('Q Spread Calculation'!$S12,Table_query[Name],Table_query[Expiry Date])),
   _xlfn.XLOOKUP('Q Spread Calculation'!$S12,Table_query[Name],Table_query[Monthly Revenue Spread]),
   0),"")</f>
        <v/>
      </c>
      <c r="X12" t="str">
        <f>IFERROR(IF(AND(X$2 &gt;= EOMONTH(_xlfn.XLOOKUP($S12,Table_query[Name],Table_query[Start Date]),-1)+1, X$3 &lt;= _xlfn.XLOOKUP('Q Spread Calculation'!$S12,Table_query[Name],Table_query[Expiry Date])),
   _xlfn.XLOOKUP('Q Spread Calculation'!$S12,Table_query[Name],Table_query[Monthly Revenue Spread]),
   0),"")</f>
        <v/>
      </c>
      <c r="Y12" t="str">
        <f>IFERROR(IF(AND(Y$2 &gt;= EOMONTH(_xlfn.XLOOKUP($S12,Table_query[Name],Table_query[Start Date]),-1)+1, Y$3 &lt;= _xlfn.XLOOKUP('Q Spread Calculation'!$S12,Table_query[Name],Table_query[Expiry Date])),
   _xlfn.XLOOKUP('Q Spread Calculation'!$S12,Table_query[Name],Table_query[Monthly Revenue Spread]),
   0),"")</f>
        <v/>
      </c>
      <c r="Z12" t="str">
        <f>IFERROR(IF(AND(Z$2 &gt;= EOMONTH(_xlfn.XLOOKUP($S12,Table_query[Name],Table_query[Start Date]),-1)+1, Z$3 &lt;= _xlfn.XLOOKUP('Q Spread Calculation'!$S12,Table_query[Name],Table_query[Expiry Date])),
   _xlfn.XLOOKUP('Q Spread Calculation'!$S12,Table_query[Name],Table_query[Monthly Revenue Spread]),
   0),"")</f>
        <v/>
      </c>
      <c r="AA12" t="str">
        <f>IFERROR(IF(AND(AA$2 &gt;= EOMONTH(_xlfn.XLOOKUP($S12,Table_query[Name],Table_query[Start Date]),-1)+1, AA$3 &lt;= _xlfn.XLOOKUP('Q Spread Calculation'!$S12,Table_query[Name],Table_query[Expiry Date])),
   _xlfn.XLOOKUP('Q Spread Calculation'!$S12,Table_query[Name],Table_query[Monthly Revenue Spread]),
   0),"")</f>
        <v/>
      </c>
      <c r="AB12" t="str">
        <f>IFERROR(IF(AND(AB$2 &gt;= EOMONTH(_xlfn.XLOOKUP($S12,Table_query[Name],Table_query[Start Date]),-1)+1, AB$3 &lt;= _xlfn.XLOOKUP('Q Spread Calculation'!$S12,Table_query[Name],Table_query[Expiry Date])),
   _xlfn.XLOOKUP('Q Spread Calculation'!$S12,Table_query[Name],Table_query[Monthly Revenue Spread]),
   0),"")</f>
        <v/>
      </c>
      <c r="AC12" t="str">
        <f>IFERROR(IF(AND(AC$2 &gt;= EOMONTH(_xlfn.XLOOKUP($S12,Table_query[Name],Table_query[Start Date]),-1)+1, AC$3 &lt;= _xlfn.XLOOKUP('Q Spread Calculation'!$S12,Table_query[Name],Table_query[Expiry Date])),
   _xlfn.XLOOKUP('Q Spread Calculation'!$S12,Table_query[Name],Table_query[Monthly Revenue Spread]),
   0),"")</f>
        <v/>
      </c>
      <c r="AD12" t="str">
        <f>IFERROR(IF(AND(AD$2 &gt;= EOMONTH(_xlfn.XLOOKUP($S12,Table_query[Name],Table_query[Start Date]),-1)+1, AD$3 &lt;= _xlfn.XLOOKUP('Q Spread Calculation'!$S12,Table_query[Name],Table_query[Expiry Date])),
   _xlfn.XLOOKUP('Q Spread Calculation'!$S12,Table_query[Name],Table_query[Monthly Revenue Spread]),
   0),"")</f>
        <v/>
      </c>
      <c r="AE12" t="str">
        <f>IFERROR(IF(AND(AE$2 &gt;= EOMONTH(_xlfn.XLOOKUP($S12,Table_query[Name],Table_query[Start Date]),-1)+1, AE$3 &lt;= _xlfn.XLOOKUP('Q Spread Calculation'!$S12,Table_query[Name],Table_query[Expiry Date])),
   _xlfn.XLOOKUP('Q Spread Calculation'!$S12,Table_query[Name],Table_query[Monthly Revenue Spread]),
   0),"")</f>
        <v/>
      </c>
      <c r="AF12" t="str">
        <f>IFERROR(IF(AND(AF$2 &gt;= EOMONTH(_xlfn.XLOOKUP($S12,Table_query[Name],Table_query[Start Date]),-1)+1, AF$3 &lt;= _xlfn.XLOOKUP('Q Spread Calculation'!$S12,Table_query[Name],Table_query[Expiry Date])),
   _xlfn.XLOOKUP('Q Spread Calculation'!$S12,Table_query[Name],Table_query[Monthly Revenue Spread]),
   0),"")</f>
        <v/>
      </c>
      <c r="AG12" t="str">
        <f>IFERROR(IF(AND(AG$2 &gt;= EOMONTH(_xlfn.XLOOKUP($S12,Table_query[Name],Table_query[Start Date]),-1)+1, AG$3 &lt;= _xlfn.XLOOKUP('Q Spread Calculation'!$S12,Table_query[Name],Table_query[Expiry Date])),
   _xlfn.XLOOKUP('Q Spread Calculation'!$S12,Table_query[Name],Table_query[Monthly Revenue Spread]),
   0),"")</f>
        <v/>
      </c>
      <c r="AH12" t="str">
        <f>IFERROR(IF(AND(AH$2 &gt;= EOMONTH(_xlfn.XLOOKUP($S12,Table_query[Name],Table_query[Start Date]),-1)+1, AH$3 &lt;= _xlfn.XLOOKUP('Q Spread Calculation'!$S12,Table_query[Name],Table_query[Expiry Date])),
   _xlfn.XLOOKUP('Q Spread Calculation'!$S12,Table_query[Name],Table_query[Monthly Revenue Spread]),
   0),"")</f>
        <v/>
      </c>
      <c r="AI12" t="e">
        <f>_xlfn.XLOOKUP(S12,Table_query[Name],Table_query[Phase])</f>
        <v>#N/A</v>
      </c>
    </row>
    <row r="13" spans="1:35" x14ac:dyDescent="0.25">
      <c r="E13" s="98" t="str">
        <f>IFERROR(IF(AND(E$2 &gt;= EOMONTH(_xlfn.XLOOKUP($A13,Table_query[Name],Table_query[Start Date]),-1)+1, E$3 &lt;= _xlfn.XLOOKUP('Q Spread Calculation'!$A13,Table_query[Name],Table_query[Expiry Date])),
   _xlfn.XLOOKUP('Q Spread Calculation'!$A13,Table_query[Name],Table_query[Monthly Gross Margin Contribution]),
   0),"")</f>
        <v/>
      </c>
      <c r="F13" s="98" t="str">
        <f>IFERROR(IF(AND(F$2 &gt;= EOMONTH(_xlfn.XLOOKUP($A13,Table_query[Name],Table_query[Start Date]),-1)+1, F$3 &lt;= _xlfn.XLOOKUP('Q Spread Calculation'!$A13,Table_query[Name],Table_query[Expiry Date])),
   _xlfn.XLOOKUP('Q Spread Calculation'!$A13,Table_query[Name],Table_query[Monthly Gross Margin Contribution]),
   0),"")</f>
        <v/>
      </c>
      <c r="G13" s="98" t="str">
        <f>IFERROR(IF(AND(G$2 &gt;= EOMONTH(_xlfn.XLOOKUP($A13,Table_query[Name],Table_query[Start Date]),-1)+1, G$3 &lt;= _xlfn.XLOOKUP('Q Spread Calculation'!$A13,Table_query[Name],Table_query[Expiry Date])),
   _xlfn.XLOOKUP('Q Spread Calculation'!$A13,Table_query[Name],Table_query[Monthly Gross Margin Contribution]),
   0),"")</f>
        <v/>
      </c>
      <c r="H13" s="98" t="str">
        <f>IFERROR(IF(AND(H$2 &gt;= EOMONTH(_xlfn.XLOOKUP($A13,Table_query[Name],Table_query[Start Date]),-1)+1, H$3 &lt;= _xlfn.XLOOKUP('Q Spread Calculation'!$A13,Table_query[Name],Table_query[Expiry Date])),
   _xlfn.XLOOKUP('Q Spread Calculation'!$A13,Table_query[Name],Table_query[Monthly Gross Margin Contribution]),
   0),"")</f>
        <v/>
      </c>
      <c r="I13" s="98" t="str">
        <f>IFERROR(IF(AND(I$2 &gt;= EOMONTH(_xlfn.XLOOKUP($A13,Table_query[Name],Table_query[Start Date]),-1)+1, I$3 &lt;= _xlfn.XLOOKUP('Q Spread Calculation'!$A13,Table_query[Name],Table_query[Expiry Date])),
   _xlfn.XLOOKUP('Q Spread Calculation'!$A13,Table_query[Name],Table_query[Monthly Gross Margin Contribution]),
   0),"")</f>
        <v/>
      </c>
      <c r="J13" s="98" t="str">
        <f>IFERROR(IF(AND(J$2 &gt;= EOMONTH(_xlfn.XLOOKUP($A13,Table_query[Name],Table_query[Start Date]),-1)+1, J$3 &lt;= _xlfn.XLOOKUP('Q Spread Calculation'!$A13,Table_query[Name],Table_query[Expiry Date])),
   _xlfn.XLOOKUP('Q Spread Calculation'!$A13,Table_query[Name],Table_query[Monthly Gross Margin Contribution]),
   0),"")</f>
        <v/>
      </c>
      <c r="K13" s="98" t="str">
        <f>IFERROR(IF(AND(K$2 &gt;= EOMONTH(_xlfn.XLOOKUP($A13,Table_query[Name],Table_query[Start Date]),-1)+1, K$3 &lt;= _xlfn.XLOOKUP('Q Spread Calculation'!$A13,Table_query[Name],Table_query[Expiry Date])),
   _xlfn.XLOOKUP('Q Spread Calculation'!$A13,Table_query[Name],Table_query[Monthly Gross Margin Contribution]),
   0),"")</f>
        <v/>
      </c>
      <c r="L13" s="98" t="str">
        <f>IFERROR(IF(AND(L$2 &gt;= EOMONTH(_xlfn.XLOOKUP($A13,Table_query[Name],Table_query[Start Date]),-1)+1, L$3 &lt;= _xlfn.XLOOKUP('Q Spread Calculation'!$A13,Table_query[Name],Table_query[Expiry Date])),
   _xlfn.XLOOKUP('Q Spread Calculation'!$A13,Table_query[Name],Table_query[Monthly Gross Margin Contribution]),
   0),"")</f>
        <v/>
      </c>
      <c r="M13" s="98" t="str">
        <f>IFERROR(IF(AND(M$2 &gt;= EOMONTH(_xlfn.XLOOKUP($A13,Table_query[Name],Table_query[Start Date]),-1)+1, M$3 &lt;= _xlfn.XLOOKUP('Q Spread Calculation'!$A13,Table_query[Name],Table_query[Expiry Date])),
   _xlfn.XLOOKUP('Q Spread Calculation'!$A13,Table_query[Name],Table_query[Monthly Gross Margin Contribution]),
   0),"")</f>
        <v/>
      </c>
      <c r="N13" s="98" t="str">
        <f>IFERROR(IF(AND(N$2 &gt;= EOMONTH(_xlfn.XLOOKUP($A13,Table_query[Name],Table_query[Start Date]),-1)+1, N$3 &lt;= _xlfn.XLOOKUP('Q Spread Calculation'!$A13,Table_query[Name],Table_query[Expiry Date])),
   _xlfn.XLOOKUP('Q Spread Calculation'!$A13,Table_query[Name],Table_query[Monthly Gross Margin Contribution]),
   0),"")</f>
        <v/>
      </c>
      <c r="O13" s="98" t="str">
        <f>IFERROR(IF(AND(O$2 &gt;= EOMONTH(_xlfn.XLOOKUP($A13,Table_query[Name],Table_query[Start Date]),-1)+1, O$3 &lt;= _xlfn.XLOOKUP('Q Spread Calculation'!$A13,Table_query[Name],Table_query[Expiry Date])),
   _xlfn.XLOOKUP('Q Spread Calculation'!$A13,Table_query[Name],Table_query[Monthly Gross Margin Contribution]),
   0),"")</f>
        <v/>
      </c>
      <c r="P13" s="98" t="str">
        <f>IFERROR(IF(AND(P$2 &gt;= EOMONTH(_xlfn.XLOOKUP($A13,Table_query[Name],Table_query[Start Date]),-1)+1, P$3 &lt;= _xlfn.XLOOKUP('Q Spread Calculation'!$A13,Table_query[Name],Table_query[Expiry Date])),
   _xlfn.XLOOKUP('Q Spread Calculation'!$A13,Table_query[Name],Table_query[Monthly Gross Margin Contribution]),
   0),"")</f>
        <v/>
      </c>
      <c r="Q13" t="e">
        <f>_xlfn.XLOOKUP(A13,Table_query[Name],Table_query[Phase])</f>
        <v>#N/A</v>
      </c>
      <c r="W13" t="str">
        <f>IFERROR(IF(AND(W$2 &gt;= EOMONTH(_xlfn.XLOOKUP($S13,Table_query[Name],Table_query[Start Date]),-1)+1, W$3 &lt;= _xlfn.XLOOKUP('Q Spread Calculation'!$S13,Table_query[Name],Table_query[Expiry Date])),
   _xlfn.XLOOKUP('Q Spread Calculation'!$S13,Table_query[Name],Table_query[Monthly Revenue Spread]),
   0),"")</f>
        <v/>
      </c>
      <c r="X13" t="str">
        <f>IFERROR(IF(AND(X$2 &gt;= EOMONTH(_xlfn.XLOOKUP($S13,Table_query[Name],Table_query[Start Date]),-1)+1, X$3 &lt;= _xlfn.XLOOKUP('Q Spread Calculation'!$S13,Table_query[Name],Table_query[Expiry Date])),
   _xlfn.XLOOKUP('Q Spread Calculation'!$S13,Table_query[Name],Table_query[Monthly Revenue Spread]),
   0),"")</f>
        <v/>
      </c>
      <c r="Y13" t="str">
        <f>IFERROR(IF(AND(Y$2 &gt;= EOMONTH(_xlfn.XLOOKUP($S13,Table_query[Name],Table_query[Start Date]),-1)+1, Y$3 &lt;= _xlfn.XLOOKUP('Q Spread Calculation'!$S13,Table_query[Name],Table_query[Expiry Date])),
   _xlfn.XLOOKUP('Q Spread Calculation'!$S13,Table_query[Name],Table_query[Monthly Revenue Spread]),
   0),"")</f>
        <v/>
      </c>
      <c r="Z13" t="str">
        <f>IFERROR(IF(AND(Z$2 &gt;= EOMONTH(_xlfn.XLOOKUP($S13,Table_query[Name],Table_query[Start Date]),-1)+1, Z$3 &lt;= _xlfn.XLOOKUP('Q Spread Calculation'!$S13,Table_query[Name],Table_query[Expiry Date])),
   _xlfn.XLOOKUP('Q Spread Calculation'!$S13,Table_query[Name],Table_query[Monthly Revenue Spread]),
   0),"")</f>
        <v/>
      </c>
      <c r="AA13" t="str">
        <f>IFERROR(IF(AND(AA$2 &gt;= EOMONTH(_xlfn.XLOOKUP($S13,Table_query[Name],Table_query[Start Date]),-1)+1, AA$3 &lt;= _xlfn.XLOOKUP('Q Spread Calculation'!$S13,Table_query[Name],Table_query[Expiry Date])),
   _xlfn.XLOOKUP('Q Spread Calculation'!$S13,Table_query[Name],Table_query[Monthly Revenue Spread]),
   0),"")</f>
        <v/>
      </c>
      <c r="AB13" t="str">
        <f>IFERROR(IF(AND(AB$2 &gt;= EOMONTH(_xlfn.XLOOKUP($S13,Table_query[Name],Table_query[Start Date]),-1)+1, AB$3 &lt;= _xlfn.XLOOKUP('Q Spread Calculation'!$S13,Table_query[Name],Table_query[Expiry Date])),
   _xlfn.XLOOKUP('Q Spread Calculation'!$S13,Table_query[Name],Table_query[Monthly Revenue Spread]),
   0),"")</f>
        <v/>
      </c>
      <c r="AC13" t="str">
        <f>IFERROR(IF(AND(AC$2 &gt;= EOMONTH(_xlfn.XLOOKUP($S13,Table_query[Name],Table_query[Start Date]),-1)+1, AC$3 &lt;= _xlfn.XLOOKUP('Q Spread Calculation'!$S13,Table_query[Name],Table_query[Expiry Date])),
   _xlfn.XLOOKUP('Q Spread Calculation'!$S13,Table_query[Name],Table_query[Monthly Revenue Spread]),
   0),"")</f>
        <v/>
      </c>
      <c r="AD13" t="str">
        <f>IFERROR(IF(AND(AD$2 &gt;= EOMONTH(_xlfn.XLOOKUP($S13,Table_query[Name],Table_query[Start Date]),-1)+1, AD$3 &lt;= _xlfn.XLOOKUP('Q Spread Calculation'!$S13,Table_query[Name],Table_query[Expiry Date])),
   _xlfn.XLOOKUP('Q Spread Calculation'!$S13,Table_query[Name],Table_query[Monthly Revenue Spread]),
   0),"")</f>
        <v/>
      </c>
      <c r="AE13" t="str">
        <f>IFERROR(IF(AND(AE$2 &gt;= EOMONTH(_xlfn.XLOOKUP($S13,Table_query[Name],Table_query[Start Date]),-1)+1, AE$3 &lt;= _xlfn.XLOOKUP('Q Spread Calculation'!$S13,Table_query[Name],Table_query[Expiry Date])),
   _xlfn.XLOOKUP('Q Spread Calculation'!$S13,Table_query[Name],Table_query[Monthly Revenue Spread]),
   0),"")</f>
        <v/>
      </c>
      <c r="AF13" t="str">
        <f>IFERROR(IF(AND(AF$2 &gt;= EOMONTH(_xlfn.XLOOKUP($S13,Table_query[Name],Table_query[Start Date]),-1)+1, AF$3 &lt;= _xlfn.XLOOKUP('Q Spread Calculation'!$S13,Table_query[Name],Table_query[Expiry Date])),
   _xlfn.XLOOKUP('Q Spread Calculation'!$S13,Table_query[Name],Table_query[Monthly Revenue Spread]),
   0),"")</f>
        <v/>
      </c>
      <c r="AG13" t="str">
        <f>IFERROR(IF(AND(AG$2 &gt;= EOMONTH(_xlfn.XLOOKUP($S13,Table_query[Name],Table_query[Start Date]),-1)+1, AG$3 &lt;= _xlfn.XLOOKUP('Q Spread Calculation'!$S13,Table_query[Name],Table_query[Expiry Date])),
   _xlfn.XLOOKUP('Q Spread Calculation'!$S13,Table_query[Name],Table_query[Monthly Revenue Spread]),
   0),"")</f>
        <v/>
      </c>
      <c r="AH13" t="str">
        <f>IFERROR(IF(AND(AH$2 &gt;= EOMONTH(_xlfn.XLOOKUP($S13,Table_query[Name],Table_query[Start Date]),-1)+1, AH$3 &lt;= _xlfn.XLOOKUP('Q Spread Calculation'!$S13,Table_query[Name],Table_query[Expiry Date])),
   _xlfn.XLOOKUP('Q Spread Calculation'!$S13,Table_query[Name],Table_query[Monthly Revenue Spread]),
   0),"")</f>
        <v/>
      </c>
      <c r="AI13" t="e">
        <f>_xlfn.XLOOKUP(S13,Table_query[Name],Table_query[Phase])</f>
        <v>#N/A</v>
      </c>
    </row>
    <row r="14" spans="1:35" x14ac:dyDescent="0.25">
      <c r="E14" s="98" t="str">
        <f>IFERROR(IF(AND(E$2 &gt;= EOMONTH(_xlfn.XLOOKUP($A14,Table_query[Name],Table_query[Start Date]),-1)+1, E$3 &lt;= _xlfn.XLOOKUP('Q Spread Calculation'!$A14,Table_query[Name],Table_query[Expiry Date])),
   _xlfn.XLOOKUP('Q Spread Calculation'!$A14,Table_query[Name],Table_query[Monthly Gross Margin Contribution]),
   0),"")</f>
        <v/>
      </c>
      <c r="F14" s="98" t="str">
        <f>IFERROR(IF(AND(F$2 &gt;= EOMONTH(_xlfn.XLOOKUP($A14,Table_query[Name],Table_query[Start Date]),-1)+1, F$3 &lt;= _xlfn.XLOOKUP('Q Spread Calculation'!$A14,Table_query[Name],Table_query[Expiry Date])),
   _xlfn.XLOOKUP('Q Spread Calculation'!$A14,Table_query[Name],Table_query[Monthly Gross Margin Contribution]),
   0),"")</f>
        <v/>
      </c>
      <c r="G14" s="98" t="str">
        <f>IFERROR(IF(AND(G$2 &gt;= EOMONTH(_xlfn.XLOOKUP($A14,Table_query[Name],Table_query[Start Date]),-1)+1, G$3 &lt;= _xlfn.XLOOKUP('Q Spread Calculation'!$A14,Table_query[Name],Table_query[Expiry Date])),
   _xlfn.XLOOKUP('Q Spread Calculation'!$A14,Table_query[Name],Table_query[Monthly Gross Margin Contribution]),
   0),"")</f>
        <v/>
      </c>
      <c r="H14" s="98" t="str">
        <f>IFERROR(IF(AND(H$2 &gt;= EOMONTH(_xlfn.XLOOKUP($A14,Table_query[Name],Table_query[Start Date]),-1)+1, H$3 &lt;= _xlfn.XLOOKUP('Q Spread Calculation'!$A14,Table_query[Name],Table_query[Expiry Date])),
   _xlfn.XLOOKUP('Q Spread Calculation'!$A14,Table_query[Name],Table_query[Monthly Gross Margin Contribution]),
   0),"")</f>
        <v/>
      </c>
      <c r="I14" s="98" t="str">
        <f>IFERROR(IF(AND(I$2 &gt;= EOMONTH(_xlfn.XLOOKUP($A14,Table_query[Name],Table_query[Start Date]),-1)+1, I$3 &lt;= _xlfn.XLOOKUP('Q Spread Calculation'!$A14,Table_query[Name],Table_query[Expiry Date])),
   _xlfn.XLOOKUP('Q Spread Calculation'!$A14,Table_query[Name],Table_query[Monthly Gross Margin Contribution]),
   0),"")</f>
        <v/>
      </c>
      <c r="J14" s="98" t="str">
        <f>IFERROR(IF(AND(J$2 &gt;= EOMONTH(_xlfn.XLOOKUP($A14,Table_query[Name],Table_query[Start Date]),-1)+1, J$3 &lt;= _xlfn.XLOOKUP('Q Spread Calculation'!$A14,Table_query[Name],Table_query[Expiry Date])),
   _xlfn.XLOOKUP('Q Spread Calculation'!$A14,Table_query[Name],Table_query[Monthly Gross Margin Contribution]),
   0),"")</f>
        <v/>
      </c>
      <c r="K14" s="98" t="str">
        <f>IFERROR(IF(AND(K$2 &gt;= EOMONTH(_xlfn.XLOOKUP($A14,Table_query[Name],Table_query[Start Date]),-1)+1, K$3 &lt;= _xlfn.XLOOKUP('Q Spread Calculation'!$A14,Table_query[Name],Table_query[Expiry Date])),
   _xlfn.XLOOKUP('Q Spread Calculation'!$A14,Table_query[Name],Table_query[Monthly Gross Margin Contribution]),
   0),"")</f>
        <v/>
      </c>
      <c r="L14" s="98" t="str">
        <f>IFERROR(IF(AND(L$2 &gt;= EOMONTH(_xlfn.XLOOKUP($A14,Table_query[Name],Table_query[Start Date]),-1)+1, L$3 &lt;= _xlfn.XLOOKUP('Q Spread Calculation'!$A14,Table_query[Name],Table_query[Expiry Date])),
   _xlfn.XLOOKUP('Q Spread Calculation'!$A14,Table_query[Name],Table_query[Monthly Gross Margin Contribution]),
   0),"")</f>
        <v/>
      </c>
      <c r="M14" s="98" t="str">
        <f>IFERROR(IF(AND(M$2 &gt;= EOMONTH(_xlfn.XLOOKUP($A14,Table_query[Name],Table_query[Start Date]),-1)+1, M$3 &lt;= _xlfn.XLOOKUP('Q Spread Calculation'!$A14,Table_query[Name],Table_query[Expiry Date])),
   _xlfn.XLOOKUP('Q Spread Calculation'!$A14,Table_query[Name],Table_query[Monthly Gross Margin Contribution]),
   0),"")</f>
        <v/>
      </c>
      <c r="N14" s="98" t="str">
        <f>IFERROR(IF(AND(N$2 &gt;= EOMONTH(_xlfn.XLOOKUP($A14,Table_query[Name],Table_query[Start Date]),-1)+1, N$3 &lt;= _xlfn.XLOOKUP('Q Spread Calculation'!$A14,Table_query[Name],Table_query[Expiry Date])),
   _xlfn.XLOOKUP('Q Spread Calculation'!$A14,Table_query[Name],Table_query[Monthly Gross Margin Contribution]),
   0),"")</f>
        <v/>
      </c>
      <c r="O14" s="98" t="str">
        <f>IFERROR(IF(AND(O$2 &gt;= EOMONTH(_xlfn.XLOOKUP($A14,Table_query[Name],Table_query[Start Date]),-1)+1, O$3 &lt;= _xlfn.XLOOKUP('Q Spread Calculation'!$A14,Table_query[Name],Table_query[Expiry Date])),
   _xlfn.XLOOKUP('Q Spread Calculation'!$A14,Table_query[Name],Table_query[Monthly Gross Margin Contribution]),
   0),"")</f>
        <v/>
      </c>
      <c r="P14" s="98" t="str">
        <f>IFERROR(IF(AND(P$2 &gt;= EOMONTH(_xlfn.XLOOKUP($A14,Table_query[Name],Table_query[Start Date]),-1)+1, P$3 &lt;= _xlfn.XLOOKUP('Q Spread Calculation'!$A14,Table_query[Name],Table_query[Expiry Date])),
   _xlfn.XLOOKUP('Q Spread Calculation'!$A14,Table_query[Name],Table_query[Monthly Gross Margin Contribution]),
   0),"")</f>
        <v/>
      </c>
      <c r="Q14" s="98"/>
      <c r="W14" t="str">
        <f>IFERROR(IF(AND(W$2 &gt;= EOMONTH(_xlfn.XLOOKUP($S14,Table_query[Name],Table_query[Start Date]),-1)+1, W$3 &lt;= _xlfn.XLOOKUP('Q Spread Calculation'!$S14,Table_query[Name],Table_query[Expiry Date])),
   _xlfn.XLOOKUP('Q Spread Calculation'!$S14,Table_query[Name],Table_query[Monthly Revenue Spread]),
   0),"")</f>
        <v/>
      </c>
      <c r="X14" t="str">
        <f>IFERROR(IF(AND(X$2 &gt;= EOMONTH(_xlfn.XLOOKUP($S14,Table_query[Name],Table_query[Start Date]),-1)+1, X$3 &lt;= _xlfn.XLOOKUP('Q Spread Calculation'!$S14,Table_query[Name],Table_query[Expiry Date])),
   _xlfn.XLOOKUP('Q Spread Calculation'!$S14,Table_query[Name],Table_query[Monthly Revenue Spread]),
   0),"")</f>
        <v/>
      </c>
      <c r="Y14" t="str">
        <f>IFERROR(IF(AND(Y$2 &gt;= EOMONTH(_xlfn.XLOOKUP($S14,Table_query[Name],Table_query[Start Date]),-1)+1, Y$3 &lt;= _xlfn.XLOOKUP('Q Spread Calculation'!$S14,Table_query[Name],Table_query[Expiry Date])),
   _xlfn.XLOOKUP('Q Spread Calculation'!$S14,Table_query[Name],Table_query[Monthly Revenue Spread]),
   0),"")</f>
        <v/>
      </c>
      <c r="Z14" t="str">
        <f>IFERROR(IF(AND(Z$2 &gt;= EOMONTH(_xlfn.XLOOKUP($S14,Table_query[Name],Table_query[Start Date]),-1)+1, Z$3 &lt;= _xlfn.XLOOKUP('Q Spread Calculation'!$S14,Table_query[Name],Table_query[Expiry Date])),
   _xlfn.XLOOKUP('Q Spread Calculation'!$S14,Table_query[Name],Table_query[Monthly Revenue Spread]),
   0),"")</f>
        <v/>
      </c>
      <c r="AA14" t="str">
        <f>IFERROR(IF(AND(AA$2 &gt;= EOMONTH(_xlfn.XLOOKUP($S14,Table_query[Name],Table_query[Start Date]),-1)+1, AA$3 &lt;= _xlfn.XLOOKUP('Q Spread Calculation'!$S14,Table_query[Name],Table_query[Expiry Date])),
   _xlfn.XLOOKUP('Q Spread Calculation'!$S14,Table_query[Name],Table_query[Monthly Revenue Spread]),
   0),"")</f>
        <v/>
      </c>
      <c r="AB14" t="str">
        <f>IFERROR(IF(AND(AB$2 &gt;= EOMONTH(_xlfn.XLOOKUP($S14,Table_query[Name],Table_query[Start Date]),-1)+1, AB$3 &lt;= _xlfn.XLOOKUP('Q Spread Calculation'!$S14,Table_query[Name],Table_query[Expiry Date])),
   _xlfn.XLOOKUP('Q Spread Calculation'!$S14,Table_query[Name],Table_query[Monthly Revenue Spread]),
   0),"")</f>
        <v/>
      </c>
      <c r="AC14" t="str">
        <f>IFERROR(IF(AND(AC$2 &gt;= EOMONTH(_xlfn.XLOOKUP($S14,Table_query[Name],Table_query[Start Date]),-1)+1, AC$3 &lt;= _xlfn.XLOOKUP('Q Spread Calculation'!$S14,Table_query[Name],Table_query[Expiry Date])),
   _xlfn.XLOOKUP('Q Spread Calculation'!$S14,Table_query[Name],Table_query[Monthly Revenue Spread]),
   0),"")</f>
        <v/>
      </c>
      <c r="AD14" t="str">
        <f>IFERROR(IF(AND(AD$2 &gt;= EOMONTH(_xlfn.XLOOKUP($S14,Table_query[Name],Table_query[Start Date]),-1)+1, AD$3 &lt;= _xlfn.XLOOKUP('Q Spread Calculation'!$S14,Table_query[Name],Table_query[Expiry Date])),
   _xlfn.XLOOKUP('Q Spread Calculation'!$S14,Table_query[Name],Table_query[Monthly Revenue Spread]),
   0),"")</f>
        <v/>
      </c>
      <c r="AE14" t="str">
        <f>IFERROR(IF(AND(AE$2 &gt;= EOMONTH(_xlfn.XLOOKUP($S14,Table_query[Name],Table_query[Start Date]),-1)+1, AE$3 &lt;= _xlfn.XLOOKUP('Q Spread Calculation'!$S14,Table_query[Name],Table_query[Expiry Date])),
   _xlfn.XLOOKUP('Q Spread Calculation'!$S14,Table_query[Name],Table_query[Monthly Revenue Spread]),
   0),"")</f>
        <v/>
      </c>
      <c r="AF14" t="str">
        <f>IFERROR(IF(AND(AF$2 &gt;= EOMONTH(_xlfn.XLOOKUP($S14,Table_query[Name],Table_query[Start Date]),-1)+1, AF$3 &lt;= _xlfn.XLOOKUP('Q Spread Calculation'!$S14,Table_query[Name],Table_query[Expiry Date])),
   _xlfn.XLOOKUP('Q Spread Calculation'!$S14,Table_query[Name],Table_query[Monthly Revenue Spread]),
   0),"")</f>
        <v/>
      </c>
      <c r="AG14" t="str">
        <f>IFERROR(IF(AND(AG$2 &gt;= EOMONTH(_xlfn.XLOOKUP($S14,Table_query[Name],Table_query[Start Date]),-1)+1, AG$3 &lt;= _xlfn.XLOOKUP('Q Spread Calculation'!$S14,Table_query[Name],Table_query[Expiry Date])),
   _xlfn.XLOOKUP('Q Spread Calculation'!$S14,Table_query[Name],Table_query[Monthly Revenue Spread]),
   0),"")</f>
        <v/>
      </c>
      <c r="AH14" t="str">
        <f>IFERROR(IF(AND(AH$2 &gt;= EOMONTH(_xlfn.XLOOKUP($S14,Table_query[Name],Table_query[Start Date]),-1)+1, AH$3 &lt;= _xlfn.XLOOKUP('Q Spread Calculation'!$S14,Table_query[Name],Table_query[Expiry Date])),
   _xlfn.XLOOKUP('Q Spread Calculation'!$S14,Table_query[Name],Table_query[Monthly Revenue Spread]),
   0),"")</f>
        <v/>
      </c>
      <c r="AI14" t="e">
        <f>_xlfn.XLOOKUP(S14,Table_query[Name],Table_query[Phase])</f>
        <v>#N/A</v>
      </c>
    </row>
    <row r="15" spans="1:35" x14ac:dyDescent="0.25">
      <c r="E15" s="98" t="str">
        <f>IFERROR(IF(AND(E$2 &gt;= EOMONTH(_xlfn.XLOOKUP($A15,Table_query[Name],Table_query[Start Date]),-1)+1, E$3 &lt;= _xlfn.XLOOKUP('Q Spread Calculation'!$A15,Table_query[Name],Table_query[Expiry Date])),
   _xlfn.XLOOKUP('Q Spread Calculation'!$A15,Table_query[Name],Table_query[Monthly Gross Margin Contribution]),
   0),"")</f>
        <v/>
      </c>
      <c r="F15" s="98" t="str">
        <f>IFERROR(IF(AND(F$2 &gt;= EOMONTH(_xlfn.XLOOKUP($A15,Table_query[Name],Table_query[Start Date]),-1)+1, F$3 &lt;= _xlfn.XLOOKUP('Q Spread Calculation'!$A15,Table_query[Name],Table_query[Expiry Date])),
   _xlfn.XLOOKUP('Q Spread Calculation'!$A15,Table_query[Name],Table_query[Monthly Gross Margin Contribution]),
   0),"")</f>
        <v/>
      </c>
      <c r="G15" s="98" t="str">
        <f>IFERROR(IF(AND(G$2 &gt;= EOMONTH(_xlfn.XLOOKUP($A15,Table_query[Name],Table_query[Start Date]),-1)+1, G$3 &lt;= _xlfn.XLOOKUP('Q Spread Calculation'!$A15,Table_query[Name],Table_query[Expiry Date])),
   _xlfn.XLOOKUP('Q Spread Calculation'!$A15,Table_query[Name],Table_query[Monthly Gross Margin Contribution]),
   0),"")</f>
        <v/>
      </c>
      <c r="H15" s="98" t="str">
        <f>IFERROR(IF(AND(H$2 &gt;= EOMONTH(_xlfn.XLOOKUP($A15,Table_query[Name],Table_query[Start Date]),-1)+1, H$3 &lt;= _xlfn.XLOOKUP('Q Spread Calculation'!$A15,Table_query[Name],Table_query[Expiry Date])),
   _xlfn.XLOOKUP('Q Spread Calculation'!$A15,Table_query[Name],Table_query[Monthly Gross Margin Contribution]),
   0),"")</f>
        <v/>
      </c>
      <c r="I15" s="98" t="str">
        <f>IFERROR(IF(AND(I$2 &gt;= EOMONTH(_xlfn.XLOOKUP($A15,Table_query[Name],Table_query[Start Date]),-1)+1, I$3 &lt;= _xlfn.XLOOKUP('Q Spread Calculation'!$A15,Table_query[Name],Table_query[Expiry Date])),
   _xlfn.XLOOKUP('Q Spread Calculation'!$A15,Table_query[Name],Table_query[Monthly Gross Margin Contribution]),
   0),"")</f>
        <v/>
      </c>
      <c r="J15" s="98" t="str">
        <f>IFERROR(IF(AND(J$2 &gt;= EOMONTH(_xlfn.XLOOKUP($A15,Table_query[Name],Table_query[Start Date]),-1)+1, J$3 &lt;= _xlfn.XLOOKUP('Q Spread Calculation'!$A15,Table_query[Name],Table_query[Expiry Date])),
   _xlfn.XLOOKUP('Q Spread Calculation'!$A15,Table_query[Name],Table_query[Monthly Gross Margin Contribution]),
   0),"")</f>
        <v/>
      </c>
      <c r="K15" s="98" t="str">
        <f>IFERROR(IF(AND(K$2 &gt;= EOMONTH(_xlfn.XLOOKUP($A15,Table_query[Name],Table_query[Start Date]),-1)+1, K$3 &lt;= _xlfn.XLOOKUP('Q Spread Calculation'!$A15,Table_query[Name],Table_query[Expiry Date])),
   _xlfn.XLOOKUP('Q Spread Calculation'!$A15,Table_query[Name],Table_query[Monthly Gross Margin Contribution]),
   0),"")</f>
        <v/>
      </c>
      <c r="L15" s="98" t="str">
        <f>IFERROR(IF(AND(L$2 &gt;= EOMONTH(_xlfn.XLOOKUP($A15,Table_query[Name],Table_query[Start Date]),-1)+1, L$3 &lt;= _xlfn.XLOOKUP('Q Spread Calculation'!$A15,Table_query[Name],Table_query[Expiry Date])),
   _xlfn.XLOOKUP('Q Spread Calculation'!$A15,Table_query[Name],Table_query[Monthly Gross Margin Contribution]),
   0),"")</f>
        <v/>
      </c>
      <c r="M15" s="98" t="str">
        <f>IFERROR(IF(AND(M$2 &gt;= EOMONTH(_xlfn.XLOOKUP($A15,Table_query[Name],Table_query[Start Date]),-1)+1, M$3 &lt;= _xlfn.XLOOKUP('Q Spread Calculation'!$A15,Table_query[Name],Table_query[Expiry Date])),
   _xlfn.XLOOKUP('Q Spread Calculation'!$A15,Table_query[Name],Table_query[Monthly Gross Margin Contribution]),
   0),"")</f>
        <v/>
      </c>
      <c r="N15" s="98" t="str">
        <f>IFERROR(IF(AND(N$2 &gt;= EOMONTH(_xlfn.XLOOKUP($A15,Table_query[Name],Table_query[Start Date]),-1)+1, N$3 &lt;= _xlfn.XLOOKUP('Q Spread Calculation'!$A15,Table_query[Name],Table_query[Expiry Date])),
   _xlfn.XLOOKUP('Q Spread Calculation'!$A15,Table_query[Name],Table_query[Monthly Gross Margin Contribution]),
   0),"")</f>
        <v/>
      </c>
      <c r="O15" s="98" t="str">
        <f>IFERROR(IF(AND(O$2 &gt;= EOMONTH(_xlfn.XLOOKUP($A15,Table_query[Name],Table_query[Start Date]),-1)+1, O$3 &lt;= _xlfn.XLOOKUP('Q Spread Calculation'!$A15,Table_query[Name],Table_query[Expiry Date])),
   _xlfn.XLOOKUP('Q Spread Calculation'!$A15,Table_query[Name],Table_query[Monthly Gross Margin Contribution]),
   0),"")</f>
        <v/>
      </c>
      <c r="P15" s="98" t="str">
        <f>IFERROR(IF(AND(P$2 &gt;= EOMONTH(_xlfn.XLOOKUP($A15,Table_query[Name],Table_query[Start Date]),-1)+1, P$3 &lt;= _xlfn.XLOOKUP('Q Spread Calculation'!$A15,Table_query[Name],Table_query[Expiry Date])),
   _xlfn.XLOOKUP('Q Spread Calculation'!$A15,Table_query[Name],Table_query[Monthly Gross Margin Contribution]),
   0),"")</f>
        <v/>
      </c>
      <c r="Q15" s="98"/>
      <c r="W15" t="str">
        <f>IFERROR(IF(AND(W$2 &gt;= EOMONTH(_xlfn.XLOOKUP($S15,Table_query[Name],Table_query[Start Date]),-1)+1, W$3 &lt;= _xlfn.XLOOKUP('Q Spread Calculation'!$S15,Table_query[Name],Table_query[Expiry Date])),
   _xlfn.XLOOKUP('Q Spread Calculation'!$S15,Table_query[Name],Table_query[Monthly Revenue Spread]),
   0),"")</f>
        <v/>
      </c>
      <c r="X15" t="str">
        <f>IFERROR(IF(AND(X$2 &gt;= EOMONTH(_xlfn.XLOOKUP($S15,Table_query[Name],Table_query[Start Date]),-1)+1, X$3 &lt;= _xlfn.XLOOKUP('Q Spread Calculation'!$S15,Table_query[Name],Table_query[Expiry Date])),
   _xlfn.XLOOKUP('Q Spread Calculation'!$S15,Table_query[Name],Table_query[Monthly Revenue Spread]),
   0),"")</f>
        <v/>
      </c>
      <c r="Y15" t="str">
        <f>IFERROR(IF(AND(Y$2 &gt;= EOMONTH(_xlfn.XLOOKUP($S15,Table_query[Name],Table_query[Start Date]),-1)+1, Y$3 &lt;= _xlfn.XLOOKUP('Q Spread Calculation'!$S15,Table_query[Name],Table_query[Expiry Date])),
   _xlfn.XLOOKUP('Q Spread Calculation'!$S15,Table_query[Name],Table_query[Monthly Revenue Spread]),
   0),"")</f>
        <v/>
      </c>
      <c r="Z15" t="str">
        <f>IFERROR(IF(AND(Z$2 &gt;= EOMONTH(_xlfn.XLOOKUP($S15,Table_query[Name],Table_query[Start Date]),-1)+1, Z$3 &lt;= _xlfn.XLOOKUP('Q Spread Calculation'!$S15,Table_query[Name],Table_query[Expiry Date])),
   _xlfn.XLOOKUP('Q Spread Calculation'!$S15,Table_query[Name],Table_query[Monthly Revenue Spread]),
   0),"")</f>
        <v/>
      </c>
      <c r="AA15" t="str">
        <f>IFERROR(IF(AND(AA$2 &gt;= EOMONTH(_xlfn.XLOOKUP($S15,Table_query[Name],Table_query[Start Date]),-1)+1, AA$3 &lt;= _xlfn.XLOOKUP('Q Spread Calculation'!$S15,Table_query[Name],Table_query[Expiry Date])),
   _xlfn.XLOOKUP('Q Spread Calculation'!$S15,Table_query[Name],Table_query[Monthly Revenue Spread]),
   0),"")</f>
        <v/>
      </c>
      <c r="AB15" t="str">
        <f>IFERROR(IF(AND(AB$2 &gt;= EOMONTH(_xlfn.XLOOKUP($S15,Table_query[Name],Table_query[Start Date]),-1)+1, AB$3 &lt;= _xlfn.XLOOKUP('Q Spread Calculation'!$S15,Table_query[Name],Table_query[Expiry Date])),
   _xlfn.XLOOKUP('Q Spread Calculation'!$S15,Table_query[Name],Table_query[Monthly Revenue Spread]),
   0),"")</f>
        <v/>
      </c>
      <c r="AC15" t="str">
        <f>IFERROR(IF(AND(AC$2 &gt;= EOMONTH(_xlfn.XLOOKUP($S15,Table_query[Name],Table_query[Start Date]),-1)+1, AC$3 &lt;= _xlfn.XLOOKUP('Q Spread Calculation'!$S15,Table_query[Name],Table_query[Expiry Date])),
   _xlfn.XLOOKUP('Q Spread Calculation'!$S15,Table_query[Name],Table_query[Monthly Revenue Spread]),
   0),"")</f>
        <v/>
      </c>
      <c r="AD15" t="str">
        <f>IFERROR(IF(AND(AD$2 &gt;= EOMONTH(_xlfn.XLOOKUP($S15,Table_query[Name],Table_query[Start Date]),-1)+1, AD$3 &lt;= _xlfn.XLOOKUP('Q Spread Calculation'!$S15,Table_query[Name],Table_query[Expiry Date])),
   _xlfn.XLOOKUP('Q Spread Calculation'!$S15,Table_query[Name],Table_query[Monthly Revenue Spread]),
   0),"")</f>
        <v/>
      </c>
      <c r="AE15" t="str">
        <f>IFERROR(IF(AND(AE$2 &gt;= EOMONTH(_xlfn.XLOOKUP($S15,Table_query[Name],Table_query[Start Date]),-1)+1, AE$3 &lt;= _xlfn.XLOOKUP('Q Spread Calculation'!$S15,Table_query[Name],Table_query[Expiry Date])),
   _xlfn.XLOOKUP('Q Spread Calculation'!$S15,Table_query[Name],Table_query[Monthly Revenue Spread]),
   0),"")</f>
        <v/>
      </c>
      <c r="AF15" t="str">
        <f>IFERROR(IF(AND(AF$2 &gt;= EOMONTH(_xlfn.XLOOKUP($S15,Table_query[Name],Table_query[Start Date]),-1)+1, AF$3 &lt;= _xlfn.XLOOKUP('Q Spread Calculation'!$S15,Table_query[Name],Table_query[Expiry Date])),
   _xlfn.XLOOKUP('Q Spread Calculation'!$S15,Table_query[Name],Table_query[Monthly Revenue Spread]),
   0),"")</f>
        <v/>
      </c>
      <c r="AG15" t="str">
        <f>IFERROR(IF(AND(AG$2 &gt;= EOMONTH(_xlfn.XLOOKUP($S15,Table_query[Name],Table_query[Start Date]),-1)+1, AG$3 &lt;= _xlfn.XLOOKUP('Q Spread Calculation'!$S15,Table_query[Name],Table_query[Expiry Date])),
   _xlfn.XLOOKUP('Q Spread Calculation'!$S15,Table_query[Name],Table_query[Monthly Revenue Spread]),
   0),"")</f>
        <v/>
      </c>
      <c r="AH15" t="str">
        <f>IFERROR(IF(AND(AH$2 &gt;= EOMONTH(_xlfn.XLOOKUP($S15,Table_query[Name],Table_query[Start Date]),-1)+1, AH$3 &lt;= _xlfn.XLOOKUP('Q Spread Calculation'!$S15,Table_query[Name],Table_query[Expiry Date])),
   _xlfn.XLOOKUP('Q Spread Calculation'!$S15,Table_query[Name],Table_query[Monthly Revenue Spread]),
   0),"")</f>
        <v/>
      </c>
      <c r="AI15" t="e">
        <f>_xlfn.XLOOKUP(S15,Table_query[Name],Table_query[Phase])</f>
        <v>#N/A</v>
      </c>
    </row>
    <row r="16" spans="1:35" x14ac:dyDescent="0.25">
      <c r="E16" s="98" t="str">
        <f>IFERROR(IF(AND(E$2 &gt;= EOMONTH(_xlfn.XLOOKUP($A16,Table_query[Name],Table_query[Start Date]),-1)+1, E$3 &lt;= _xlfn.XLOOKUP('Q Spread Calculation'!$A16,Table_query[Name],Table_query[Expiry Date])),
   _xlfn.XLOOKUP('Q Spread Calculation'!$A16,Table_query[Name],Table_query[Monthly Gross Margin Contribution]),
   0),"")</f>
        <v/>
      </c>
      <c r="F16" s="98" t="str">
        <f>IFERROR(IF(AND(F$2 &gt;= EOMONTH(_xlfn.XLOOKUP($A16,Table_query[Name],Table_query[Start Date]),-1)+1, F$3 &lt;= _xlfn.XLOOKUP('Q Spread Calculation'!$A16,Table_query[Name],Table_query[Expiry Date])),
   _xlfn.XLOOKUP('Q Spread Calculation'!$A16,Table_query[Name],Table_query[Monthly Gross Margin Contribution]),
   0),"")</f>
        <v/>
      </c>
      <c r="G16" s="98" t="str">
        <f>IFERROR(IF(AND(G$2 &gt;= EOMONTH(_xlfn.XLOOKUP($A16,Table_query[Name],Table_query[Start Date]),-1)+1, G$3 &lt;= _xlfn.XLOOKUP('Q Spread Calculation'!$A16,Table_query[Name],Table_query[Expiry Date])),
   _xlfn.XLOOKUP('Q Spread Calculation'!$A16,Table_query[Name],Table_query[Monthly Gross Margin Contribution]),
   0),"")</f>
        <v/>
      </c>
      <c r="H16" s="98" t="str">
        <f>IFERROR(IF(AND(H$2 &gt;= EOMONTH(_xlfn.XLOOKUP($A16,Table_query[Name],Table_query[Start Date]),-1)+1, H$3 &lt;= _xlfn.XLOOKUP('Q Spread Calculation'!$A16,Table_query[Name],Table_query[Expiry Date])),
   _xlfn.XLOOKUP('Q Spread Calculation'!$A16,Table_query[Name],Table_query[Monthly Gross Margin Contribution]),
   0),"")</f>
        <v/>
      </c>
      <c r="I16" s="98" t="str">
        <f>IFERROR(IF(AND(I$2 &gt;= EOMONTH(_xlfn.XLOOKUP($A16,Table_query[Name],Table_query[Start Date]),-1)+1, I$3 &lt;= _xlfn.XLOOKUP('Q Spread Calculation'!$A16,Table_query[Name],Table_query[Expiry Date])),
   _xlfn.XLOOKUP('Q Spread Calculation'!$A16,Table_query[Name],Table_query[Monthly Gross Margin Contribution]),
   0),"")</f>
        <v/>
      </c>
      <c r="J16" s="98" t="str">
        <f>IFERROR(IF(AND(J$2 &gt;= EOMONTH(_xlfn.XLOOKUP($A16,Table_query[Name],Table_query[Start Date]),-1)+1, J$3 &lt;= _xlfn.XLOOKUP('Q Spread Calculation'!$A16,Table_query[Name],Table_query[Expiry Date])),
   _xlfn.XLOOKUP('Q Spread Calculation'!$A16,Table_query[Name],Table_query[Monthly Gross Margin Contribution]),
   0),"")</f>
        <v/>
      </c>
      <c r="K16" s="98" t="str">
        <f>IFERROR(IF(AND(K$2 &gt;= EOMONTH(_xlfn.XLOOKUP($A16,Table_query[Name],Table_query[Start Date]),-1)+1, K$3 &lt;= _xlfn.XLOOKUP('Q Spread Calculation'!$A16,Table_query[Name],Table_query[Expiry Date])),
   _xlfn.XLOOKUP('Q Spread Calculation'!$A16,Table_query[Name],Table_query[Monthly Gross Margin Contribution]),
   0),"")</f>
        <v/>
      </c>
      <c r="L16" s="98" t="str">
        <f>IFERROR(IF(AND(L$2 &gt;= EOMONTH(_xlfn.XLOOKUP($A16,Table_query[Name],Table_query[Start Date]),-1)+1, L$3 &lt;= _xlfn.XLOOKUP('Q Spread Calculation'!$A16,Table_query[Name],Table_query[Expiry Date])),
   _xlfn.XLOOKUP('Q Spread Calculation'!$A16,Table_query[Name],Table_query[Monthly Gross Margin Contribution]),
   0),"")</f>
        <v/>
      </c>
      <c r="M16" s="98" t="str">
        <f>IFERROR(IF(AND(M$2 &gt;= EOMONTH(_xlfn.XLOOKUP($A16,Table_query[Name],Table_query[Start Date]),-1)+1, M$3 &lt;= _xlfn.XLOOKUP('Q Spread Calculation'!$A16,Table_query[Name],Table_query[Expiry Date])),
   _xlfn.XLOOKUP('Q Spread Calculation'!$A16,Table_query[Name],Table_query[Monthly Gross Margin Contribution]),
   0),"")</f>
        <v/>
      </c>
      <c r="N16" s="98" t="str">
        <f>IFERROR(IF(AND(N$2 &gt;= EOMONTH(_xlfn.XLOOKUP($A16,Table_query[Name],Table_query[Start Date]),-1)+1, N$3 &lt;= _xlfn.XLOOKUP('Q Spread Calculation'!$A16,Table_query[Name],Table_query[Expiry Date])),
   _xlfn.XLOOKUP('Q Spread Calculation'!$A16,Table_query[Name],Table_query[Monthly Gross Margin Contribution]),
   0),"")</f>
        <v/>
      </c>
      <c r="O16" s="98" t="str">
        <f>IFERROR(IF(AND(O$2 &gt;= EOMONTH(_xlfn.XLOOKUP($A16,Table_query[Name],Table_query[Start Date]),-1)+1, O$3 &lt;= _xlfn.XLOOKUP('Q Spread Calculation'!$A16,Table_query[Name],Table_query[Expiry Date])),
   _xlfn.XLOOKUP('Q Spread Calculation'!$A16,Table_query[Name],Table_query[Monthly Gross Margin Contribution]),
   0),"")</f>
        <v/>
      </c>
      <c r="P16" s="98" t="str">
        <f>IFERROR(IF(AND(P$2 &gt;= EOMONTH(_xlfn.XLOOKUP($A16,Table_query[Name],Table_query[Start Date]),-1)+1, P$3 &lt;= _xlfn.XLOOKUP('Q Spread Calculation'!$A16,Table_query[Name],Table_query[Expiry Date])),
   _xlfn.XLOOKUP('Q Spread Calculation'!$A16,Table_query[Name],Table_query[Monthly Gross Margin Contribution]),
   0),"")</f>
        <v/>
      </c>
      <c r="Q16" s="98"/>
      <c r="W16" t="str">
        <f>IFERROR(IF(AND(W$2 &gt;= EOMONTH(_xlfn.XLOOKUP($S16,Table_query[Name],Table_query[Start Date]),-1)+1, W$3 &lt;= _xlfn.XLOOKUP('Q Spread Calculation'!$S16,Table_query[Name],Table_query[Expiry Date])),
   _xlfn.XLOOKUP('Q Spread Calculation'!$S16,Table_query[Name],Table_query[Monthly Revenue Spread]),
   0),"")</f>
        <v/>
      </c>
      <c r="X16" t="str">
        <f>IFERROR(IF(AND(X$2 &gt;= EOMONTH(_xlfn.XLOOKUP($S16,Table_query[Name],Table_query[Start Date]),-1)+1, X$3 &lt;= _xlfn.XLOOKUP('Q Spread Calculation'!$S16,Table_query[Name],Table_query[Expiry Date])),
   _xlfn.XLOOKUP('Q Spread Calculation'!$S16,Table_query[Name],Table_query[Monthly Revenue Spread]),
   0),"")</f>
        <v/>
      </c>
      <c r="Y16" t="str">
        <f>IFERROR(IF(AND(Y$2 &gt;= EOMONTH(_xlfn.XLOOKUP($S16,Table_query[Name],Table_query[Start Date]),-1)+1, Y$3 &lt;= _xlfn.XLOOKUP('Q Spread Calculation'!$S16,Table_query[Name],Table_query[Expiry Date])),
   _xlfn.XLOOKUP('Q Spread Calculation'!$S16,Table_query[Name],Table_query[Monthly Revenue Spread]),
   0),"")</f>
        <v/>
      </c>
      <c r="Z16" t="str">
        <f>IFERROR(IF(AND(Z$2 &gt;= EOMONTH(_xlfn.XLOOKUP($S16,Table_query[Name],Table_query[Start Date]),-1)+1, Z$3 &lt;= _xlfn.XLOOKUP('Q Spread Calculation'!$S16,Table_query[Name],Table_query[Expiry Date])),
   _xlfn.XLOOKUP('Q Spread Calculation'!$S16,Table_query[Name],Table_query[Monthly Revenue Spread]),
   0),"")</f>
        <v/>
      </c>
      <c r="AA16" t="str">
        <f>IFERROR(IF(AND(AA$2 &gt;= EOMONTH(_xlfn.XLOOKUP($S16,Table_query[Name],Table_query[Start Date]),-1)+1, AA$3 &lt;= _xlfn.XLOOKUP('Q Spread Calculation'!$S16,Table_query[Name],Table_query[Expiry Date])),
   _xlfn.XLOOKUP('Q Spread Calculation'!$S16,Table_query[Name],Table_query[Monthly Revenue Spread]),
   0),"")</f>
        <v/>
      </c>
      <c r="AB16" t="str">
        <f>IFERROR(IF(AND(AB$2 &gt;= EOMONTH(_xlfn.XLOOKUP($S16,Table_query[Name],Table_query[Start Date]),-1)+1, AB$3 &lt;= _xlfn.XLOOKUP('Q Spread Calculation'!$S16,Table_query[Name],Table_query[Expiry Date])),
   _xlfn.XLOOKUP('Q Spread Calculation'!$S16,Table_query[Name],Table_query[Monthly Revenue Spread]),
   0),"")</f>
        <v/>
      </c>
      <c r="AC16" t="str">
        <f>IFERROR(IF(AND(AC$2 &gt;= EOMONTH(_xlfn.XLOOKUP($S16,Table_query[Name],Table_query[Start Date]),-1)+1, AC$3 &lt;= _xlfn.XLOOKUP('Q Spread Calculation'!$S16,Table_query[Name],Table_query[Expiry Date])),
   _xlfn.XLOOKUP('Q Spread Calculation'!$S16,Table_query[Name],Table_query[Monthly Revenue Spread]),
   0),"")</f>
        <v/>
      </c>
      <c r="AD16" t="str">
        <f>IFERROR(IF(AND(AD$2 &gt;= EOMONTH(_xlfn.XLOOKUP($S16,Table_query[Name],Table_query[Start Date]),-1)+1, AD$3 &lt;= _xlfn.XLOOKUP('Q Spread Calculation'!$S16,Table_query[Name],Table_query[Expiry Date])),
   _xlfn.XLOOKUP('Q Spread Calculation'!$S16,Table_query[Name],Table_query[Monthly Revenue Spread]),
   0),"")</f>
        <v/>
      </c>
      <c r="AE16" t="str">
        <f>IFERROR(IF(AND(AE$2 &gt;= EOMONTH(_xlfn.XLOOKUP($S16,Table_query[Name],Table_query[Start Date]),-1)+1, AE$3 &lt;= _xlfn.XLOOKUP('Q Spread Calculation'!$S16,Table_query[Name],Table_query[Expiry Date])),
   _xlfn.XLOOKUP('Q Spread Calculation'!$S16,Table_query[Name],Table_query[Monthly Revenue Spread]),
   0),"")</f>
        <v/>
      </c>
      <c r="AF16" t="str">
        <f>IFERROR(IF(AND(AF$2 &gt;= EOMONTH(_xlfn.XLOOKUP($S16,Table_query[Name],Table_query[Start Date]),-1)+1, AF$3 &lt;= _xlfn.XLOOKUP('Q Spread Calculation'!$S16,Table_query[Name],Table_query[Expiry Date])),
   _xlfn.XLOOKUP('Q Spread Calculation'!$S16,Table_query[Name],Table_query[Monthly Revenue Spread]),
   0),"")</f>
        <v/>
      </c>
      <c r="AG16" t="str">
        <f>IFERROR(IF(AND(AG$2 &gt;= EOMONTH(_xlfn.XLOOKUP($S16,Table_query[Name],Table_query[Start Date]),-1)+1, AG$3 &lt;= _xlfn.XLOOKUP('Q Spread Calculation'!$S16,Table_query[Name],Table_query[Expiry Date])),
   _xlfn.XLOOKUP('Q Spread Calculation'!$S16,Table_query[Name],Table_query[Monthly Revenue Spread]),
   0),"")</f>
        <v/>
      </c>
      <c r="AH16" t="str">
        <f>IFERROR(IF(AND(AH$2 &gt;= EOMONTH(_xlfn.XLOOKUP($S16,Table_query[Name],Table_query[Start Date]),-1)+1, AH$3 &lt;= _xlfn.XLOOKUP('Q Spread Calculation'!$S16,Table_query[Name],Table_query[Expiry Date])),
   _xlfn.XLOOKUP('Q Spread Calculation'!$S16,Table_query[Name],Table_query[Monthly Revenue Spread]),
   0),"")</f>
        <v/>
      </c>
      <c r="AI16" t="e">
        <f>_xlfn.XLOOKUP(S16,Table_query[Name],Table_query[Phase])</f>
        <v>#N/A</v>
      </c>
    </row>
    <row r="17" spans="5:35" x14ac:dyDescent="0.25">
      <c r="E17" s="98" t="str">
        <f>IFERROR(IF(AND(E$2 &gt;= EOMONTH(_xlfn.XLOOKUP($A17,Table_query[Name],Table_query[Start Date]),-1)+1, E$3 &lt;= _xlfn.XLOOKUP('Q Spread Calculation'!$A17,Table_query[Name],Table_query[Expiry Date])),
   _xlfn.XLOOKUP('Q Spread Calculation'!$A17,Table_query[Name],Table_query[Monthly Gross Margin Contribution]),
   0),"")</f>
        <v/>
      </c>
      <c r="F17" s="98" t="str">
        <f>IFERROR(IF(AND(F$2 &gt;= EOMONTH(_xlfn.XLOOKUP($A17,Table_query[Name],Table_query[Start Date]),-1)+1, F$3 &lt;= _xlfn.XLOOKUP('Q Spread Calculation'!$A17,Table_query[Name],Table_query[Expiry Date])),
   _xlfn.XLOOKUP('Q Spread Calculation'!$A17,Table_query[Name],Table_query[Monthly Gross Margin Contribution]),
   0),"")</f>
        <v/>
      </c>
      <c r="G17" s="98" t="str">
        <f>IFERROR(IF(AND(G$2 &gt;= EOMONTH(_xlfn.XLOOKUP($A17,Table_query[Name],Table_query[Start Date]),-1)+1, G$3 &lt;= _xlfn.XLOOKUP('Q Spread Calculation'!$A17,Table_query[Name],Table_query[Expiry Date])),
   _xlfn.XLOOKUP('Q Spread Calculation'!$A17,Table_query[Name],Table_query[Monthly Gross Margin Contribution]),
   0),"")</f>
        <v/>
      </c>
      <c r="H17" s="98" t="str">
        <f>IFERROR(IF(AND(H$2 &gt;= EOMONTH(_xlfn.XLOOKUP($A17,Table_query[Name],Table_query[Start Date]),-1)+1, H$3 &lt;= _xlfn.XLOOKUP('Q Spread Calculation'!$A17,Table_query[Name],Table_query[Expiry Date])),
   _xlfn.XLOOKUP('Q Spread Calculation'!$A17,Table_query[Name],Table_query[Monthly Gross Margin Contribution]),
   0),"")</f>
        <v/>
      </c>
      <c r="I17" s="98" t="str">
        <f>IFERROR(IF(AND(I$2 &gt;= EOMONTH(_xlfn.XLOOKUP($A17,Table_query[Name],Table_query[Start Date]),-1)+1, I$3 &lt;= _xlfn.XLOOKUP('Q Spread Calculation'!$A17,Table_query[Name],Table_query[Expiry Date])),
   _xlfn.XLOOKUP('Q Spread Calculation'!$A17,Table_query[Name],Table_query[Monthly Gross Margin Contribution]),
   0),"")</f>
        <v/>
      </c>
      <c r="J17" s="98" t="str">
        <f>IFERROR(IF(AND(J$2 &gt;= EOMONTH(_xlfn.XLOOKUP($A17,Table_query[Name],Table_query[Start Date]),-1)+1, J$3 &lt;= _xlfn.XLOOKUP('Q Spread Calculation'!$A17,Table_query[Name],Table_query[Expiry Date])),
   _xlfn.XLOOKUP('Q Spread Calculation'!$A17,Table_query[Name],Table_query[Monthly Gross Margin Contribution]),
   0),"")</f>
        <v/>
      </c>
      <c r="K17" s="98" t="str">
        <f>IFERROR(IF(AND(K$2 &gt;= EOMONTH(_xlfn.XLOOKUP($A17,Table_query[Name],Table_query[Start Date]),-1)+1, K$3 &lt;= _xlfn.XLOOKUP('Q Spread Calculation'!$A17,Table_query[Name],Table_query[Expiry Date])),
   _xlfn.XLOOKUP('Q Spread Calculation'!$A17,Table_query[Name],Table_query[Monthly Gross Margin Contribution]),
   0),"")</f>
        <v/>
      </c>
      <c r="L17" s="98" t="str">
        <f>IFERROR(IF(AND(L$2 &gt;= EOMONTH(_xlfn.XLOOKUP($A17,Table_query[Name],Table_query[Start Date]),-1)+1, L$3 &lt;= _xlfn.XLOOKUP('Q Spread Calculation'!$A17,Table_query[Name],Table_query[Expiry Date])),
   _xlfn.XLOOKUP('Q Spread Calculation'!$A17,Table_query[Name],Table_query[Monthly Gross Margin Contribution]),
   0),"")</f>
        <v/>
      </c>
      <c r="M17" s="98" t="str">
        <f>IFERROR(IF(AND(M$2 &gt;= EOMONTH(_xlfn.XLOOKUP($A17,Table_query[Name],Table_query[Start Date]),-1)+1, M$3 &lt;= _xlfn.XLOOKUP('Q Spread Calculation'!$A17,Table_query[Name],Table_query[Expiry Date])),
   _xlfn.XLOOKUP('Q Spread Calculation'!$A17,Table_query[Name],Table_query[Monthly Gross Margin Contribution]),
   0),"")</f>
        <v/>
      </c>
      <c r="N17" s="98" t="str">
        <f>IFERROR(IF(AND(N$2 &gt;= EOMONTH(_xlfn.XLOOKUP($A17,Table_query[Name],Table_query[Start Date]),-1)+1, N$3 &lt;= _xlfn.XLOOKUP('Q Spread Calculation'!$A17,Table_query[Name],Table_query[Expiry Date])),
   _xlfn.XLOOKUP('Q Spread Calculation'!$A17,Table_query[Name],Table_query[Monthly Gross Margin Contribution]),
   0),"")</f>
        <v/>
      </c>
      <c r="O17" s="98" t="str">
        <f>IFERROR(IF(AND(O$2 &gt;= EOMONTH(_xlfn.XLOOKUP($A17,Table_query[Name],Table_query[Start Date]),-1)+1, O$3 &lt;= _xlfn.XLOOKUP('Q Spread Calculation'!$A17,Table_query[Name],Table_query[Expiry Date])),
   _xlfn.XLOOKUP('Q Spread Calculation'!$A17,Table_query[Name],Table_query[Monthly Gross Margin Contribution]),
   0),"")</f>
        <v/>
      </c>
      <c r="P17" s="98" t="str">
        <f>IFERROR(IF(AND(P$2 &gt;= EOMONTH(_xlfn.XLOOKUP($A17,Table_query[Name],Table_query[Start Date]),-1)+1, P$3 &lt;= _xlfn.XLOOKUP('Q Spread Calculation'!$A17,Table_query[Name],Table_query[Expiry Date])),
   _xlfn.XLOOKUP('Q Spread Calculation'!$A17,Table_query[Name],Table_query[Monthly Gross Margin Contribution]),
   0),"")</f>
        <v/>
      </c>
      <c r="Q17" s="98"/>
      <c r="W17" t="str">
        <f>IFERROR(IF(AND(W$2 &gt;= EOMONTH(_xlfn.XLOOKUP($S17,Table_query[Name],Table_query[Start Date]),-1)+1, W$3 &lt;= _xlfn.XLOOKUP('Q Spread Calculation'!$S17,Table_query[Name],Table_query[Expiry Date])),
   _xlfn.XLOOKUP('Q Spread Calculation'!$S17,Table_query[Name],Table_query[Monthly Revenue Spread]),
   0),"")</f>
        <v/>
      </c>
      <c r="X17" t="str">
        <f>IFERROR(IF(AND(X$2 &gt;= EOMONTH(_xlfn.XLOOKUP($S17,Table_query[Name],Table_query[Start Date]),-1)+1, X$3 &lt;= _xlfn.XLOOKUP('Q Spread Calculation'!$S17,Table_query[Name],Table_query[Expiry Date])),
   _xlfn.XLOOKUP('Q Spread Calculation'!$S17,Table_query[Name],Table_query[Monthly Revenue Spread]),
   0),"")</f>
        <v/>
      </c>
      <c r="Y17" t="str">
        <f>IFERROR(IF(AND(Y$2 &gt;= EOMONTH(_xlfn.XLOOKUP($S17,Table_query[Name],Table_query[Start Date]),-1)+1, Y$3 &lt;= _xlfn.XLOOKUP('Q Spread Calculation'!$S17,Table_query[Name],Table_query[Expiry Date])),
   _xlfn.XLOOKUP('Q Spread Calculation'!$S17,Table_query[Name],Table_query[Monthly Revenue Spread]),
   0),"")</f>
        <v/>
      </c>
      <c r="Z17" t="str">
        <f>IFERROR(IF(AND(Z$2 &gt;= EOMONTH(_xlfn.XLOOKUP($S17,Table_query[Name],Table_query[Start Date]),-1)+1, Z$3 &lt;= _xlfn.XLOOKUP('Q Spread Calculation'!$S17,Table_query[Name],Table_query[Expiry Date])),
   _xlfn.XLOOKUP('Q Spread Calculation'!$S17,Table_query[Name],Table_query[Monthly Revenue Spread]),
   0),"")</f>
        <v/>
      </c>
      <c r="AA17" t="str">
        <f>IFERROR(IF(AND(AA$2 &gt;= EOMONTH(_xlfn.XLOOKUP($S17,Table_query[Name],Table_query[Start Date]),-1)+1, AA$3 &lt;= _xlfn.XLOOKUP('Q Spread Calculation'!$S17,Table_query[Name],Table_query[Expiry Date])),
   _xlfn.XLOOKUP('Q Spread Calculation'!$S17,Table_query[Name],Table_query[Monthly Revenue Spread]),
   0),"")</f>
        <v/>
      </c>
      <c r="AB17" t="str">
        <f>IFERROR(IF(AND(AB$2 &gt;= EOMONTH(_xlfn.XLOOKUP($S17,Table_query[Name],Table_query[Start Date]),-1)+1, AB$3 &lt;= _xlfn.XLOOKUP('Q Spread Calculation'!$S17,Table_query[Name],Table_query[Expiry Date])),
   _xlfn.XLOOKUP('Q Spread Calculation'!$S17,Table_query[Name],Table_query[Monthly Revenue Spread]),
   0),"")</f>
        <v/>
      </c>
      <c r="AC17" t="str">
        <f>IFERROR(IF(AND(AC$2 &gt;= EOMONTH(_xlfn.XLOOKUP($S17,Table_query[Name],Table_query[Start Date]),-1)+1, AC$3 &lt;= _xlfn.XLOOKUP('Q Spread Calculation'!$S17,Table_query[Name],Table_query[Expiry Date])),
   _xlfn.XLOOKUP('Q Spread Calculation'!$S17,Table_query[Name],Table_query[Monthly Revenue Spread]),
   0),"")</f>
        <v/>
      </c>
      <c r="AD17" t="str">
        <f>IFERROR(IF(AND(AD$2 &gt;= EOMONTH(_xlfn.XLOOKUP($S17,Table_query[Name],Table_query[Start Date]),-1)+1, AD$3 &lt;= _xlfn.XLOOKUP('Q Spread Calculation'!$S17,Table_query[Name],Table_query[Expiry Date])),
   _xlfn.XLOOKUP('Q Spread Calculation'!$S17,Table_query[Name],Table_query[Monthly Revenue Spread]),
   0),"")</f>
        <v/>
      </c>
      <c r="AE17" t="str">
        <f>IFERROR(IF(AND(AE$2 &gt;= EOMONTH(_xlfn.XLOOKUP($S17,Table_query[Name],Table_query[Start Date]),-1)+1, AE$3 &lt;= _xlfn.XLOOKUP('Q Spread Calculation'!$S17,Table_query[Name],Table_query[Expiry Date])),
   _xlfn.XLOOKUP('Q Spread Calculation'!$S17,Table_query[Name],Table_query[Monthly Revenue Spread]),
   0),"")</f>
        <v/>
      </c>
      <c r="AF17" t="str">
        <f>IFERROR(IF(AND(AF$2 &gt;= EOMONTH(_xlfn.XLOOKUP($S17,Table_query[Name],Table_query[Start Date]),-1)+1, AF$3 &lt;= _xlfn.XLOOKUP('Q Spread Calculation'!$S17,Table_query[Name],Table_query[Expiry Date])),
   _xlfn.XLOOKUP('Q Spread Calculation'!$S17,Table_query[Name],Table_query[Monthly Revenue Spread]),
   0),"")</f>
        <v/>
      </c>
      <c r="AG17" t="str">
        <f>IFERROR(IF(AND(AG$2 &gt;= EOMONTH(_xlfn.XLOOKUP($S17,Table_query[Name],Table_query[Start Date]),-1)+1, AG$3 &lt;= _xlfn.XLOOKUP('Q Spread Calculation'!$S17,Table_query[Name],Table_query[Expiry Date])),
   _xlfn.XLOOKUP('Q Spread Calculation'!$S17,Table_query[Name],Table_query[Monthly Revenue Spread]),
   0),"")</f>
        <v/>
      </c>
      <c r="AH17" t="str">
        <f>IFERROR(IF(AND(AH$2 &gt;= EOMONTH(_xlfn.XLOOKUP($S17,Table_query[Name],Table_query[Start Date]),-1)+1, AH$3 &lt;= _xlfn.XLOOKUP('Q Spread Calculation'!$S17,Table_query[Name],Table_query[Expiry Date])),
   _xlfn.XLOOKUP('Q Spread Calculation'!$S17,Table_query[Name],Table_query[Monthly Revenue Spread]),
   0),"")</f>
        <v/>
      </c>
      <c r="AI17" t="e">
        <f>_xlfn.XLOOKUP(S17,Table_query[Name],Table_query[Phase])</f>
        <v>#N/A</v>
      </c>
    </row>
    <row r="18" spans="5:35" x14ac:dyDescent="0.25">
      <c r="E18" s="98" t="str">
        <f>IFERROR(IF(AND(E$2 &gt;= EOMONTH(_xlfn.XLOOKUP($A18,Table_query[Name],Table_query[Start Date]),-1)+1, E$3 &lt;= _xlfn.XLOOKUP('Q Spread Calculation'!$A18,Table_query[Name],Table_query[Expiry Date])),
   _xlfn.XLOOKUP('Q Spread Calculation'!$A18,Table_query[Name],Table_query[Monthly Gross Margin Contribution]),
   0),"")</f>
        <v/>
      </c>
      <c r="F18" s="98" t="str">
        <f>IFERROR(IF(AND(F$2 &gt;= EOMONTH(_xlfn.XLOOKUP($A18,Table_query[Name],Table_query[Start Date]),-1)+1, F$3 &lt;= _xlfn.XLOOKUP('Q Spread Calculation'!$A18,Table_query[Name],Table_query[Expiry Date])),
   _xlfn.XLOOKUP('Q Spread Calculation'!$A18,Table_query[Name],Table_query[Monthly Gross Margin Contribution]),
   0),"")</f>
        <v/>
      </c>
      <c r="G18" s="98" t="str">
        <f>IFERROR(IF(AND(G$2 &gt;= EOMONTH(_xlfn.XLOOKUP($A18,Table_query[Name],Table_query[Start Date]),-1)+1, G$3 &lt;= _xlfn.XLOOKUP('Q Spread Calculation'!$A18,Table_query[Name],Table_query[Expiry Date])),
   _xlfn.XLOOKUP('Q Spread Calculation'!$A18,Table_query[Name],Table_query[Monthly Gross Margin Contribution]),
   0),"")</f>
        <v/>
      </c>
      <c r="H18" s="98" t="str">
        <f>IFERROR(IF(AND(H$2 &gt;= EOMONTH(_xlfn.XLOOKUP($A18,Table_query[Name],Table_query[Start Date]),-1)+1, H$3 &lt;= _xlfn.XLOOKUP('Q Spread Calculation'!$A18,Table_query[Name],Table_query[Expiry Date])),
   _xlfn.XLOOKUP('Q Spread Calculation'!$A18,Table_query[Name],Table_query[Monthly Gross Margin Contribution]),
   0),"")</f>
        <v/>
      </c>
      <c r="I18" s="98" t="str">
        <f>IFERROR(IF(AND(I$2 &gt;= EOMONTH(_xlfn.XLOOKUP($A18,Table_query[Name],Table_query[Start Date]),-1)+1, I$3 &lt;= _xlfn.XLOOKUP('Q Spread Calculation'!$A18,Table_query[Name],Table_query[Expiry Date])),
   _xlfn.XLOOKUP('Q Spread Calculation'!$A18,Table_query[Name],Table_query[Monthly Gross Margin Contribution]),
   0),"")</f>
        <v/>
      </c>
      <c r="J18" s="98" t="str">
        <f>IFERROR(IF(AND(J$2 &gt;= EOMONTH(_xlfn.XLOOKUP($A18,Table_query[Name],Table_query[Start Date]),-1)+1, J$3 &lt;= _xlfn.XLOOKUP('Q Spread Calculation'!$A18,Table_query[Name],Table_query[Expiry Date])),
   _xlfn.XLOOKUP('Q Spread Calculation'!$A18,Table_query[Name],Table_query[Monthly Gross Margin Contribution]),
   0),"")</f>
        <v/>
      </c>
      <c r="K18" s="98" t="str">
        <f>IFERROR(IF(AND(K$2 &gt;= EOMONTH(_xlfn.XLOOKUP($A18,Table_query[Name],Table_query[Start Date]),-1)+1, K$3 &lt;= _xlfn.XLOOKUP('Q Spread Calculation'!$A18,Table_query[Name],Table_query[Expiry Date])),
   _xlfn.XLOOKUP('Q Spread Calculation'!$A18,Table_query[Name],Table_query[Monthly Gross Margin Contribution]),
   0),"")</f>
        <v/>
      </c>
      <c r="L18" s="98" t="str">
        <f>IFERROR(IF(AND(L$2 &gt;= EOMONTH(_xlfn.XLOOKUP($A18,Table_query[Name],Table_query[Start Date]),-1)+1, L$3 &lt;= _xlfn.XLOOKUP('Q Spread Calculation'!$A18,Table_query[Name],Table_query[Expiry Date])),
   _xlfn.XLOOKUP('Q Spread Calculation'!$A18,Table_query[Name],Table_query[Monthly Gross Margin Contribution]),
   0),"")</f>
        <v/>
      </c>
      <c r="M18" s="98" t="str">
        <f>IFERROR(IF(AND(M$2 &gt;= EOMONTH(_xlfn.XLOOKUP($A18,Table_query[Name],Table_query[Start Date]),-1)+1, M$3 &lt;= _xlfn.XLOOKUP('Q Spread Calculation'!$A18,Table_query[Name],Table_query[Expiry Date])),
   _xlfn.XLOOKUP('Q Spread Calculation'!$A18,Table_query[Name],Table_query[Monthly Gross Margin Contribution]),
   0),"")</f>
        <v/>
      </c>
      <c r="N18" s="98" t="str">
        <f>IFERROR(IF(AND(N$2 &gt;= EOMONTH(_xlfn.XLOOKUP($A18,Table_query[Name],Table_query[Start Date]),-1)+1, N$3 &lt;= _xlfn.XLOOKUP('Q Spread Calculation'!$A18,Table_query[Name],Table_query[Expiry Date])),
   _xlfn.XLOOKUP('Q Spread Calculation'!$A18,Table_query[Name],Table_query[Monthly Gross Margin Contribution]),
   0),"")</f>
        <v/>
      </c>
      <c r="O18" s="98" t="str">
        <f>IFERROR(IF(AND(O$2 &gt;= EOMONTH(_xlfn.XLOOKUP($A18,Table_query[Name],Table_query[Start Date]),-1)+1, O$3 &lt;= _xlfn.XLOOKUP('Q Spread Calculation'!$A18,Table_query[Name],Table_query[Expiry Date])),
   _xlfn.XLOOKUP('Q Spread Calculation'!$A18,Table_query[Name],Table_query[Monthly Gross Margin Contribution]),
   0),"")</f>
        <v/>
      </c>
      <c r="P18" s="98" t="str">
        <f>IFERROR(IF(AND(P$2 &gt;= EOMONTH(_xlfn.XLOOKUP($A18,Table_query[Name],Table_query[Start Date]),-1)+1, P$3 &lt;= _xlfn.XLOOKUP('Q Spread Calculation'!$A18,Table_query[Name],Table_query[Expiry Date])),
   _xlfn.XLOOKUP('Q Spread Calculation'!$A18,Table_query[Name],Table_query[Monthly Gross Margin Contribution]),
   0),"")</f>
        <v/>
      </c>
      <c r="Q18" s="98"/>
      <c r="W18" t="str">
        <f>IFERROR(IF(AND(W$2 &gt;= EOMONTH(_xlfn.XLOOKUP($S18,Table_query[Name],Table_query[Start Date]),-1)+1, W$3 &lt;= _xlfn.XLOOKUP('Q Spread Calculation'!$S18,Table_query[Name],Table_query[Expiry Date])),
   _xlfn.XLOOKUP('Q Spread Calculation'!$S18,Table_query[Name],Table_query[Monthly Revenue Spread]),
   0),"")</f>
        <v/>
      </c>
      <c r="X18" t="str">
        <f>IFERROR(IF(AND(X$2 &gt;= EOMONTH(_xlfn.XLOOKUP($S18,Table_query[Name],Table_query[Start Date]),-1)+1, X$3 &lt;= _xlfn.XLOOKUP('Q Spread Calculation'!$S18,Table_query[Name],Table_query[Expiry Date])),
   _xlfn.XLOOKUP('Q Spread Calculation'!$S18,Table_query[Name],Table_query[Monthly Revenue Spread]),
   0),"")</f>
        <v/>
      </c>
      <c r="Y18" t="str">
        <f>IFERROR(IF(AND(Y$2 &gt;= EOMONTH(_xlfn.XLOOKUP($S18,Table_query[Name],Table_query[Start Date]),-1)+1, Y$3 &lt;= _xlfn.XLOOKUP('Q Spread Calculation'!$S18,Table_query[Name],Table_query[Expiry Date])),
   _xlfn.XLOOKUP('Q Spread Calculation'!$S18,Table_query[Name],Table_query[Monthly Revenue Spread]),
   0),"")</f>
        <v/>
      </c>
      <c r="Z18" t="str">
        <f>IFERROR(IF(AND(Z$2 &gt;= EOMONTH(_xlfn.XLOOKUP($S18,Table_query[Name],Table_query[Start Date]),-1)+1, Z$3 &lt;= _xlfn.XLOOKUP('Q Spread Calculation'!$S18,Table_query[Name],Table_query[Expiry Date])),
   _xlfn.XLOOKUP('Q Spread Calculation'!$S18,Table_query[Name],Table_query[Monthly Revenue Spread]),
   0),"")</f>
        <v/>
      </c>
      <c r="AA18" t="str">
        <f>IFERROR(IF(AND(AA$2 &gt;= EOMONTH(_xlfn.XLOOKUP($S18,Table_query[Name],Table_query[Start Date]),-1)+1, AA$3 &lt;= _xlfn.XLOOKUP('Q Spread Calculation'!$S18,Table_query[Name],Table_query[Expiry Date])),
   _xlfn.XLOOKUP('Q Spread Calculation'!$S18,Table_query[Name],Table_query[Monthly Revenue Spread]),
   0),"")</f>
        <v/>
      </c>
      <c r="AB18" t="str">
        <f>IFERROR(IF(AND(AB$2 &gt;= EOMONTH(_xlfn.XLOOKUP($S18,Table_query[Name],Table_query[Start Date]),-1)+1, AB$3 &lt;= _xlfn.XLOOKUP('Q Spread Calculation'!$S18,Table_query[Name],Table_query[Expiry Date])),
   _xlfn.XLOOKUP('Q Spread Calculation'!$S18,Table_query[Name],Table_query[Monthly Revenue Spread]),
   0),"")</f>
        <v/>
      </c>
      <c r="AC18" t="str">
        <f>IFERROR(IF(AND(AC$2 &gt;= EOMONTH(_xlfn.XLOOKUP($S18,Table_query[Name],Table_query[Start Date]),-1)+1, AC$3 &lt;= _xlfn.XLOOKUP('Q Spread Calculation'!$S18,Table_query[Name],Table_query[Expiry Date])),
   _xlfn.XLOOKUP('Q Spread Calculation'!$S18,Table_query[Name],Table_query[Monthly Revenue Spread]),
   0),"")</f>
        <v/>
      </c>
      <c r="AD18" t="str">
        <f>IFERROR(IF(AND(AD$2 &gt;= EOMONTH(_xlfn.XLOOKUP($S18,Table_query[Name],Table_query[Start Date]),-1)+1, AD$3 &lt;= _xlfn.XLOOKUP('Q Spread Calculation'!$S18,Table_query[Name],Table_query[Expiry Date])),
   _xlfn.XLOOKUP('Q Spread Calculation'!$S18,Table_query[Name],Table_query[Monthly Revenue Spread]),
   0),"")</f>
        <v/>
      </c>
      <c r="AE18" t="str">
        <f>IFERROR(IF(AND(AE$2 &gt;= EOMONTH(_xlfn.XLOOKUP($S18,Table_query[Name],Table_query[Start Date]),-1)+1, AE$3 &lt;= _xlfn.XLOOKUP('Q Spread Calculation'!$S18,Table_query[Name],Table_query[Expiry Date])),
   _xlfn.XLOOKUP('Q Spread Calculation'!$S18,Table_query[Name],Table_query[Monthly Revenue Spread]),
   0),"")</f>
        <v/>
      </c>
      <c r="AF18" t="str">
        <f>IFERROR(IF(AND(AF$2 &gt;= EOMONTH(_xlfn.XLOOKUP($S18,Table_query[Name],Table_query[Start Date]),-1)+1, AF$3 &lt;= _xlfn.XLOOKUP('Q Spread Calculation'!$S18,Table_query[Name],Table_query[Expiry Date])),
   _xlfn.XLOOKUP('Q Spread Calculation'!$S18,Table_query[Name],Table_query[Monthly Revenue Spread]),
   0),"")</f>
        <v/>
      </c>
      <c r="AG18" t="str">
        <f>IFERROR(IF(AND(AG$2 &gt;= EOMONTH(_xlfn.XLOOKUP($S18,Table_query[Name],Table_query[Start Date]),-1)+1, AG$3 &lt;= _xlfn.XLOOKUP('Q Spread Calculation'!$S18,Table_query[Name],Table_query[Expiry Date])),
   _xlfn.XLOOKUP('Q Spread Calculation'!$S18,Table_query[Name],Table_query[Monthly Revenue Spread]),
   0),"")</f>
        <v/>
      </c>
      <c r="AH18" t="str">
        <f>IFERROR(IF(AND(AH$2 &gt;= EOMONTH(_xlfn.XLOOKUP($S18,Table_query[Name],Table_query[Start Date]),-1)+1, AH$3 &lt;= _xlfn.XLOOKUP('Q Spread Calculation'!$S18,Table_query[Name],Table_query[Expiry Date])),
   _xlfn.XLOOKUP('Q Spread Calculation'!$S18,Table_query[Name],Table_query[Monthly Revenue Spread]),
   0),"")</f>
        <v/>
      </c>
      <c r="AI18" t="e">
        <f>_xlfn.XLOOKUP(S18,Table_query[Name],Table_query[Phase])</f>
        <v>#N/A</v>
      </c>
    </row>
    <row r="19" spans="5:35" x14ac:dyDescent="0.25">
      <c r="E19" s="98" t="str">
        <f>IFERROR(IF(AND(E$2 &gt;= EOMONTH(_xlfn.XLOOKUP($A19,Table_query[Name],Table_query[Start Date]),-1)+1, E$3 &lt;= _xlfn.XLOOKUP('Q Spread Calculation'!$A19,Table_query[Name],Table_query[Expiry Date])),
   _xlfn.XLOOKUP('Q Spread Calculation'!$A19,Table_query[Name],Table_query[Monthly Gross Margin Contribution]),
   0),"")</f>
        <v/>
      </c>
      <c r="F19" s="98" t="str">
        <f>IFERROR(IF(AND(F$2 &gt;= EOMONTH(_xlfn.XLOOKUP($A19,Table_query[Name],Table_query[Start Date]),-1)+1, F$3 &lt;= _xlfn.XLOOKUP('Q Spread Calculation'!$A19,Table_query[Name],Table_query[Expiry Date])),
   _xlfn.XLOOKUP('Q Spread Calculation'!$A19,Table_query[Name],Table_query[Monthly Gross Margin Contribution]),
   0),"")</f>
        <v/>
      </c>
      <c r="G19" s="98" t="str">
        <f>IFERROR(IF(AND(G$2 &gt;= EOMONTH(_xlfn.XLOOKUP($A19,Table_query[Name],Table_query[Start Date]),-1)+1, G$3 &lt;= _xlfn.XLOOKUP('Q Spread Calculation'!$A19,Table_query[Name],Table_query[Expiry Date])),
   _xlfn.XLOOKUP('Q Spread Calculation'!$A19,Table_query[Name],Table_query[Monthly Gross Margin Contribution]),
   0),"")</f>
        <v/>
      </c>
      <c r="H19" s="98" t="str">
        <f>IFERROR(IF(AND(H$2 &gt;= EOMONTH(_xlfn.XLOOKUP($A19,Table_query[Name],Table_query[Start Date]),-1)+1, H$3 &lt;= _xlfn.XLOOKUP('Q Spread Calculation'!$A19,Table_query[Name],Table_query[Expiry Date])),
   _xlfn.XLOOKUP('Q Spread Calculation'!$A19,Table_query[Name],Table_query[Monthly Gross Margin Contribution]),
   0),"")</f>
        <v/>
      </c>
      <c r="I19" s="98" t="str">
        <f>IFERROR(IF(AND(I$2 &gt;= EOMONTH(_xlfn.XLOOKUP($A19,Table_query[Name],Table_query[Start Date]),-1)+1, I$3 &lt;= _xlfn.XLOOKUP('Q Spread Calculation'!$A19,Table_query[Name],Table_query[Expiry Date])),
   _xlfn.XLOOKUP('Q Spread Calculation'!$A19,Table_query[Name],Table_query[Monthly Gross Margin Contribution]),
   0),"")</f>
        <v/>
      </c>
      <c r="J19" s="98" t="str">
        <f>IFERROR(IF(AND(J$2 &gt;= EOMONTH(_xlfn.XLOOKUP($A19,Table_query[Name],Table_query[Start Date]),-1)+1, J$3 &lt;= _xlfn.XLOOKUP('Q Spread Calculation'!$A19,Table_query[Name],Table_query[Expiry Date])),
   _xlfn.XLOOKUP('Q Spread Calculation'!$A19,Table_query[Name],Table_query[Monthly Gross Margin Contribution]),
   0),"")</f>
        <v/>
      </c>
      <c r="K19" s="98" t="str">
        <f>IFERROR(IF(AND(K$2 &gt;= EOMONTH(_xlfn.XLOOKUP($A19,Table_query[Name],Table_query[Start Date]),-1)+1, K$3 &lt;= _xlfn.XLOOKUP('Q Spread Calculation'!$A19,Table_query[Name],Table_query[Expiry Date])),
   _xlfn.XLOOKUP('Q Spread Calculation'!$A19,Table_query[Name],Table_query[Monthly Gross Margin Contribution]),
   0),"")</f>
        <v/>
      </c>
      <c r="L19" s="98" t="str">
        <f>IFERROR(IF(AND(L$2 &gt;= EOMONTH(_xlfn.XLOOKUP($A19,Table_query[Name],Table_query[Start Date]),-1)+1, L$3 &lt;= _xlfn.XLOOKUP('Q Spread Calculation'!$A19,Table_query[Name],Table_query[Expiry Date])),
   _xlfn.XLOOKUP('Q Spread Calculation'!$A19,Table_query[Name],Table_query[Monthly Gross Margin Contribution]),
   0),"")</f>
        <v/>
      </c>
      <c r="M19" s="98" t="str">
        <f>IFERROR(IF(AND(M$2 &gt;= EOMONTH(_xlfn.XLOOKUP($A19,Table_query[Name],Table_query[Start Date]),-1)+1, M$3 &lt;= _xlfn.XLOOKUP('Q Spread Calculation'!$A19,Table_query[Name],Table_query[Expiry Date])),
   _xlfn.XLOOKUP('Q Spread Calculation'!$A19,Table_query[Name],Table_query[Monthly Gross Margin Contribution]),
   0),"")</f>
        <v/>
      </c>
      <c r="N19" s="98" t="str">
        <f>IFERROR(IF(AND(N$2 &gt;= EOMONTH(_xlfn.XLOOKUP($A19,Table_query[Name],Table_query[Start Date]),-1)+1, N$3 &lt;= _xlfn.XLOOKUP('Q Spread Calculation'!$A19,Table_query[Name],Table_query[Expiry Date])),
   _xlfn.XLOOKUP('Q Spread Calculation'!$A19,Table_query[Name],Table_query[Monthly Gross Margin Contribution]),
   0),"")</f>
        <v/>
      </c>
      <c r="O19" s="98" t="str">
        <f>IFERROR(IF(AND(O$2 &gt;= EOMONTH(_xlfn.XLOOKUP($A19,Table_query[Name],Table_query[Start Date]),-1)+1, O$3 &lt;= _xlfn.XLOOKUP('Q Spread Calculation'!$A19,Table_query[Name],Table_query[Expiry Date])),
   _xlfn.XLOOKUP('Q Spread Calculation'!$A19,Table_query[Name],Table_query[Monthly Gross Margin Contribution]),
   0),"")</f>
        <v/>
      </c>
      <c r="P19" s="98" t="str">
        <f>IFERROR(IF(AND(P$2 &gt;= EOMONTH(_xlfn.XLOOKUP($A19,Table_query[Name],Table_query[Start Date]),-1)+1, P$3 &lt;= _xlfn.XLOOKUP('Q Spread Calculation'!$A19,Table_query[Name],Table_query[Expiry Date])),
   _xlfn.XLOOKUP('Q Spread Calculation'!$A19,Table_query[Name],Table_query[Monthly Gross Margin Contribution]),
   0),"")</f>
        <v/>
      </c>
      <c r="Q19" s="98"/>
      <c r="W19" t="str">
        <f>IFERROR(IF(AND(W$2 &gt;= EOMONTH(_xlfn.XLOOKUP($S19,Table_query[Name],Table_query[Start Date]),-1)+1, W$3 &lt;= _xlfn.XLOOKUP('Q Spread Calculation'!$S19,Table_query[Name],Table_query[Expiry Date])),
   _xlfn.XLOOKUP('Q Spread Calculation'!$S19,Table_query[Name],Table_query[Monthly Revenue Spread]),
   0),"")</f>
        <v/>
      </c>
      <c r="X19" t="str">
        <f>IFERROR(IF(AND(X$2 &gt;= EOMONTH(_xlfn.XLOOKUP($S19,Table_query[Name],Table_query[Start Date]),-1)+1, X$3 &lt;= _xlfn.XLOOKUP('Q Spread Calculation'!$S19,Table_query[Name],Table_query[Expiry Date])),
   _xlfn.XLOOKUP('Q Spread Calculation'!$S19,Table_query[Name],Table_query[Monthly Revenue Spread]),
   0),"")</f>
        <v/>
      </c>
      <c r="Y19" t="str">
        <f>IFERROR(IF(AND(Y$2 &gt;= EOMONTH(_xlfn.XLOOKUP($S19,Table_query[Name],Table_query[Start Date]),-1)+1, Y$3 &lt;= _xlfn.XLOOKUP('Q Spread Calculation'!$S19,Table_query[Name],Table_query[Expiry Date])),
   _xlfn.XLOOKUP('Q Spread Calculation'!$S19,Table_query[Name],Table_query[Monthly Revenue Spread]),
   0),"")</f>
        <v/>
      </c>
      <c r="Z19" t="str">
        <f>IFERROR(IF(AND(Z$2 &gt;= EOMONTH(_xlfn.XLOOKUP($S19,Table_query[Name],Table_query[Start Date]),-1)+1, Z$3 &lt;= _xlfn.XLOOKUP('Q Spread Calculation'!$S19,Table_query[Name],Table_query[Expiry Date])),
   _xlfn.XLOOKUP('Q Spread Calculation'!$S19,Table_query[Name],Table_query[Monthly Revenue Spread]),
   0),"")</f>
        <v/>
      </c>
      <c r="AA19" t="str">
        <f>IFERROR(IF(AND(AA$2 &gt;= EOMONTH(_xlfn.XLOOKUP($S19,Table_query[Name],Table_query[Start Date]),-1)+1, AA$3 &lt;= _xlfn.XLOOKUP('Q Spread Calculation'!$S19,Table_query[Name],Table_query[Expiry Date])),
   _xlfn.XLOOKUP('Q Spread Calculation'!$S19,Table_query[Name],Table_query[Monthly Revenue Spread]),
   0),"")</f>
        <v/>
      </c>
      <c r="AB19" t="str">
        <f>IFERROR(IF(AND(AB$2 &gt;= EOMONTH(_xlfn.XLOOKUP($S19,Table_query[Name],Table_query[Start Date]),-1)+1, AB$3 &lt;= _xlfn.XLOOKUP('Q Spread Calculation'!$S19,Table_query[Name],Table_query[Expiry Date])),
   _xlfn.XLOOKUP('Q Spread Calculation'!$S19,Table_query[Name],Table_query[Monthly Revenue Spread]),
   0),"")</f>
        <v/>
      </c>
      <c r="AC19" t="str">
        <f>IFERROR(IF(AND(AC$2 &gt;= EOMONTH(_xlfn.XLOOKUP($S19,Table_query[Name],Table_query[Start Date]),-1)+1, AC$3 &lt;= _xlfn.XLOOKUP('Q Spread Calculation'!$S19,Table_query[Name],Table_query[Expiry Date])),
   _xlfn.XLOOKUP('Q Spread Calculation'!$S19,Table_query[Name],Table_query[Monthly Revenue Spread]),
   0),"")</f>
        <v/>
      </c>
      <c r="AD19" t="str">
        <f>IFERROR(IF(AND(AD$2 &gt;= EOMONTH(_xlfn.XLOOKUP($S19,Table_query[Name],Table_query[Start Date]),-1)+1, AD$3 &lt;= _xlfn.XLOOKUP('Q Spread Calculation'!$S19,Table_query[Name],Table_query[Expiry Date])),
   _xlfn.XLOOKUP('Q Spread Calculation'!$S19,Table_query[Name],Table_query[Monthly Revenue Spread]),
   0),"")</f>
        <v/>
      </c>
      <c r="AE19" t="str">
        <f>IFERROR(IF(AND(AE$2 &gt;= EOMONTH(_xlfn.XLOOKUP($S19,Table_query[Name],Table_query[Start Date]),-1)+1, AE$3 &lt;= _xlfn.XLOOKUP('Q Spread Calculation'!$S19,Table_query[Name],Table_query[Expiry Date])),
   _xlfn.XLOOKUP('Q Spread Calculation'!$S19,Table_query[Name],Table_query[Monthly Revenue Spread]),
   0),"")</f>
        <v/>
      </c>
      <c r="AF19" t="str">
        <f>IFERROR(IF(AND(AF$2 &gt;= EOMONTH(_xlfn.XLOOKUP($S19,Table_query[Name],Table_query[Start Date]),-1)+1, AF$3 &lt;= _xlfn.XLOOKUP('Q Spread Calculation'!$S19,Table_query[Name],Table_query[Expiry Date])),
   _xlfn.XLOOKUP('Q Spread Calculation'!$S19,Table_query[Name],Table_query[Monthly Revenue Spread]),
   0),"")</f>
        <v/>
      </c>
      <c r="AG19" t="str">
        <f>IFERROR(IF(AND(AG$2 &gt;= EOMONTH(_xlfn.XLOOKUP($S19,Table_query[Name],Table_query[Start Date]),-1)+1, AG$3 &lt;= _xlfn.XLOOKUP('Q Spread Calculation'!$S19,Table_query[Name],Table_query[Expiry Date])),
   _xlfn.XLOOKUP('Q Spread Calculation'!$S19,Table_query[Name],Table_query[Monthly Revenue Spread]),
   0),"")</f>
        <v/>
      </c>
      <c r="AH19" t="str">
        <f>IFERROR(IF(AND(AH$2 &gt;= EOMONTH(_xlfn.XLOOKUP($S19,Table_query[Name],Table_query[Start Date]),-1)+1, AH$3 &lt;= _xlfn.XLOOKUP('Q Spread Calculation'!$S19,Table_query[Name],Table_query[Expiry Date])),
   _xlfn.XLOOKUP('Q Spread Calculation'!$S19,Table_query[Name],Table_query[Monthly Revenue Spread]),
   0),"")</f>
        <v/>
      </c>
      <c r="AI19" t="e">
        <f>_xlfn.XLOOKUP(S19,Table_query[Name],Table_query[Phase])</f>
        <v>#N/A</v>
      </c>
    </row>
    <row r="20" spans="5:35" x14ac:dyDescent="0.25">
      <c r="E20" s="98" t="str">
        <f>IFERROR(IF(AND(E$2 &gt;= EOMONTH(_xlfn.XLOOKUP($A20,Table_query[Name],Table_query[Start Date]),-1)+1, E$3 &lt;= _xlfn.XLOOKUP('Q Spread Calculation'!$A20,Table_query[Name],Table_query[Expiry Date])),
   _xlfn.XLOOKUP('Q Spread Calculation'!$A20,Table_query[Name],Table_query[Monthly Gross Margin Contribution]),
   0),"")</f>
        <v/>
      </c>
      <c r="F20" s="98" t="str">
        <f>IFERROR(IF(AND(F$2 &gt;= EOMONTH(_xlfn.XLOOKUP($A20,Table_query[Name],Table_query[Start Date]),-1)+1, F$3 &lt;= _xlfn.XLOOKUP('Q Spread Calculation'!$A20,Table_query[Name],Table_query[Expiry Date])),
   _xlfn.XLOOKUP('Q Spread Calculation'!$A20,Table_query[Name],Table_query[Monthly Gross Margin Contribution]),
   0),"")</f>
        <v/>
      </c>
      <c r="G20" s="98" t="str">
        <f>IFERROR(IF(AND(G$2 &gt;= EOMONTH(_xlfn.XLOOKUP($A20,Table_query[Name],Table_query[Start Date]),-1)+1, G$3 &lt;= _xlfn.XLOOKUP('Q Spread Calculation'!$A20,Table_query[Name],Table_query[Expiry Date])),
   _xlfn.XLOOKUP('Q Spread Calculation'!$A20,Table_query[Name],Table_query[Monthly Gross Margin Contribution]),
   0),"")</f>
        <v/>
      </c>
      <c r="H20" s="98" t="str">
        <f>IFERROR(IF(AND(H$2 &gt;= EOMONTH(_xlfn.XLOOKUP($A20,Table_query[Name],Table_query[Start Date]),-1)+1, H$3 &lt;= _xlfn.XLOOKUP('Q Spread Calculation'!$A20,Table_query[Name],Table_query[Expiry Date])),
   _xlfn.XLOOKUP('Q Spread Calculation'!$A20,Table_query[Name],Table_query[Monthly Gross Margin Contribution]),
   0),"")</f>
        <v/>
      </c>
      <c r="I20" s="98" t="str">
        <f>IFERROR(IF(AND(I$2 &gt;= EOMONTH(_xlfn.XLOOKUP($A20,Table_query[Name],Table_query[Start Date]),-1)+1, I$3 &lt;= _xlfn.XLOOKUP('Q Spread Calculation'!$A20,Table_query[Name],Table_query[Expiry Date])),
   _xlfn.XLOOKUP('Q Spread Calculation'!$A20,Table_query[Name],Table_query[Monthly Gross Margin Contribution]),
   0),"")</f>
        <v/>
      </c>
      <c r="J20" s="98" t="str">
        <f>IFERROR(IF(AND(J$2 &gt;= EOMONTH(_xlfn.XLOOKUP($A20,Table_query[Name],Table_query[Start Date]),-1)+1, J$3 &lt;= _xlfn.XLOOKUP('Q Spread Calculation'!$A20,Table_query[Name],Table_query[Expiry Date])),
   _xlfn.XLOOKUP('Q Spread Calculation'!$A20,Table_query[Name],Table_query[Monthly Gross Margin Contribution]),
   0),"")</f>
        <v/>
      </c>
      <c r="K20" s="98" t="str">
        <f>IFERROR(IF(AND(K$2 &gt;= EOMONTH(_xlfn.XLOOKUP($A20,Table_query[Name],Table_query[Start Date]),-1)+1, K$3 &lt;= _xlfn.XLOOKUP('Q Spread Calculation'!$A20,Table_query[Name],Table_query[Expiry Date])),
   _xlfn.XLOOKUP('Q Spread Calculation'!$A20,Table_query[Name],Table_query[Monthly Gross Margin Contribution]),
   0),"")</f>
        <v/>
      </c>
      <c r="L20" s="98" t="str">
        <f>IFERROR(IF(AND(L$2 &gt;= EOMONTH(_xlfn.XLOOKUP($A20,Table_query[Name],Table_query[Start Date]),-1)+1, L$3 &lt;= _xlfn.XLOOKUP('Q Spread Calculation'!$A20,Table_query[Name],Table_query[Expiry Date])),
   _xlfn.XLOOKUP('Q Spread Calculation'!$A20,Table_query[Name],Table_query[Monthly Gross Margin Contribution]),
   0),"")</f>
        <v/>
      </c>
      <c r="M20" s="98" t="str">
        <f>IFERROR(IF(AND(M$2 &gt;= EOMONTH(_xlfn.XLOOKUP($A20,Table_query[Name],Table_query[Start Date]),-1)+1, M$3 &lt;= _xlfn.XLOOKUP('Q Spread Calculation'!$A20,Table_query[Name],Table_query[Expiry Date])),
   _xlfn.XLOOKUP('Q Spread Calculation'!$A20,Table_query[Name],Table_query[Monthly Gross Margin Contribution]),
   0),"")</f>
        <v/>
      </c>
      <c r="N20" s="98" t="str">
        <f>IFERROR(IF(AND(N$2 &gt;= EOMONTH(_xlfn.XLOOKUP($A20,Table_query[Name],Table_query[Start Date]),-1)+1, N$3 &lt;= _xlfn.XLOOKUP('Q Spread Calculation'!$A20,Table_query[Name],Table_query[Expiry Date])),
   _xlfn.XLOOKUP('Q Spread Calculation'!$A20,Table_query[Name],Table_query[Monthly Gross Margin Contribution]),
   0),"")</f>
        <v/>
      </c>
      <c r="O20" s="98" t="str">
        <f>IFERROR(IF(AND(O$2 &gt;= EOMONTH(_xlfn.XLOOKUP($A20,Table_query[Name],Table_query[Start Date]),-1)+1, O$3 &lt;= _xlfn.XLOOKUP('Q Spread Calculation'!$A20,Table_query[Name],Table_query[Expiry Date])),
   _xlfn.XLOOKUP('Q Spread Calculation'!$A20,Table_query[Name],Table_query[Monthly Gross Margin Contribution]),
   0),"")</f>
        <v/>
      </c>
      <c r="P20" s="98" t="str">
        <f>IFERROR(IF(AND(P$2 &gt;= EOMONTH(_xlfn.XLOOKUP($A20,Table_query[Name],Table_query[Start Date]),-1)+1, P$3 &lt;= _xlfn.XLOOKUP('Q Spread Calculation'!$A20,Table_query[Name],Table_query[Expiry Date])),
   _xlfn.XLOOKUP('Q Spread Calculation'!$A20,Table_query[Name],Table_query[Monthly Gross Margin Contribution]),
   0),"")</f>
        <v/>
      </c>
      <c r="Q20" s="98"/>
      <c r="W20" t="str">
        <f>IFERROR(IF(AND(W$2 &gt;= EOMONTH(_xlfn.XLOOKUP($S20,Table_query[Name],Table_query[Start Date]),-1)+1, W$3 &lt;= _xlfn.XLOOKUP('Q Spread Calculation'!$S20,Table_query[Name],Table_query[Expiry Date])),
   _xlfn.XLOOKUP('Q Spread Calculation'!$S20,Table_query[Name],Table_query[Monthly Revenue Spread]),
   0),"")</f>
        <v/>
      </c>
      <c r="X20" t="str">
        <f>IFERROR(IF(AND(X$2 &gt;= EOMONTH(_xlfn.XLOOKUP($S20,Table_query[Name],Table_query[Start Date]),-1)+1, X$3 &lt;= _xlfn.XLOOKUP('Q Spread Calculation'!$S20,Table_query[Name],Table_query[Expiry Date])),
   _xlfn.XLOOKUP('Q Spread Calculation'!$S20,Table_query[Name],Table_query[Monthly Revenue Spread]),
   0),"")</f>
        <v/>
      </c>
      <c r="Y20" t="str">
        <f>IFERROR(IF(AND(Y$2 &gt;= EOMONTH(_xlfn.XLOOKUP($S20,Table_query[Name],Table_query[Start Date]),-1)+1, Y$3 &lt;= _xlfn.XLOOKUP('Q Spread Calculation'!$S20,Table_query[Name],Table_query[Expiry Date])),
   _xlfn.XLOOKUP('Q Spread Calculation'!$S20,Table_query[Name],Table_query[Monthly Revenue Spread]),
   0),"")</f>
        <v/>
      </c>
      <c r="Z20" t="str">
        <f>IFERROR(IF(AND(Z$2 &gt;= EOMONTH(_xlfn.XLOOKUP($S20,Table_query[Name],Table_query[Start Date]),-1)+1, Z$3 &lt;= _xlfn.XLOOKUP('Q Spread Calculation'!$S20,Table_query[Name],Table_query[Expiry Date])),
   _xlfn.XLOOKUP('Q Spread Calculation'!$S20,Table_query[Name],Table_query[Monthly Revenue Spread]),
   0),"")</f>
        <v/>
      </c>
      <c r="AA20" t="str">
        <f>IFERROR(IF(AND(AA$2 &gt;= EOMONTH(_xlfn.XLOOKUP($S20,Table_query[Name],Table_query[Start Date]),-1)+1, AA$3 &lt;= _xlfn.XLOOKUP('Q Spread Calculation'!$S20,Table_query[Name],Table_query[Expiry Date])),
   _xlfn.XLOOKUP('Q Spread Calculation'!$S20,Table_query[Name],Table_query[Monthly Revenue Spread]),
   0),"")</f>
        <v/>
      </c>
      <c r="AB20" t="str">
        <f>IFERROR(IF(AND(AB$2 &gt;= EOMONTH(_xlfn.XLOOKUP($S20,Table_query[Name],Table_query[Start Date]),-1)+1, AB$3 &lt;= _xlfn.XLOOKUP('Q Spread Calculation'!$S20,Table_query[Name],Table_query[Expiry Date])),
   _xlfn.XLOOKUP('Q Spread Calculation'!$S20,Table_query[Name],Table_query[Monthly Revenue Spread]),
   0),"")</f>
        <v/>
      </c>
      <c r="AC20" t="str">
        <f>IFERROR(IF(AND(AC$2 &gt;= EOMONTH(_xlfn.XLOOKUP($S20,Table_query[Name],Table_query[Start Date]),-1)+1, AC$3 &lt;= _xlfn.XLOOKUP('Q Spread Calculation'!$S20,Table_query[Name],Table_query[Expiry Date])),
   _xlfn.XLOOKUP('Q Spread Calculation'!$S20,Table_query[Name],Table_query[Monthly Revenue Spread]),
   0),"")</f>
        <v/>
      </c>
      <c r="AD20" t="str">
        <f>IFERROR(IF(AND(AD$2 &gt;= EOMONTH(_xlfn.XLOOKUP($S20,Table_query[Name],Table_query[Start Date]),-1)+1, AD$3 &lt;= _xlfn.XLOOKUP('Q Spread Calculation'!$S20,Table_query[Name],Table_query[Expiry Date])),
   _xlfn.XLOOKUP('Q Spread Calculation'!$S20,Table_query[Name],Table_query[Monthly Revenue Spread]),
   0),"")</f>
        <v/>
      </c>
      <c r="AE20" t="str">
        <f>IFERROR(IF(AND(AE$2 &gt;= EOMONTH(_xlfn.XLOOKUP($S20,Table_query[Name],Table_query[Start Date]),-1)+1, AE$3 &lt;= _xlfn.XLOOKUP('Q Spread Calculation'!$S20,Table_query[Name],Table_query[Expiry Date])),
   _xlfn.XLOOKUP('Q Spread Calculation'!$S20,Table_query[Name],Table_query[Monthly Revenue Spread]),
   0),"")</f>
        <v/>
      </c>
      <c r="AF20" t="str">
        <f>IFERROR(IF(AND(AF$2 &gt;= EOMONTH(_xlfn.XLOOKUP($S20,Table_query[Name],Table_query[Start Date]),-1)+1, AF$3 &lt;= _xlfn.XLOOKUP('Q Spread Calculation'!$S20,Table_query[Name],Table_query[Expiry Date])),
   _xlfn.XLOOKUP('Q Spread Calculation'!$S20,Table_query[Name],Table_query[Monthly Revenue Spread]),
   0),"")</f>
        <v/>
      </c>
      <c r="AG20" t="str">
        <f>IFERROR(IF(AND(AG$2 &gt;= EOMONTH(_xlfn.XLOOKUP($S20,Table_query[Name],Table_query[Start Date]),-1)+1, AG$3 &lt;= _xlfn.XLOOKUP('Q Spread Calculation'!$S20,Table_query[Name],Table_query[Expiry Date])),
   _xlfn.XLOOKUP('Q Spread Calculation'!$S20,Table_query[Name],Table_query[Monthly Revenue Spread]),
   0),"")</f>
        <v/>
      </c>
      <c r="AH20" t="str">
        <f>IFERROR(IF(AND(AH$2 &gt;= EOMONTH(_xlfn.XLOOKUP($S20,Table_query[Name],Table_query[Start Date]),-1)+1, AH$3 &lt;= _xlfn.XLOOKUP('Q Spread Calculation'!$S20,Table_query[Name],Table_query[Expiry Date])),
   _xlfn.XLOOKUP('Q Spread Calculation'!$S20,Table_query[Name],Table_query[Monthly Revenue Spread]),
   0),"")</f>
        <v/>
      </c>
      <c r="AI20" t="e">
        <f>_xlfn.XLOOKUP(S20,Table_query[Name],Table_query[Phase])</f>
        <v>#N/A</v>
      </c>
    </row>
    <row r="21" spans="5:35" x14ac:dyDescent="0.25">
      <c r="E21" s="98" t="str">
        <f>IFERROR(IF(AND(E$2 &gt;= EOMONTH(_xlfn.XLOOKUP($A21,Table_query[Name],Table_query[Start Date]),-1)+1, E$3 &lt;= _xlfn.XLOOKUP('Q Spread Calculation'!$A21,Table_query[Name],Table_query[Expiry Date])),
   _xlfn.XLOOKUP('Q Spread Calculation'!$A21,Table_query[Name],Table_query[Monthly Gross Margin Contribution]),
   0),"")</f>
        <v/>
      </c>
      <c r="F21" s="98" t="str">
        <f>IFERROR(IF(AND(F$2 &gt;= EOMONTH(_xlfn.XLOOKUP($A21,Table_query[Name],Table_query[Start Date]),-1)+1, F$3 &lt;= _xlfn.XLOOKUP('Q Spread Calculation'!$A21,Table_query[Name],Table_query[Expiry Date])),
   _xlfn.XLOOKUP('Q Spread Calculation'!$A21,Table_query[Name],Table_query[Monthly Gross Margin Contribution]),
   0),"")</f>
        <v/>
      </c>
      <c r="G21" s="98" t="str">
        <f>IFERROR(IF(AND(G$2 &gt;= EOMONTH(_xlfn.XLOOKUP($A21,Table_query[Name],Table_query[Start Date]),-1)+1, G$3 &lt;= _xlfn.XLOOKUP('Q Spread Calculation'!$A21,Table_query[Name],Table_query[Expiry Date])),
   _xlfn.XLOOKUP('Q Spread Calculation'!$A21,Table_query[Name],Table_query[Monthly Gross Margin Contribution]),
   0),"")</f>
        <v/>
      </c>
      <c r="H21" s="98" t="str">
        <f>IFERROR(IF(AND(H$2 &gt;= EOMONTH(_xlfn.XLOOKUP($A21,Table_query[Name],Table_query[Start Date]),-1)+1, H$3 &lt;= _xlfn.XLOOKUP('Q Spread Calculation'!$A21,Table_query[Name],Table_query[Expiry Date])),
   _xlfn.XLOOKUP('Q Spread Calculation'!$A21,Table_query[Name],Table_query[Monthly Gross Margin Contribution]),
   0),"")</f>
        <v/>
      </c>
      <c r="I21" s="98" t="str">
        <f>IFERROR(IF(AND(I$2 &gt;= EOMONTH(_xlfn.XLOOKUP($A21,Table_query[Name],Table_query[Start Date]),-1)+1, I$3 &lt;= _xlfn.XLOOKUP('Q Spread Calculation'!$A21,Table_query[Name],Table_query[Expiry Date])),
   _xlfn.XLOOKUP('Q Spread Calculation'!$A21,Table_query[Name],Table_query[Monthly Gross Margin Contribution]),
   0),"")</f>
        <v/>
      </c>
      <c r="J21" s="98" t="str">
        <f>IFERROR(IF(AND(J$2 &gt;= EOMONTH(_xlfn.XLOOKUP($A21,Table_query[Name],Table_query[Start Date]),-1)+1, J$3 &lt;= _xlfn.XLOOKUP('Q Spread Calculation'!$A21,Table_query[Name],Table_query[Expiry Date])),
   _xlfn.XLOOKUP('Q Spread Calculation'!$A21,Table_query[Name],Table_query[Monthly Gross Margin Contribution]),
   0),"")</f>
        <v/>
      </c>
      <c r="K21" s="98" t="str">
        <f>IFERROR(IF(AND(K$2 &gt;= EOMONTH(_xlfn.XLOOKUP($A21,Table_query[Name],Table_query[Start Date]),-1)+1, K$3 &lt;= _xlfn.XLOOKUP('Q Spread Calculation'!$A21,Table_query[Name],Table_query[Expiry Date])),
   _xlfn.XLOOKUP('Q Spread Calculation'!$A21,Table_query[Name],Table_query[Monthly Gross Margin Contribution]),
   0),"")</f>
        <v/>
      </c>
      <c r="L21" s="98" t="str">
        <f>IFERROR(IF(AND(L$2 &gt;= EOMONTH(_xlfn.XLOOKUP($A21,Table_query[Name],Table_query[Start Date]),-1)+1, L$3 &lt;= _xlfn.XLOOKUP('Q Spread Calculation'!$A21,Table_query[Name],Table_query[Expiry Date])),
   _xlfn.XLOOKUP('Q Spread Calculation'!$A21,Table_query[Name],Table_query[Monthly Gross Margin Contribution]),
   0),"")</f>
        <v/>
      </c>
      <c r="M21" s="98" t="str">
        <f>IFERROR(IF(AND(M$2 &gt;= EOMONTH(_xlfn.XLOOKUP($A21,Table_query[Name],Table_query[Start Date]),-1)+1, M$3 &lt;= _xlfn.XLOOKUP('Q Spread Calculation'!$A21,Table_query[Name],Table_query[Expiry Date])),
   _xlfn.XLOOKUP('Q Spread Calculation'!$A21,Table_query[Name],Table_query[Monthly Gross Margin Contribution]),
   0),"")</f>
        <v/>
      </c>
      <c r="N21" s="98" t="str">
        <f>IFERROR(IF(AND(N$2 &gt;= EOMONTH(_xlfn.XLOOKUP($A21,Table_query[Name],Table_query[Start Date]),-1)+1, N$3 &lt;= _xlfn.XLOOKUP('Q Spread Calculation'!$A21,Table_query[Name],Table_query[Expiry Date])),
   _xlfn.XLOOKUP('Q Spread Calculation'!$A21,Table_query[Name],Table_query[Monthly Gross Margin Contribution]),
   0),"")</f>
        <v/>
      </c>
      <c r="O21" s="98" t="str">
        <f>IFERROR(IF(AND(O$2 &gt;= EOMONTH(_xlfn.XLOOKUP($A21,Table_query[Name],Table_query[Start Date]),-1)+1, O$3 &lt;= _xlfn.XLOOKUP('Q Spread Calculation'!$A21,Table_query[Name],Table_query[Expiry Date])),
   _xlfn.XLOOKUP('Q Spread Calculation'!$A21,Table_query[Name],Table_query[Monthly Gross Margin Contribution]),
   0),"")</f>
        <v/>
      </c>
      <c r="P21" s="98" t="str">
        <f>IFERROR(IF(AND(P$2 &gt;= EOMONTH(_xlfn.XLOOKUP($A21,Table_query[Name],Table_query[Start Date]),-1)+1, P$3 &lt;= _xlfn.XLOOKUP('Q Spread Calculation'!$A21,Table_query[Name],Table_query[Expiry Date])),
   _xlfn.XLOOKUP('Q Spread Calculation'!$A21,Table_query[Name],Table_query[Monthly Gross Margin Contribution]),
   0),"")</f>
        <v/>
      </c>
      <c r="Q21" s="98"/>
      <c r="AI21" t="e">
        <f>_xlfn.XLOOKUP(S21,Table_query[Name],Table_query[Phase])</f>
        <v>#N/A</v>
      </c>
    </row>
    <row r="22" spans="5:35" x14ac:dyDescent="0.25">
      <c r="E22" s="98" t="str">
        <f>IFERROR(IF(AND(E$2 &gt;= EOMONTH(_xlfn.XLOOKUP($A22,Table_query[Name],Table_query[Start Date]),-1)+1, E$3 &lt;= _xlfn.XLOOKUP('Q Spread Calculation'!$A22,Table_query[Name],Table_query[Expiry Date])),
   _xlfn.XLOOKUP('Q Spread Calculation'!$A22,Table_query[Name],Table_query[Monthly Gross Margin Contribution]),
   0),"")</f>
        <v/>
      </c>
      <c r="F22" s="98" t="str">
        <f>IFERROR(IF(AND(F$2 &gt;= EOMONTH(_xlfn.XLOOKUP($A22,Table_query[Name],Table_query[Start Date]),-1)+1, F$3 &lt;= _xlfn.XLOOKUP('Q Spread Calculation'!$A22,Table_query[Name],Table_query[Expiry Date])),
   _xlfn.XLOOKUP('Q Spread Calculation'!$A22,Table_query[Name],Table_query[Monthly Gross Margin Contribution]),
   0),"")</f>
        <v/>
      </c>
      <c r="G22" s="98" t="str">
        <f>IFERROR(IF(AND(G$2 &gt;= EOMONTH(_xlfn.XLOOKUP($A22,Table_query[Name],Table_query[Start Date]),-1)+1, G$3 &lt;= _xlfn.XLOOKUP('Q Spread Calculation'!$A22,Table_query[Name],Table_query[Expiry Date])),
   _xlfn.XLOOKUP('Q Spread Calculation'!$A22,Table_query[Name],Table_query[Monthly Gross Margin Contribution]),
   0),"")</f>
        <v/>
      </c>
      <c r="H22" s="98" t="str">
        <f>IFERROR(IF(AND(H$2 &gt;= EOMONTH(_xlfn.XLOOKUP($A22,Table_query[Name],Table_query[Start Date]),-1)+1, H$3 &lt;= _xlfn.XLOOKUP('Q Spread Calculation'!$A22,Table_query[Name],Table_query[Expiry Date])),
   _xlfn.XLOOKUP('Q Spread Calculation'!$A22,Table_query[Name],Table_query[Monthly Gross Margin Contribution]),
   0),"")</f>
        <v/>
      </c>
      <c r="I22" s="98" t="str">
        <f>IFERROR(IF(AND(I$2 &gt;= EOMONTH(_xlfn.XLOOKUP($A22,Table_query[Name],Table_query[Start Date]),-1)+1, I$3 &lt;= _xlfn.XLOOKUP('Q Spread Calculation'!$A22,Table_query[Name],Table_query[Expiry Date])),
   _xlfn.XLOOKUP('Q Spread Calculation'!$A22,Table_query[Name],Table_query[Monthly Gross Margin Contribution]),
   0),"")</f>
        <v/>
      </c>
      <c r="J22" s="98" t="str">
        <f>IFERROR(IF(AND(J$2 &gt;= EOMONTH(_xlfn.XLOOKUP($A22,Table_query[Name],Table_query[Start Date]),-1)+1, J$3 &lt;= _xlfn.XLOOKUP('Q Spread Calculation'!$A22,Table_query[Name],Table_query[Expiry Date])),
   _xlfn.XLOOKUP('Q Spread Calculation'!$A22,Table_query[Name],Table_query[Monthly Gross Margin Contribution]),
   0),"")</f>
        <v/>
      </c>
      <c r="K22" s="98" t="str">
        <f>IFERROR(IF(AND(K$2 &gt;= EOMONTH(_xlfn.XLOOKUP($A22,Table_query[Name],Table_query[Start Date]),-1)+1, K$3 &lt;= _xlfn.XLOOKUP('Q Spread Calculation'!$A22,Table_query[Name],Table_query[Expiry Date])),
   _xlfn.XLOOKUP('Q Spread Calculation'!$A22,Table_query[Name],Table_query[Monthly Gross Margin Contribution]),
   0),"")</f>
        <v/>
      </c>
      <c r="L22" s="98" t="str">
        <f>IFERROR(IF(AND(L$2 &gt;= EOMONTH(_xlfn.XLOOKUP($A22,Table_query[Name],Table_query[Start Date]),-1)+1, L$3 &lt;= _xlfn.XLOOKUP('Q Spread Calculation'!$A22,Table_query[Name],Table_query[Expiry Date])),
   _xlfn.XLOOKUP('Q Spread Calculation'!$A22,Table_query[Name],Table_query[Monthly Gross Margin Contribution]),
   0),"")</f>
        <v/>
      </c>
      <c r="M22" s="98" t="str">
        <f>IFERROR(IF(AND(M$2 &gt;= EOMONTH(_xlfn.XLOOKUP($A22,Table_query[Name],Table_query[Start Date]),-1)+1, M$3 &lt;= _xlfn.XLOOKUP('Q Spread Calculation'!$A22,Table_query[Name],Table_query[Expiry Date])),
   _xlfn.XLOOKUP('Q Spread Calculation'!$A22,Table_query[Name],Table_query[Monthly Gross Margin Contribution]),
   0),"")</f>
        <v/>
      </c>
      <c r="N22" s="98" t="str">
        <f>IFERROR(IF(AND(N$2 &gt;= EOMONTH(_xlfn.XLOOKUP($A22,Table_query[Name],Table_query[Start Date]),-1)+1, N$3 &lt;= _xlfn.XLOOKUP('Q Spread Calculation'!$A22,Table_query[Name],Table_query[Expiry Date])),
   _xlfn.XLOOKUP('Q Spread Calculation'!$A22,Table_query[Name],Table_query[Monthly Gross Margin Contribution]),
   0),"")</f>
        <v/>
      </c>
      <c r="O22" s="98" t="str">
        <f>IFERROR(IF(AND(O$2 &gt;= EOMONTH(_xlfn.XLOOKUP($A22,Table_query[Name],Table_query[Start Date]),-1)+1, O$3 &lt;= _xlfn.XLOOKUP('Q Spread Calculation'!$A22,Table_query[Name],Table_query[Expiry Date])),
   _xlfn.XLOOKUP('Q Spread Calculation'!$A22,Table_query[Name],Table_query[Monthly Gross Margin Contribution]),
   0),"")</f>
        <v/>
      </c>
      <c r="P22" s="98" t="str">
        <f>IFERROR(IF(AND(P$2 &gt;= EOMONTH(_xlfn.XLOOKUP($A22,Table_query[Name],Table_query[Start Date]),-1)+1, P$3 &lt;= _xlfn.XLOOKUP('Q Spread Calculation'!$A22,Table_query[Name],Table_query[Expiry Date])),
   _xlfn.XLOOKUP('Q Spread Calculation'!$A22,Table_query[Name],Table_query[Monthly Gross Margin Contribution]),
   0),"")</f>
        <v/>
      </c>
      <c r="Q22" s="98"/>
      <c r="AI22" t="e">
        <f>_xlfn.XLOOKUP(S22,Table_query[Name],Table_query[Phase])</f>
        <v>#N/A</v>
      </c>
    </row>
    <row r="23" spans="5:35" x14ac:dyDescent="0.25">
      <c r="E23" s="98" t="str">
        <f>IFERROR(IF(AND(E$2 &gt;= EOMONTH(_xlfn.XLOOKUP($A23,Table_query[Name],Table_query[Start Date]),-1)+1, E$3 &lt;= _xlfn.XLOOKUP('Q Spread Calculation'!$A23,Table_query[Name],Table_query[Expiry Date])),
   _xlfn.XLOOKUP('Q Spread Calculation'!$A23,Table_query[Name],Table_query[Monthly Gross Margin Contribution]),
   0),"")</f>
        <v/>
      </c>
      <c r="F23" s="98" t="str">
        <f>IFERROR(IF(AND(F$2 &gt;= EOMONTH(_xlfn.XLOOKUP($A23,Table_query[Name],Table_query[Start Date]),-1)+1, F$3 &lt;= _xlfn.XLOOKUP('Q Spread Calculation'!$A23,Table_query[Name],Table_query[Expiry Date])),
   _xlfn.XLOOKUP('Q Spread Calculation'!$A23,Table_query[Name],Table_query[Monthly Gross Margin Contribution]),
   0),"")</f>
        <v/>
      </c>
      <c r="G23" s="98" t="str">
        <f>IFERROR(IF(AND(G$2 &gt;= EOMONTH(_xlfn.XLOOKUP($A23,Table_query[Name],Table_query[Start Date]),-1)+1, G$3 &lt;= _xlfn.XLOOKUP('Q Spread Calculation'!$A23,Table_query[Name],Table_query[Expiry Date])),
   _xlfn.XLOOKUP('Q Spread Calculation'!$A23,Table_query[Name],Table_query[Monthly Gross Margin Contribution]),
   0),"")</f>
        <v/>
      </c>
      <c r="H23" s="98" t="str">
        <f>IFERROR(IF(AND(H$2 &gt;= EOMONTH(_xlfn.XLOOKUP($A23,Table_query[Name],Table_query[Start Date]),-1)+1, H$3 &lt;= _xlfn.XLOOKUP('Q Spread Calculation'!$A23,Table_query[Name],Table_query[Expiry Date])),
   _xlfn.XLOOKUP('Q Spread Calculation'!$A23,Table_query[Name],Table_query[Monthly Gross Margin Contribution]),
   0),"")</f>
        <v/>
      </c>
      <c r="I23" s="98" t="str">
        <f>IFERROR(IF(AND(I$2 &gt;= EOMONTH(_xlfn.XLOOKUP($A23,Table_query[Name],Table_query[Start Date]),-1)+1, I$3 &lt;= _xlfn.XLOOKUP('Q Spread Calculation'!$A23,Table_query[Name],Table_query[Expiry Date])),
   _xlfn.XLOOKUP('Q Spread Calculation'!$A23,Table_query[Name],Table_query[Monthly Gross Margin Contribution]),
   0),"")</f>
        <v/>
      </c>
      <c r="J23" s="98" t="str">
        <f>IFERROR(IF(AND(J$2 &gt;= EOMONTH(_xlfn.XLOOKUP($A23,Table_query[Name],Table_query[Start Date]),-1)+1, J$3 &lt;= _xlfn.XLOOKUP('Q Spread Calculation'!$A23,Table_query[Name],Table_query[Expiry Date])),
   _xlfn.XLOOKUP('Q Spread Calculation'!$A23,Table_query[Name],Table_query[Monthly Gross Margin Contribution]),
   0),"")</f>
        <v/>
      </c>
      <c r="K23" s="98" t="str">
        <f>IFERROR(IF(AND(K$2 &gt;= EOMONTH(_xlfn.XLOOKUP($A23,Table_query[Name],Table_query[Start Date]),-1)+1, K$3 &lt;= _xlfn.XLOOKUP('Q Spread Calculation'!$A23,Table_query[Name],Table_query[Expiry Date])),
   _xlfn.XLOOKUP('Q Spread Calculation'!$A23,Table_query[Name],Table_query[Monthly Gross Margin Contribution]),
   0),"")</f>
        <v/>
      </c>
      <c r="L23" s="98" t="str">
        <f>IFERROR(IF(AND(L$2 &gt;= EOMONTH(_xlfn.XLOOKUP($A23,Table_query[Name],Table_query[Start Date]),-1)+1, L$3 &lt;= _xlfn.XLOOKUP('Q Spread Calculation'!$A23,Table_query[Name],Table_query[Expiry Date])),
   _xlfn.XLOOKUP('Q Spread Calculation'!$A23,Table_query[Name],Table_query[Monthly Gross Margin Contribution]),
   0),"")</f>
        <v/>
      </c>
      <c r="M23" s="98" t="str">
        <f>IFERROR(IF(AND(M$2 &gt;= EOMONTH(_xlfn.XLOOKUP($A23,Table_query[Name],Table_query[Start Date]),-1)+1, M$3 &lt;= _xlfn.XLOOKUP('Q Spread Calculation'!$A23,Table_query[Name],Table_query[Expiry Date])),
   _xlfn.XLOOKUP('Q Spread Calculation'!$A23,Table_query[Name],Table_query[Monthly Gross Margin Contribution]),
   0),"")</f>
        <v/>
      </c>
      <c r="N23" s="98" t="str">
        <f>IFERROR(IF(AND(N$2 &gt;= EOMONTH(_xlfn.XLOOKUP($A23,Table_query[Name],Table_query[Start Date]),-1)+1, N$3 &lt;= _xlfn.XLOOKUP('Q Spread Calculation'!$A23,Table_query[Name],Table_query[Expiry Date])),
   _xlfn.XLOOKUP('Q Spread Calculation'!$A23,Table_query[Name],Table_query[Monthly Gross Margin Contribution]),
   0),"")</f>
        <v/>
      </c>
      <c r="O23" s="98" t="str">
        <f>IFERROR(IF(AND(O$2 &gt;= EOMONTH(_xlfn.XLOOKUP($A23,Table_query[Name],Table_query[Start Date]),-1)+1, O$3 &lt;= _xlfn.XLOOKUP('Q Spread Calculation'!$A23,Table_query[Name],Table_query[Expiry Date])),
   _xlfn.XLOOKUP('Q Spread Calculation'!$A23,Table_query[Name],Table_query[Monthly Gross Margin Contribution]),
   0),"")</f>
        <v/>
      </c>
      <c r="P23" s="98" t="str">
        <f>IFERROR(IF(AND(P$2 &gt;= EOMONTH(_xlfn.XLOOKUP($A23,Table_query[Name],Table_query[Start Date]),-1)+1, P$3 &lt;= _xlfn.XLOOKUP('Q Spread Calculation'!$A23,Table_query[Name],Table_query[Expiry Date])),
   _xlfn.XLOOKUP('Q Spread Calculation'!$A23,Table_query[Name],Table_query[Monthly Gross Margin Contribution]),
   0),"")</f>
        <v/>
      </c>
      <c r="Q23" s="98"/>
      <c r="AI23" t="e">
        <f>_xlfn.XLOOKUP(S23,Table_query[Name],Table_query[Phase])</f>
        <v>#N/A</v>
      </c>
    </row>
    <row r="24" spans="5:35" x14ac:dyDescent="0.25">
      <c r="E24" s="98" t="str">
        <f>IFERROR(IF(AND(E$2 &gt;= EOMONTH(_xlfn.XLOOKUP($A24,Table_query[Name],Table_query[Start Date]),-1)+1, E$3 &lt;= _xlfn.XLOOKUP('Q Spread Calculation'!$A24,Table_query[Name],Table_query[Expiry Date])),
   _xlfn.XLOOKUP('Q Spread Calculation'!$A24,Table_query[Name],Table_query[Monthly Gross Margin Contribution]),
   0),"")</f>
        <v/>
      </c>
      <c r="F24" s="98" t="str">
        <f>IFERROR(IF(AND(F$2 &gt;= EOMONTH(_xlfn.XLOOKUP($A24,Table_query[Name],Table_query[Start Date]),-1)+1, F$3 &lt;= _xlfn.XLOOKUP('Q Spread Calculation'!$A24,Table_query[Name],Table_query[Expiry Date])),
   _xlfn.XLOOKUP('Q Spread Calculation'!$A24,Table_query[Name],Table_query[Monthly Gross Margin Contribution]),
   0),"")</f>
        <v/>
      </c>
      <c r="G24" s="98" t="str">
        <f>IFERROR(IF(AND(G$2 &gt;= EOMONTH(_xlfn.XLOOKUP($A24,Table_query[Name],Table_query[Start Date]),-1)+1, G$3 &lt;= _xlfn.XLOOKUP('Q Spread Calculation'!$A24,Table_query[Name],Table_query[Expiry Date])),
   _xlfn.XLOOKUP('Q Spread Calculation'!$A24,Table_query[Name],Table_query[Monthly Gross Margin Contribution]),
   0),"")</f>
        <v/>
      </c>
      <c r="H24" s="98" t="str">
        <f>IFERROR(IF(AND(H$2 &gt;= EOMONTH(_xlfn.XLOOKUP($A24,Table_query[Name],Table_query[Start Date]),-1)+1, H$3 &lt;= _xlfn.XLOOKUP('Q Spread Calculation'!$A24,Table_query[Name],Table_query[Expiry Date])),
   _xlfn.XLOOKUP('Q Spread Calculation'!$A24,Table_query[Name],Table_query[Monthly Gross Margin Contribution]),
   0),"")</f>
        <v/>
      </c>
      <c r="I24" s="98" t="str">
        <f>IFERROR(IF(AND(I$2 &gt;= EOMONTH(_xlfn.XLOOKUP($A24,Table_query[Name],Table_query[Start Date]),-1)+1, I$3 &lt;= _xlfn.XLOOKUP('Q Spread Calculation'!$A24,Table_query[Name],Table_query[Expiry Date])),
   _xlfn.XLOOKUP('Q Spread Calculation'!$A24,Table_query[Name],Table_query[Monthly Gross Margin Contribution]),
   0),"")</f>
        <v/>
      </c>
      <c r="J24" s="98" t="str">
        <f>IFERROR(IF(AND(J$2 &gt;= EOMONTH(_xlfn.XLOOKUP($A24,Table_query[Name],Table_query[Start Date]),-1)+1, J$3 &lt;= _xlfn.XLOOKUP('Q Spread Calculation'!$A24,Table_query[Name],Table_query[Expiry Date])),
   _xlfn.XLOOKUP('Q Spread Calculation'!$A24,Table_query[Name],Table_query[Monthly Gross Margin Contribution]),
   0),"")</f>
        <v/>
      </c>
      <c r="K24" s="98" t="str">
        <f>IFERROR(IF(AND(K$2 &gt;= EOMONTH(_xlfn.XLOOKUP($A24,Table_query[Name],Table_query[Start Date]),-1)+1, K$3 &lt;= _xlfn.XLOOKUP('Q Spread Calculation'!$A24,Table_query[Name],Table_query[Expiry Date])),
   _xlfn.XLOOKUP('Q Spread Calculation'!$A24,Table_query[Name],Table_query[Monthly Gross Margin Contribution]),
   0),"")</f>
        <v/>
      </c>
      <c r="L24" s="98" t="str">
        <f>IFERROR(IF(AND(L$2 &gt;= EOMONTH(_xlfn.XLOOKUP($A24,Table_query[Name],Table_query[Start Date]),-1)+1, L$3 &lt;= _xlfn.XLOOKUP('Q Spread Calculation'!$A24,Table_query[Name],Table_query[Expiry Date])),
   _xlfn.XLOOKUP('Q Spread Calculation'!$A24,Table_query[Name],Table_query[Monthly Gross Margin Contribution]),
   0),"")</f>
        <v/>
      </c>
      <c r="M24" s="98" t="str">
        <f>IFERROR(IF(AND(M$2 &gt;= EOMONTH(_xlfn.XLOOKUP($A24,Table_query[Name],Table_query[Start Date]),-1)+1, M$3 &lt;= _xlfn.XLOOKUP('Q Spread Calculation'!$A24,Table_query[Name],Table_query[Expiry Date])),
   _xlfn.XLOOKUP('Q Spread Calculation'!$A24,Table_query[Name],Table_query[Monthly Gross Margin Contribution]),
   0),"")</f>
        <v/>
      </c>
      <c r="N24" s="98" t="str">
        <f>IFERROR(IF(AND(N$2 &gt;= EOMONTH(_xlfn.XLOOKUP($A24,Table_query[Name],Table_query[Start Date]),-1)+1, N$3 &lt;= _xlfn.XLOOKUP('Q Spread Calculation'!$A24,Table_query[Name],Table_query[Expiry Date])),
   _xlfn.XLOOKUP('Q Spread Calculation'!$A24,Table_query[Name],Table_query[Monthly Gross Margin Contribution]),
   0),"")</f>
        <v/>
      </c>
      <c r="O24" s="98" t="str">
        <f>IFERROR(IF(AND(O$2 &gt;= EOMONTH(_xlfn.XLOOKUP($A24,Table_query[Name],Table_query[Start Date]),-1)+1, O$3 &lt;= _xlfn.XLOOKUP('Q Spread Calculation'!$A24,Table_query[Name],Table_query[Expiry Date])),
   _xlfn.XLOOKUP('Q Spread Calculation'!$A24,Table_query[Name],Table_query[Monthly Gross Margin Contribution]),
   0),"")</f>
        <v/>
      </c>
      <c r="P24" s="98" t="str">
        <f>IFERROR(IF(AND(P$2 &gt;= EOMONTH(_xlfn.XLOOKUP($A24,Table_query[Name],Table_query[Start Date]),-1)+1, P$3 &lt;= _xlfn.XLOOKUP('Q Spread Calculation'!$A24,Table_query[Name],Table_query[Expiry Date])),
   _xlfn.XLOOKUP('Q Spread Calculation'!$A24,Table_query[Name],Table_query[Monthly Gross Margin Contribution]),
   0),"")</f>
        <v/>
      </c>
      <c r="Q24" s="98"/>
      <c r="AI24" t="e">
        <f>_xlfn.XLOOKUP(S24,Table_query[Name],Table_query[Phase])</f>
        <v>#N/A</v>
      </c>
    </row>
    <row r="25" spans="5:35" x14ac:dyDescent="0.25">
      <c r="E25" s="98" t="str">
        <f>IFERROR(IF(AND(E$2 &gt;= EOMONTH(_xlfn.XLOOKUP($A25,Table_query[Name],Table_query[Start Date]),-1)+1, E$3 &lt;= _xlfn.XLOOKUP('Q Spread Calculation'!$A25,Table_query[Name],Table_query[Expiry Date])),
   _xlfn.XLOOKUP('Q Spread Calculation'!$A25,Table_query[Name],Table_query[Monthly Gross Margin Contribution]),
   0),"")</f>
        <v/>
      </c>
      <c r="F25" s="98" t="str">
        <f>IFERROR(IF(AND(F$2 &gt;= EOMONTH(_xlfn.XLOOKUP($A25,Table_query[Name],Table_query[Start Date]),-1)+1, F$3 &lt;= _xlfn.XLOOKUP('Q Spread Calculation'!$A25,Table_query[Name],Table_query[Expiry Date])),
   _xlfn.XLOOKUP('Q Spread Calculation'!$A25,Table_query[Name],Table_query[Monthly Gross Margin Contribution]),
   0),"")</f>
        <v/>
      </c>
      <c r="G25" s="98" t="str">
        <f>IFERROR(IF(AND(G$2 &gt;= EOMONTH(_xlfn.XLOOKUP($A25,Table_query[Name],Table_query[Start Date]),-1)+1, G$3 &lt;= _xlfn.XLOOKUP('Q Spread Calculation'!$A25,Table_query[Name],Table_query[Expiry Date])),
   _xlfn.XLOOKUP('Q Spread Calculation'!$A25,Table_query[Name],Table_query[Monthly Gross Margin Contribution]),
   0),"")</f>
        <v/>
      </c>
      <c r="H25" s="98" t="str">
        <f>IFERROR(IF(AND(H$2 &gt;= EOMONTH(_xlfn.XLOOKUP($A25,Table_query[Name],Table_query[Start Date]),-1)+1, H$3 &lt;= _xlfn.XLOOKUP('Q Spread Calculation'!$A25,Table_query[Name],Table_query[Expiry Date])),
   _xlfn.XLOOKUP('Q Spread Calculation'!$A25,Table_query[Name],Table_query[Monthly Gross Margin Contribution]),
   0),"")</f>
        <v/>
      </c>
      <c r="I25" s="98" t="str">
        <f>IFERROR(IF(AND(I$2 &gt;= EOMONTH(_xlfn.XLOOKUP($A25,Table_query[Name],Table_query[Start Date]),-1)+1, I$3 &lt;= _xlfn.XLOOKUP('Q Spread Calculation'!$A25,Table_query[Name],Table_query[Expiry Date])),
   _xlfn.XLOOKUP('Q Spread Calculation'!$A25,Table_query[Name],Table_query[Monthly Gross Margin Contribution]),
   0),"")</f>
        <v/>
      </c>
      <c r="J25" s="98" t="str">
        <f>IFERROR(IF(AND(J$2 &gt;= EOMONTH(_xlfn.XLOOKUP($A25,Table_query[Name],Table_query[Start Date]),-1)+1, J$3 &lt;= _xlfn.XLOOKUP('Q Spread Calculation'!$A25,Table_query[Name],Table_query[Expiry Date])),
   _xlfn.XLOOKUP('Q Spread Calculation'!$A25,Table_query[Name],Table_query[Monthly Gross Margin Contribution]),
   0),"")</f>
        <v/>
      </c>
      <c r="K25" s="98" t="str">
        <f>IFERROR(IF(AND(K$2 &gt;= EOMONTH(_xlfn.XLOOKUP($A25,Table_query[Name],Table_query[Start Date]),-1)+1, K$3 &lt;= _xlfn.XLOOKUP('Q Spread Calculation'!$A25,Table_query[Name],Table_query[Expiry Date])),
   _xlfn.XLOOKUP('Q Spread Calculation'!$A25,Table_query[Name],Table_query[Monthly Gross Margin Contribution]),
   0),"")</f>
        <v/>
      </c>
      <c r="L25" s="98" t="str">
        <f>IFERROR(IF(AND(L$2 &gt;= EOMONTH(_xlfn.XLOOKUP($A25,Table_query[Name],Table_query[Start Date]),-1)+1, L$3 &lt;= _xlfn.XLOOKUP('Q Spread Calculation'!$A25,Table_query[Name],Table_query[Expiry Date])),
   _xlfn.XLOOKUP('Q Spread Calculation'!$A25,Table_query[Name],Table_query[Monthly Gross Margin Contribution]),
   0),"")</f>
        <v/>
      </c>
      <c r="M25" s="98" t="str">
        <f>IFERROR(IF(AND(M$2 &gt;= EOMONTH(_xlfn.XLOOKUP($A25,Table_query[Name],Table_query[Start Date]),-1)+1, M$3 &lt;= _xlfn.XLOOKUP('Q Spread Calculation'!$A25,Table_query[Name],Table_query[Expiry Date])),
   _xlfn.XLOOKUP('Q Spread Calculation'!$A25,Table_query[Name],Table_query[Monthly Gross Margin Contribution]),
   0),"")</f>
        <v/>
      </c>
      <c r="N25" s="98" t="str">
        <f>IFERROR(IF(AND(N$2 &gt;= EOMONTH(_xlfn.XLOOKUP($A25,Table_query[Name],Table_query[Start Date]),-1)+1, N$3 &lt;= _xlfn.XLOOKUP('Q Spread Calculation'!$A25,Table_query[Name],Table_query[Expiry Date])),
   _xlfn.XLOOKUP('Q Spread Calculation'!$A25,Table_query[Name],Table_query[Monthly Gross Margin Contribution]),
   0),"")</f>
        <v/>
      </c>
      <c r="O25" s="98" t="str">
        <f>IFERROR(IF(AND(O$2 &gt;= EOMONTH(_xlfn.XLOOKUP($A25,Table_query[Name],Table_query[Start Date]),-1)+1, O$3 &lt;= _xlfn.XLOOKUP('Q Spread Calculation'!$A25,Table_query[Name],Table_query[Expiry Date])),
   _xlfn.XLOOKUP('Q Spread Calculation'!$A25,Table_query[Name],Table_query[Monthly Gross Margin Contribution]),
   0),"")</f>
        <v/>
      </c>
      <c r="P25" s="98" t="str">
        <f>IFERROR(IF(AND(P$2 &gt;= EOMONTH(_xlfn.XLOOKUP($A25,Table_query[Name],Table_query[Start Date]),-1)+1, P$3 &lt;= _xlfn.XLOOKUP('Q Spread Calculation'!$A25,Table_query[Name],Table_query[Expiry Date])),
   _xlfn.XLOOKUP('Q Spread Calculation'!$A25,Table_query[Name],Table_query[Monthly Gross Margin Contribution]),
   0),"")</f>
        <v/>
      </c>
      <c r="Q25" s="98"/>
      <c r="AI25" t="e">
        <f>_xlfn.XLOOKUP(S25,Table_query[Name],Table_query[Phase])</f>
        <v>#N/A</v>
      </c>
    </row>
    <row r="26" spans="5:35" x14ac:dyDescent="0.25">
      <c r="E26" s="98" t="str">
        <f>IFERROR(IF(AND(E$2 &gt;= EOMONTH(_xlfn.XLOOKUP($A26,Table_query[Name],Table_query[Start Date]),-1)+1, E$3 &lt;= _xlfn.XLOOKUP('Q Spread Calculation'!$A26,Table_query[Name],Table_query[Expiry Date])),
   _xlfn.XLOOKUP('Q Spread Calculation'!$A26,Table_query[Name],Table_query[Monthly Gross Margin Contribution]),
   0),"")</f>
        <v/>
      </c>
      <c r="F26" s="98" t="str">
        <f>IFERROR(IF(AND(F$2 &gt;= EOMONTH(_xlfn.XLOOKUP($A26,Table_query[Name],Table_query[Start Date]),-1)+1, F$3 &lt;= _xlfn.XLOOKUP('Q Spread Calculation'!$A26,Table_query[Name],Table_query[Expiry Date])),
   _xlfn.XLOOKUP('Q Spread Calculation'!$A26,Table_query[Name],Table_query[Monthly Gross Margin Contribution]),
   0),"")</f>
        <v/>
      </c>
      <c r="G26" s="98" t="str">
        <f>IFERROR(IF(AND(G$2 &gt;= EOMONTH(_xlfn.XLOOKUP($A26,Table_query[Name],Table_query[Start Date]),-1)+1, G$3 &lt;= _xlfn.XLOOKUP('Q Spread Calculation'!$A26,Table_query[Name],Table_query[Expiry Date])),
   _xlfn.XLOOKUP('Q Spread Calculation'!$A26,Table_query[Name],Table_query[Monthly Gross Margin Contribution]),
   0),"")</f>
        <v/>
      </c>
      <c r="H26" s="98" t="str">
        <f>IFERROR(IF(AND(H$2 &gt;= EOMONTH(_xlfn.XLOOKUP($A26,Table_query[Name],Table_query[Start Date]),-1)+1, H$3 &lt;= _xlfn.XLOOKUP('Q Spread Calculation'!$A26,Table_query[Name],Table_query[Expiry Date])),
   _xlfn.XLOOKUP('Q Spread Calculation'!$A26,Table_query[Name],Table_query[Monthly Gross Margin Contribution]),
   0),"")</f>
        <v/>
      </c>
      <c r="I26" s="98" t="str">
        <f>IFERROR(IF(AND(I$2 &gt;= EOMONTH(_xlfn.XLOOKUP($A26,Table_query[Name],Table_query[Start Date]),-1)+1, I$3 &lt;= _xlfn.XLOOKUP('Q Spread Calculation'!$A26,Table_query[Name],Table_query[Expiry Date])),
   _xlfn.XLOOKUP('Q Spread Calculation'!$A26,Table_query[Name],Table_query[Monthly Gross Margin Contribution]),
   0),"")</f>
        <v/>
      </c>
      <c r="J26" s="98" t="str">
        <f>IFERROR(IF(AND(J$2 &gt;= EOMONTH(_xlfn.XLOOKUP($A26,Table_query[Name],Table_query[Start Date]),-1)+1, J$3 &lt;= _xlfn.XLOOKUP('Q Spread Calculation'!$A26,Table_query[Name],Table_query[Expiry Date])),
   _xlfn.XLOOKUP('Q Spread Calculation'!$A26,Table_query[Name],Table_query[Monthly Gross Margin Contribution]),
   0),"")</f>
        <v/>
      </c>
      <c r="K26" s="98" t="str">
        <f>IFERROR(IF(AND(K$2 &gt;= EOMONTH(_xlfn.XLOOKUP($A26,Table_query[Name],Table_query[Start Date]),-1)+1, K$3 &lt;= _xlfn.XLOOKUP('Q Spread Calculation'!$A26,Table_query[Name],Table_query[Expiry Date])),
   _xlfn.XLOOKUP('Q Spread Calculation'!$A26,Table_query[Name],Table_query[Monthly Gross Margin Contribution]),
   0),"")</f>
        <v/>
      </c>
      <c r="L26" s="98" t="str">
        <f>IFERROR(IF(AND(L$2 &gt;= EOMONTH(_xlfn.XLOOKUP($A26,Table_query[Name],Table_query[Start Date]),-1)+1, L$3 &lt;= _xlfn.XLOOKUP('Q Spread Calculation'!$A26,Table_query[Name],Table_query[Expiry Date])),
   _xlfn.XLOOKUP('Q Spread Calculation'!$A26,Table_query[Name],Table_query[Monthly Gross Margin Contribution]),
   0),"")</f>
        <v/>
      </c>
      <c r="M26" s="98" t="str">
        <f>IFERROR(IF(AND(M$2 &gt;= EOMONTH(_xlfn.XLOOKUP($A26,Table_query[Name],Table_query[Start Date]),-1)+1, M$3 &lt;= _xlfn.XLOOKUP('Q Spread Calculation'!$A26,Table_query[Name],Table_query[Expiry Date])),
   _xlfn.XLOOKUP('Q Spread Calculation'!$A26,Table_query[Name],Table_query[Monthly Gross Margin Contribution]),
   0),"")</f>
        <v/>
      </c>
      <c r="N26" s="98" t="str">
        <f>IFERROR(IF(AND(N$2 &gt;= EOMONTH(_xlfn.XLOOKUP($A26,Table_query[Name],Table_query[Start Date]),-1)+1, N$3 &lt;= _xlfn.XLOOKUP('Q Spread Calculation'!$A26,Table_query[Name],Table_query[Expiry Date])),
   _xlfn.XLOOKUP('Q Spread Calculation'!$A26,Table_query[Name],Table_query[Monthly Gross Margin Contribution]),
   0),"")</f>
        <v/>
      </c>
      <c r="O26" s="98" t="str">
        <f>IFERROR(IF(AND(O$2 &gt;= EOMONTH(_xlfn.XLOOKUP($A26,Table_query[Name],Table_query[Start Date]),-1)+1, O$3 &lt;= _xlfn.XLOOKUP('Q Spread Calculation'!$A26,Table_query[Name],Table_query[Expiry Date])),
   _xlfn.XLOOKUP('Q Spread Calculation'!$A26,Table_query[Name],Table_query[Monthly Gross Margin Contribution]),
   0),"")</f>
        <v/>
      </c>
      <c r="P26" s="98" t="str">
        <f>IFERROR(IF(AND(P$2 &gt;= EOMONTH(_xlfn.XLOOKUP($A26,Table_query[Name],Table_query[Start Date]),-1)+1, P$3 &lt;= _xlfn.XLOOKUP('Q Spread Calculation'!$A26,Table_query[Name],Table_query[Expiry Date])),
   _xlfn.XLOOKUP('Q Spread Calculation'!$A26,Table_query[Name],Table_query[Monthly Gross Margin Contribution]),
   0),"")</f>
        <v/>
      </c>
      <c r="Q26" s="98"/>
    </row>
    <row r="27" spans="5:35" x14ac:dyDescent="0.25">
      <c r="E27" s="98" t="str">
        <f>IFERROR(IF(AND(E$2 &gt;= EOMONTH(_xlfn.XLOOKUP($A27,Table_query[Name],Table_query[Start Date]),-1)+1, E$3 &lt;= _xlfn.XLOOKUP('Q Spread Calculation'!$A27,Table_query[Name],Table_query[Expiry Date])),
   _xlfn.XLOOKUP('Q Spread Calculation'!$A27,Table_query[Name],Table_query[Monthly Gross Margin Contribution]),
   0),"")</f>
        <v/>
      </c>
      <c r="F27" s="98" t="str">
        <f>IFERROR(IF(AND(F$2 &gt;= EOMONTH(_xlfn.XLOOKUP($A27,Table_query[Name],Table_query[Start Date]),-1)+1, F$3 &lt;= _xlfn.XLOOKUP('Q Spread Calculation'!$A27,Table_query[Name],Table_query[Expiry Date])),
   _xlfn.XLOOKUP('Q Spread Calculation'!$A27,Table_query[Name],Table_query[Monthly Gross Margin Contribution]),
   0),"")</f>
        <v/>
      </c>
      <c r="G27" s="98" t="str">
        <f>IFERROR(IF(AND(G$2 &gt;= EOMONTH(_xlfn.XLOOKUP($A27,Table_query[Name],Table_query[Start Date]),-1)+1, G$3 &lt;= _xlfn.XLOOKUP('Q Spread Calculation'!$A27,Table_query[Name],Table_query[Expiry Date])),
   _xlfn.XLOOKUP('Q Spread Calculation'!$A27,Table_query[Name],Table_query[Monthly Gross Margin Contribution]),
   0),"")</f>
        <v/>
      </c>
      <c r="H27" s="98" t="str">
        <f>IFERROR(IF(AND(H$2 &gt;= EOMONTH(_xlfn.XLOOKUP($A27,Table_query[Name],Table_query[Start Date]),-1)+1, H$3 &lt;= _xlfn.XLOOKUP('Q Spread Calculation'!$A27,Table_query[Name],Table_query[Expiry Date])),
   _xlfn.XLOOKUP('Q Spread Calculation'!$A27,Table_query[Name],Table_query[Monthly Gross Margin Contribution]),
   0),"")</f>
        <v/>
      </c>
      <c r="I27" s="98" t="str">
        <f>IFERROR(IF(AND(I$2 &gt;= EOMONTH(_xlfn.XLOOKUP($A27,Table_query[Name],Table_query[Start Date]),-1)+1, I$3 &lt;= _xlfn.XLOOKUP('Q Spread Calculation'!$A27,Table_query[Name],Table_query[Expiry Date])),
   _xlfn.XLOOKUP('Q Spread Calculation'!$A27,Table_query[Name],Table_query[Monthly Gross Margin Contribution]),
   0),"")</f>
        <v/>
      </c>
      <c r="J27" s="98" t="str">
        <f>IFERROR(IF(AND(J$2 &gt;= EOMONTH(_xlfn.XLOOKUP($A27,Table_query[Name],Table_query[Start Date]),-1)+1, J$3 &lt;= _xlfn.XLOOKUP('Q Spread Calculation'!$A27,Table_query[Name],Table_query[Expiry Date])),
   _xlfn.XLOOKUP('Q Spread Calculation'!$A27,Table_query[Name],Table_query[Monthly Gross Margin Contribution]),
   0),"")</f>
        <v/>
      </c>
      <c r="K27" s="98" t="str">
        <f>IFERROR(IF(AND(K$2 &gt;= EOMONTH(_xlfn.XLOOKUP($A27,Table_query[Name],Table_query[Start Date]),-1)+1, K$3 &lt;= _xlfn.XLOOKUP('Q Spread Calculation'!$A27,Table_query[Name],Table_query[Expiry Date])),
   _xlfn.XLOOKUP('Q Spread Calculation'!$A27,Table_query[Name],Table_query[Monthly Gross Margin Contribution]),
   0),"")</f>
        <v/>
      </c>
      <c r="L27" s="98" t="str">
        <f>IFERROR(IF(AND(L$2 &gt;= EOMONTH(_xlfn.XLOOKUP($A27,Table_query[Name],Table_query[Start Date]),-1)+1, L$3 &lt;= _xlfn.XLOOKUP('Q Spread Calculation'!$A27,Table_query[Name],Table_query[Expiry Date])),
   _xlfn.XLOOKUP('Q Spread Calculation'!$A27,Table_query[Name],Table_query[Monthly Gross Margin Contribution]),
   0),"")</f>
        <v/>
      </c>
      <c r="M27" s="98" t="str">
        <f>IFERROR(IF(AND(M$2 &gt;= EOMONTH(_xlfn.XLOOKUP($A27,Table_query[Name],Table_query[Start Date]),-1)+1, M$3 &lt;= _xlfn.XLOOKUP('Q Spread Calculation'!$A27,Table_query[Name],Table_query[Expiry Date])),
   _xlfn.XLOOKUP('Q Spread Calculation'!$A27,Table_query[Name],Table_query[Monthly Gross Margin Contribution]),
   0),"")</f>
        <v/>
      </c>
      <c r="N27" s="98" t="str">
        <f>IFERROR(IF(AND(N$2 &gt;= EOMONTH(_xlfn.XLOOKUP($A27,Table_query[Name],Table_query[Start Date]),-1)+1, N$3 &lt;= _xlfn.XLOOKUP('Q Spread Calculation'!$A27,Table_query[Name],Table_query[Expiry Date])),
   _xlfn.XLOOKUP('Q Spread Calculation'!$A27,Table_query[Name],Table_query[Monthly Gross Margin Contribution]),
   0),"")</f>
        <v/>
      </c>
      <c r="O27" s="98" t="str">
        <f>IFERROR(IF(AND(O$2 &gt;= EOMONTH(_xlfn.XLOOKUP($A27,Table_query[Name],Table_query[Start Date]),-1)+1, O$3 &lt;= _xlfn.XLOOKUP('Q Spread Calculation'!$A27,Table_query[Name],Table_query[Expiry Date])),
   _xlfn.XLOOKUP('Q Spread Calculation'!$A27,Table_query[Name],Table_query[Monthly Gross Margin Contribution]),
   0),"")</f>
        <v/>
      </c>
      <c r="P27" s="98" t="str">
        <f>IFERROR(IF(AND(P$2 &gt;= EOMONTH(_xlfn.XLOOKUP($A27,Table_query[Name],Table_query[Start Date]),-1)+1, P$3 &lt;= _xlfn.XLOOKUP('Q Spread Calculation'!$A27,Table_query[Name],Table_query[Expiry Date])),
   _xlfn.XLOOKUP('Q Spread Calculation'!$A27,Table_query[Name],Table_query[Monthly Gross Margin Contribution]),
   0),"")</f>
        <v/>
      </c>
      <c r="Q27" s="98"/>
    </row>
    <row r="28" spans="5:35" x14ac:dyDescent="0.25">
      <c r="E28" s="98" t="str">
        <f>IFERROR(IF(AND(E$2 &gt;= EOMONTH(_xlfn.XLOOKUP($A28,Table_query[Name],Table_query[Start Date]),-1)+1, E$3 &lt;= _xlfn.XLOOKUP('Q Spread Calculation'!$A28,Table_query[Name],Table_query[Expiry Date])),
   _xlfn.XLOOKUP('Q Spread Calculation'!$A28,Table_query[Name],Table_query[Monthly Gross Margin Contribution]),
   0),"")</f>
        <v/>
      </c>
      <c r="F28" s="98" t="str">
        <f>IFERROR(IF(AND(F$2 &gt;= EOMONTH(_xlfn.XLOOKUP($A28,Table_query[Name],Table_query[Start Date]),-1)+1, F$3 &lt;= _xlfn.XLOOKUP('Q Spread Calculation'!$A28,Table_query[Name],Table_query[Expiry Date])),
   _xlfn.XLOOKUP('Q Spread Calculation'!$A28,Table_query[Name],Table_query[Monthly Gross Margin Contribution]),
   0),"")</f>
        <v/>
      </c>
      <c r="G28" s="98" t="str">
        <f>IFERROR(IF(AND(G$2 &gt;= EOMONTH(_xlfn.XLOOKUP($A28,Table_query[Name],Table_query[Start Date]),-1)+1, G$3 &lt;= _xlfn.XLOOKUP('Q Spread Calculation'!$A28,Table_query[Name],Table_query[Expiry Date])),
   _xlfn.XLOOKUP('Q Spread Calculation'!$A28,Table_query[Name],Table_query[Monthly Gross Margin Contribution]),
   0),"")</f>
        <v/>
      </c>
      <c r="H28" s="98" t="str">
        <f>IFERROR(IF(AND(H$2 &gt;= EOMONTH(_xlfn.XLOOKUP($A28,Table_query[Name],Table_query[Start Date]),-1)+1, H$3 &lt;= _xlfn.XLOOKUP('Q Spread Calculation'!$A28,Table_query[Name],Table_query[Expiry Date])),
   _xlfn.XLOOKUP('Q Spread Calculation'!$A28,Table_query[Name],Table_query[Monthly Gross Margin Contribution]),
   0),"")</f>
        <v/>
      </c>
      <c r="I28" s="98" t="str">
        <f>IFERROR(IF(AND(I$2 &gt;= EOMONTH(_xlfn.XLOOKUP($A28,Table_query[Name],Table_query[Start Date]),-1)+1, I$3 &lt;= _xlfn.XLOOKUP('Q Spread Calculation'!$A28,Table_query[Name],Table_query[Expiry Date])),
   _xlfn.XLOOKUP('Q Spread Calculation'!$A28,Table_query[Name],Table_query[Monthly Gross Margin Contribution]),
   0),"")</f>
        <v/>
      </c>
      <c r="J28" s="98" t="str">
        <f>IFERROR(IF(AND(J$2 &gt;= EOMONTH(_xlfn.XLOOKUP($A28,Table_query[Name],Table_query[Start Date]),-1)+1, J$3 &lt;= _xlfn.XLOOKUP('Q Spread Calculation'!$A28,Table_query[Name],Table_query[Expiry Date])),
   _xlfn.XLOOKUP('Q Spread Calculation'!$A28,Table_query[Name],Table_query[Monthly Gross Margin Contribution]),
   0),"")</f>
        <v/>
      </c>
      <c r="K28" s="98" t="str">
        <f>IFERROR(IF(AND(K$2 &gt;= EOMONTH(_xlfn.XLOOKUP($A28,Table_query[Name],Table_query[Start Date]),-1)+1, K$3 &lt;= _xlfn.XLOOKUP('Q Spread Calculation'!$A28,Table_query[Name],Table_query[Expiry Date])),
   _xlfn.XLOOKUP('Q Spread Calculation'!$A28,Table_query[Name],Table_query[Monthly Gross Margin Contribution]),
   0),"")</f>
        <v/>
      </c>
      <c r="L28" s="98" t="str">
        <f>IFERROR(IF(AND(L$2 &gt;= EOMONTH(_xlfn.XLOOKUP($A28,Table_query[Name],Table_query[Start Date]),-1)+1, L$3 &lt;= _xlfn.XLOOKUP('Q Spread Calculation'!$A28,Table_query[Name],Table_query[Expiry Date])),
   _xlfn.XLOOKUP('Q Spread Calculation'!$A28,Table_query[Name],Table_query[Monthly Gross Margin Contribution]),
   0),"")</f>
        <v/>
      </c>
      <c r="M28" s="98" t="str">
        <f>IFERROR(IF(AND(M$2 &gt;= EOMONTH(_xlfn.XLOOKUP($A28,Table_query[Name],Table_query[Start Date]),-1)+1, M$3 &lt;= _xlfn.XLOOKUP('Q Spread Calculation'!$A28,Table_query[Name],Table_query[Expiry Date])),
   _xlfn.XLOOKUP('Q Spread Calculation'!$A28,Table_query[Name],Table_query[Monthly Gross Margin Contribution]),
   0),"")</f>
        <v/>
      </c>
      <c r="N28" s="98" t="str">
        <f>IFERROR(IF(AND(N$2 &gt;= EOMONTH(_xlfn.XLOOKUP($A28,Table_query[Name],Table_query[Start Date]),-1)+1, N$3 &lt;= _xlfn.XLOOKUP('Q Spread Calculation'!$A28,Table_query[Name],Table_query[Expiry Date])),
   _xlfn.XLOOKUP('Q Spread Calculation'!$A28,Table_query[Name],Table_query[Monthly Gross Margin Contribution]),
   0),"")</f>
        <v/>
      </c>
      <c r="O28" s="98" t="str">
        <f>IFERROR(IF(AND(O$2 &gt;= EOMONTH(_xlfn.XLOOKUP($A28,Table_query[Name],Table_query[Start Date]),-1)+1, O$3 &lt;= _xlfn.XLOOKUP('Q Spread Calculation'!$A28,Table_query[Name],Table_query[Expiry Date])),
   _xlfn.XLOOKUP('Q Spread Calculation'!$A28,Table_query[Name],Table_query[Monthly Gross Margin Contribution]),
   0),"")</f>
        <v/>
      </c>
      <c r="P28" s="98" t="str">
        <f>IFERROR(IF(AND(P$2 &gt;= EOMONTH(_xlfn.XLOOKUP($A28,Table_query[Name],Table_query[Start Date]),-1)+1, P$3 &lt;= _xlfn.XLOOKUP('Q Spread Calculation'!$A28,Table_query[Name],Table_query[Expiry Date])),
   _xlfn.XLOOKUP('Q Spread Calculation'!$A28,Table_query[Name],Table_query[Monthly Gross Margin Contribution]),
   0),"")</f>
        <v/>
      </c>
      <c r="Q28" s="98"/>
    </row>
    <row r="29" spans="5:35" x14ac:dyDescent="0.25">
      <c r="E29" s="98" t="str">
        <f>IFERROR(IF(AND(E$2 &gt;= EOMONTH(_xlfn.XLOOKUP($A29,Table_query[Name],Table_query[Start Date]),-1)+1, E$3 &lt;= _xlfn.XLOOKUP('Q Spread Calculation'!$A29,Table_query[Name],Table_query[Expiry Date])),
   _xlfn.XLOOKUP('Q Spread Calculation'!$A29,Table_query[Name],Table_query[Monthly Gross Margin Contribution]),
   0),"")</f>
        <v/>
      </c>
      <c r="F29" s="98" t="str">
        <f>IFERROR(IF(AND(F$2 &gt;= EOMONTH(_xlfn.XLOOKUP($A29,Table_query[Name],Table_query[Start Date]),-1)+1, F$3 &lt;= _xlfn.XLOOKUP('Q Spread Calculation'!$A29,Table_query[Name],Table_query[Expiry Date])),
   _xlfn.XLOOKUP('Q Spread Calculation'!$A29,Table_query[Name],Table_query[Monthly Gross Margin Contribution]),
   0),"")</f>
        <v/>
      </c>
      <c r="G29" s="98" t="str">
        <f>IFERROR(IF(AND(G$2 &gt;= EOMONTH(_xlfn.XLOOKUP($A29,Table_query[Name],Table_query[Start Date]),-1)+1, G$3 &lt;= _xlfn.XLOOKUP('Q Spread Calculation'!$A29,Table_query[Name],Table_query[Expiry Date])),
   _xlfn.XLOOKUP('Q Spread Calculation'!$A29,Table_query[Name],Table_query[Monthly Gross Margin Contribution]),
   0),"")</f>
        <v/>
      </c>
      <c r="H29" s="98" t="str">
        <f>IFERROR(IF(AND(H$2 &gt;= EOMONTH(_xlfn.XLOOKUP($A29,Table_query[Name],Table_query[Start Date]),-1)+1, H$3 &lt;= _xlfn.XLOOKUP('Q Spread Calculation'!$A29,Table_query[Name],Table_query[Expiry Date])),
   _xlfn.XLOOKUP('Q Spread Calculation'!$A29,Table_query[Name],Table_query[Monthly Gross Margin Contribution]),
   0),"")</f>
        <v/>
      </c>
      <c r="I29" s="98" t="str">
        <f>IFERROR(IF(AND(I$2 &gt;= EOMONTH(_xlfn.XLOOKUP($A29,Table_query[Name],Table_query[Start Date]),-1)+1, I$3 &lt;= _xlfn.XLOOKUP('Q Spread Calculation'!$A29,Table_query[Name],Table_query[Expiry Date])),
   _xlfn.XLOOKUP('Q Spread Calculation'!$A29,Table_query[Name],Table_query[Monthly Gross Margin Contribution]),
   0),"")</f>
        <v/>
      </c>
      <c r="J29" s="98" t="str">
        <f>IFERROR(IF(AND(J$2 &gt;= EOMONTH(_xlfn.XLOOKUP($A29,Table_query[Name],Table_query[Start Date]),-1)+1, J$3 &lt;= _xlfn.XLOOKUP('Q Spread Calculation'!$A29,Table_query[Name],Table_query[Expiry Date])),
   _xlfn.XLOOKUP('Q Spread Calculation'!$A29,Table_query[Name],Table_query[Monthly Gross Margin Contribution]),
   0),"")</f>
        <v/>
      </c>
      <c r="K29" s="98" t="str">
        <f>IFERROR(IF(AND(K$2 &gt;= EOMONTH(_xlfn.XLOOKUP($A29,Table_query[Name],Table_query[Start Date]),-1)+1, K$3 &lt;= _xlfn.XLOOKUP('Q Spread Calculation'!$A29,Table_query[Name],Table_query[Expiry Date])),
   _xlfn.XLOOKUP('Q Spread Calculation'!$A29,Table_query[Name],Table_query[Monthly Gross Margin Contribution]),
   0),"")</f>
        <v/>
      </c>
      <c r="L29" s="98" t="str">
        <f>IFERROR(IF(AND(L$2 &gt;= EOMONTH(_xlfn.XLOOKUP($A29,Table_query[Name],Table_query[Start Date]),-1)+1, L$3 &lt;= _xlfn.XLOOKUP('Q Spread Calculation'!$A29,Table_query[Name],Table_query[Expiry Date])),
   _xlfn.XLOOKUP('Q Spread Calculation'!$A29,Table_query[Name],Table_query[Monthly Gross Margin Contribution]),
   0),"")</f>
        <v/>
      </c>
      <c r="M29" s="98" t="str">
        <f>IFERROR(IF(AND(M$2 &gt;= EOMONTH(_xlfn.XLOOKUP($A29,Table_query[Name],Table_query[Start Date]),-1)+1, M$3 &lt;= _xlfn.XLOOKUP('Q Spread Calculation'!$A29,Table_query[Name],Table_query[Expiry Date])),
   _xlfn.XLOOKUP('Q Spread Calculation'!$A29,Table_query[Name],Table_query[Monthly Gross Margin Contribution]),
   0),"")</f>
        <v/>
      </c>
      <c r="N29" s="98" t="str">
        <f>IFERROR(IF(AND(N$2 &gt;= EOMONTH(_xlfn.XLOOKUP($A29,Table_query[Name],Table_query[Start Date]),-1)+1, N$3 &lt;= _xlfn.XLOOKUP('Q Spread Calculation'!$A29,Table_query[Name],Table_query[Expiry Date])),
   _xlfn.XLOOKUP('Q Spread Calculation'!$A29,Table_query[Name],Table_query[Monthly Gross Margin Contribution]),
   0),"")</f>
        <v/>
      </c>
      <c r="O29" s="98" t="str">
        <f>IFERROR(IF(AND(O$2 &gt;= EOMONTH(_xlfn.XLOOKUP($A29,Table_query[Name],Table_query[Start Date]),-1)+1, O$3 &lt;= _xlfn.XLOOKUP('Q Spread Calculation'!$A29,Table_query[Name],Table_query[Expiry Date])),
   _xlfn.XLOOKUP('Q Spread Calculation'!$A29,Table_query[Name],Table_query[Monthly Gross Margin Contribution]),
   0),"")</f>
        <v/>
      </c>
      <c r="P29" s="98" t="str">
        <f>IFERROR(IF(AND(P$2 &gt;= EOMONTH(_xlfn.XLOOKUP($A29,Table_query[Name],Table_query[Start Date]),-1)+1, P$3 &lt;= _xlfn.XLOOKUP('Q Spread Calculation'!$A29,Table_query[Name],Table_query[Expiry Date])),
   _xlfn.XLOOKUP('Q Spread Calculation'!$A29,Table_query[Name],Table_query[Monthly Gross Margin Contribution]),
   0),"")</f>
        <v/>
      </c>
      <c r="Q29" s="98"/>
    </row>
    <row r="30" spans="5:35" x14ac:dyDescent="0.25">
      <c r="E30" s="98" t="str">
        <f>IFERROR(IF(AND(E$2 &gt;= EOMONTH(_xlfn.XLOOKUP($A30,Table_query[Name],Table_query[Start Date]),-1)+1, E$3 &lt;= _xlfn.XLOOKUP('Q Spread Calculation'!$A30,Table_query[Name],Table_query[Expiry Date])),
   _xlfn.XLOOKUP('Q Spread Calculation'!$A30,Table_query[Name],Table_query[Monthly Gross Margin Contribution]),
   0),"")</f>
        <v/>
      </c>
      <c r="F30" s="98" t="str">
        <f>IFERROR(IF(AND(F$2 &gt;= EOMONTH(_xlfn.XLOOKUP($A30,Table_query[Name],Table_query[Start Date]),-1)+1, F$3 &lt;= _xlfn.XLOOKUP('Q Spread Calculation'!$A30,Table_query[Name],Table_query[Expiry Date])),
   _xlfn.XLOOKUP('Q Spread Calculation'!$A30,Table_query[Name],Table_query[Monthly Gross Margin Contribution]),
   0),"")</f>
        <v/>
      </c>
      <c r="G30" s="98" t="str">
        <f>IFERROR(IF(AND(G$2 &gt;= EOMONTH(_xlfn.XLOOKUP($A30,Table_query[Name],Table_query[Start Date]),-1)+1, G$3 &lt;= _xlfn.XLOOKUP('Q Spread Calculation'!$A30,Table_query[Name],Table_query[Expiry Date])),
   _xlfn.XLOOKUP('Q Spread Calculation'!$A30,Table_query[Name],Table_query[Monthly Gross Margin Contribution]),
   0),"")</f>
        <v/>
      </c>
      <c r="H30" s="98" t="str">
        <f>IFERROR(IF(AND(H$2 &gt;= EOMONTH(_xlfn.XLOOKUP($A30,Table_query[Name],Table_query[Start Date]),-1)+1, H$3 &lt;= _xlfn.XLOOKUP('Q Spread Calculation'!$A30,Table_query[Name],Table_query[Expiry Date])),
   _xlfn.XLOOKUP('Q Spread Calculation'!$A30,Table_query[Name],Table_query[Monthly Gross Margin Contribution]),
   0),"")</f>
        <v/>
      </c>
      <c r="I30" s="98" t="str">
        <f>IFERROR(IF(AND(I$2 &gt;= EOMONTH(_xlfn.XLOOKUP($A30,Table_query[Name],Table_query[Start Date]),-1)+1, I$3 &lt;= _xlfn.XLOOKUP('Q Spread Calculation'!$A30,Table_query[Name],Table_query[Expiry Date])),
   _xlfn.XLOOKUP('Q Spread Calculation'!$A30,Table_query[Name],Table_query[Monthly Gross Margin Contribution]),
   0),"")</f>
        <v/>
      </c>
      <c r="J30" s="98" t="str">
        <f>IFERROR(IF(AND(J$2 &gt;= EOMONTH(_xlfn.XLOOKUP($A30,Table_query[Name],Table_query[Start Date]),-1)+1, J$3 &lt;= _xlfn.XLOOKUP('Q Spread Calculation'!$A30,Table_query[Name],Table_query[Expiry Date])),
   _xlfn.XLOOKUP('Q Spread Calculation'!$A30,Table_query[Name],Table_query[Monthly Gross Margin Contribution]),
   0),"")</f>
        <v/>
      </c>
      <c r="K30" s="98" t="str">
        <f>IFERROR(IF(AND(K$2 &gt;= EOMONTH(_xlfn.XLOOKUP($A30,Table_query[Name],Table_query[Start Date]),-1)+1, K$3 &lt;= _xlfn.XLOOKUP('Q Spread Calculation'!$A30,Table_query[Name],Table_query[Expiry Date])),
   _xlfn.XLOOKUP('Q Spread Calculation'!$A30,Table_query[Name],Table_query[Monthly Gross Margin Contribution]),
   0),"")</f>
        <v/>
      </c>
      <c r="L30" s="98" t="str">
        <f>IFERROR(IF(AND(L$2 &gt;= EOMONTH(_xlfn.XLOOKUP($A30,Table_query[Name],Table_query[Start Date]),-1)+1, L$3 &lt;= _xlfn.XLOOKUP('Q Spread Calculation'!$A30,Table_query[Name],Table_query[Expiry Date])),
   _xlfn.XLOOKUP('Q Spread Calculation'!$A30,Table_query[Name],Table_query[Monthly Gross Margin Contribution]),
   0),"")</f>
        <v/>
      </c>
      <c r="M30" s="98" t="str">
        <f>IFERROR(IF(AND(M$2 &gt;= EOMONTH(_xlfn.XLOOKUP($A30,Table_query[Name],Table_query[Start Date]),-1)+1, M$3 &lt;= _xlfn.XLOOKUP('Q Spread Calculation'!$A30,Table_query[Name],Table_query[Expiry Date])),
   _xlfn.XLOOKUP('Q Spread Calculation'!$A30,Table_query[Name],Table_query[Monthly Gross Margin Contribution]),
   0),"")</f>
        <v/>
      </c>
      <c r="N30" s="98" t="str">
        <f>IFERROR(IF(AND(N$2 &gt;= EOMONTH(_xlfn.XLOOKUP($A30,Table_query[Name],Table_query[Start Date]),-1)+1, N$3 &lt;= _xlfn.XLOOKUP('Q Spread Calculation'!$A30,Table_query[Name],Table_query[Expiry Date])),
   _xlfn.XLOOKUP('Q Spread Calculation'!$A30,Table_query[Name],Table_query[Monthly Gross Margin Contribution]),
   0),"")</f>
        <v/>
      </c>
      <c r="O30" s="98" t="str">
        <f>IFERROR(IF(AND(O$2 &gt;= EOMONTH(_xlfn.XLOOKUP($A30,Table_query[Name],Table_query[Start Date]),-1)+1, O$3 &lt;= _xlfn.XLOOKUP('Q Spread Calculation'!$A30,Table_query[Name],Table_query[Expiry Date])),
   _xlfn.XLOOKUP('Q Spread Calculation'!$A30,Table_query[Name],Table_query[Monthly Gross Margin Contribution]),
   0),"")</f>
        <v/>
      </c>
      <c r="P30" s="98" t="str">
        <f>IFERROR(IF(AND(P$2 &gt;= EOMONTH(_xlfn.XLOOKUP($A30,Table_query[Name],Table_query[Start Date]),-1)+1, P$3 &lt;= _xlfn.XLOOKUP('Q Spread Calculation'!$A30,Table_query[Name],Table_query[Expiry Date])),
   _xlfn.XLOOKUP('Q Spread Calculation'!$A30,Table_query[Name],Table_query[Monthly Gross Margin Contribution]),
   0),"")</f>
        <v/>
      </c>
      <c r="Q30" s="98"/>
    </row>
    <row r="31" spans="5:35" x14ac:dyDescent="0.25">
      <c r="E31" s="98" t="str">
        <f>IFERROR(IF(AND(E$2 &gt;= EOMONTH(_xlfn.XLOOKUP($A31,Table_query[Name],Table_query[Start Date]),-1)+1, E$3 &lt;= _xlfn.XLOOKUP('Q Spread Calculation'!$A31,Table_query[Name],Table_query[Expiry Date])),
   _xlfn.XLOOKUP('Q Spread Calculation'!$A31,Table_query[Name],Table_query[Monthly Gross Margin Contribution]),
   0),"")</f>
        <v/>
      </c>
      <c r="F31" s="98" t="str">
        <f>IFERROR(IF(AND(F$2 &gt;= EOMONTH(_xlfn.XLOOKUP($A31,Table_query[Name],Table_query[Start Date]),-1)+1, F$3 &lt;= _xlfn.XLOOKUP('Q Spread Calculation'!$A31,Table_query[Name],Table_query[Expiry Date])),
   _xlfn.XLOOKUP('Q Spread Calculation'!$A31,Table_query[Name],Table_query[Monthly Gross Margin Contribution]),
   0),"")</f>
        <v/>
      </c>
      <c r="G31" s="98" t="str">
        <f>IFERROR(IF(AND(G$2 &gt;= EOMONTH(_xlfn.XLOOKUP($A31,Table_query[Name],Table_query[Start Date]),-1)+1, G$3 &lt;= _xlfn.XLOOKUP('Q Spread Calculation'!$A31,Table_query[Name],Table_query[Expiry Date])),
   _xlfn.XLOOKUP('Q Spread Calculation'!$A31,Table_query[Name],Table_query[Monthly Gross Margin Contribution]),
   0),"")</f>
        <v/>
      </c>
      <c r="H31" s="98" t="str">
        <f>IFERROR(IF(AND(H$2 &gt;= EOMONTH(_xlfn.XLOOKUP($A31,Table_query[Name],Table_query[Start Date]),-1)+1, H$3 &lt;= _xlfn.XLOOKUP('Q Spread Calculation'!$A31,Table_query[Name],Table_query[Expiry Date])),
   _xlfn.XLOOKUP('Q Spread Calculation'!$A31,Table_query[Name],Table_query[Monthly Gross Margin Contribution]),
   0),"")</f>
        <v/>
      </c>
      <c r="I31" s="98" t="str">
        <f>IFERROR(IF(AND(I$2 &gt;= EOMONTH(_xlfn.XLOOKUP($A31,Table_query[Name],Table_query[Start Date]),-1)+1, I$3 &lt;= _xlfn.XLOOKUP('Q Spread Calculation'!$A31,Table_query[Name],Table_query[Expiry Date])),
   _xlfn.XLOOKUP('Q Spread Calculation'!$A31,Table_query[Name],Table_query[Monthly Gross Margin Contribution]),
   0),"")</f>
        <v/>
      </c>
      <c r="J31" s="98" t="str">
        <f>IFERROR(IF(AND(J$2 &gt;= EOMONTH(_xlfn.XLOOKUP($A31,Table_query[Name],Table_query[Start Date]),-1)+1, J$3 &lt;= _xlfn.XLOOKUP('Q Spread Calculation'!$A31,Table_query[Name],Table_query[Expiry Date])),
   _xlfn.XLOOKUP('Q Spread Calculation'!$A31,Table_query[Name],Table_query[Monthly Gross Margin Contribution]),
   0),"")</f>
        <v/>
      </c>
      <c r="K31" s="98" t="str">
        <f>IFERROR(IF(AND(K$2 &gt;= EOMONTH(_xlfn.XLOOKUP($A31,Table_query[Name],Table_query[Start Date]),-1)+1, K$3 &lt;= _xlfn.XLOOKUP('Q Spread Calculation'!$A31,Table_query[Name],Table_query[Expiry Date])),
   _xlfn.XLOOKUP('Q Spread Calculation'!$A31,Table_query[Name],Table_query[Monthly Gross Margin Contribution]),
   0),"")</f>
        <v/>
      </c>
      <c r="L31" s="98" t="str">
        <f>IFERROR(IF(AND(L$2 &gt;= EOMONTH(_xlfn.XLOOKUP($A31,Table_query[Name],Table_query[Start Date]),-1)+1, L$3 &lt;= _xlfn.XLOOKUP('Q Spread Calculation'!$A31,Table_query[Name],Table_query[Expiry Date])),
   _xlfn.XLOOKUP('Q Spread Calculation'!$A31,Table_query[Name],Table_query[Monthly Gross Margin Contribution]),
   0),"")</f>
        <v/>
      </c>
      <c r="M31" s="98" t="str">
        <f>IFERROR(IF(AND(M$2 &gt;= EOMONTH(_xlfn.XLOOKUP($A31,Table_query[Name],Table_query[Start Date]),-1)+1, M$3 &lt;= _xlfn.XLOOKUP('Q Spread Calculation'!$A31,Table_query[Name],Table_query[Expiry Date])),
   _xlfn.XLOOKUP('Q Spread Calculation'!$A31,Table_query[Name],Table_query[Monthly Gross Margin Contribution]),
   0),"")</f>
        <v/>
      </c>
      <c r="N31" s="98" t="str">
        <f>IFERROR(IF(AND(N$2 &gt;= EOMONTH(_xlfn.XLOOKUP($A31,Table_query[Name],Table_query[Start Date]),-1)+1, N$3 &lt;= _xlfn.XLOOKUP('Q Spread Calculation'!$A31,Table_query[Name],Table_query[Expiry Date])),
   _xlfn.XLOOKUP('Q Spread Calculation'!$A31,Table_query[Name],Table_query[Monthly Gross Margin Contribution]),
   0),"")</f>
        <v/>
      </c>
      <c r="O31" s="98" t="str">
        <f>IFERROR(IF(AND(O$2 &gt;= EOMONTH(_xlfn.XLOOKUP($A31,Table_query[Name],Table_query[Start Date]),-1)+1, O$3 &lt;= _xlfn.XLOOKUP('Q Spread Calculation'!$A31,Table_query[Name],Table_query[Expiry Date])),
   _xlfn.XLOOKUP('Q Spread Calculation'!$A31,Table_query[Name],Table_query[Monthly Gross Margin Contribution]),
   0),"")</f>
        <v/>
      </c>
      <c r="P31" s="98" t="str">
        <f>IFERROR(IF(AND(P$2 &gt;= EOMONTH(_xlfn.XLOOKUP($A31,Table_query[Name],Table_query[Start Date]),-1)+1, P$3 &lt;= _xlfn.XLOOKUP('Q Spread Calculation'!$A31,Table_query[Name],Table_query[Expiry Date])),
   _xlfn.XLOOKUP('Q Spread Calculation'!$A31,Table_query[Name],Table_query[Monthly Gross Margin Contribution]),
   0),"")</f>
        <v/>
      </c>
      <c r="Q31" s="98"/>
    </row>
    <row r="32" spans="5:35" x14ac:dyDescent="0.25">
      <c r="E32" s="98" t="str">
        <f>IFERROR(IF(AND(E$2 &gt;= EOMONTH(_xlfn.XLOOKUP($A32,Table_query[Name],Table_query[Start Date]),-1)+1, E$3 &lt;= _xlfn.XLOOKUP('Q Spread Calculation'!$A32,Table_query[Name],Table_query[Expiry Date])),
   _xlfn.XLOOKUP('Q Spread Calculation'!$A32,Table_query[Name],Table_query[Monthly Gross Margin Contribution]),
   0),"")</f>
        <v/>
      </c>
      <c r="F32" s="98" t="str">
        <f>IFERROR(IF(AND(F$2 &gt;= EOMONTH(_xlfn.XLOOKUP($A32,Table_query[Name],Table_query[Start Date]),-1)+1, F$3 &lt;= _xlfn.XLOOKUP('Q Spread Calculation'!$A32,Table_query[Name],Table_query[Expiry Date])),
   _xlfn.XLOOKUP('Q Spread Calculation'!$A32,Table_query[Name],Table_query[Monthly Gross Margin Contribution]),
   0),"")</f>
        <v/>
      </c>
      <c r="G32" s="98" t="str">
        <f>IFERROR(IF(AND(G$2 &gt;= EOMONTH(_xlfn.XLOOKUP($A32,Table_query[Name],Table_query[Start Date]),-1)+1, G$3 &lt;= _xlfn.XLOOKUP('Q Spread Calculation'!$A32,Table_query[Name],Table_query[Expiry Date])),
   _xlfn.XLOOKUP('Q Spread Calculation'!$A32,Table_query[Name],Table_query[Monthly Gross Margin Contribution]),
   0),"")</f>
        <v/>
      </c>
      <c r="H32" s="98" t="str">
        <f>IFERROR(IF(AND(H$2 &gt;= EOMONTH(_xlfn.XLOOKUP($A32,Table_query[Name],Table_query[Start Date]),-1)+1, H$3 &lt;= _xlfn.XLOOKUP('Q Spread Calculation'!$A32,Table_query[Name],Table_query[Expiry Date])),
   _xlfn.XLOOKUP('Q Spread Calculation'!$A32,Table_query[Name],Table_query[Monthly Gross Margin Contribution]),
   0),"")</f>
        <v/>
      </c>
      <c r="I32" s="98" t="str">
        <f>IFERROR(IF(AND(I$2 &gt;= EOMONTH(_xlfn.XLOOKUP($A32,Table_query[Name],Table_query[Start Date]),-1)+1, I$3 &lt;= _xlfn.XLOOKUP('Q Spread Calculation'!$A32,Table_query[Name],Table_query[Expiry Date])),
   _xlfn.XLOOKUP('Q Spread Calculation'!$A32,Table_query[Name],Table_query[Monthly Gross Margin Contribution]),
   0),"")</f>
        <v/>
      </c>
      <c r="J32" s="98" t="str">
        <f>IFERROR(IF(AND(J$2 &gt;= EOMONTH(_xlfn.XLOOKUP($A32,Table_query[Name],Table_query[Start Date]),-1)+1, J$3 &lt;= _xlfn.XLOOKUP('Q Spread Calculation'!$A32,Table_query[Name],Table_query[Expiry Date])),
   _xlfn.XLOOKUP('Q Spread Calculation'!$A32,Table_query[Name],Table_query[Monthly Gross Margin Contribution]),
   0),"")</f>
        <v/>
      </c>
      <c r="K32" s="98" t="str">
        <f>IFERROR(IF(AND(K$2 &gt;= EOMONTH(_xlfn.XLOOKUP($A32,Table_query[Name],Table_query[Start Date]),-1)+1, K$3 &lt;= _xlfn.XLOOKUP('Q Spread Calculation'!$A32,Table_query[Name],Table_query[Expiry Date])),
   _xlfn.XLOOKUP('Q Spread Calculation'!$A32,Table_query[Name],Table_query[Monthly Gross Margin Contribution]),
   0),"")</f>
        <v/>
      </c>
      <c r="L32" s="98" t="str">
        <f>IFERROR(IF(AND(L$2 &gt;= EOMONTH(_xlfn.XLOOKUP($A32,Table_query[Name],Table_query[Start Date]),-1)+1, L$3 &lt;= _xlfn.XLOOKUP('Q Spread Calculation'!$A32,Table_query[Name],Table_query[Expiry Date])),
   _xlfn.XLOOKUP('Q Spread Calculation'!$A32,Table_query[Name],Table_query[Monthly Gross Margin Contribution]),
   0),"")</f>
        <v/>
      </c>
      <c r="M32" s="98" t="str">
        <f>IFERROR(IF(AND(M$2 &gt;= EOMONTH(_xlfn.XLOOKUP($A32,Table_query[Name],Table_query[Start Date]),-1)+1, M$3 &lt;= _xlfn.XLOOKUP('Q Spread Calculation'!$A32,Table_query[Name],Table_query[Expiry Date])),
   _xlfn.XLOOKUP('Q Spread Calculation'!$A32,Table_query[Name],Table_query[Monthly Gross Margin Contribution]),
   0),"")</f>
        <v/>
      </c>
      <c r="N32" s="98" t="str">
        <f>IFERROR(IF(AND(N$2 &gt;= EOMONTH(_xlfn.XLOOKUP($A32,Table_query[Name],Table_query[Start Date]),-1)+1, N$3 &lt;= _xlfn.XLOOKUP('Q Spread Calculation'!$A32,Table_query[Name],Table_query[Expiry Date])),
   _xlfn.XLOOKUP('Q Spread Calculation'!$A32,Table_query[Name],Table_query[Monthly Gross Margin Contribution]),
   0),"")</f>
        <v/>
      </c>
      <c r="O32" s="98" t="str">
        <f>IFERROR(IF(AND(O$2 &gt;= EOMONTH(_xlfn.XLOOKUP($A32,Table_query[Name],Table_query[Start Date]),-1)+1, O$3 &lt;= _xlfn.XLOOKUP('Q Spread Calculation'!$A32,Table_query[Name],Table_query[Expiry Date])),
   _xlfn.XLOOKUP('Q Spread Calculation'!$A32,Table_query[Name],Table_query[Monthly Gross Margin Contribution]),
   0),"")</f>
        <v/>
      </c>
      <c r="P32" s="98" t="str">
        <f>IFERROR(IF(AND(P$2 &gt;= EOMONTH(_xlfn.XLOOKUP($A32,Table_query[Name],Table_query[Start Date]),-1)+1, P$3 &lt;= _xlfn.XLOOKUP('Q Spread Calculation'!$A32,Table_query[Name],Table_query[Expiry Date])),
   _xlfn.XLOOKUP('Q Spread Calculation'!$A32,Table_query[Name],Table_query[Monthly Gross Margin Contribution]),
   0),"")</f>
        <v/>
      </c>
      <c r="Q32" s="9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F9AFB-C12F-492F-A99E-A572CA086815}">
  <sheetPr>
    <tabColor theme="1"/>
  </sheetPr>
  <dimension ref="A1:T58"/>
  <sheetViews>
    <sheetView topLeftCell="A19" workbookViewId="0">
      <selection activeCell="A61" sqref="A61"/>
    </sheetView>
  </sheetViews>
  <sheetFormatPr defaultRowHeight="15" x14ac:dyDescent="0.25"/>
  <cols>
    <col min="1" max="1" width="59" customWidth="1"/>
    <col min="2" max="2" width="7.42578125" customWidth="1"/>
    <col min="3" max="3" width="8" customWidth="1"/>
    <col min="4" max="16" width="12.42578125" customWidth="1"/>
    <col min="17" max="17" width="16.140625" bestFit="1" customWidth="1"/>
    <col min="18" max="18" width="16.7109375" bestFit="1" customWidth="1"/>
    <col min="19" max="19" width="13.28515625" customWidth="1"/>
    <col min="20" max="20" width="13.42578125" bestFit="1" customWidth="1"/>
    <col min="21" max="21" width="16.85546875" bestFit="1" customWidth="1"/>
    <col min="22" max="24" width="11.5703125" bestFit="1" customWidth="1"/>
    <col min="25" max="26" width="12.5703125" bestFit="1" customWidth="1"/>
    <col min="27" max="28" width="11.5703125" bestFit="1" customWidth="1"/>
    <col min="29" max="32" width="10" bestFit="1" customWidth="1"/>
    <col min="33" max="33" width="12.5703125" bestFit="1" customWidth="1"/>
    <col min="34" max="34" width="5" bestFit="1" customWidth="1"/>
    <col min="35" max="38" width="8" bestFit="1" customWidth="1"/>
    <col min="39" max="39" width="5" bestFit="1" customWidth="1"/>
    <col min="40" max="41" width="8" bestFit="1" customWidth="1"/>
    <col min="42" max="42" width="5" bestFit="1" customWidth="1"/>
    <col min="43" max="43" width="8" bestFit="1" customWidth="1"/>
    <col min="44" max="44" width="7" bestFit="1" customWidth="1"/>
    <col min="45" max="45" width="8" bestFit="1" customWidth="1"/>
    <col min="46" max="47" width="5" bestFit="1" customWidth="1"/>
    <col min="48" max="48" width="8" bestFit="1" customWidth="1"/>
    <col min="49" max="49" width="7" bestFit="1" customWidth="1"/>
    <col min="50" max="50" width="5" bestFit="1" customWidth="1"/>
    <col min="51" max="52" width="6" bestFit="1" customWidth="1"/>
    <col min="53" max="53" width="8" bestFit="1" customWidth="1"/>
    <col min="54" max="55" width="6" bestFit="1" customWidth="1"/>
    <col min="56" max="56" width="12" bestFit="1" customWidth="1"/>
    <col min="57" max="58" width="6" bestFit="1" customWidth="1"/>
    <col min="59" max="59" width="8" bestFit="1" customWidth="1"/>
    <col min="60" max="61" width="12" bestFit="1" customWidth="1"/>
    <col min="62" max="62" width="7" bestFit="1" customWidth="1"/>
    <col min="63" max="63" width="10" bestFit="1" customWidth="1"/>
    <col min="64" max="64" width="7.28515625" bestFit="1" customWidth="1"/>
    <col min="65" max="65" width="11.28515625" bestFit="1" customWidth="1"/>
    <col min="66" max="66" width="11.42578125" bestFit="1" customWidth="1"/>
    <col min="67" max="67" width="7" bestFit="1" customWidth="1"/>
    <col min="68" max="68" width="9.85546875" bestFit="1" customWidth="1"/>
    <col min="69" max="69" width="8.85546875" bestFit="1" customWidth="1"/>
    <col min="70" max="70" width="11.42578125" bestFit="1" customWidth="1"/>
    <col min="71" max="71" width="8.85546875" bestFit="1" customWidth="1"/>
    <col min="72" max="72" width="11.42578125" bestFit="1" customWidth="1"/>
    <col min="73" max="73" width="6.85546875" bestFit="1" customWidth="1"/>
    <col min="74" max="74" width="9.85546875" bestFit="1" customWidth="1"/>
    <col min="75" max="75" width="6.85546875" bestFit="1" customWidth="1"/>
    <col min="76" max="76" width="9.85546875" bestFit="1" customWidth="1"/>
    <col min="77" max="77" width="7.85546875" bestFit="1" customWidth="1"/>
    <col min="78" max="78" width="10.85546875" bestFit="1" customWidth="1"/>
    <col min="79" max="79" width="7.85546875" bestFit="1" customWidth="1"/>
    <col min="80" max="80" width="10.85546875" bestFit="1" customWidth="1"/>
    <col min="81" max="81" width="7.85546875" bestFit="1" customWidth="1"/>
    <col min="82" max="82" width="10.85546875" bestFit="1" customWidth="1"/>
    <col min="83" max="83" width="7.85546875" bestFit="1" customWidth="1"/>
    <col min="84" max="84" width="10.85546875" bestFit="1" customWidth="1"/>
    <col min="85" max="85" width="7.85546875" bestFit="1" customWidth="1"/>
    <col min="86" max="86" width="10.85546875" bestFit="1" customWidth="1"/>
    <col min="87" max="87" width="7.85546875" bestFit="1" customWidth="1"/>
    <col min="88" max="88" width="10.85546875" bestFit="1" customWidth="1"/>
    <col min="89" max="89" width="8" bestFit="1" customWidth="1"/>
    <col min="90" max="90" width="10.85546875" bestFit="1" customWidth="1"/>
    <col min="91" max="91" width="7.85546875" bestFit="1" customWidth="1"/>
    <col min="92" max="92" width="10.85546875" bestFit="1" customWidth="1"/>
    <col min="93" max="93" width="8" bestFit="1" customWidth="1"/>
    <col min="94" max="94" width="10.85546875" bestFit="1" customWidth="1"/>
    <col min="95" max="95" width="11.85546875" bestFit="1" customWidth="1"/>
    <col min="96" max="96" width="14.5703125" bestFit="1" customWidth="1"/>
    <col min="97" max="97" width="9.85546875" bestFit="1" customWidth="1"/>
    <col min="98" max="98" width="12.42578125" bestFit="1" customWidth="1"/>
    <col min="99" max="99" width="13.85546875" bestFit="1" customWidth="1"/>
    <col min="100" max="100" width="21.85546875" bestFit="1" customWidth="1"/>
    <col min="101" max="101" width="10.85546875" bestFit="1" customWidth="1"/>
    <col min="102" max="102" width="13.5703125" bestFit="1" customWidth="1"/>
    <col min="103" max="103" width="8.85546875" bestFit="1" customWidth="1"/>
    <col min="104" max="104" width="11.85546875" bestFit="1" customWidth="1"/>
    <col min="105" max="105" width="13.85546875" bestFit="1" customWidth="1"/>
    <col min="106" max="106" width="16.5703125" bestFit="1" customWidth="1"/>
    <col min="107" max="107" width="11.85546875" bestFit="1" customWidth="1"/>
    <col min="108" max="108" width="14.5703125" bestFit="1" customWidth="1"/>
    <col min="109" max="109" width="9.140625" bestFit="1" customWidth="1"/>
    <col min="110" max="110" width="12.140625" bestFit="1" customWidth="1"/>
    <col min="111" max="111" width="11.28515625" bestFit="1" customWidth="1"/>
    <col min="112" max="112" width="9.85546875" bestFit="1" customWidth="1"/>
    <col min="113" max="113" width="10.85546875" bestFit="1" customWidth="1"/>
    <col min="114" max="114" width="7.85546875" bestFit="1" customWidth="1"/>
    <col min="115" max="116" width="10.85546875" bestFit="1" customWidth="1"/>
    <col min="117" max="117" width="9.85546875" bestFit="1" customWidth="1"/>
    <col min="118" max="118" width="6.85546875" bestFit="1" customWidth="1"/>
    <col min="119" max="119" width="12.42578125" bestFit="1" customWidth="1"/>
    <col min="120" max="120" width="7.85546875" bestFit="1" customWidth="1"/>
    <col min="121" max="122" width="10.85546875" bestFit="1" customWidth="1"/>
    <col min="123" max="123" width="7.85546875" bestFit="1" customWidth="1"/>
    <col min="124" max="125" width="10.85546875" bestFit="1" customWidth="1"/>
    <col min="126" max="126" width="9.85546875" bestFit="1" customWidth="1"/>
    <col min="127" max="127" width="6.85546875" bestFit="1" customWidth="1"/>
    <col min="128" max="128" width="12.42578125" bestFit="1" customWidth="1"/>
    <col min="129" max="129" width="7.85546875" bestFit="1" customWidth="1"/>
    <col min="130" max="131" width="10.85546875" bestFit="1" customWidth="1"/>
    <col min="132" max="132" width="7.85546875" bestFit="1" customWidth="1"/>
    <col min="133" max="134" width="10.85546875" bestFit="1" customWidth="1"/>
    <col min="135" max="135" width="8" bestFit="1" customWidth="1"/>
    <col min="136" max="137" width="10.85546875" bestFit="1" customWidth="1"/>
    <col min="138" max="138" width="9.85546875" bestFit="1" customWidth="1"/>
    <col min="139" max="139" width="12.42578125" bestFit="1" customWidth="1"/>
    <col min="140" max="140" width="10.85546875" bestFit="1" customWidth="1"/>
    <col min="141" max="141" width="11.85546875" bestFit="1" customWidth="1"/>
    <col min="142" max="142" width="14.5703125" bestFit="1" customWidth="1"/>
    <col min="143" max="143" width="10.85546875" bestFit="1" customWidth="1"/>
    <col min="144" max="144" width="11.85546875" bestFit="1" customWidth="1"/>
    <col min="145" max="145" width="10.85546875" bestFit="1" customWidth="1"/>
    <col min="146" max="146" width="14.5703125" bestFit="1" customWidth="1"/>
    <col min="147" max="147" width="10.85546875" bestFit="1" customWidth="1"/>
    <col min="148" max="149" width="13.5703125" bestFit="1" customWidth="1"/>
    <col min="150" max="150" width="8.85546875" bestFit="1" customWidth="1"/>
    <col min="151" max="152" width="11.85546875" bestFit="1" customWidth="1"/>
    <col min="153" max="153" width="13.85546875" bestFit="1" customWidth="1"/>
    <col min="154" max="155" width="16.5703125" bestFit="1" customWidth="1"/>
    <col min="156" max="156" width="11.85546875" bestFit="1" customWidth="1"/>
    <col min="157" max="158" width="14.5703125" bestFit="1" customWidth="1"/>
    <col min="159" max="159" width="9.140625" bestFit="1" customWidth="1"/>
    <col min="160" max="161" width="12.140625" bestFit="1" customWidth="1"/>
    <col min="162" max="162" width="11.28515625" bestFit="1" customWidth="1"/>
    <col min="163" max="163" width="6.85546875" bestFit="1" customWidth="1"/>
    <col min="164" max="164" width="10.85546875" bestFit="1" customWidth="1"/>
    <col min="165" max="165" width="7.85546875" bestFit="1" customWidth="1"/>
    <col min="166" max="168" width="10.85546875" bestFit="1" customWidth="1"/>
    <col min="169" max="169" width="7.85546875" bestFit="1" customWidth="1"/>
    <col min="170" max="172" width="10.85546875" bestFit="1" customWidth="1"/>
    <col min="173" max="173" width="7.85546875" bestFit="1" customWidth="1"/>
    <col min="174" max="176" width="10.85546875" bestFit="1" customWidth="1"/>
    <col min="177" max="177" width="9.85546875" bestFit="1" customWidth="1"/>
    <col min="178" max="178" width="6.85546875" bestFit="1" customWidth="1"/>
    <col min="179" max="180" width="12.42578125" bestFit="1" customWidth="1"/>
    <col min="181" max="181" width="11.85546875" bestFit="1" customWidth="1"/>
    <col min="182" max="182" width="10.85546875" bestFit="1" customWidth="1"/>
    <col min="183" max="183" width="14.5703125" bestFit="1" customWidth="1"/>
    <col min="184" max="184" width="12.42578125" bestFit="1" customWidth="1"/>
    <col min="185" max="185" width="9.85546875" bestFit="1" customWidth="1"/>
    <col min="186" max="187" width="10.85546875" bestFit="1" customWidth="1"/>
    <col min="188" max="188" width="12.42578125" bestFit="1" customWidth="1"/>
    <col min="189" max="189" width="9.85546875" bestFit="1" customWidth="1"/>
    <col min="190" max="190" width="12.42578125" bestFit="1" customWidth="1"/>
    <col min="191" max="193" width="10.85546875" bestFit="1" customWidth="1"/>
    <col min="194" max="196" width="13.5703125" bestFit="1" customWidth="1"/>
    <col min="197" max="197" width="12.85546875" bestFit="1" customWidth="1"/>
    <col min="198" max="198" width="14.5703125" bestFit="1" customWidth="1"/>
    <col min="199" max="199" width="10.85546875" bestFit="1" customWidth="1"/>
    <col min="200" max="200" width="15.5703125" bestFit="1" customWidth="1"/>
    <col min="201" max="203" width="11.85546875" bestFit="1" customWidth="1"/>
    <col min="204" max="204" width="14.5703125" bestFit="1" customWidth="1"/>
    <col min="205" max="205" width="10.85546875" bestFit="1" customWidth="1"/>
    <col min="206" max="206" width="6.85546875" bestFit="1" customWidth="1"/>
    <col min="207" max="207" width="12.42578125" bestFit="1" customWidth="1"/>
    <col min="208" max="208" width="13.5703125" bestFit="1" customWidth="1"/>
    <col min="209" max="209" width="13.85546875" bestFit="1" customWidth="1"/>
    <col min="210" max="211" width="16.5703125" bestFit="1" customWidth="1"/>
    <col min="212" max="212" width="15.5703125" bestFit="1" customWidth="1"/>
    <col min="213" max="213" width="11.85546875" bestFit="1" customWidth="1"/>
    <col min="214" max="216" width="14.5703125" bestFit="1" customWidth="1"/>
    <col min="217" max="217" width="9.140625" bestFit="1" customWidth="1"/>
    <col min="218" max="220" width="12.140625" bestFit="1" customWidth="1"/>
    <col min="221" max="221" width="11.28515625" bestFit="1" customWidth="1"/>
    <col min="222" max="222" width="7.85546875" bestFit="1" customWidth="1"/>
    <col min="223" max="226" width="10.85546875" bestFit="1" customWidth="1"/>
    <col min="227" max="227" width="9.85546875" bestFit="1" customWidth="1"/>
    <col min="228" max="230" width="6.85546875" bestFit="1" customWidth="1"/>
    <col min="231" max="231" width="12.42578125" bestFit="1" customWidth="1"/>
    <col min="232" max="232" width="7.85546875" bestFit="1" customWidth="1"/>
    <col min="233" max="237" width="10.85546875" bestFit="1" customWidth="1"/>
    <col min="238" max="239" width="6.85546875" bestFit="1" customWidth="1"/>
    <col min="240" max="240" width="10.85546875" bestFit="1" customWidth="1"/>
    <col min="241" max="241" width="13.5703125" bestFit="1" customWidth="1"/>
    <col min="242" max="242" width="11.85546875" bestFit="1" customWidth="1"/>
    <col min="243" max="243" width="10.85546875" bestFit="1" customWidth="1"/>
    <col min="244" max="244" width="14.5703125" bestFit="1" customWidth="1"/>
    <col min="245" max="246" width="12.42578125" bestFit="1" customWidth="1"/>
    <col min="247" max="247" width="7.85546875" bestFit="1" customWidth="1"/>
    <col min="248" max="250" width="6.85546875" bestFit="1" customWidth="1"/>
    <col min="251" max="251" width="10.85546875" bestFit="1" customWidth="1"/>
    <col min="252" max="252" width="7.85546875" bestFit="1" customWidth="1"/>
    <col min="253" max="256" width="10.85546875" bestFit="1" customWidth="1"/>
    <col min="257" max="257" width="12.85546875" bestFit="1" customWidth="1"/>
    <col min="258" max="258" width="14.5703125" bestFit="1" customWidth="1"/>
    <col min="259" max="259" width="10.85546875" bestFit="1" customWidth="1"/>
    <col min="260" max="260" width="15.5703125" bestFit="1" customWidth="1"/>
    <col min="261" max="261" width="12.42578125" bestFit="1" customWidth="1"/>
    <col min="262" max="262" width="9.85546875" bestFit="1" customWidth="1"/>
    <col min="263" max="263" width="6.85546875" bestFit="1" customWidth="1"/>
    <col min="264" max="266" width="12.42578125" bestFit="1" customWidth="1"/>
    <col min="267" max="267" width="7.85546875" bestFit="1" customWidth="1"/>
    <col min="268" max="272" width="10.85546875" bestFit="1" customWidth="1"/>
    <col min="273" max="275" width="6.85546875" bestFit="1" customWidth="1"/>
    <col min="276" max="276" width="13.5703125" bestFit="1" customWidth="1"/>
    <col min="277" max="277" width="9.85546875" bestFit="1" customWidth="1"/>
    <col min="278" max="278" width="12.42578125" bestFit="1" customWidth="1"/>
    <col min="279" max="281" width="10.85546875" bestFit="1" customWidth="1"/>
    <col min="282" max="282" width="7.85546875" bestFit="1" customWidth="1"/>
    <col min="283" max="285" width="6.85546875" bestFit="1" customWidth="1"/>
    <col min="286" max="286" width="10.85546875" bestFit="1" customWidth="1"/>
    <col min="287" max="289" width="11.85546875" bestFit="1" customWidth="1"/>
    <col min="290" max="290" width="14.5703125" bestFit="1" customWidth="1"/>
    <col min="291" max="291" width="11.85546875" bestFit="1" customWidth="1"/>
    <col min="292" max="292" width="10.85546875" bestFit="1" customWidth="1"/>
    <col min="293" max="296" width="13.5703125" bestFit="1" customWidth="1"/>
    <col min="297" max="297" width="10.85546875" bestFit="1" customWidth="1"/>
    <col min="298" max="298" width="6.85546875" bestFit="1" customWidth="1"/>
    <col min="299" max="299" width="12.42578125" bestFit="1" customWidth="1"/>
    <col min="300" max="301" width="13.5703125" bestFit="1" customWidth="1"/>
    <col min="302" max="302" width="13.85546875" bestFit="1" customWidth="1"/>
    <col min="303" max="304" width="16.5703125" bestFit="1" customWidth="1"/>
    <col min="305" max="305" width="15.5703125" bestFit="1" customWidth="1"/>
    <col min="306" max="306" width="16.5703125" bestFit="1" customWidth="1"/>
    <col min="307" max="307" width="11.85546875" bestFit="1" customWidth="1"/>
    <col min="308" max="310" width="14.5703125" bestFit="1" customWidth="1"/>
    <col min="311" max="311" width="13.5703125" bestFit="1" customWidth="1"/>
    <col min="312" max="312" width="8.85546875" bestFit="1" customWidth="1"/>
    <col min="313" max="315" width="6.85546875" bestFit="1" customWidth="1"/>
    <col min="316" max="316" width="11.85546875" bestFit="1" customWidth="1"/>
    <col min="317" max="317" width="9.140625" bestFit="1" customWidth="1"/>
    <col min="318" max="321" width="12.140625" bestFit="1" customWidth="1"/>
    <col min="322" max="322" width="11.28515625" bestFit="1" customWidth="1"/>
    <col min="323" max="325" width="6.85546875" bestFit="1" customWidth="1"/>
    <col min="326" max="326" width="13.5703125" bestFit="1" customWidth="1"/>
    <col min="327" max="327" width="9.85546875" bestFit="1" customWidth="1"/>
    <col min="328" max="330" width="6.85546875" bestFit="1" customWidth="1"/>
    <col min="331" max="331" width="10.85546875" bestFit="1" customWidth="1"/>
    <col min="332" max="332" width="12.42578125" bestFit="1" customWidth="1"/>
    <col min="333" max="333" width="10.85546875" bestFit="1" customWidth="1"/>
    <col min="334" max="336" width="6.85546875" bestFit="1" customWidth="1"/>
    <col min="337" max="337" width="12.42578125" bestFit="1" customWidth="1"/>
    <col min="338" max="338" width="13.5703125" bestFit="1" customWidth="1"/>
    <col min="339" max="339" width="11.85546875" bestFit="1" customWidth="1"/>
    <col min="340" max="342" width="14.5703125" bestFit="1" customWidth="1"/>
    <col min="343" max="343" width="13.5703125" bestFit="1" customWidth="1"/>
    <col min="344" max="344" width="12.42578125" bestFit="1" customWidth="1"/>
    <col min="345" max="347" width="11.85546875" bestFit="1" customWidth="1"/>
    <col min="348" max="348" width="14.5703125" bestFit="1" customWidth="1"/>
    <col min="349" max="349" width="11.85546875" bestFit="1" customWidth="1"/>
    <col min="350" max="350" width="12.42578125" bestFit="1" customWidth="1"/>
    <col min="351" max="351" width="11.85546875" bestFit="1" customWidth="1"/>
    <col min="352" max="354" width="6.85546875" bestFit="1" customWidth="1"/>
    <col min="355" max="355" width="13.5703125" bestFit="1" customWidth="1"/>
    <col min="356" max="356" width="14.5703125" bestFit="1" customWidth="1"/>
    <col min="357" max="357" width="9.85546875" bestFit="1" customWidth="1"/>
    <col min="358" max="360" width="6.85546875" bestFit="1" customWidth="1"/>
    <col min="361" max="361" width="11.85546875" bestFit="1" customWidth="1"/>
    <col min="362" max="362" width="12.42578125" bestFit="1" customWidth="1"/>
    <col min="363" max="363" width="13.85546875" bestFit="1" customWidth="1"/>
    <col min="364" max="365" width="16.5703125" bestFit="1" customWidth="1"/>
    <col min="366" max="366" width="15.5703125" bestFit="1" customWidth="1"/>
    <col min="367" max="367" width="16.5703125" bestFit="1" customWidth="1"/>
    <col min="368" max="368" width="21.85546875" bestFit="1" customWidth="1"/>
    <col min="369" max="369" width="9.140625" bestFit="1" customWidth="1"/>
    <col min="370" max="374" width="12.140625" bestFit="1" customWidth="1"/>
    <col min="375" max="375" width="11.28515625" bestFit="1" customWidth="1"/>
    <col min="376" max="376" width="11.85546875" bestFit="1" customWidth="1"/>
    <col min="377" max="379" width="6.85546875" bestFit="1" customWidth="1"/>
    <col min="380" max="380" width="13.5703125" bestFit="1" customWidth="1"/>
    <col min="381" max="381" width="14.5703125" bestFit="1" customWidth="1"/>
    <col min="382" max="382" width="21.85546875" bestFit="1" customWidth="1"/>
    <col min="383" max="383" width="10.85546875" bestFit="1" customWidth="1"/>
    <col min="384" max="386" width="6.85546875" bestFit="1" customWidth="1"/>
    <col min="387" max="387" width="9.5703125" bestFit="1" customWidth="1"/>
    <col min="388" max="388" width="13.5703125" bestFit="1" customWidth="1"/>
    <col min="389" max="389" width="21.85546875" bestFit="1" customWidth="1"/>
    <col min="390" max="390" width="9.85546875" bestFit="1" customWidth="1"/>
    <col min="391" max="393" width="6.85546875" bestFit="1" customWidth="1"/>
    <col min="394" max="394" width="10.85546875" bestFit="1" customWidth="1"/>
    <col min="395" max="396" width="12.42578125" bestFit="1" customWidth="1"/>
    <col min="398" max="403" width="12.140625" bestFit="1" customWidth="1"/>
    <col min="404" max="404" width="11.28515625" bestFit="1" customWidth="1"/>
  </cols>
  <sheetData>
    <row r="1" spans="1:20" x14ac:dyDescent="0.25">
      <c r="A1" t="s">
        <v>254</v>
      </c>
      <c r="B1" t="s">
        <v>38</v>
      </c>
      <c r="C1" t="s">
        <v>16</v>
      </c>
      <c r="D1" t="s">
        <v>95</v>
      </c>
      <c r="E1" t="s">
        <v>96</v>
      </c>
      <c r="F1" t="s">
        <v>97</v>
      </c>
      <c r="G1" t="s">
        <v>98</v>
      </c>
      <c r="H1" t="s">
        <v>99</v>
      </c>
      <c r="I1" t="s">
        <v>100</v>
      </c>
      <c r="J1" t="s">
        <v>101</v>
      </c>
      <c r="K1" t="s">
        <v>102</v>
      </c>
      <c r="L1" t="s">
        <v>103</v>
      </c>
      <c r="M1" t="s">
        <v>104</v>
      </c>
      <c r="N1" t="s">
        <v>105</v>
      </c>
      <c r="O1" t="s">
        <v>106</v>
      </c>
      <c r="P1" t="s">
        <v>36</v>
      </c>
      <c r="Q1" t="s">
        <v>256</v>
      </c>
      <c r="R1" t="s">
        <v>249</v>
      </c>
      <c r="S1" t="s">
        <v>248</v>
      </c>
      <c r="T1" t="s">
        <v>32</v>
      </c>
    </row>
    <row r="2" spans="1:20" x14ac:dyDescent="0.25">
      <c r="A2" t="s">
        <v>257</v>
      </c>
      <c r="B2" t="s">
        <v>107</v>
      </c>
      <c r="C2" t="s">
        <v>22</v>
      </c>
      <c r="D2" s="115">
        <v>0</v>
      </c>
      <c r="E2" s="115">
        <v>0</v>
      </c>
      <c r="F2" s="115">
        <v>0</v>
      </c>
      <c r="G2" s="115">
        <v>0</v>
      </c>
      <c r="H2" s="115">
        <v>0</v>
      </c>
      <c r="I2" s="115">
        <v>0</v>
      </c>
      <c r="J2" s="115">
        <v>0</v>
      </c>
      <c r="K2" s="115">
        <v>-3458.75</v>
      </c>
      <c r="L2" s="115">
        <v>1660.8000000000466</v>
      </c>
      <c r="M2" s="115">
        <v>1632.4000000000233</v>
      </c>
      <c r="N2" s="115">
        <v>606.40000000002328</v>
      </c>
      <c r="O2" s="115">
        <v>31112.23000000004</v>
      </c>
      <c r="Q2" s="115" t="str">
        <f>IF(TotalGMContribution[[#This Row],[Status]]&lt;&gt;"C",_xlfn.XLOOKUP(TotalGMContribution[[#This Row],[Project]],Table_query[Name],Table_query[Status]),"Good")</f>
        <v>Good</v>
      </c>
      <c r="R2" s="115" t="str">
        <f>IF(TotalGMContribution[[#This Row],[Status]]="C","6.C - Contracted",_xlfn.XLOOKUP(TotalGMContribution[[#This Row],[Project]],Table_query[Name],Table_query[Phase]))</f>
        <v>6.C - Contracted</v>
      </c>
      <c r="S2" s="115">
        <f>SUM(TotalGMContribution[[#This Row],[July]:[June]])</f>
        <v>31553.080000000133</v>
      </c>
      <c r="T2" s="115" t="str">
        <f>IFERROR(_xlfn.XLOOKUP(TotalGMContribution[[#This Row],[Project]],Job_Status[Project],Job_Status[Work Type]),_xlfn.XLOOKUP(TotalGMContribution[[#This Row],[Project]],Table_query[Name],Table_query[Work Type]))</f>
        <v>Delivery</v>
      </c>
    </row>
    <row r="3" spans="1:20" x14ac:dyDescent="0.25">
      <c r="A3" t="s">
        <v>258</v>
      </c>
      <c r="B3" t="s">
        <v>107</v>
      </c>
      <c r="C3" t="s">
        <v>17</v>
      </c>
      <c r="D3" s="115">
        <v>0</v>
      </c>
      <c r="E3" s="115">
        <v>0</v>
      </c>
      <c r="F3" s="115">
        <v>0</v>
      </c>
      <c r="G3" s="115">
        <v>21140.959999999963</v>
      </c>
      <c r="H3" s="115">
        <v>19151.199999999953</v>
      </c>
      <c r="I3" s="115">
        <v>14938.079999999929</v>
      </c>
      <c r="J3" s="115">
        <v>17308.159999999989</v>
      </c>
      <c r="K3" s="115">
        <v>14948.649999999994</v>
      </c>
      <c r="L3" s="115">
        <v>18782.374999999985</v>
      </c>
      <c r="M3" s="115">
        <v>14699.25</v>
      </c>
      <c r="N3" s="115">
        <v>16332.499999999971</v>
      </c>
      <c r="O3" s="115">
        <v>16332.499999999985</v>
      </c>
      <c r="Q3" s="115" t="str">
        <f>IF(TotalGMContribution[[#This Row],[Status]]&lt;&gt;"C",_xlfn.XLOOKUP(TotalGMContribution[[#This Row],[Project]],Table_query[Name],Table_query[Status]),"Good")</f>
        <v>Good</v>
      </c>
      <c r="R3" s="115" t="str">
        <f>IF(TotalGMContribution[[#This Row],[Status]]="C","6.C - Contracted",_xlfn.XLOOKUP(TotalGMContribution[[#This Row],[Project]],Table_query[Name],Table_query[Phase]))</f>
        <v>6.C - Contracted</v>
      </c>
      <c r="S3" s="115">
        <f>SUM(TotalGMContribution[[#This Row],[July]:[June]])</f>
        <v>153633.67499999976</v>
      </c>
      <c r="T3" s="115" t="str">
        <f>IFERROR(_xlfn.XLOOKUP(TotalGMContribution[[#This Row],[Project]],Job_Status[Project],Job_Status[Work Type]),_xlfn.XLOOKUP(TotalGMContribution[[#This Row],[Project]],Table_query[Name],Table_query[Work Type]))</f>
        <v>Delivery</v>
      </c>
    </row>
    <row r="4" spans="1:20" x14ac:dyDescent="0.25">
      <c r="A4" t="s">
        <v>259</v>
      </c>
      <c r="B4" t="s">
        <v>107</v>
      </c>
      <c r="C4" t="s">
        <v>17</v>
      </c>
      <c r="D4" s="115">
        <v>0</v>
      </c>
      <c r="E4" s="115">
        <v>0</v>
      </c>
      <c r="F4" s="115">
        <v>0</v>
      </c>
      <c r="G4" s="115">
        <v>11566</v>
      </c>
      <c r="H4" s="115">
        <v>2542</v>
      </c>
      <c r="I4" s="115">
        <v>11800</v>
      </c>
      <c r="J4" s="115">
        <v>14206</v>
      </c>
      <c r="K4" s="115">
        <v>16210</v>
      </c>
      <c r="L4" s="115">
        <v>27384</v>
      </c>
      <c r="M4" s="115">
        <v>11336</v>
      </c>
      <c r="N4" s="115">
        <v>0</v>
      </c>
      <c r="O4" s="115">
        <v>0</v>
      </c>
      <c r="Q4" s="115" t="str">
        <f>IF(TotalGMContribution[[#This Row],[Status]]&lt;&gt;"C",_xlfn.XLOOKUP(TotalGMContribution[[#This Row],[Project]],Table_query[Name],Table_query[Status]),"Good")</f>
        <v>Good</v>
      </c>
      <c r="R4" s="115" t="str">
        <f>IF(TotalGMContribution[[#This Row],[Status]]="C","6.C - Contracted",_xlfn.XLOOKUP(TotalGMContribution[[#This Row],[Project]],Table_query[Name],Table_query[Phase]))</f>
        <v>6.C - Contracted</v>
      </c>
      <c r="S4" s="115">
        <f>SUM(TotalGMContribution[[#This Row],[July]:[June]])</f>
        <v>95044</v>
      </c>
      <c r="T4" s="115" t="str">
        <f>IFERROR(_xlfn.XLOOKUP(TotalGMContribution[[#This Row],[Project]],Job_Status[Project],Job_Status[Work Type]),_xlfn.XLOOKUP(TotalGMContribution[[#This Row],[Project]],Table_query[Name],Table_query[Work Type]))</f>
        <v>Delivery</v>
      </c>
    </row>
    <row r="5" spans="1:20" x14ac:dyDescent="0.25">
      <c r="A5" t="s">
        <v>260</v>
      </c>
      <c r="B5" t="s">
        <v>107</v>
      </c>
      <c r="C5" t="s">
        <v>17</v>
      </c>
      <c r="D5" s="115">
        <v>0</v>
      </c>
      <c r="E5" s="115">
        <v>0</v>
      </c>
      <c r="F5" s="115">
        <v>0</v>
      </c>
      <c r="G5" s="115">
        <v>0</v>
      </c>
      <c r="H5" s="115">
        <v>0</v>
      </c>
      <c r="I5" s="115">
        <v>0</v>
      </c>
      <c r="J5" s="115">
        <v>2242.4500000000044</v>
      </c>
      <c r="K5" s="115">
        <v>1806.0000000000036</v>
      </c>
      <c r="L5" s="115">
        <v>2769.2000000000044</v>
      </c>
      <c r="M5" s="115">
        <v>2167.2000000000007</v>
      </c>
      <c r="N5" s="115">
        <v>2408.0000000000036</v>
      </c>
      <c r="O5" s="115">
        <v>2408.0000000000036</v>
      </c>
      <c r="Q5" s="115" t="str">
        <f>IF(TotalGMContribution[[#This Row],[Status]]&lt;&gt;"C",_xlfn.XLOOKUP(TotalGMContribution[[#This Row],[Project]],Table_query[Name],Table_query[Status]),"Good")</f>
        <v>Good</v>
      </c>
      <c r="R5" s="115" t="str">
        <f>IF(TotalGMContribution[[#This Row],[Status]]="C","6.C - Contracted",_xlfn.XLOOKUP(TotalGMContribution[[#This Row],[Project]],Table_query[Name],Table_query[Phase]))</f>
        <v>6.C - Contracted</v>
      </c>
      <c r="S5" s="115">
        <f>SUM(TotalGMContribution[[#This Row],[July]:[June]])</f>
        <v>13800.85000000002</v>
      </c>
      <c r="T5" s="115" t="str">
        <f>IFERROR(_xlfn.XLOOKUP(TotalGMContribution[[#This Row],[Project]],Job_Status[Project],Job_Status[Work Type]),_xlfn.XLOOKUP(TotalGMContribution[[#This Row],[Project]],Table_query[Name],Table_query[Work Type]))</f>
        <v>Resource Pool</v>
      </c>
    </row>
    <row r="6" spans="1:20" x14ac:dyDescent="0.25">
      <c r="A6" t="s">
        <v>261</v>
      </c>
      <c r="B6" t="s">
        <v>107</v>
      </c>
      <c r="C6" t="s">
        <v>17</v>
      </c>
      <c r="D6" s="115">
        <v>0</v>
      </c>
      <c r="E6" s="115">
        <v>0</v>
      </c>
      <c r="F6" s="115">
        <v>0</v>
      </c>
      <c r="G6" s="115">
        <v>0</v>
      </c>
      <c r="H6" s="115">
        <v>0</v>
      </c>
      <c r="I6" s="115">
        <v>0</v>
      </c>
      <c r="J6" s="115">
        <v>3940.3399999999965</v>
      </c>
      <c r="K6" s="115">
        <v>2326.4000000000015</v>
      </c>
      <c r="L6" s="115">
        <v>5350.7200000000048</v>
      </c>
      <c r="M6" s="115">
        <v>4187.5200000000041</v>
      </c>
      <c r="N6" s="115">
        <v>4652.8000000000029</v>
      </c>
      <c r="O6" s="115">
        <v>4652.8000000000029</v>
      </c>
      <c r="Q6" s="115" t="str">
        <f>IF(TotalGMContribution[[#This Row],[Status]]&lt;&gt;"C",_xlfn.XLOOKUP(TotalGMContribution[[#This Row],[Project]],Table_query[Name],Table_query[Status]),"Good")</f>
        <v>Good</v>
      </c>
      <c r="R6" s="115" t="str">
        <f>IF(TotalGMContribution[[#This Row],[Status]]="C","6.C - Contracted",_xlfn.XLOOKUP(TotalGMContribution[[#This Row],[Project]],Table_query[Name],Table_query[Phase]))</f>
        <v>6.C - Contracted</v>
      </c>
      <c r="S6" s="115">
        <f>SUM(TotalGMContribution[[#This Row],[July]:[June]])</f>
        <v>25110.580000000013</v>
      </c>
      <c r="T6" s="115" t="str">
        <f>IFERROR(_xlfn.XLOOKUP(TotalGMContribution[[#This Row],[Project]],Job_Status[Project],Job_Status[Work Type]),_xlfn.XLOOKUP(TotalGMContribution[[#This Row],[Project]],Table_query[Name],Table_query[Work Type]))</f>
        <v>Resource Pool</v>
      </c>
    </row>
    <row r="7" spans="1:20" x14ac:dyDescent="0.25">
      <c r="A7" t="s">
        <v>262</v>
      </c>
      <c r="B7" t="s">
        <v>107</v>
      </c>
      <c r="C7" t="s">
        <v>17</v>
      </c>
      <c r="D7" s="115">
        <v>0</v>
      </c>
      <c r="E7" s="115">
        <v>0</v>
      </c>
      <c r="F7" s="115">
        <v>0</v>
      </c>
      <c r="G7" s="115">
        <v>0</v>
      </c>
      <c r="H7" s="115">
        <v>0</v>
      </c>
      <c r="I7" s="115">
        <v>0</v>
      </c>
      <c r="J7" s="115">
        <v>4883.760000000002</v>
      </c>
      <c r="K7" s="115">
        <v>5745.5999999999985</v>
      </c>
      <c r="L7" s="115">
        <v>6607.4399999999987</v>
      </c>
      <c r="M7" s="115">
        <v>5171.0399999999972</v>
      </c>
      <c r="N7" s="115">
        <v>5745.5999999999985</v>
      </c>
      <c r="O7" s="115">
        <v>5745.6000000000022</v>
      </c>
      <c r="Q7" s="115" t="str">
        <f>IF(TotalGMContribution[[#This Row],[Status]]&lt;&gt;"C",_xlfn.XLOOKUP(TotalGMContribution[[#This Row],[Project]],Table_query[Name],Table_query[Status]),"Good")</f>
        <v>Good</v>
      </c>
      <c r="R7" s="115" t="str">
        <f>IF(TotalGMContribution[[#This Row],[Status]]="C","6.C - Contracted",_xlfn.XLOOKUP(TotalGMContribution[[#This Row],[Project]],Table_query[Name],Table_query[Phase]))</f>
        <v>6.C - Contracted</v>
      </c>
      <c r="S7" s="115">
        <f>SUM(TotalGMContribution[[#This Row],[July]:[June]])</f>
        <v>33899.039999999994</v>
      </c>
      <c r="T7" s="115" t="str">
        <f>IFERROR(_xlfn.XLOOKUP(TotalGMContribution[[#This Row],[Project]],Job_Status[Project],Job_Status[Work Type]),_xlfn.XLOOKUP(TotalGMContribution[[#This Row],[Project]],Table_query[Name],Table_query[Work Type]))</f>
        <v>Resource Pool</v>
      </c>
    </row>
    <row r="8" spans="1:20" x14ac:dyDescent="0.25">
      <c r="A8" t="s">
        <v>263</v>
      </c>
      <c r="B8" t="s">
        <v>107</v>
      </c>
      <c r="C8" t="s">
        <v>17</v>
      </c>
      <c r="D8" s="115">
        <v>0</v>
      </c>
      <c r="E8" s="115">
        <v>0</v>
      </c>
      <c r="F8" s="115">
        <v>0</v>
      </c>
      <c r="G8" s="115">
        <v>2395.119999999999</v>
      </c>
      <c r="H8" s="115">
        <v>3684.8000000000065</v>
      </c>
      <c r="I8" s="115">
        <v>3224.2000000000007</v>
      </c>
      <c r="J8" s="115">
        <v>3684.8000000000065</v>
      </c>
      <c r="K8" s="115">
        <v>3684.7999999999993</v>
      </c>
      <c r="L8" s="115">
        <v>4421.7599999999984</v>
      </c>
      <c r="M8" s="115">
        <v>3316.3199999999997</v>
      </c>
      <c r="N8" s="115">
        <v>3684.7999999999993</v>
      </c>
      <c r="O8" s="115">
        <v>3869.0400000000009</v>
      </c>
      <c r="Q8" s="115" t="str">
        <f>IF(TotalGMContribution[[#This Row],[Status]]&lt;&gt;"C",_xlfn.XLOOKUP(TotalGMContribution[[#This Row],[Project]],Table_query[Name],Table_query[Status]),"Good")</f>
        <v>Good</v>
      </c>
      <c r="R8" s="115" t="str">
        <f>IF(TotalGMContribution[[#This Row],[Status]]="C","6.C - Contracted",_xlfn.XLOOKUP(TotalGMContribution[[#This Row],[Project]],Table_query[Name],Table_query[Phase]))</f>
        <v>6.C - Contracted</v>
      </c>
      <c r="S8" s="115">
        <f>SUM(TotalGMContribution[[#This Row],[July]:[June]])</f>
        <v>31965.64000000001</v>
      </c>
      <c r="T8" s="115" t="str">
        <f>IFERROR(_xlfn.XLOOKUP(TotalGMContribution[[#This Row],[Project]],Job_Status[Project],Job_Status[Work Type]),_xlfn.XLOOKUP(TotalGMContribution[[#This Row],[Project]],Table_query[Name],Table_query[Work Type]))</f>
        <v>Labour Hire</v>
      </c>
    </row>
    <row r="9" spans="1:20" x14ac:dyDescent="0.25">
      <c r="A9" t="s">
        <v>264</v>
      </c>
      <c r="B9" t="s">
        <v>107</v>
      </c>
      <c r="C9" t="s">
        <v>17</v>
      </c>
      <c r="D9" s="115">
        <v>10208</v>
      </c>
      <c r="E9" s="115">
        <v>9744</v>
      </c>
      <c r="F9" s="115">
        <v>11136</v>
      </c>
      <c r="G9" s="115">
        <v>9744</v>
      </c>
      <c r="H9" s="115">
        <v>9280</v>
      </c>
      <c r="I9" s="115">
        <v>4640</v>
      </c>
      <c r="J9" s="115">
        <v>6960</v>
      </c>
      <c r="K9" s="115">
        <v>9280</v>
      </c>
      <c r="L9" s="115">
        <v>0</v>
      </c>
      <c r="M9" s="115">
        <v>0</v>
      </c>
      <c r="N9" s="115">
        <v>0</v>
      </c>
      <c r="O9" s="115">
        <v>0</v>
      </c>
      <c r="Q9" s="115" t="str">
        <f>IF(TotalGMContribution[[#This Row],[Status]]&lt;&gt;"C",_xlfn.XLOOKUP(TotalGMContribution[[#This Row],[Project]],Table_query[Name],Table_query[Status]),"Good")</f>
        <v>Good</v>
      </c>
      <c r="R9" s="115" t="str">
        <f>IF(TotalGMContribution[[#This Row],[Status]]="C","6.C - Contracted",_xlfn.XLOOKUP(TotalGMContribution[[#This Row],[Project]],Table_query[Name],Table_query[Phase]))</f>
        <v>6.C - Contracted</v>
      </c>
      <c r="S9" s="115">
        <f>SUM(TotalGMContribution[[#This Row],[July]:[June]])</f>
        <v>70992</v>
      </c>
      <c r="T9" s="115" t="str">
        <f>IFERROR(_xlfn.XLOOKUP(TotalGMContribution[[#This Row],[Project]],Job_Status[Project],Job_Status[Work Type]),_xlfn.XLOOKUP(TotalGMContribution[[#This Row],[Project]],Table_query[Name],Table_query[Work Type]))</f>
        <v>Labour Hire</v>
      </c>
    </row>
    <row r="10" spans="1:20" x14ac:dyDescent="0.25">
      <c r="A10" t="s">
        <v>265</v>
      </c>
      <c r="B10" t="s">
        <v>107</v>
      </c>
      <c r="C10" t="s">
        <v>21</v>
      </c>
      <c r="D10" s="115">
        <v>2024</v>
      </c>
      <c r="E10" s="115">
        <v>1932</v>
      </c>
      <c r="F10" s="115">
        <v>2024</v>
      </c>
      <c r="G10" s="115">
        <v>2024</v>
      </c>
      <c r="H10" s="115">
        <v>1840</v>
      </c>
      <c r="I10" s="115">
        <v>1380</v>
      </c>
      <c r="J10" s="115">
        <v>1288</v>
      </c>
      <c r="K10" s="115">
        <v>920</v>
      </c>
      <c r="L10" s="115">
        <v>2208</v>
      </c>
      <c r="M10" s="115">
        <v>1748</v>
      </c>
      <c r="N10" s="115">
        <v>1840</v>
      </c>
      <c r="O10" s="115">
        <v>1840</v>
      </c>
      <c r="Q10" s="115" t="str">
        <f>IF(TotalGMContribution[[#This Row],[Status]]&lt;&gt;"C",_xlfn.XLOOKUP(TotalGMContribution[[#This Row],[Project]],Table_query[Name],Table_query[Status]),"Good")</f>
        <v>Good</v>
      </c>
      <c r="R10" s="115" t="str">
        <f>IF(TotalGMContribution[[#This Row],[Status]]="C","6.C - Contracted",_xlfn.XLOOKUP(TotalGMContribution[[#This Row],[Project]],Table_query[Name],Table_query[Phase]))</f>
        <v>6.C - Contracted</v>
      </c>
      <c r="S10" s="115">
        <f>SUM(TotalGMContribution[[#This Row],[July]:[June]])</f>
        <v>21068</v>
      </c>
      <c r="T10" s="115" t="str">
        <f>IFERROR(_xlfn.XLOOKUP(TotalGMContribution[[#This Row],[Project]],Job_Status[Project],Job_Status[Work Type]),_xlfn.XLOOKUP(TotalGMContribution[[#This Row],[Project]],Table_query[Name],Table_query[Work Type]))</f>
        <v>Labour Hire</v>
      </c>
    </row>
    <row r="11" spans="1:20" x14ac:dyDescent="0.25">
      <c r="A11" t="s">
        <v>266</v>
      </c>
      <c r="B11" t="s">
        <v>107</v>
      </c>
      <c r="C11" t="s">
        <v>22</v>
      </c>
      <c r="D11" s="115">
        <v>0</v>
      </c>
      <c r="E11" s="115">
        <v>0</v>
      </c>
      <c r="F11" s="115">
        <v>0</v>
      </c>
      <c r="G11" s="115">
        <v>0</v>
      </c>
      <c r="H11" s="115">
        <v>0</v>
      </c>
      <c r="I11" s="115">
        <v>0</v>
      </c>
      <c r="J11" s="115">
        <v>2483.25</v>
      </c>
      <c r="K11" s="115">
        <v>935.59999999999991</v>
      </c>
      <c r="L11" s="115">
        <v>1871.1999999999998</v>
      </c>
      <c r="M11" s="115">
        <v>0</v>
      </c>
      <c r="N11" s="115">
        <v>0</v>
      </c>
      <c r="O11" s="115">
        <v>0</v>
      </c>
      <c r="Q11" s="115" t="str">
        <f>IF(TotalGMContribution[[#This Row],[Status]]&lt;&gt;"C",_xlfn.XLOOKUP(TotalGMContribution[[#This Row],[Project]],Table_query[Name],Table_query[Status]),"Good")</f>
        <v>Good</v>
      </c>
      <c r="R11" s="115" t="str">
        <f>IF(TotalGMContribution[[#This Row],[Status]]="C","6.C - Contracted",_xlfn.XLOOKUP(TotalGMContribution[[#This Row],[Project]],Table_query[Name],Table_query[Phase]))</f>
        <v>6.C - Contracted</v>
      </c>
      <c r="S11" s="115">
        <f>SUM(TotalGMContribution[[#This Row],[July]:[June]])</f>
        <v>5290.0499999999993</v>
      </c>
      <c r="T11" s="115" t="str">
        <f>IFERROR(_xlfn.XLOOKUP(TotalGMContribution[[#This Row],[Project]],Job_Status[Project],Job_Status[Work Type]),_xlfn.XLOOKUP(TotalGMContribution[[#This Row],[Project]],Table_query[Name],Table_query[Work Type]))</f>
        <v>Delivery</v>
      </c>
    </row>
    <row r="12" spans="1:20" x14ac:dyDescent="0.25">
      <c r="A12" t="s">
        <v>267</v>
      </c>
      <c r="B12" t="s">
        <v>107</v>
      </c>
      <c r="C12" t="s">
        <v>22</v>
      </c>
      <c r="D12" s="115">
        <v>0</v>
      </c>
      <c r="E12" s="115">
        <v>26276.639999999999</v>
      </c>
      <c r="F12" s="115">
        <v>167101.47</v>
      </c>
      <c r="G12" s="115">
        <v>239762.88000000021</v>
      </c>
      <c r="H12" s="115">
        <v>222532.51000000007</v>
      </c>
      <c r="I12" s="115">
        <v>148652.81000000003</v>
      </c>
      <c r="J12" s="115">
        <v>2316</v>
      </c>
      <c r="K12" s="115">
        <v>0</v>
      </c>
      <c r="L12" s="115">
        <v>0</v>
      </c>
      <c r="M12" s="115">
        <v>0</v>
      </c>
      <c r="N12" s="115">
        <v>0</v>
      </c>
      <c r="O12" s="115">
        <v>0</v>
      </c>
      <c r="Q12" s="115" t="str">
        <f>IF(TotalGMContribution[[#This Row],[Status]]&lt;&gt;"C",_xlfn.XLOOKUP(TotalGMContribution[[#This Row],[Project]],Table_query[Name],Table_query[Status]),"Good")</f>
        <v>Good</v>
      </c>
      <c r="R12" s="115" t="str">
        <f>IF(TotalGMContribution[[#This Row],[Status]]="C","6.C - Contracted",_xlfn.XLOOKUP(TotalGMContribution[[#This Row],[Project]],Table_query[Name],Table_query[Phase]))</f>
        <v>6.C - Contracted</v>
      </c>
      <c r="S12" s="115">
        <f>SUM(TotalGMContribution[[#This Row],[July]:[June]])</f>
        <v>806642.31000000029</v>
      </c>
      <c r="T12" s="115" t="str">
        <f>IFERROR(_xlfn.XLOOKUP(TotalGMContribution[[#This Row],[Project]],Job_Status[Project],Job_Status[Work Type]),_xlfn.XLOOKUP(TotalGMContribution[[#This Row],[Project]],Table_query[Name],Table_query[Work Type]))</f>
        <v>Advisory</v>
      </c>
    </row>
    <row r="13" spans="1:20" x14ac:dyDescent="0.25">
      <c r="A13" t="s">
        <v>268</v>
      </c>
      <c r="B13" t="s">
        <v>107</v>
      </c>
      <c r="C13" t="s">
        <v>20</v>
      </c>
      <c r="D13" s="115">
        <v>0</v>
      </c>
      <c r="E13" s="115">
        <v>0</v>
      </c>
      <c r="F13" s="115">
        <v>9108.9600000000064</v>
      </c>
      <c r="G13" s="115">
        <v>38349.167499999967</v>
      </c>
      <c r="H13" s="115">
        <v>54280.845000000118</v>
      </c>
      <c r="I13" s="115">
        <v>41196.330000000075</v>
      </c>
      <c r="J13" s="115">
        <v>36510.395000000077</v>
      </c>
      <c r="K13" s="115">
        <v>49474.844999999987</v>
      </c>
      <c r="L13" s="115">
        <v>28967.200000000026</v>
      </c>
      <c r="M13" s="115">
        <v>3206.0000000000073</v>
      </c>
      <c r="N13" s="115">
        <v>0</v>
      </c>
      <c r="O13" s="115">
        <v>0</v>
      </c>
      <c r="Q13" s="115" t="str">
        <f>IF(TotalGMContribution[[#This Row],[Status]]&lt;&gt;"C",_xlfn.XLOOKUP(TotalGMContribution[[#This Row],[Project]],Table_query[Name],Table_query[Status]),"Good")</f>
        <v>Good</v>
      </c>
      <c r="R13" s="115" t="str">
        <f>IF(TotalGMContribution[[#This Row],[Status]]="C","6.C - Contracted",_xlfn.XLOOKUP(TotalGMContribution[[#This Row],[Project]],Table_query[Name],Table_query[Phase]))</f>
        <v>6.C - Contracted</v>
      </c>
      <c r="S13" s="115">
        <f>SUM(TotalGMContribution[[#This Row],[July]:[June]])</f>
        <v>261093.74250000023</v>
      </c>
      <c r="T13" s="115" t="str">
        <f>IFERROR(_xlfn.XLOOKUP(TotalGMContribution[[#This Row],[Project]],Job_Status[Project],Job_Status[Work Type]),_xlfn.XLOOKUP(TotalGMContribution[[#This Row],[Project]],Table_query[Name],Table_query[Work Type]))</f>
        <v>Delivery</v>
      </c>
    </row>
    <row r="14" spans="1:20" x14ac:dyDescent="0.25">
      <c r="A14" t="s">
        <v>269</v>
      </c>
      <c r="B14" t="s">
        <v>107</v>
      </c>
      <c r="C14" t="s">
        <v>20</v>
      </c>
      <c r="D14" s="115">
        <v>0</v>
      </c>
      <c r="E14" s="115">
        <v>0</v>
      </c>
      <c r="F14" s="115">
        <v>0</v>
      </c>
      <c r="G14" s="115">
        <v>0</v>
      </c>
      <c r="H14" s="115">
        <v>7247.6500000000087</v>
      </c>
      <c r="I14" s="115">
        <v>10067.850000000028</v>
      </c>
      <c r="J14" s="115">
        <v>13283.99000000002</v>
      </c>
      <c r="K14" s="115">
        <v>4294.24</v>
      </c>
      <c r="L14" s="115">
        <v>0</v>
      </c>
      <c r="M14" s="115">
        <v>0</v>
      </c>
      <c r="N14" s="115">
        <v>0</v>
      </c>
      <c r="O14" s="115">
        <v>0</v>
      </c>
      <c r="Q14" s="115" t="str">
        <f>IF(TotalGMContribution[[#This Row],[Status]]&lt;&gt;"C",_xlfn.XLOOKUP(TotalGMContribution[[#This Row],[Project]],Table_query[Name],Table_query[Status]),"Good")</f>
        <v>Good</v>
      </c>
      <c r="R14" s="115" t="str">
        <f>IF(TotalGMContribution[[#This Row],[Status]]="C","6.C - Contracted",_xlfn.XLOOKUP(TotalGMContribution[[#This Row],[Project]],Table_query[Name],Table_query[Phase]))</f>
        <v>6.C - Contracted</v>
      </c>
      <c r="S14" s="115">
        <f>SUM(TotalGMContribution[[#This Row],[July]:[June]])</f>
        <v>34893.730000000054</v>
      </c>
      <c r="T14" s="115" t="str">
        <f>IFERROR(_xlfn.XLOOKUP(TotalGMContribution[[#This Row],[Project]],Job_Status[Project],Job_Status[Work Type]),_xlfn.XLOOKUP(TotalGMContribution[[#This Row],[Project]],Table_query[Name],Table_query[Work Type]))</f>
        <v>Delivery</v>
      </c>
    </row>
    <row r="15" spans="1:20" x14ac:dyDescent="0.25">
      <c r="A15" t="s">
        <v>270</v>
      </c>
      <c r="B15" t="s">
        <v>107</v>
      </c>
      <c r="C15" t="s">
        <v>20</v>
      </c>
      <c r="D15" s="115">
        <v>0</v>
      </c>
      <c r="E15" s="115">
        <v>0</v>
      </c>
      <c r="F15" s="115">
        <v>0</v>
      </c>
      <c r="G15" s="115">
        <v>19866.209999999948</v>
      </c>
      <c r="H15" s="115">
        <v>29066.400000000038</v>
      </c>
      <c r="I15" s="115">
        <v>43881.829999999885</v>
      </c>
      <c r="J15" s="115">
        <v>48900.090000000142</v>
      </c>
      <c r="K15" s="115">
        <v>41331.879999999976</v>
      </c>
      <c r="L15" s="115">
        <v>26741.800000000003</v>
      </c>
      <c r="M15" s="115">
        <v>0</v>
      </c>
      <c r="N15" s="115">
        <v>0</v>
      </c>
      <c r="O15" s="115">
        <v>0</v>
      </c>
      <c r="Q15" s="115" t="str">
        <f>IF(TotalGMContribution[[#This Row],[Status]]&lt;&gt;"C",_xlfn.XLOOKUP(TotalGMContribution[[#This Row],[Project]],Table_query[Name],Table_query[Status]),"Good")</f>
        <v>Good</v>
      </c>
      <c r="R15" s="115" t="str">
        <f>IF(TotalGMContribution[[#This Row],[Status]]="C","6.C - Contracted",_xlfn.XLOOKUP(TotalGMContribution[[#This Row],[Project]],Table_query[Name],Table_query[Phase]))</f>
        <v>6.C - Contracted</v>
      </c>
      <c r="S15" s="115">
        <f>SUM(TotalGMContribution[[#This Row],[July]:[June]])</f>
        <v>209788.21000000002</v>
      </c>
      <c r="T15" s="115" t="str">
        <f>IFERROR(_xlfn.XLOOKUP(TotalGMContribution[[#This Row],[Project]],Job_Status[Project],Job_Status[Work Type]),_xlfn.XLOOKUP(TotalGMContribution[[#This Row],[Project]],Table_query[Name],Table_query[Work Type]))</f>
        <v>Delivery</v>
      </c>
    </row>
    <row r="16" spans="1:20" x14ac:dyDescent="0.25">
      <c r="A16" t="s">
        <v>271</v>
      </c>
      <c r="B16" t="s">
        <v>107</v>
      </c>
      <c r="C16" t="s">
        <v>20</v>
      </c>
      <c r="D16" s="115">
        <v>0</v>
      </c>
      <c r="E16" s="115">
        <v>0</v>
      </c>
      <c r="F16" s="115">
        <v>0</v>
      </c>
      <c r="G16" s="115">
        <v>0</v>
      </c>
      <c r="H16" s="115">
        <v>0</v>
      </c>
      <c r="I16" s="115">
        <v>0</v>
      </c>
      <c r="J16" s="115">
        <v>15002.814999999995</v>
      </c>
      <c r="K16" s="115">
        <v>57036.509962638986</v>
      </c>
      <c r="L16" s="115">
        <v>89249.222968871123</v>
      </c>
      <c r="M16" s="115">
        <v>74063.986673039122</v>
      </c>
      <c r="N16" s="115">
        <v>89076.89528168051</v>
      </c>
      <c r="O16" s="115">
        <v>103085.76117394207</v>
      </c>
      <c r="Q16" s="115" t="str">
        <f>IF(TotalGMContribution[[#This Row],[Status]]&lt;&gt;"C",_xlfn.XLOOKUP(TotalGMContribution[[#This Row],[Project]],Table_query[Name],Table_query[Status]),"Good")</f>
        <v>Good</v>
      </c>
      <c r="R16" s="115" t="str">
        <f>IF(TotalGMContribution[[#This Row],[Status]]="C","6.C - Contracted",_xlfn.XLOOKUP(TotalGMContribution[[#This Row],[Project]],Table_query[Name],Table_query[Phase]))</f>
        <v>6.C - Contracted</v>
      </c>
      <c r="S16" s="115">
        <f>SUM(TotalGMContribution[[#This Row],[July]:[June]])</f>
        <v>427515.19106017181</v>
      </c>
      <c r="T16" s="115" t="str">
        <f>IFERROR(_xlfn.XLOOKUP(TotalGMContribution[[#This Row],[Project]],Job_Status[Project],Job_Status[Work Type]),_xlfn.XLOOKUP(TotalGMContribution[[#This Row],[Project]],Table_query[Name],Table_query[Work Type]))</f>
        <v>Delivery</v>
      </c>
    </row>
    <row r="17" spans="1:20" x14ac:dyDescent="0.25">
      <c r="A17" t="s">
        <v>273</v>
      </c>
      <c r="B17" t="s">
        <v>107</v>
      </c>
      <c r="C17" t="s">
        <v>22</v>
      </c>
      <c r="D17" s="115">
        <v>0</v>
      </c>
      <c r="E17" s="115">
        <v>0</v>
      </c>
      <c r="F17" s="115">
        <v>0</v>
      </c>
      <c r="G17" s="115">
        <v>0</v>
      </c>
      <c r="H17" s="115">
        <v>1607.5</v>
      </c>
      <c r="I17" s="115">
        <v>1541.5</v>
      </c>
      <c r="J17" s="115">
        <v>-7.5</v>
      </c>
      <c r="K17" s="115">
        <v>168</v>
      </c>
      <c r="L17" s="115">
        <v>0</v>
      </c>
      <c r="M17" s="115">
        <v>0</v>
      </c>
      <c r="N17" s="115">
        <v>0</v>
      </c>
      <c r="O17" s="115">
        <v>0</v>
      </c>
      <c r="Q17" s="115" t="str">
        <f>IF(TotalGMContribution[[#This Row],[Status]]&lt;&gt;"C",_xlfn.XLOOKUP(TotalGMContribution[[#This Row],[Project]],Table_query[Name],Table_query[Status]),"Good")</f>
        <v>Good</v>
      </c>
      <c r="R17" s="115" t="str">
        <f>IF(TotalGMContribution[[#This Row],[Status]]="C","6.C - Contracted",_xlfn.XLOOKUP(TotalGMContribution[[#This Row],[Project]],Table_query[Name],Table_query[Phase]))</f>
        <v>6.C - Contracted</v>
      </c>
      <c r="S17" s="115">
        <f>SUM(TotalGMContribution[[#This Row],[July]:[June]])</f>
        <v>3309.5</v>
      </c>
      <c r="T17" s="115" t="str">
        <f>IFERROR(_xlfn.XLOOKUP(TotalGMContribution[[#This Row],[Project]],Job_Status[Project],Job_Status[Work Type]),_xlfn.XLOOKUP(TotalGMContribution[[#This Row],[Project]],Table_query[Name],Table_query[Work Type]))</f>
        <v>Delivery</v>
      </c>
    </row>
    <row r="18" spans="1:20" x14ac:dyDescent="0.25">
      <c r="A18" t="s">
        <v>274</v>
      </c>
      <c r="B18" t="s">
        <v>107</v>
      </c>
      <c r="C18" t="s">
        <v>18</v>
      </c>
      <c r="D18" s="115">
        <v>0</v>
      </c>
      <c r="E18" s="115">
        <v>0</v>
      </c>
      <c r="F18" s="115">
        <v>0</v>
      </c>
      <c r="G18" s="115">
        <v>0</v>
      </c>
      <c r="H18" s="115">
        <v>0</v>
      </c>
      <c r="I18" s="115">
        <v>0</v>
      </c>
      <c r="J18" s="115">
        <v>4560</v>
      </c>
      <c r="K18" s="115">
        <v>3040</v>
      </c>
      <c r="L18" s="115">
        <v>6992</v>
      </c>
      <c r="M18" s="115">
        <v>5472</v>
      </c>
      <c r="N18" s="115">
        <v>6080</v>
      </c>
      <c r="O18" s="115">
        <v>6080</v>
      </c>
      <c r="Q18" s="115" t="str">
        <f>IF(TotalGMContribution[[#This Row],[Status]]&lt;&gt;"C",_xlfn.XLOOKUP(TotalGMContribution[[#This Row],[Project]],Table_query[Name],Table_query[Status]),"Good")</f>
        <v>Good</v>
      </c>
      <c r="R18" s="115" t="str">
        <f>IF(TotalGMContribution[[#This Row],[Status]]="C","6.C - Contracted",_xlfn.XLOOKUP(TotalGMContribution[[#This Row],[Project]],Table_query[Name],Table_query[Phase]))</f>
        <v>6.C - Contracted</v>
      </c>
      <c r="S18" s="115">
        <f>SUM(TotalGMContribution[[#This Row],[July]:[June]])</f>
        <v>32224</v>
      </c>
      <c r="T18" s="115" t="str">
        <f>IFERROR(_xlfn.XLOOKUP(TotalGMContribution[[#This Row],[Project]],Job_Status[Project],Job_Status[Work Type]),_xlfn.XLOOKUP(TotalGMContribution[[#This Row],[Project]],Table_query[Name],Table_query[Work Type]))</f>
        <v>Labour Hire</v>
      </c>
    </row>
    <row r="19" spans="1:20" x14ac:dyDescent="0.25">
      <c r="A19" t="s">
        <v>275</v>
      </c>
      <c r="B19" t="s">
        <v>107</v>
      </c>
      <c r="C19" t="s">
        <v>18</v>
      </c>
      <c r="D19" s="115">
        <v>0</v>
      </c>
      <c r="E19" s="115">
        <v>0</v>
      </c>
      <c r="F19" s="115">
        <v>0</v>
      </c>
      <c r="G19" s="115">
        <v>0</v>
      </c>
      <c r="H19" s="115">
        <v>0</v>
      </c>
      <c r="I19" s="115">
        <v>0</v>
      </c>
      <c r="J19" s="115">
        <v>2496</v>
      </c>
      <c r="K19" s="115">
        <v>3120</v>
      </c>
      <c r="L19" s="115">
        <v>6552</v>
      </c>
      <c r="M19" s="115">
        <v>0</v>
      </c>
      <c r="N19" s="115">
        <v>0</v>
      </c>
      <c r="O19" s="115">
        <v>0</v>
      </c>
      <c r="Q19" s="115" t="str">
        <f>IF(TotalGMContribution[[#This Row],[Status]]&lt;&gt;"C",_xlfn.XLOOKUP(TotalGMContribution[[#This Row],[Project]],Table_query[Name],Table_query[Status]),"Good")</f>
        <v>Good</v>
      </c>
      <c r="R19" s="115" t="str">
        <f>IF(TotalGMContribution[[#This Row],[Status]]="C","6.C - Contracted",_xlfn.XLOOKUP(TotalGMContribution[[#This Row],[Project]],Table_query[Name],Table_query[Phase]))</f>
        <v>6.C - Contracted</v>
      </c>
      <c r="S19" s="115">
        <f>SUM(TotalGMContribution[[#This Row],[July]:[June]])</f>
        <v>12168</v>
      </c>
      <c r="T19" s="115" t="str">
        <f>IFERROR(_xlfn.XLOOKUP(TotalGMContribution[[#This Row],[Project]],Job_Status[Project],Job_Status[Work Type]),_xlfn.XLOOKUP(TotalGMContribution[[#This Row],[Project]],Table_query[Name],Table_query[Work Type]))</f>
        <v>Labour Hire</v>
      </c>
    </row>
    <row r="20" spans="1:20" x14ac:dyDescent="0.25">
      <c r="A20" t="s">
        <v>276</v>
      </c>
      <c r="B20" t="s">
        <v>107</v>
      </c>
      <c r="C20" t="s">
        <v>18</v>
      </c>
      <c r="D20" s="115">
        <v>15320</v>
      </c>
      <c r="E20" s="115">
        <v>7660</v>
      </c>
      <c r="F20" s="115">
        <v>8426</v>
      </c>
      <c r="G20" s="115">
        <v>9575</v>
      </c>
      <c r="H20" s="115">
        <v>3255.5</v>
      </c>
      <c r="I20" s="115">
        <v>0</v>
      </c>
      <c r="J20" s="115">
        <v>0</v>
      </c>
      <c r="K20" s="115">
        <v>2298</v>
      </c>
      <c r="L20" s="115">
        <v>5362</v>
      </c>
      <c r="M20" s="115">
        <v>0</v>
      </c>
      <c r="N20" s="115">
        <v>0</v>
      </c>
      <c r="O20" s="115">
        <v>0</v>
      </c>
      <c r="Q20" s="115" t="str">
        <f>IF(TotalGMContribution[[#This Row],[Status]]&lt;&gt;"C",_xlfn.XLOOKUP(TotalGMContribution[[#This Row],[Project]],Table_query[Name],Table_query[Status]),"Good")</f>
        <v>Good</v>
      </c>
      <c r="R20" s="115" t="str">
        <f>IF(TotalGMContribution[[#This Row],[Status]]="C","6.C - Contracted",_xlfn.XLOOKUP(TotalGMContribution[[#This Row],[Project]],Table_query[Name],Table_query[Phase]))</f>
        <v>6.C - Contracted</v>
      </c>
      <c r="S20" s="115">
        <f>SUM(TotalGMContribution[[#This Row],[July]:[June]])</f>
        <v>51896.5</v>
      </c>
      <c r="T20" s="115" t="str">
        <f>IFERROR(_xlfn.XLOOKUP(TotalGMContribution[[#This Row],[Project]],Job_Status[Project],Job_Status[Work Type]),_xlfn.XLOOKUP(TotalGMContribution[[#This Row],[Project]],Table_query[Name],Table_query[Work Type]))</f>
        <v>Labour Hire</v>
      </c>
    </row>
    <row r="21" spans="1:20" x14ac:dyDescent="0.25">
      <c r="A21" t="s">
        <v>277</v>
      </c>
      <c r="B21" t="s">
        <v>107</v>
      </c>
      <c r="C21" t="s">
        <v>18</v>
      </c>
      <c r="D21" s="115">
        <v>0</v>
      </c>
      <c r="E21" s="115">
        <v>0</v>
      </c>
      <c r="F21" s="115">
        <v>0</v>
      </c>
      <c r="G21" s="115">
        <v>1311.9200000000128</v>
      </c>
      <c r="H21" s="115">
        <v>1083.7600000000093</v>
      </c>
      <c r="I21" s="115">
        <v>855.60000000000582</v>
      </c>
      <c r="J21" s="115">
        <v>1083.7600000000093</v>
      </c>
      <c r="K21" s="115">
        <v>1140</v>
      </c>
      <c r="L21" s="115">
        <v>1367.0400000000009</v>
      </c>
      <c r="M21" s="115">
        <v>1082.239999999998</v>
      </c>
      <c r="N21" s="115">
        <v>1139.2000000000007</v>
      </c>
      <c r="O21" s="115">
        <v>1139.1999999999971</v>
      </c>
      <c r="Q21" s="115" t="str">
        <f>IF(TotalGMContribution[[#This Row],[Status]]&lt;&gt;"C",_xlfn.XLOOKUP(TotalGMContribution[[#This Row],[Project]],Table_query[Name],Table_query[Status]),"Good")</f>
        <v>Good</v>
      </c>
      <c r="R21" s="115" t="str">
        <f>IF(TotalGMContribution[[#This Row],[Status]]="C","6.C - Contracted",_xlfn.XLOOKUP(TotalGMContribution[[#This Row],[Project]],Table_query[Name],Table_query[Phase]))</f>
        <v>6.C - Contracted</v>
      </c>
      <c r="S21" s="115">
        <f>SUM(TotalGMContribution[[#This Row],[July]:[June]])</f>
        <v>10202.720000000034</v>
      </c>
      <c r="T21" s="115" t="str">
        <f>IFERROR(_xlfn.XLOOKUP(TotalGMContribution[[#This Row],[Project]],Job_Status[Project],Job_Status[Work Type]),_xlfn.XLOOKUP(TotalGMContribution[[#This Row],[Project]],Table_query[Name],Table_query[Work Type]))</f>
        <v>Labour Hire</v>
      </c>
    </row>
    <row r="22" spans="1:20" x14ac:dyDescent="0.25">
      <c r="A22" t="s">
        <v>278</v>
      </c>
      <c r="B22" t="s">
        <v>107</v>
      </c>
      <c r="C22" t="s">
        <v>18</v>
      </c>
      <c r="D22" s="115">
        <v>0</v>
      </c>
      <c r="E22" s="115">
        <v>0</v>
      </c>
      <c r="F22" s="115">
        <v>0</v>
      </c>
      <c r="G22" s="115">
        <v>0</v>
      </c>
      <c r="H22" s="115">
        <v>1225.25</v>
      </c>
      <c r="I22" s="115">
        <v>870</v>
      </c>
      <c r="J22" s="115">
        <v>870</v>
      </c>
      <c r="K22" s="115">
        <v>580</v>
      </c>
      <c r="L22" s="115">
        <v>1334</v>
      </c>
      <c r="M22" s="115">
        <v>1044</v>
      </c>
      <c r="N22" s="115">
        <v>1160</v>
      </c>
      <c r="O22" s="115">
        <v>1160</v>
      </c>
      <c r="Q22" s="115" t="str">
        <f>IF(TotalGMContribution[[#This Row],[Status]]&lt;&gt;"C",_xlfn.XLOOKUP(TotalGMContribution[[#This Row],[Project]],Table_query[Name],Table_query[Status]),"Good")</f>
        <v>Good</v>
      </c>
      <c r="R22" s="115" t="str">
        <f>IF(TotalGMContribution[[#This Row],[Status]]="C","6.C - Contracted",_xlfn.XLOOKUP(TotalGMContribution[[#This Row],[Project]],Table_query[Name],Table_query[Phase]))</f>
        <v>6.C - Contracted</v>
      </c>
      <c r="S22" s="115">
        <f>SUM(TotalGMContribution[[#This Row],[July]:[June]])</f>
        <v>8243.25</v>
      </c>
      <c r="T22" s="115" t="str">
        <f>IFERROR(_xlfn.XLOOKUP(TotalGMContribution[[#This Row],[Project]],Job_Status[Project],Job_Status[Work Type]),_xlfn.XLOOKUP(TotalGMContribution[[#This Row],[Project]],Table_query[Name],Table_query[Work Type]))</f>
        <v>Labour Hire</v>
      </c>
    </row>
    <row r="23" spans="1:20" x14ac:dyDescent="0.25">
      <c r="A23" t="s">
        <v>279</v>
      </c>
      <c r="B23" t="s">
        <v>107</v>
      </c>
      <c r="C23" t="s">
        <v>18</v>
      </c>
      <c r="D23" s="115">
        <v>0</v>
      </c>
      <c r="E23" s="115">
        <v>0</v>
      </c>
      <c r="F23" s="115">
        <v>0</v>
      </c>
      <c r="G23" s="115">
        <v>0</v>
      </c>
      <c r="H23" s="115">
        <v>2379</v>
      </c>
      <c r="I23" s="115">
        <v>1599</v>
      </c>
      <c r="J23" s="115">
        <v>1014</v>
      </c>
      <c r="K23" s="115">
        <v>1040</v>
      </c>
      <c r="L23" s="115">
        <v>2392</v>
      </c>
      <c r="M23" s="115">
        <v>1872</v>
      </c>
      <c r="N23" s="115">
        <v>2080</v>
      </c>
      <c r="O23" s="115">
        <v>2080</v>
      </c>
      <c r="Q23" s="115" t="str">
        <f>IF(TotalGMContribution[[#This Row],[Status]]&lt;&gt;"C",_xlfn.XLOOKUP(TotalGMContribution[[#This Row],[Project]],Table_query[Name],Table_query[Status]),"Good")</f>
        <v>Good</v>
      </c>
      <c r="R23" s="115" t="str">
        <f>IF(TotalGMContribution[[#This Row],[Status]]="C","6.C - Contracted",_xlfn.XLOOKUP(TotalGMContribution[[#This Row],[Project]],Table_query[Name],Table_query[Phase]))</f>
        <v>6.C - Contracted</v>
      </c>
      <c r="S23" s="115">
        <f>SUM(TotalGMContribution[[#This Row],[July]:[June]])</f>
        <v>14456</v>
      </c>
      <c r="T23" s="115" t="str">
        <f>IFERROR(_xlfn.XLOOKUP(TotalGMContribution[[#This Row],[Project]],Job_Status[Project],Job_Status[Work Type]),_xlfn.XLOOKUP(TotalGMContribution[[#This Row],[Project]],Table_query[Name],Table_query[Work Type]))</f>
        <v>Labour Hire</v>
      </c>
    </row>
    <row r="24" spans="1:20" x14ac:dyDescent="0.25">
      <c r="A24" t="s">
        <v>280</v>
      </c>
      <c r="B24" t="s">
        <v>107</v>
      </c>
      <c r="C24" t="s">
        <v>18</v>
      </c>
      <c r="D24" s="115">
        <v>0</v>
      </c>
      <c r="E24" s="115">
        <v>0</v>
      </c>
      <c r="F24" s="115">
        <v>0</v>
      </c>
      <c r="G24" s="115">
        <v>0</v>
      </c>
      <c r="H24" s="115">
        <v>0</v>
      </c>
      <c r="I24" s="115">
        <v>2639.5200000000041</v>
      </c>
      <c r="J24" s="115">
        <v>3857.760000000002</v>
      </c>
      <c r="K24" s="115">
        <v>4060.7999999999993</v>
      </c>
      <c r="L24" s="115">
        <v>4060.7999999999884</v>
      </c>
      <c r="M24" s="115">
        <v>0</v>
      </c>
      <c r="N24" s="115">
        <v>0</v>
      </c>
      <c r="O24" s="115">
        <v>0</v>
      </c>
      <c r="Q24" s="115" t="str">
        <f>IF(TotalGMContribution[[#This Row],[Status]]&lt;&gt;"C",_xlfn.XLOOKUP(TotalGMContribution[[#This Row],[Project]],Table_query[Name],Table_query[Status]),"Good")</f>
        <v>Good</v>
      </c>
      <c r="R24" s="115" t="str">
        <f>IF(TotalGMContribution[[#This Row],[Status]]="C","6.C - Contracted",_xlfn.XLOOKUP(TotalGMContribution[[#This Row],[Project]],Table_query[Name],Table_query[Phase]))</f>
        <v>6.C - Contracted</v>
      </c>
      <c r="S24" s="115">
        <f>SUM(TotalGMContribution[[#This Row],[July]:[June]])</f>
        <v>14618.879999999994</v>
      </c>
      <c r="T24" s="115" t="str">
        <f>IFERROR(_xlfn.XLOOKUP(TotalGMContribution[[#This Row],[Project]],Job_Status[Project],Job_Status[Work Type]),_xlfn.XLOOKUP(TotalGMContribution[[#This Row],[Project]],Table_query[Name],Table_query[Work Type]))</f>
        <v>Labour Hire</v>
      </c>
    </row>
    <row r="25" spans="1:20" x14ac:dyDescent="0.25">
      <c r="A25" t="s">
        <v>281</v>
      </c>
      <c r="B25" t="s">
        <v>107</v>
      </c>
      <c r="C25" t="s">
        <v>18</v>
      </c>
      <c r="D25" s="115">
        <v>5980.0000000000073</v>
      </c>
      <c r="E25" s="115">
        <v>5460.0000000000073</v>
      </c>
      <c r="F25" s="115">
        <v>5720.0000000000073</v>
      </c>
      <c r="G25" s="115">
        <v>5460.0000000000073</v>
      </c>
      <c r="H25" s="115">
        <v>5200.0000000000073</v>
      </c>
      <c r="I25" s="115">
        <v>3900.0000000000073</v>
      </c>
      <c r="J25" s="115">
        <v>0</v>
      </c>
      <c r="K25" s="115">
        <v>2600</v>
      </c>
      <c r="L25" s="115">
        <v>6240.0000000000073</v>
      </c>
      <c r="M25" s="115">
        <v>4940.0000000000073</v>
      </c>
      <c r="N25" s="115">
        <v>5200</v>
      </c>
      <c r="O25" s="115">
        <v>5200.0000000000036</v>
      </c>
      <c r="Q25" s="115" t="str">
        <f>IF(TotalGMContribution[[#This Row],[Status]]&lt;&gt;"C",_xlfn.XLOOKUP(TotalGMContribution[[#This Row],[Project]],Table_query[Name],Table_query[Status]),"Good")</f>
        <v>Good</v>
      </c>
      <c r="R25" s="115" t="str">
        <f>IF(TotalGMContribution[[#This Row],[Status]]="C","6.C - Contracted",_xlfn.XLOOKUP(TotalGMContribution[[#This Row],[Project]],Table_query[Name],Table_query[Phase]))</f>
        <v>6.C - Contracted</v>
      </c>
      <c r="S25" s="115">
        <f>SUM(TotalGMContribution[[#This Row],[July]:[June]])</f>
        <v>55900.000000000058</v>
      </c>
      <c r="T25" s="115" t="str">
        <f>IFERROR(_xlfn.XLOOKUP(TotalGMContribution[[#This Row],[Project]],Job_Status[Project],Job_Status[Work Type]),_xlfn.XLOOKUP(TotalGMContribution[[#This Row],[Project]],Table_query[Name],Table_query[Work Type]))</f>
        <v>Labour Hire</v>
      </c>
    </row>
    <row r="26" spans="1:20" x14ac:dyDescent="0.25">
      <c r="A26" t="s">
        <v>282</v>
      </c>
      <c r="B26" t="s">
        <v>107</v>
      </c>
      <c r="C26" t="s">
        <v>18</v>
      </c>
      <c r="D26" s="115">
        <v>5929.68</v>
      </c>
      <c r="E26" s="115">
        <v>4718.239999999998</v>
      </c>
      <c r="F26" s="115">
        <v>5483.3600000000006</v>
      </c>
      <c r="G26" s="115">
        <v>5610.8800000000047</v>
      </c>
      <c r="H26" s="115">
        <v>5100.8000000000029</v>
      </c>
      <c r="I26" s="115">
        <v>255.03999999999996</v>
      </c>
      <c r="J26" s="115">
        <v>4080.6399999999958</v>
      </c>
      <c r="K26" s="115">
        <v>5100.7999999999956</v>
      </c>
      <c r="L26" s="115">
        <v>6120.9599999999919</v>
      </c>
      <c r="M26" s="115">
        <v>4845.7599999999948</v>
      </c>
      <c r="N26" s="115">
        <v>5100.7999999999956</v>
      </c>
      <c r="O26" s="115">
        <v>5100.7999999999993</v>
      </c>
      <c r="Q26" s="115" t="str">
        <f>IF(TotalGMContribution[[#This Row],[Status]]&lt;&gt;"C",_xlfn.XLOOKUP(TotalGMContribution[[#This Row],[Project]],Table_query[Name],Table_query[Status]),"Good")</f>
        <v>Good</v>
      </c>
      <c r="R26" s="115" t="str">
        <f>IF(TotalGMContribution[[#This Row],[Status]]="C","6.C - Contracted",_xlfn.XLOOKUP(TotalGMContribution[[#This Row],[Project]],Table_query[Name],Table_query[Phase]))</f>
        <v>6.C - Contracted</v>
      </c>
      <c r="S26" s="115">
        <f>SUM(TotalGMContribution[[#This Row],[July]:[June]])</f>
        <v>57447.75999999998</v>
      </c>
      <c r="T26" s="115" t="str">
        <f>IFERROR(_xlfn.XLOOKUP(TotalGMContribution[[#This Row],[Project]],Job_Status[Project],Job_Status[Work Type]),_xlfn.XLOOKUP(TotalGMContribution[[#This Row],[Project]],Table_query[Name],Table_query[Work Type]))</f>
        <v>Labour Hire</v>
      </c>
    </row>
    <row r="27" spans="1:20" x14ac:dyDescent="0.25">
      <c r="A27" t="s">
        <v>283</v>
      </c>
      <c r="B27" t="s">
        <v>107</v>
      </c>
      <c r="C27" t="s">
        <v>18</v>
      </c>
      <c r="D27" s="115">
        <v>5978.3900000000212</v>
      </c>
      <c r="E27" s="115">
        <v>5370.9600000000137</v>
      </c>
      <c r="F27" s="115">
        <v>5754.6000000000204</v>
      </c>
      <c r="G27" s="115">
        <v>7161.2800000000207</v>
      </c>
      <c r="H27" s="115">
        <v>6713.7000000000116</v>
      </c>
      <c r="I27" s="115">
        <v>5498.8399999999892</v>
      </c>
      <c r="J27" s="115">
        <v>5115.2000000000116</v>
      </c>
      <c r="K27" s="115">
        <v>5115.1999999999971</v>
      </c>
      <c r="L27" s="115">
        <v>6138.239999999998</v>
      </c>
      <c r="M27" s="115">
        <v>4859.4399999999951</v>
      </c>
      <c r="N27" s="115">
        <v>5115.1999999999971</v>
      </c>
      <c r="O27" s="115">
        <v>5115.2000000000007</v>
      </c>
      <c r="Q27" s="115" t="str">
        <f>IF(TotalGMContribution[[#This Row],[Status]]&lt;&gt;"C",_xlfn.XLOOKUP(TotalGMContribution[[#This Row],[Project]],Table_query[Name],Table_query[Status]),"Good")</f>
        <v>Good</v>
      </c>
      <c r="R27" s="115" t="str">
        <f>IF(TotalGMContribution[[#This Row],[Status]]="C","6.C - Contracted",_xlfn.XLOOKUP(TotalGMContribution[[#This Row],[Project]],Table_query[Name],Table_query[Phase]))</f>
        <v>6.C - Contracted</v>
      </c>
      <c r="S27" s="115">
        <f>SUM(TotalGMContribution[[#This Row],[July]:[June]])</f>
        <v>67936.250000000073</v>
      </c>
      <c r="T27" s="115" t="str">
        <f>IFERROR(_xlfn.XLOOKUP(TotalGMContribution[[#This Row],[Project]],Job_Status[Project],Job_Status[Work Type]),_xlfn.XLOOKUP(TotalGMContribution[[#This Row],[Project]],Table_query[Name],Table_query[Work Type]))</f>
        <v>Labour Hire</v>
      </c>
    </row>
    <row r="28" spans="1:20" x14ac:dyDescent="0.25">
      <c r="A28" t="s">
        <v>284</v>
      </c>
      <c r="B28" t="s">
        <v>107</v>
      </c>
      <c r="C28" t="s">
        <v>18</v>
      </c>
      <c r="D28" s="115">
        <v>5118.7200000000157</v>
      </c>
      <c r="E28" s="115">
        <v>4999.6800000000148</v>
      </c>
      <c r="F28" s="115">
        <v>5237.7600000000166</v>
      </c>
      <c r="G28" s="115">
        <v>5237.7600000000166</v>
      </c>
      <c r="H28" s="115">
        <v>4761.6000000000131</v>
      </c>
      <c r="I28" s="115">
        <v>3273.6000000000022</v>
      </c>
      <c r="J28" s="115">
        <v>4017.6000000000058</v>
      </c>
      <c r="K28" s="115">
        <v>2380.7999999999993</v>
      </c>
      <c r="L28" s="115">
        <v>5713.9199999999983</v>
      </c>
      <c r="M28" s="115">
        <v>4523.5199999999968</v>
      </c>
      <c r="N28" s="115">
        <v>4761.5999999999985</v>
      </c>
      <c r="O28" s="115">
        <v>4761.6000000000022</v>
      </c>
      <c r="Q28" s="115" t="str">
        <f>IF(TotalGMContribution[[#This Row],[Status]]&lt;&gt;"C",_xlfn.XLOOKUP(TotalGMContribution[[#This Row],[Project]],Table_query[Name],Table_query[Status]),"Good")</f>
        <v>Good</v>
      </c>
      <c r="R28" s="115" t="str">
        <f>IF(TotalGMContribution[[#This Row],[Status]]="C","6.C - Contracted",_xlfn.XLOOKUP(TotalGMContribution[[#This Row],[Project]],Table_query[Name],Table_query[Phase]))</f>
        <v>6.C - Contracted</v>
      </c>
      <c r="S28" s="115">
        <f>SUM(TotalGMContribution[[#This Row],[July]:[June]])</f>
        <v>54788.160000000076</v>
      </c>
      <c r="T28" s="115" t="str">
        <f>IFERROR(_xlfn.XLOOKUP(TotalGMContribution[[#This Row],[Project]],Job_Status[Project],Job_Status[Work Type]),_xlfn.XLOOKUP(TotalGMContribution[[#This Row],[Project]],Table_query[Name],Table_query[Work Type]))</f>
        <v>Labour Hire</v>
      </c>
    </row>
    <row r="29" spans="1:20" x14ac:dyDescent="0.25">
      <c r="A29" t="s">
        <v>285</v>
      </c>
      <c r="B29" t="s">
        <v>107</v>
      </c>
      <c r="C29" t="s">
        <v>18</v>
      </c>
      <c r="D29" s="115">
        <v>5867.7600000000311</v>
      </c>
      <c r="E29" s="115">
        <v>5357.5200000000259</v>
      </c>
      <c r="F29" s="115">
        <v>1403.159999999998</v>
      </c>
      <c r="G29" s="115">
        <v>4847.2800000000207</v>
      </c>
      <c r="H29" s="115">
        <v>4847.2800000000207</v>
      </c>
      <c r="I29" s="115">
        <v>3348.450000000008</v>
      </c>
      <c r="J29" s="115">
        <v>4847.2800000000207</v>
      </c>
      <c r="K29" s="115">
        <v>5102.4000000000015</v>
      </c>
      <c r="L29" s="115">
        <v>6122.8800000000047</v>
      </c>
      <c r="M29" s="115">
        <v>4847.2799999999988</v>
      </c>
      <c r="N29" s="115">
        <v>5102.4000000000015</v>
      </c>
      <c r="O29" s="115">
        <v>5102.4000000000051</v>
      </c>
      <c r="Q29" s="115" t="str">
        <f>IF(TotalGMContribution[[#This Row],[Status]]&lt;&gt;"C",_xlfn.XLOOKUP(TotalGMContribution[[#This Row],[Project]],Table_query[Name],Table_query[Status]),"Good")</f>
        <v>Good</v>
      </c>
      <c r="R29" s="115" t="str">
        <f>IF(TotalGMContribution[[#This Row],[Status]]="C","6.C - Contracted",_xlfn.XLOOKUP(TotalGMContribution[[#This Row],[Project]],Table_query[Name],Table_query[Phase]))</f>
        <v>6.C - Contracted</v>
      </c>
      <c r="S29" s="115">
        <f>SUM(TotalGMContribution[[#This Row],[July]:[June]])</f>
        <v>56796.090000000127</v>
      </c>
      <c r="T29" s="115" t="str">
        <f>IFERROR(_xlfn.XLOOKUP(TotalGMContribution[[#This Row],[Project]],Job_Status[Project],Job_Status[Work Type]),_xlfn.XLOOKUP(TotalGMContribution[[#This Row],[Project]],Table_query[Name],Table_query[Work Type]))</f>
        <v>Labour Hire</v>
      </c>
    </row>
    <row r="30" spans="1:20" x14ac:dyDescent="0.25">
      <c r="A30" t="s">
        <v>286</v>
      </c>
      <c r="B30" t="s">
        <v>107</v>
      </c>
      <c r="C30" t="s">
        <v>18</v>
      </c>
      <c r="D30" s="115">
        <v>0</v>
      </c>
      <c r="E30" s="115">
        <v>0</v>
      </c>
      <c r="F30" s="115">
        <v>0</v>
      </c>
      <c r="G30" s="115">
        <v>0</v>
      </c>
      <c r="H30" s="115">
        <v>0</v>
      </c>
      <c r="I30" s="115">
        <v>0</v>
      </c>
      <c r="J30" s="115">
        <v>0</v>
      </c>
      <c r="K30" s="115">
        <v>2246.7999999999993</v>
      </c>
      <c r="L30" s="115">
        <v>3445.4000000000015</v>
      </c>
      <c r="M30" s="115">
        <v>2696.4000000000015</v>
      </c>
      <c r="N30" s="115">
        <v>2996</v>
      </c>
      <c r="O30" s="115">
        <v>2996</v>
      </c>
      <c r="Q30" s="115" t="str">
        <f>IF(TotalGMContribution[[#This Row],[Status]]&lt;&gt;"C",_xlfn.XLOOKUP(TotalGMContribution[[#This Row],[Project]],Table_query[Name],Table_query[Status]),"Good")</f>
        <v>Good</v>
      </c>
      <c r="R30" s="115" t="str">
        <f>IF(TotalGMContribution[[#This Row],[Status]]="C","6.C - Contracted",_xlfn.XLOOKUP(TotalGMContribution[[#This Row],[Project]],Table_query[Name],Table_query[Phase]))</f>
        <v>6.C - Contracted</v>
      </c>
      <c r="S30" s="115">
        <f>SUM(TotalGMContribution[[#This Row],[July]:[June]])</f>
        <v>14380.600000000002</v>
      </c>
      <c r="T30" s="115" t="str">
        <f>IFERROR(_xlfn.XLOOKUP(TotalGMContribution[[#This Row],[Project]],Job_Status[Project],Job_Status[Work Type]),_xlfn.XLOOKUP(TotalGMContribution[[#This Row],[Project]],Table_query[Name],Table_query[Work Type]))</f>
        <v>Labour Hire</v>
      </c>
    </row>
    <row r="31" spans="1:20" x14ac:dyDescent="0.25">
      <c r="A31" t="s">
        <v>67</v>
      </c>
      <c r="B31" t="s">
        <v>76</v>
      </c>
      <c r="C31" t="s">
        <v>250</v>
      </c>
      <c r="D31" s="115">
        <v>0</v>
      </c>
      <c r="E31" s="115">
        <v>0</v>
      </c>
      <c r="F31" s="115">
        <v>0</v>
      </c>
      <c r="G31" s="115">
        <v>0</v>
      </c>
      <c r="H31" s="115">
        <v>0</v>
      </c>
      <c r="I31" s="115">
        <v>0</v>
      </c>
      <c r="J31" s="115">
        <v>0</v>
      </c>
      <c r="K31" s="115">
        <v>0</v>
      </c>
      <c r="L31" s="115">
        <v>0</v>
      </c>
      <c r="M31" s="115">
        <v>0</v>
      </c>
      <c r="N31" s="115">
        <v>0</v>
      </c>
      <c r="O31" s="115">
        <v>887.51999999999975</v>
      </c>
      <c r="Q31" s="115" t="str">
        <f>IF(TotalGMContribution[[#This Row],[Status]]&lt;&gt;"C",_xlfn.XLOOKUP(TotalGMContribution[[#This Row],[Project]],Table_query[Name],Table_query[Status]),"Good")</f>
        <v>Risk</v>
      </c>
      <c r="R31" s="115" t="str">
        <f>IF(TotalGMContribution[[#This Row],[Status]]="C","6.C - Contracted",_xlfn.XLOOKUP(TotalGMContribution[[#This Row],[Project]],Table_query[Name],Table_query[Phase]))</f>
        <v>3.DF - Submitted</v>
      </c>
      <c r="S31" s="115">
        <f>SUM(TotalGMContribution[[#This Row],[July]:[June]])</f>
        <v>887.51999999999975</v>
      </c>
      <c r="T31" s="115" t="str">
        <f>IFERROR(_xlfn.XLOOKUP(TotalGMContribution[[#This Row],[Project]],Job_Status[Project],Job_Status[Work Type]),_xlfn.XLOOKUP(TotalGMContribution[[#This Row],[Project]],Table_query[Name],Table_query[Work Type]))</f>
        <v>Labour Hire</v>
      </c>
    </row>
    <row r="32" spans="1:20" x14ac:dyDescent="0.25">
      <c r="A32" t="s">
        <v>68</v>
      </c>
      <c r="B32" t="s">
        <v>76</v>
      </c>
      <c r="C32" t="s">
        <v>250</v>
      </c>
      <c r="D32" s="115">
        <v>0</v>
      </c>
      <c r="E32" s="115">
        <v>0</v>
      </c>
      <c r="F32" s="115">
        <v>0</v>
      </c>
      <c r="G32" s="115">
        <v>0</v>
      </c>
      <c r="H32" s="115">
        <v>0</v>
      </c>
      <c r="I32" s="115">
        <v>0</v>
      </c>
      <c r="J32" s="115">
        <v>0</v>
      </c>
      <c r="K32" s="115">
        <v>5789</v>
      </c>
      <c r="L32" s="115">
        <v>28945</v>
      </c>
      <c r="M32" s="115">
        <v>23156</v>
      </c>
      <c r="N32" s="115">
        <v>0</v>
      </c>
      <c r="O32" s="115">
        <v>0</v>
      </c>
      <c r="Q32" s="115" t="str">
        <f>IF(TotalGMContribution[[#This Row],[Status]]&lt;&gt;"C",_xlfn.XLOOKUP(TotalGMContribution[[#This Row],[Project]],Table_query[Name],Table_query[Status]),"Good")</f>
        <v>Risk</v>
      </c>
      <c r="R32" s="115" t="str">
        <f>IF(TotalGMContribution[[#This Row],[Status]]="C","6.C - Contracted",_xlfn.XLOOKUP(TotalGMContribution[[#This Row],[Project]],Table_query[Name],Table_query[Phase]))</f>
        <v>3.DF - Submitted</v>
      </c>
      <c r="S32" s="115">
        <f>SUM(TotalGMContribution[[#This Row],[July]:[June]])</f>
        <v>57890</v>
      </c>
      <c r="T32" s="115" t="str">
        <f>IFERROR(_xlfn.XLOOKUP(TotalGMContribution[[#This Row],[Project]],Job_Status[Project],Job_Status[Work Type]),_xlfn.XLOOKUP(TotalGMContribution[[#This Row],[Project]],Table_query[Name],Table_query[Work Type]))</f>
        <v>Delivery</v>
      </c>
    </row>
    <row r="33" spans="1:20" x14ac:dyDescent="0.25">
      <c r="A33" t="s">
        <v>69</v>
      </c>
      <c r="B33" t="s">
        <v>76</v>
      </c>
      <c r="C33" t="s">
        <v>250</v>
      </c>
      <c r="D33" s="115">
        <v>0</v>
      </c>
      <c r="E33" s="115">
        <v>0</v>
      </c>
      <c r="F33" s="115">
        <v>0</v>
      </c>
      <c r="G33" s="115">
        <v>0</v>
      </c>
      <c r="H33" s="115">
        <v>0</v>
      </c>
      <c r="I33" s="115">
        <v>0</v>
      </c>
      <c r="J33" s="115">
        <v>0</v>
      </c>
      <c r="K33" s="115">
        <v>11910.08</v>
      </c>
      <c r="L33" s="115">
        <v>52115.200000000004</v>
      </c>
      <c r="M33" s="115">
        <v>45635.840000000004</v>
      </c>
      <c r="N33" s="115">
        <v>12933.6</v>
      </c>
      <c r="O33" s="115">
        <v>0</v>
      </c>
      <c r="Q33" s="115" t="str">
        <f>IF(TotalGMContribution[[#This Row],[Status]]&lt;&gt;"C",_xlfn.XLOOKUP(TotalGMContribution[[#This Row],[Project]],Table_query[Name],Table_query[Status]),"Good")</f>
        <v>Risk</v>
      </c>
      <c r="R33" s="115" t="str">
        <f>IF(TotalGMContribution[[#This Row],[Status]]="C","6.C - Contracted",_xlfn.XLOOKUP(TotalGMContribution[[#This Row],[Project]],Table_query[Name],Table_query[Phase]))</f>
        <v>3.DF - Submitted</v>
      </c>
      <c r="S33" s="115">
        <f>SUM(TotalGMContribution[[#This Row],[July]:[June]])</f>
        <v>122594.72000000002</v>
      </c>
      <c r="T33" s="115" t="str">
        <f>IFERROR(_xlfn.XLOOKUP(TotalGMContribution[[#This Row],[Project]],Job_Status[Project],Job_Status[Work Type]),_xlfn.XLOOKUP(TotalGMContribution[[#This Row],[Project]],Table_query[Name],Table_query[Work Type]))</f>
        <v>Delivery</v>
      </c>
    </row>
    <row r="34" spans="1:20" x14ac:dyDescent="0.25">
      <c r="A34" t="s">
        <v>70</v>
      </c>
      <c r="B34" t="s">
        <v>76</v>
      </c>
      <c r="C34" t="s">
        <v>17</v>
      </c>
      <c r="D34" s="115">
        <v>0</v>
      </c>
      <c r="E34" s="115">
        <v>0</v>
      </c>
      <c r="F34" s="115">
        <v>0</v>
      </c>
      <c r="G34" s="115">
        <v>0</v>
      </c>
      <c r="H34" s="115">
        <v>0</v>
      </c>
      <c r="I34" s="115">
        <v>0</v>
      </c>
      <c r="J34" s="115">
        <v>0</v>
      </c>
      <c r="K34" s="115">
        <v>3556</v>
      </c>
      <c r="L34" s="115">
        <v>25912</v>
      </c>
      <c r="M34" s="115">
        <v>16893</v>
      </c>
      <c r="N34" s="115">
        <v>15649</v>
      </c>
      <c r="O34" s="115">
        <v>18182</v>
      </c>
      <c r="Q34" s="115" t="e">
        <f>IF(TotalGMContribution[[#This Row],[Status]]&lt;&gt;"C",_xlfn.XLOOKUP(TotalGMContribution[[#This Row],[Project]],Table_query[Name],Table_query[Status]),"Good")</f>
        <v>#N/A</v>
      </c>
      <c r="R34" s="115" t="e">
        <f>IF(TotalGMContribution[[#This Row],[Status]]="C","6.C - Contracted",_xlfn.XLOOKUP(TotalGMContribution[[#This Row],[Project]],Table_query[Name],Table_query[Phase]))</f>
        <v>#N/A</v>
      </c>
      <c r="S34" s="115">
        <f>SUM(TotalGMContribution[[#This Row],[July]:[June]])</f>
        <v>80192</v>
      </c>
      <c r="T34" s="115" t="e">
        <f>IFERROR(_xlfn.XLOOKUP(TotalGMContribution[[#This Row],[Project]],Job_Status[Project],Job_Status[Work Type]),_xlfn.XLOOKUP(TotalGMContribution[[#This Row],[Project]],Table_query[Name],Table_query[Work Type]))</f>
        <v>#N/A</v>
      </c>
    </row>
    <row r="35" spans="1:20" x14ac:dyDescent="0.25">
      <c r="A35" t="s">
        <v>72</v>
      </c>
      <c r="B35" t="s">
        <v>76</v>
      </c>
      <c r="C35" t="s">
        <v>17</v>
      </c>
      <c r="D35" s="115">
        <v>0</v>
      </c>
      <c r="E35" s="115">
        <v>0</v>
      </c>
      <c r="F35" s="115">
        <v>0</v>
      </c>
      <c r="G35" s="115">
        <v>0</v>
      </c>
      <c r="H35" s="115">
        <v>0</v>
      </c>
      <c r="I35" s="115">
        <v>0</v>
      </c>
      <c r="J35" s="115">
        <v>0</v>
      </c>
      <c r="K35" s="115">
        <v>3556</v>
      </c>
      <c r="L35" s="115">
        <v>25912</v>
      </c>
      <c r="M35" s="115">
        <v>16893</v>
      </c>
      <c r="N35" s="115">
        <v>15649</v>
      </c>
      <c r="O35" s="115">
        <v>18182</v>
      </c>
      <c r="Q35" s="115" t="str">
        <f>IF(TotalGMContribution[[#This Row],[Status]]&lt;&gt;"C",_xlfn.XLOOKUP(TotalGMContribution[[#This Row],[Project]],Table_query[Name],Table_query[Status]),"Good")</f>
        <v>Risk</v>
      </c>
      <c r="R35" s="115" t="str">
        <f>IF(TotalGMContribution[[#This Row],[Status]]="C","6.C - Contracted",_xlfn.XLOOKUP(TotalGMContribution[[#This Row],[Project]],Table_query[Name],Table_query[Phase]))</f>
        <v>3.DF - Submitted</v>
      </c>
      <c r="S35" s="115">
        <f>SUM(TotalGMContribution[[#This Row],[July]:[June]])</f>
        <v>80192</v>
      </c>
      <c r="T35" s="115" t="str">
        <f>IFERROR(_xlfn.XLOOKUP(TotalGMContribution[[#This Row],[Project]],Job_Status[Project],Job_Status[Work Type]),_xlfn.XLOOKUP(TotalGMContribution[[#This Row],[Project]],Table_query[Name],Table_query[Work Type]))</f>
        <v>Delivery</v>
      </c>
    </row>
    <row r="36" spans="1:20" x14ac:dyDescent="0.25">
      <c r="A36" t="s">
        <v>79</v>
      </c>
      <c r="B36" t="s">
        <v>76</v>
      </c>
      <c r="C36" t="s">
        <v>250</v>
      </c>
      <c r="D36" s="115">
        <v>0</v>
      </c>
      <c r="E36" s="115">
        <v>0</v>
      </c>
      <c r="F36" s="115">
        <v>0</v>
      </c>
      <c r="G36" s="115">
        <v>0</v>
      </c>
      <c r="H36" s="115">
        <v>0</v>
      </c>
      <c r="I36" s="115">
        <v>0</v>
      </c>
      <c r="J36" s="115">
        <v>0</v>
      </c>
      <c r="K36" s="115">
        <v>2300</v>
      </c>
      <c r="L36" s="115">
        <v>11040</v>
      </c>
      <c r="M36" s="115">
        <v>8740</v>
      </c>
      <c r="N36" s="115">
        <v>9200</v>
      </c>
      <c r="O36" s="115">
        <v>11500</v>
      </c>
      <c r="Q36" s="115" t="str">
        <f>IF(TotalGMContribution[[#This Row],[Status]]&lt;&gt;"C",_xlfn.XLOOKUP(TotalGMContribution[[#This Row],[Project]],Table_query[Name],Table_query[Status]),"Good")</f>
        <v>Risk</v>
      </c>
      <c r="R36" s="115" t="str">
        <f>IF(TotalGMContribution[[#This Row],[Status]]="C","6.C - Contracted",_xlfn.XLOOKUP(TotalGMContribution[[#This Row],[Project]],Table_query[Name],Table_query[Phase]))</f>
        <v>3.DF - Submitted</v>
      </c>
      <c r="S36" s="115">
        <f>SUM(TotalGMContribution[[#This Row],[July]:[June]])</f>
        <v>42780</v>
      </c>
      <c r="T36" s="115" t="str">
        <f>IFERROR(_xlfn.XLOOKUP(TotalGMContribution[[#This Row],[Project]],Job_Status[Project],Job_Status[Work Type]),_xlfn.XLOOKUP(TotalGMContribution[[#This Row],[Project]],Table_query[Name],Table_query[Work Type]))</f>
        <v>Labour Hire</v>
      </c>
    </row>
    <row r="37" spans="1:20" x14ac:dyDescent="0.25">
      <c r="A37" t="s">
        <v>80</v>
      </c>
      <c r="B37" t="s">
        <v>76</v>
      </c>
      <c r="C37" t="s">
        <v>250</v>
      </c>
      <c r="D37" s="115">
        <v>0</v>
      </c>
      <c r="E37" s="115">
        <v>0</v>
      </c>
      <c r="F37" s="115">
        <v>0</v>
      </c>
      <c r="G37" s="115">
        <v>0</v>
      </c>
      <c r="H37" s="115">
        <v>0</v>
      </c>
      <c r="I37" s="115">
        <v>0</v>
      </c>
      <c r="J37" s="115">
        <v>0</v>
      </c>
      <c r="K37" s="115">
        <v>928</v>
      </c>
      <c r="L37" s="115">
        <v>5800</v>
      </c>
      <c r="M37" s="115">
        <v>4176</v>
      </c>
      <c r="N37" s="115">
        <v>4176</v>
      </c>
      <c r="O37" s="115">
        <v>5568</v>
      </c>
      <c r="Q37" s="115" t="str">
        <f>IF(TotalGMContribution[[#This Row],[Status]]&lt;&gt;"C",_xlfn.XLOOKUP(TotalGMContribution[[#This Row],[Project]],Table_query[Name],Table_query[Status]),"Good")</f>
        <v>Risk</v>
      </c>
      <c r="R37" s="115" t="str">
        <f>IF(TotalGMContribution[[#This Row],[Status]]="C","6.C - Contracted",_xlfn.XLOOKUP(TotalGMContribution[[#This Row],[Project]],Table_query[Name],Table_query[Phase]))</f>
        <v>3.DF - Submitted</v>
      </c>
      <c r="S37" s="115">
        <f>SUM(TotalGMContribution[[#This Row],[July]:[June]])</f>
        <v>20648</v>
      </c>
      <c r="T37" s="115" t="str">
        <f>IFERROR(_xlfn.XLOOKUP(TotalGMContribution[[#This Row],[Project]],Job_Status[Project],Job_Status[Work Type]),_xlfn.XLOOKUP(TotalGMContribution[[#This Row],[Project]],Table_query[Name],Table_query[Work Type]))</f>
        <v>Labour Hire</v>
      </c>
    </row>
    <row r="38" spans="1:20" x14ac:dyDescent="0.25">
      <c r="A38" t="s">
        <v>81</v>
      </c>
      <c r="B38" t="s">
        <v>76</v>
      </c>
      <c r="C38" t="s">
        <v>250</v>
      </c>
      <c r="D38" s="115">
        <v>0</v>
      </c>
      <c r="E38" s="115">
        <v>0</v>
      </c>
      <c r="F38" s="115">
        <v>0</v>
      </c>
      <c r="G38" s="115">
        <v>0</v>
      </c>
      <c r="H38" s="115">
        <v>0</v>
      </c>
      <c r="I38" s="115">
        <v>0</v>
      </c>
      <c r="J38" s="115">
        <v>0</v>
      </c>
      <c r="K38" s="115">
        <v>11440</v>
      </c>
      <c r="L38" s="115">
        <v>54912</v>
      </c>
      <c r="M38" s="115">
        <v>38896</v>
      </c>
      <c r="N38" s="115">
        <v>45760</v>
      </c>
      <c r="O38" s="115">
        <v>54912</v>
      </c>
      <c r="Q38" s="115" t="str">
        <f>IF(TotalGMContribution[[#This Row],[Status]]&lt;&gt;"C",_xlfn.XLOOKUP(TotalGMContribution[[#This Row],[Project]],Table_query[Name],Table_query[Status]),"Good")</f>
        <v>Risk</v>
      </c>
      <c r="R38" s="115" t="str">
        <f>IF(TotalGMContribution[[#This Row],[Status]]="C","6.C - Contracted",_xlfn.XLOOKUP(TotalGMContribution[[#This Row],[Project]],Table_query[Name],Table_query[Phase]))</f>
        <v>3.DF - Submitted</v>
      </c>
      <c r="S38" s="115">
        <f>SUM(TotalGMContribution[[#This Row],[July]:[June]])</f>
        <v>205920</v>
      </c>
      <c r="T38" s="115" t="str">
        <f>IFERROR(_xlfn.XLOOKUP(TotalGMContribution[[#This Row],[Project]],Job_Status[Project],Job_Status[Work Type]),_xlfn.XLOOKUP(TotalGMContribution[[#This Row],[Project]],Table_query[Name],Table_query[Work Type]))</f>
        <v>Resource Pool</v>
      </c>
    </row>
    <row r="39" spans="1:20" x14ac:dyDescent="0.25">
      <c r="A39" t="s">
        <v>82</v>
      </c>
      <c r="B39" t="s">
        <v>76</v>
      </c>
      <c r="C39" t="s">
        <v>250</v>
      </c>
      <c r="D39" s="115">
        <v>0</v>
      </c>
      <c r="E39" s="115">
        <v>0</v>
      </c>
      <c r="F39" s="115">
        <v>0</v>
      </c>
      <c r="G39" s="115">
        <v>0</v>
      </c>
      <c r="H39" s="115">
        <v>0</v>
      </c>
      <c r="I39" s="115">
        <v>0</v>
      </c>
      <c r="J39" s="115">
        <v>0</v>
      </c>
      <c r="K39" s="115">
        <v>0</v>
      </c>
      <c r="L39" s="115">
        <v>17125</v>
      </c>
      <c r="M39" s="115">
        <v>15000</v>
      </c>
      <c r="N39" s="115">
        <v>522</v>
      </c>
      <c r="O39" s="115">
        <v>0</v>
      </c>
      <c r="Q39" s="115" t="str">
        <f>IF(TotalGMContribution[[#This Row],[Status]]&lt;&gt;"C",_xlfn.XLOOKUP(TotalGMContribution[[#This Row],[Project]],Table_query[Name],Table_query[Status]),"Good")</f>
        <v>Risk</v>
      </c>
      <c r="R39" s="115" t="str">
        <f>IF(TotalGMContribution[[#This Row],[Status]]="C","6.C - Contracted",_xlfn.XLOOKUP(TotalGMContribution[[#This Row],[Project]],Table_query[Name],Table_query[Phase]))</f>
        <v>3.DF - Submitted</v>
      </c>
      <c r="S39" s="115">
        <f>SUM(TotalGMContribution[[#This Row],[July]:[June]])</f>
        <v>32647</v>
      </c>
      <c r="T39" s="115" t="str">
        <f>IFERROR(_xlfn.XLOOKUP(TotalGMContribution[[#This Row],[Project]],Job_Status[Project],Job_Status[Work Type]),_xlfn.XLOOKUP(TotalGMContribution[[#This Row],[Project]],Table_query[Name],Table_query[Work Type]))</f>
        <v>Delivery</v>
      </c>
    </row>
    <row r="40" spans="1:20" x14ac:dyDescent="0.25">
      <c r="A40" t="s">
        <v>83</v>
      </c>
      <c r="B40" t="s">
        <v>76</v>
      </c>
      <c r="C40" t="s">
        <v>18</v>
      </c>
      <c r="D40" s="115">
        <v>0</v>
      </c>
      <c r="E40" s="115">
        <v>0</v>
      </c>
      <c r="F40" s="115">
        <v>0</v>
      </c>
      <c r="G40" s="115">
        <v>0</v>
      </c>
      <c r="H40" s="115">
        <v>0</v>
      </c>
      <c r="I40" s="115">
        <v>0</v>
      </c>
      <c r="J40" s="115">
        <v>0</v>
      </c>
      <c r="K40" s="115">
        <v>0</v>
      </c>
      <c r="L40" s="115">
        <v>60039.999999999949</v>
      </c>
      <c r="M40" s="115">
        <v>48031.999999999956</v>
      </c>
      <c r="N40" s="115">
        <v>48031.999999999956</v>
      </c>
      <c r="O40" s="115">
        <v>60039.999999999949</v>
      </c>
      <c r="Q40" s="115" t="str">
        <f>IF(TotalGMContribution[[#This Row],[Status]]&lt;&gt;"C",_xlfn.XLOOKUP(TotalGMContribution[[#This Row],[Project]],Table_query[Name],Table_query[Status]),"Good")</f>
        <v>Risk</v>
      </c>
      <c r="R40" s="115" t="str">
        <f>IF(TotalGMContribution[[#This Row],[Status]]="C","6.C - Contracted",_xlfn.XLOOKUP(TotalGMContribution[[#This Row],[Project]],Table_query[Name],Table_query[Phase]))</f>
        <v>3.DF - Submitted</v>
      </c>
      <c r="S40" s="115">
        <f>SUM(TotalGMContribution[[#This Row],[July]:[June]])</f>
        <v>216143.99999999983</v>
      </c>
      <c r="T40" s="115" t="str">
        <f>IFERROR(_xlfn.XLOOKUP(TotalGMContribution[[#This Row],[Project]],Job_Status[Project],Job_Status[Work Type]),_xlfn.XLOOKUP(TotalGMContribution[[#This Row],[Project]],Table_query[Name],Table_query[Work Type]))</f>
        <v>Labour Hire</v>
      </c>
    </row>
    <row r="41" spans="1:20" x14ac:dyDescent="0.25">
      <c r="A41" t="s">
        <v>43</v>
      </c>
      <c r="B41" t="s">
        <v>77</v>
      </c>
      <c r="C41" t="s">
        <v>250</v>
      </c>
      <c r="D41" s="115">
        <v>0</v>
      </c>
      <c r="E41" s="115">
        <v>0</v>
      </c>
      <c r="F41" s="115">
        <v>0</v>
      </c>
      <c r="G41" s="115">
        <v>0</v>
      </c>
      <c r="H41" s="115">
        <v>0</v>
      </c>
      <c r="I41" s="115">
        <v>0</v>
      </c>
      <c r="J41" s="115">
        <v>0</v>
      </c>
      <c r="K41" s="115">
        <v>10080</v>
      </c>
      <c r="L41" s="115">
        <v>91545.360000000015</v>
      </c>
      <c r="M41" s="115">
        <v>96337.440000000017</v>
      </c>
      <c r="N41" s="115">
        <v>27607.519999999997</v>
      </c>
      <c r="O41" s="115">
        <v>92982.16</v>
      </c>
      <c r="Q41" s="115" t="e">
        <f>IF(TotalGMContribution[[#This Row],[Status]]&lt;&gt;"C",_xlfn.XLOOKUP(TotalGMContribution[[#This Row],[Project]],Table_query[Name],Table_query[Status]),"Good")</f>
        <v>#N/A</v>
      </c>
      <c r="R41" s="115" t="e">
        <f>IF(TotalGMContribution[[#This Row],[Status]]="C","6.C - Contracted",_xlfn.XLOOKUP(TotalGMContribution[[#This Row],[Project]],Table_query[Name],Table_query[Phase]))</f>
        <v>#N/A</v>
      </c>
      <c r="S41" s="115">
        <f>SUM(TotalGMContribution[[#This Row],[July]:[June]])</f>
        <v>318552.48000000004</v>
      </c>
      <c r="T41" s="115" t="e">
        <f>IFERROR(_xlfn.XLOOKUP(TotalGMContribution[[#This Row],[Project]],Job_Status[Project],Job_Status[Work Type]),_xlfn.XLOOKUP(TotalGMContribution[[#This Row],[Project]],Table_query[Name],Table_query[Work Type]))</f>
        <v>#N/A</v>
      </c>
    </row>
    <row r="42" spans="1:20" x14ac:dyDescent="0.25">
      <c r="A42" t="s">
        <v>45</v>
      </c>
      <c r="B42" t="s">
        <v>77</v>
      </c>
      <c r="C42" t="s">
        <v>250</v>
      </c>
      <c r="D42" s="115">
        <v>0</v>
      </c>
      <c r="E42" s="115">
        <v>0</v>
      </c>
      <c r="F42" s="115">
        <v>0</v>
      </c>
      <c r="G42" s="115">
        <v>0</v>
      </c>
      <c r="H42" s="115">
        <v>0</v>
      </c>
      <c r="I42" s="115">
        <v>0</v>
      </c>
      <c r="J42" s="115">
        <v>0</v>
      </c>
      <c r="K42" s="115">
        <v>2066.7999999999993</v>
      </c>
      <c r="L42" s="115">
        <v>10333.999999999996</v>
      </c>
      <c r="M42" s="115">
        <v>0</v>
      </c>
      <c r="N42" s="115">
        <v>0</v>
      </c>
      <c r="O42" s="115">
        <v>0</v>
      </c>
      <c r="Q42" s="115" t="str">
        <f>IF(TotalGMContribution[[#This Row],[Status]]&lt;&gt;"C",_xlfn.XLOOKUP(TotalGMContribution[[#This Row],[Project]],Table_query[Name],Table_query[Status]),"Good")</f>
        <v>Risk</v>
      </c>
      <c r="R42" s="115" t="str">
        <f>IF(TotalGMContribution[[#This Row],[Status]]="C","6.C - Contracted",_xlfn.XLOOKUP(TotalGMContribution[[#This Row],[Project]],Table_query[Name],Table_query[Phase]))</f>
        <v>4.DVF - Shortlisted</v>
      </c>
      <c r="S42" s="115">
        <f>SUM(TotalGMContribution[[#This Row],[July]:[June]])</f>
        <v>12400.799999999996</v>
      </c>
      <c r="T42" s="115" t="str">
        <f>IFERROR(_xlfn.XLOOKUP(TotalGMContribution[[#This Row],[Project]],Job_Status[Project],Job_Status[Work Type]),_xlfn.XLOOKUP(TotalGMContribution[[#This Row],[Project]],Table_query[Name],Table_query[Work Type]))</f>
        <v>Delivery</v>
      </c>
    </row>
    <row r="43" spans="1:20" x14ac:dyDescent="0.25">
      <c r="A43" t="s">
        <v>52</v>
      </c>
      <c r="B43" t="s">
        <v>77</v>
      </c>
      <c r="C43" t="s">
        <v>21</v>
      </c>
      <c r="D43" s="115">
        <v>0</v>
      </c>
      <c r="E43" s="115">
        <v>0</v>
      </c>
      <c r="F43" s="115">
        <v>0</v>
      </c>
      <c r="G43" s="115">
        <v>0</v>
      </c>
      <c r="H43" s="115">
        <v>0</v>
      </c>
      <c r="I43" s="115">
        <v>0</v>
      </c>
      <c r="J43" s="115">
        <v>0</v>
      </c>
      <c r="K43" s="115">
        <v>0</v>
      </c>
      <c r="L43" s="115">
        <v>0</v>
      </c>
      <c r="M43" s="115">
        <v>59232</v>
      </c>
      <c r="N43" s="115">
        <v>207258.79999999996</v>
      </c>
      <c r="O43" s="115">
        <v>207629.51999999996</v>
      </c>
      <c r="Q43" s="115" t="str">
        <f>IF(TotalGMContribution[[#This Row],[Status]]&lt;&gt;"C",_xlfn.XLOOKUP(TotalGMContribution[[#This Row],[Project]],Table_query[Name],Table_query[Status]),"Good")</f>
        <v>Risk</v>
      </c>
      <c r="R43" s="115" t="str">
        <f>IF(TotalGMContribution[[#This Row],[Status]]="C","6.C - Contracted",_xlfn.XLOOKUP(TotalGMContribution[[#This Row],[Project]],Table_query[Name],Table_query[Phase]))</f>
        <v>4.DVF - Shortlisted</v>
      </c>
      <c r="S43" s="115">
        <f>SUM(TotalGMContribution[[#This Row],[July]:[June]])</f>
        <v>474120.31999999989</v>
      </c>
      <c r="T43" s="115" t="str">
        <f>IFERROR(_xlfn.XLOOKUP(TotalGMContribution[[#This Row],[Project]],Job_Status[Project],Job_Status[Work Type]),_xlfn.XLOOKUP(TotalGMContribution[[#This Row],[Project]],Table_query[Name],Table_query[Work Type]))</f>
        <v>Delivery</v>
      </c>
    </row>
    <row r="44" spans="1:20" x14ac:dyDescent="0.25">
      <c r="A44" t="s">
        <v>54</v>
      </c>
      <c r="B44" t="s">
        <v>77</v>
      </c>
      <c r="C44" t="s">
        <v>21</v>
      </c>
      <c r="D44" s="115">
        <v>0</v>
      </c>
      <c r="E44" s="115">
        <v>0</v>
      </c>
      <c r="F44" s="115">
        <v>0</v>
      </c>
      <c r="G44" s="115">
        <v>0</v>
      </c>
      <c r="H44" s="115">
        <v>0</v>
      </c>
      <c r="I44" s="115">
        <v>0</v>
      </c>
      <c r="J44" s="115">
        <v>0</v>
      </c>
      <c r="K44" s="115">
        <v>0</v>
      </c>
      <c r="L44" s="115">
        <v>0</v>
      </c>
      <c r="M44" s="115">
        <v>0</v>
      </c>
      <c r="N44" s="115">
        <v>19080</v>
      </c>
      <c r="O44" s="115">
        <v>75842.080000000002</v>
      </c>
      <c r="Q44" s="115" t="str">
        <f>IF(TotalGMContribution[[#This Row],[Status]]&lt;&gt;"C",_xlfn.XLOOKUP(TotalGMContribution[[#This Row],[Project]],Table_query[Name],Table_query[Status]),"Good")</f>
        <v>Fair</v>
      </c>
      <c r="R44" s="115" t="str">
        <f>IF(TotalGMContribution[[#This Row],[Status]]="C","6.C - Contracted",_xlfn.XLOOKUP(TotalGMContribution[[#This Row],[Project]],Table_query[Name],Table_query[Phase]))</f>
        <v>4.DVF - Shortlisted</v>
      </c>
      <c r="S44" s="115">
        <f>SUM(TotalGMContribution[[#This Row],[July]:[June]])</f>
        <v>94922.08</v>
      </c>
      <c r="T44" s="115" t="str">
        <f>IFERROR(_xlfn.XLOOKUP(TotalGMContribution[[#This Row],[Project]],Job_Status[Project],Job_Status[Work Type]),_xlfn.XLOOKUP(TotalGMContribution[[#This Row],[Project]],Table_query[Name],Table_query[Work Type]))</f>
        <v>Delivery</v>
      </c>
    </row>
    <row r="45" spans="1:20" x14ac:dyDescent="0.25">
      <c r="A45" t="s">
        <v>57</v>
      </c>
      <c r="B45" t="s">
        <v>77</v>
      </c>
      <c r="C45" t="s">
        <v>250</v>
      </c>
      <c r="D45" s="115">
        <v>0</v>
      </c>
      <c r="E45" s="115">
        <v>0</v>
      </c>
      <c r="F45" s="115">
        <v>0</v>
      </c>
      <c r="G45" s="115">
        <v>0</v>
      </c>
      <c r="H45" s="115">
        <v>0</v>
      </c>
      <c r="I45" s="115">
        <v>0</v>
      </c>
      <c r="J45" s="115">
        <v>0</v>
      </c>
      <c r="K45" s="115">
        <v>4558</v>
      </c>
      <c r="L45" s="115">
        <v>21930</v>
      </c>
      <c r="M45" s="115">
        <v>18232</v>
      </c>
      <c r="N45" s="115">
        <v>13674</v>
      </c>
      <c r="O45" s="115">
        <v>11094</v>
      </c>
      <c r="Q45" s="115" t="str">
        <f>IF(TotalGMContribution[[#This Row],[Status]]&lt;&gt;"C",_xlfn.XLOOKUP(TotalGMContribution[[#This Row],[Project]],Table_query[Name],Table_query[Status]),"Good")</f>
        <v>Good</v>
      </c>
      <c r="R45" s="115" t="str">
        <f>IF(TotalGMContribution[[#This Row],[Status]]="C","6.C - Contracted",_xlfn.XLOOKUP(TotalGMContribution[[#This Row],[Project]],Table_query[Name],Table_query[Phase]))</f>
        <v>4.DVF - Shortlisted</v>
      </c>
      <c r="S45" s="115">
        <f>SUM(TotalGMContribution[[#This Row],[July]:[June]])</f>
        <v>69488</v>
      </c>
      <c r="T45" s="115" t="str">
        <f>IFERROR(_xlfn.XLOOKUP(TotalGMContribution[[#This Row],[Project]],Job_Status[Project],Job_Status[Work Type]),_xlfn.XLOOKUP(TotalGMContribution[[#This Row],[Project]],Table_query[Name],Table_query[Work Type]))</f>
        <v>Delivery</v>
      </c>
    </row>
    <row r="46" spans="1:20" x14ac:dyDescent="0.25">
      <c r="A46" t="s">
        <v>59</v>
      </c>
      <c r="B46" t="s">
        <v>77</v>
      </c>
      <c r="C46" t="s">
        <v>18</v>
      </c>
      <c r="D46" s="115">
        <v>0</v>
      </c>
      <c r="E46" s="115">
        <v>0</v>
      </c>
      <c r="F46" s="115">
        <v>0</v>
      </c>
      <c r="G46" s="115">
        <v>0</v>
      </c>
      <c r="H46" s="115">
        <v>0</v>
      </c>
      <c r="I46" s="115">
        <v>0</v>
      </c>
      <c r="J46" s="115">
        <v>0</v>
      </c>
      <c r="K46" s="115">
        <v>0</v>
      </c>
      <c r="L46" s="115">
        <v>624</v>
      </c>
      <c r="M46" s="115">
        <v>5616</v>
      </c>
      <c r="N46" s="115">
        <v>6240</v>
      </c>
      <c r="O46" s="115">
        <v>6240</v>
      </c>
      <c r="Q46" s="115" t="str">
        <f>IF(TotalGMContribution[[#This Row],[Status]]&lt;&gt;"C",_xlfn.XLOOKUP(TotalGMContribution[[#This Row],[Project]],Table_query[Name],Table_query[Status]),"Good")</f>
        <v>Good</v>
      </c>
      <c r="R46" s="115" t="str">
        <f>IF(TotalGMContribution[[#This Row],[Status]]="C","6.C - Contracted",_xlfn.XLOOKUP(TotalGMContribution[[#This Row],[Project]],Table_query[Name],Table_query[Phase]))</f>
        <v>4.DVF - Shortlisted</v>
      </c>
      <c r="S46" s="115">
        <f>SUM(TotalGMContribution[[#This Row],[July]:[June]])</f>
        <v>18720</v>
      </c>
      <c r="T46" s="115" t="str">
        <f>IFERROR(_xlfn.XLOOKUP(TotalGMContribution[[#This Row],[Project]],Job_Status[Project],Job_Status[Work Type]),_xlfn.XLOOKUP(TotalGMContribution[[#This Row],[Project]],Table_query[Name],Table_query[Work Type]))</f>
        <v>Labour Hire</v>
      </c>
    </row>
    <row r="47" spans="1:20" x14ac:dyDescent="0.25">
      <c r="A47" t="s">
        <v>61</v>
      </c>
      <c r="B47" t="s">
        <v>77</v>
      </c>
      <c r="C47" t="s">
        <v>18</v>
      </c>
      <c r="D47" s="115">
        <v>0</v>
      </c>
      <c r="E47" s="115">
        <v>0</v>
      </c>
      <c r="F47" s="115">
        <v>0</v>
      </c>
      <c r="G47" s="115">
        <v>0</v>
      </c>
      <c r="H47" s="115">
        <v>0</v>
      </c>
      <c r="I47" s="115">
        <v>0</v>
      </c>
      <c r="J47" s="115">
        <v>0</v>
      </c>
      <c r="K47" s="115">
        <v>0</v>
      </c>
      <c r="L47" s="115">
        <v>609.11999999999989</v>
      </c>
      <c r="M47" s="115">
        <v>3654.7199999999993</v>
      </c>
      <c r="N47" s="115">
        <v>4060.7999999999993</v>
      </c>
      <c r="O47" s="115">
        <v>4060.7999999999993</v>
      </c>
      <c r="Q47" s="115" t="str">
        <f>IF(TotalGMContribution[[#This Row],[Status]]&lt;&gt;"C",_xlfn.XLOOKUP(TotalGMContribution[[#This Row],[Project]],Table_query[Name],Table_query[Status]),"Good")</f>
        <v>Good</v>
      </c>
      <c r="R47" s="115" t="str">
        <f>IF(TotalGMContribution[[#This Row],[Status]]="C","6.C - Contracted",_xlfn.XLOOKUP(TotalGMContribution[[#This Row],[Project]],Table_query[Name],Table_query[Phase]))</f>
        <v>4.DVF - Shortlisted</v>
      </c>
      <c r="S47" s="115">
        <f>SUM(TotalGMContribution[[#This Row],[July]:[June]])</f>
        <v>12385.439999999999</v>
      </c>
      <c r="T47" s="115" t="str">
        <f>IFERROR(_xlfn.XLOOKUP(TotalGMContribution[[#This Row],[Project]],Job_Status[Project],Job_Status[Work Type]),_xlfn.XLOOKUP(TotalGMContribution[[#This Row],[Project]],Table_query[Name],Table_query[Work Type]))</f>
        <v>Labour Hire</v>
      </c>
    </row>
    <row r="48" spans="1:20" x14ac:dyDescent="0.25">
      <c r="A48" t="s">
        <v>63</v>
      </c>
      <c r="B48" t="s">
        <v>77</v>
      </c>
      <c r="C48" t="s">
        <v>250</v>
      </c>
      <c r="D48" s="115">
        <v>0</v>
      </c>
      <c r="E48" s="115">
        <v>0</v>
      </c>
      <c r="F48" s="115">
        <v>0</v>
      </c>
      <c r="G48" s="115">
        <v>0</v>
      </c>
      <c r="H48" s="115">
        <v>0</v>
      </c>
      <c r="I48" s="115">
        <v>0</v>
      </c>
      <c r="J48" s="115">
        <v>0</v>
      </c>
      <c r="K48" s="115">
        <v>0</v>
      </c>
      <c r="L48" s="115">
        <v>0</v>
      </c>
      <c r="M48" s="115">
        <v>0</v>
      </c>
      <c r="N48" s="115">
        <v>0</v>
      </c>
      <c r="O48" s="115">
        <v>521888</v>
      </c>
      <c r="Q48" s="115" t="str">
        <f>IF(TotalGMContribution[[#This Row],[Status]]&lt;&gt;"C",_xlfn.XLOOKUP(TotalGMContribution[[#This Row],[Project]],Table_query[Name],Table_query[Status]),"Good")</f>
        <v>Good</v>
      </c>
      <c r="R48" s="115" t="str">
        <f>IF(TotalGMContribution[[#This Row],[Status]]="C","6.C - Contracted",_xlfn.XLOOKUP(TotalGMContribution[[#This Row],[Project]],Table_query[Name],Table_query[Phase]))</f>
        <v>4.DVF - Shortlisted</v>
      </c>
      <c r="S48" s="115">
        <f>SUM(TotalGMContribution[[#This Row],[July]:[June]])</f>
        <v>521888</v>
      </c>
      <c r="T48" s="115" t="str">
        <f>IFERROR(_xlfn.XLOOKUP(TotalGMContribution[[#This Row],[Project]],Job_Status[Project],Job_Status[Work Type]),_xlfn.XLOOKUP(TotalGMContribution[[#This Row],[Project]],Table_query[Name],Table_query[Work Type]))</f>
        <v>Delivery</v>
      </c>
    </row>
    <row r="49" spans="1:20" x14ac:dyDescent="0.25">
      <c r="A49" t="s">
        <v>64</v>
      </c>
      <c r="B49" t="s">
        <v>77</v>
      </c>
      <c r="C49" t="s">
        <v>250</v>
      </c>
      <c r="D49" s="115">
        <v>0</v>
      </c>
      <c r="E49" s="115">
        <v>0</v>
      </c>
      <c r="F49" s="115">
        <v>0</v>
      </c>
      <c r="G49" s="115">
        <v>0</v>
      </c>
      <c r="H49" s="115">
        <v>0</v>
      </c>
      <c r="I49" s="115">
        <v>0</v>
      </c>
      <c r="J49" s="115">
        <v>0</v>
      </c>
      <c r="K49" s="115">
        <v>0</v>
      </c>
      <c r="L49" s="115">
        <v>0</v>
      </c>
      <c r="M49" s="115">
        <v>255316</v>
      </c>
      <c r="N49" s="115">
        <v>265456</v>
      </c>
      <c r="O49" s="115">
        <v>283960</v>
      </c>
      <c r="Q49" s="115" t="str">
        <f>IF(TotalGMContribution[[#This Row],[Status]]&lt;&gt;"C",_xlfn.XLOOKUP(TotalGMContribution[[#This Row],[Project]],Table_query[Name],Table_query[Status]),"Good")</f>
        <v>Good</v>
      </c>
      <c r="R49" s="115" t="str">
        <f>IF(TotalGMContribution[[#This Row],[Status]]="C","6.C - Contracted",_xlfn.XLOOKUP(TotalGMContribution[[#This Row],[Project]],Table_query[Name],Table_query[Phase]))</f>
        <v>4.DVF - Shortlisted</v>
      </c>
      <c r="S49" s="115">
        <f>SUM(TotalGMContribution[[#This Row],[July]:[June]])</f>
        <v>804732</v>
      </c>
      <c r="T49" s="115" t="str">
        <f>IFERROR(_xlfn.XLOOKUP(TotalGMContribution[[#This Row],[Project]],Job_Status[Project],Job_Status[Work Type]),_xlfn.XLOOKUP(TotalGMContribution[[#This Row],[Project]],Table_query[Name],Table_query[Work Type]))</f>
        <v>Delivery</v>
      </c>
    </row>
    <row r="50" spans="1:20" x14ac:dyDescent="0.25">
      <c r="A50" t="s">
        <v>65</v>
      </c>
      <c r="B50" t="s">
        <v>77</v>
      </c>
      <c r="C50" t="s">
        <v>250</v>
      </c>
      <c r="D50" s="115">
        <v>0</v>
      </c>
      <c r="E50" s="115">
        <v>0</v>
      </c>
      <c r="F50" s="115">
        <v>0</v>
      </c>
      <c r="G50" s="115">
        <v>0</v>
      </c>
      <c r="H50" s="115">
        <v>0</v>
      </c>
      <c r="I50" s="115">
        <v>0</v>
      </c>
      <c r="J50" s="115">
        <v>0</v>
      </c>
      <c r="K50" s="115">
        <v>4442.3999999999996</v>
      </c>
      <c r="L50" s="115">
        <v>22212.000000000004</v>
      </c>
      <c r="M50" s="115">
        <v>708018.00000000012</v>
      </c>
      <c r="N50" s="115">
        <v>22183.199999999997</v>
      </c>
      <c r="O50" s="115">
        <v>22910.799999999999</v>
      </c>
      <c r="Q50" s="115" t="str">
        <f>IF(TotalGMContribution[[#This Row],[Status]]&lt;&gt;"C",_xlfn.XLOOKUP(TotalGMContribution[[#This Row],[Project]],Table_query[Name],Table_query[Status]),"Good")</f>
        <v>Good</v>
      </c>
      <c r="R50" s="115" t="str">
        <f>IF(TotalGMContribution[[#This Row],[Status]]="C","6.C - Contracted",_xlfn.XLOOKUP(TotalGMContribution[[#This Row],[Project]],Table_query[Name],Table_query[Phase]))</f>
        <v>4.DVF - Shortlisted</v>
      </c>
      <c r="S50" s="115">
        <f>SUM(TotalGMContribution[[#This Row],[July]:[June]])</f>
        <v>779766.40000000014</v>
      </c>
      <c r="T50" s="115" t="str">
        <f>IFERROR(_xlfn.XLOOKUP(TotalGMContribution[[#This Row],[Project]],Job_Status[Project],Job_Status[Work Type]),_xlfn.XLOOKUP(TotalGMContribution[[#This Row],[Project]],Table_query[Name],Table_query[Work Type]))</f>
        <v>Delivery</v>
      </c>
    </row>
    <row r="51" spans="1:20" x14ac:dyDescent="0.25">
      <c r="A51" t="s">
        <v>142</v>
      </c>
      <c r="B51" t="s">
        <v>55</v>
      </c>
      <c r="C51" t="s">
        <v>22</v>
      </c>
      <c r="D51" s="115">
        <v>0</v>
      </c>
      <c r="E51" s="115">
        <v>0</v>
      </c>
      <c r="F51" s="115">
        <v>0</v>
      </c>
      <c r="G51" s="115">
        <v>0</v>
      </c>
      <c r="H51" s="115">
        <v>0</v>
      </c>
      <c r="I51" s="115">
        <v>0</v>
      </c>
      <c r="J51" s="115">
        <v>0</v>
      </c>
      <c r="K51" s="115">
        <v>0</v>
      </c>
      <c r="L51" s="115">
        <v>0</v>
      </c>
      <c r="M51" s="115">
        <v>21816</v>
      </c>
      <c r="N51" s="115">
        <v>0</v>
      </c>
      <c r="O51" s="115">
        <v>0</v>
      </c>
      <c r="Q51" s="115" t="str">
        <f>IF(TotalGMContribution[[#This Row],[Status]]&lt;&gt;"C",_xlfn.XLOOKUP(TotalGMContribution[[#This Row],[Project]],Table_query[Name],Table_query[Status]),"Good")</f>
        <v>Fair</v>
      </c>
      <c r="R51" s="115" t="str">
        <f>IF(TotalGMContribution[[#This Row],[Status]]="C","6.C - Contracted",_xlfn.XLOOKUP(TotalGMContribution[[#This Row],[Project]],Table_query[Name],Table_query[Phase]))</f>
        <v>2.Q - Qualified</v>
      </c>
      <c r="S51" s="115">
        <f>SUM(TotalGMContribution[[#This Row],[July]:[June]])</f>
        <v>21816</v>
      </c>
      <c r="T51" s="115" t="str">
        <f>IFERROR(_xlfn.XLOOKUP(TotalGMContribution[[#This Row],[Project]],Job_Status[Project],Job_Status[Work Type]),_xlfn.XLOOKUP(TotalGMContribution[[#This Row],[Project]],Table_query[Name],Table_query[Work Type]))</f>
        <v>Delivery</v>
      </c>
    </row>
    <row r="52" spans="1:20" x14ac:dyDescent="0.25">
      <c r="A52" t="s">
        <v>136</v>
      </c>
      <c r="B52" t="s">
        <v>55</v>
      </c>
      <c r="C52" t="s">
        <v>208</v>
      </c>
      <c r="D52" s="115">
        <v>0</v>
      </c>
      <c r="E52" s="115">
        <v>0</v>
      </c>
      <c r="F52" s="115">
        <v>0</v>
      </c>
      <c r="G52" s="115">
        <v>0</v>
      </c>
      <c r="H52" s="115">
        <v>0</v>
      </c>
      <c r="I52" s="115">
        <v>0</v>
      </c>
      <c r="J52" s="115">
        <v>0</v>
      </c>
      <c r="K52" s="115">
        <v>0</v>
      </c>
      <c r="L52" s="115">
        <v>40000</v>
      </c>
      <c r="M52" s="115">
        <v>40000</v>
      </c>
      <c r="N52" s="115">
        <v>40000</v>
      </c>
      <c r="O52" s="115">
        <v>40000</v>
      </c>
      <c r="Q52" s="115" t="str">
        <f>IF(TotalGMContribution[[#This Row],[Status]]&lt;&gt;"C",_xlfn.XLOOKUP(TotalGMContribution[[#This Row],[Project]],Table_query[Name],Table_query[Status]),"Good")</f>
        <v>Fair</v>
      </c>
      <c r="R52" s="115" t="str">
        <f>IF(TotalGMContribution[[#This Row],[Status]]="C","6.C - Contracted",_xlfn.XLOOKUP(TotalGMContribution[[#This Row],[Project]],Table_query[Name],Table_query[Phase]))</f>
        <v>2.Q - Qualified</v>
      </c>
      <c r="S52" s="115">
        <f>SUM(TotalGMContribution[[#This Row],[July]:[June]])</f>
        <v>160000</v>
      </c>
      <c r="T52" s="115" t="str">
        <f>IFERROR(_xlfn.XLOOKUP(TotalGMContribution[[#This Row],[Project]],Job_Status[Project],Job_Status[Work Type]),_xlfn.XLOOKUP(TotalGMContribution[[#This Row],[Project]],Table_query[Name],Table_query[Work Type]))</f>
        <v>Delivery</v>
      </c>
    </row>
    <row r="53" spans="1:20" x14ac:dyDescent="0.25">
      <c r="A53" t="s">
        <v>616</v>
      </c>
      <c r="B53" t="s">
        <v>5</v>
      </c>
      <c r="C53" t="s">
        <v>17</v>
      </c>
      <c r="D53" s="115">
        <v>0</v>
      </c>
      <c r="E53" s="115">
        <v>0</v>
      </c>
      <c r="F53" s="115">
        <v>0</v>
      </c>
      <c r="G53" s="115">
        <v>0</v>
      </c>
      <c r="H53" s="115">
        <v>0</v>
      </c>
      <c r="I53" s="115">
        <v>0</v>
      </c>
      <c r="J53" s="115">
        <v>0</v>
      </c>
      <c r="K53" s="115">
        <v>0</v>
      </c>
      <c r="L53" s="115">
        <v>0</v>
      </c>
      <c r="M53" s="115">
        <v>0</v>
      </c>
      <c r="N53" s="115">
        <v>12500</v>
      </c>
      <c r="O53" s="115">
        <v>0</v>
      </c>
      <c r="Q53" s="115" t="str">
        <f>IF(TotalGMContribution[[#This Row],[Status]]&lt;&gt;"C",_xlfn.XLOOKUP(TotalGMContribution[[#This Row],[Project]],Table_query[Name],Table_query[Status]),"Good")</f>
        <v>Good</v>
      </c>
      <c r="R53" s="115" t="str">
        <f>IF(TotalGMContribution[[#This Row],[Status]]="C","6.C - Contracted",_xlfn.XLOOKUP(TotalGMContribution[[#This Row],[Project]],Table_query[Name],Table_query[Phase]))</f>
        <v>2.Q - Qualified</v>
      </c>
      <c r="S53" s="115">
        <f>SUM(TotalGMContribution[[#This Row],[July]:[June]])</f>
        <v>12500</v>
      </c>
      <c r="T53" s="115" t="str">
        <f>IFERROR(_xlfn.XLOOKUP(TotalGMContribution[[#This Row],[Project]],Job_Status[Project],Job_Status[Work Type]),_xlfn.XLOOKUP(TotalGMContribution[[#This Row],[Project]],Table_query[Name],Table_query[Work Type]))</f>
        <v>Delivery</v>
      </c>
    </row>
    <row r="54" spans="1:20" x14ac:dyDescent="0.25">
      <c r="A54" t="s">
        <v>137</v>
      </c>
      <c r="B54" t="s">
        <v>5</v>
      </c>
      <c r="C54" t="s">
        <v>17</v>
      </c>
      <c r="D54" s="115">
        <v>0</v>
      </c>
      <c r="E54" s="115">
        <v>0</v>
      </c>
      <c r="F54" s="115">
        <v>0</v>
      </c>
      <c r="G54" s="115">
        <v>0</v>
      </c>
      <c r="H54" s="115">
        <v>0</v>
      </c>
      <c r="I54" s="115">
        <v>0</v>
      </c>
      <c r="J54" s="115">
        <v>0</v>
      </c>
      <c r="K54" s="115">
        <v>0</v>
      </c>
      <c r="L54" s="115">
        <v>0</v>
      </c>
      <c r="M54" s="115">
        <v>0</v>
      </c>
      <c r="N54" s="115">
        <v>35714.285714285717</v>
      </c>
      <c r="O54" s="115">
        <v>35714.285714285717</v>
      </c>
      <c r="Q54" s="115" t="str">
        <f>IF(TotalGMContribution[[#This Row],[Status]]&lt;&gt;"C",_xlfn.XLOOKUP(TotalGMContribution[[#This Row],[Project]],Table_query[Name],Table_query[Status]),"Good")</f>
        <v>Good</v>
      </c>
      <c r="R54" s="115" t="str">
        <f>IF(TotalGMContribution[[#This Row],[Status]]="C","6.C - Contracted",_xlfn.XLOOKUP(TotalGMContribution[[#This Row],[Project]],Table_query[Name],Table_query[Phase]))</f>
        <v>2.Q - Qualified</v>
      </c>
      <c r="S54" s="115">
        <f>SUM(TotalGMContribution[[#This Row],[July]:[June]])</f>
        <v>71428.571428571435</v>
      </c>
      <c r="T54" s="115" t="str">
        <f>IFERROR(_xlfn.XLOOKUP(TotalGMContribution[[#This Row],[Project]],Job_Status[Project],Job_Status[Work Type]),_xlfn.XLOOKUP(TotalGMContribution[[#This Row],[Project]],Table_query[Name],Table_query[Work Type]))</f>
        <v>Advisory</v>
      </c>
    </row>
    <row r="55" spans="1:20" x14ac:dyDescent="0.25">
      <c r="A55" t="s">
        <v>140</v>
      </c>
      <c r="B55" t="s">
        <v>5</v>
      </c>
      <c r="C55" t="s">
        <v>22</v>
      </c>
      <c r="D55" s="115"/>
      <c r="E55" s="115"/>
      <c r="F55" s="115"/>
      <c r="G55" s="115"/>
      <c r="H55" s="115"/>
      <c r="I55" s="115"/>
      <c r="J55" s="115"/>
      <c r="K55" s="115"/>
      <c r="L55" s="115"/>
      <c r="M55" s="115"/>
      <c r="N55" s="115"/>
      <c r="O55" s="115"/>
      <c r="Q55" s="115" t="str">
        <f>IF(TotalGMContribution[[#This Row],[Status]]&lt;&gt;"C",_xlfn.XLOOKUP(TotalGMContribution[[#This Row],[Project]],Table_query[Name],Table_query[Status]),"Good")</f>
        <v>Good</v>
      </c>
      <c r="R55" s="115" t="str">
        <f>IF(TotalGMContribution[[#This Row],[Status]]="C","6.C - Contracted",_xlfn.XLOOKUP(TotalGMContribution[[#This Row],[Project]],Table_query[Name],Table_query[Phase]))</f>
        <v>2.Q - Qualified</v>
      </c>
      <c r="S55" s="115">
        <f>SUM(TotalGMContribution[[#This Row],[July]:[June]])</f>
        <v>0</v>
      </c>
      <c r="T55" s="115" t="str">
        <f>IFERROR(_xlfn.XLOOKUP(TotalGMContribution[[#This Row],[Project]],Job_Status[Project],Job_Status[Work Type]),_xlfn.XLOOKUP(TotalGMContribution[[#This Row],[Project]],Table_query[Name],Table_query[Work Type]))</f>
        <v>Delivery</v>
      </c>
    </row>
    <row r="56" spans="1:20" x14ac:dyDescent="0.25">
      <c r="A56" t="s">
        <v>135</v>
      </c>
      <c r="B56" t="s">
        <v>5</v>
      </c>
      <c r="C56" t="s">
        <v>208</v>
      </c>
      <c r="D56" s="115">
        <v>0</v>
      </c>
      <c r="E56" s="115">
        <v>0</v>
      </c>
      <c r="F56" s="115">
        <v>0</v>
      </c>
      <c r="G56" s="115">
        <v>0</v>
      </c>
      <c r="H56" s="115">
        <v>0</v>
      </c>
      <c r="I56" s="115">
        <v>0</v>
      </c>
      <c r="J56" s="115">
        <v>0</v>
      </c>
      <c r="K56" s="115">
        <v>18000</v>
      </c>
      <c r="L56" s="115">
        <v>18000</v>
      </c>
      <c r="M56" s="115">
        <v>18000</v>
      </c>
      <c r="N56" s="115">
        <v>18000</v>
      </c>
      <c r="O56" s="115">
        <v>18000</v>
      </c>
      <c r="Q56" s="115" t="str">
        <f>IF(TotalGMContribution[[#This Row],[Status]]&lt;&gt;"C",_xlfn.XLOOKUP(TotalGMContribution[[#This Row],[Project]],Table_query[Name],Table_query[Status]),"Good")</f>
        <v>Good</v>
      </c>
      <c r="R56" s="115" t="str">
        <f>IF(TotalGMContribution[[#This Row],[Status]]="C","6.C - Contracted",_xlfn.XLOOKUP(TotalGMContribution[[#This Row],[Project]],Table_query[Name],Table_query[Phase]))</f>
        <v>2.Q - Qualified</v>
      </c>
      <c r="S56" s="115">
        <f>SUM(TotalGMContribution[[#This Row],[July]:[June]])</f>
        <v>90000</v>
      </c>
      <c r="T56" s="115" t="str">
        <f>IFERROR(_xlfn.XLOOKUP(TotalGMContribution[[#This Row],[Project]],Job_Status[Project],Job_Status[Work Type]),_xlfn.XLOOKUP(TotalGMContribution[[#This Row],[Project]],Table_query[Name],Table_query[Work Type]))</f>
        <v>Resource Pool</v>
      </c>
    </row>
    <row r="57" spans="1:20" x14ac:dyDescent="0.25">
      <c r="A57" t="s">
        <v>138</v>
      </c>
      <c r="B57" t="s">
        <v>44</v>
      </c>
      <c r="C57" t="s">
        <v>208</v>
      </c>
      <c r="D57" s="115">
        <v>0</v>
      </c>
      <c r="E57" s="115">
        <v>0</v>
      </c>
      <c r="F57" s="115">
        <v>0</v>
      </c>
      <c r="G57" s="115">
        <v>0</v>
      </c>
      <c r="H57" s="115">
        <v>0</v>
      </c>
      <c r="I57" s="115">
        <v>0</v>
      </c>
      <c r="J57" s="115">
        <v>0</v>
      </c>
      <c r="K57" s="115">
        <v>0</v>
      </c>
      <c r="L57" s="115">
        <v>29568.000000000004</v>
      </c>
      <c r="M57" s="115">
        <v>29568.000000000004</v>
      </c>
      <c r="N57" s="115">
        <v>0</v>
      </c>
      <c r="O57" s="115">
        <v>0</v>
      </c>
      <c r="Q57" s="115" t="str">
        <f>IF(TotalGMContribution[[#This Row],[Status]]&lt;&gt;"C",_xlfn.XLOOKUP(TotalGMContribution[[#This Row],[Project]],Table_query[Name],Table_query[Status]),"Good")</f>
        <v>Risk</v>
      </c>
      <c r="R57" s="115" t="str">
        <f>IF(TotalGMContribution[[#This Row],[Status]]="C","6.C - Contracted",_xlfn.XLOOKUP(TotalGMContribution[[#This Row],[Project]],Table_query[Name],Table_query[Phase]))</f>
        <v>2.Q - Qualified</v>
      </c>
      <c r="S57" s="115">
        <f>SUM(TotalGMContribution[[#This Row],[July]:[June]])</f>
        <v>59136.000000000007</v>
      </c>
      <c r="T57" s="115" t="str">
        <f>IFERROR(_xlfn.XLOOKUP(TotalGMContribution[[#This Row],[Project]],Job_Status[Project],Job_Status[Work Type]),_xlfn.XLOOKUP(TotalGMContribution[[#This Row],[Project]],Table_query[Name],Table_query[Work Type]))</f>
        <v>Resource Pool</v>
      </c>
    </row>
    <row r="58" spans="1:20" x14ac:dyDescent="0.25">
      <c r="A58" t="s">
        <v>41</v>
      </c>
      <c r="B58" t="s">
        <v>78</v>
      </c>
      <c r="C58" t="s">
        <v>17</v>
      </c>
      <c r="D58" s="115">
        <v>0</v>
      </c>
      <c r="E58" s="115">
        <v>0</v>
      </c>
      <c r="F58" s="115">
        <v>0</v>
      </c>
      <c r="G58" s="115">
        <v>0</v>
      </c>
      <c r="H58" s="115">
        <v>0</v>
      </c>
      <c r="I58" s="115">
        <v>0</v>
      </c>
      <c r="J58" s="115">
        <v>0</v>
      </c>
      <c r="K58" s="115">
        <v>0</v>
      </c>
      <c r="L58" s="115">
        <v>3503.3599999999988</v>
      </c>
      <c r="M58" s="115">
        <v>2741.7599999999989</v>
      </c>
      <c r="N58" s="115">
        <v>3046.3999999999987</v>
      </c>
      <c r="O58" s="115">
        <v>3046.3999999999987</v>
      </c>
      <c r="Q58" s="115" t="e">
        <f>IF(TotalGMContribution[[#This Row],[Status]]&lt;&gt;"C",_xlfn.XLOOKUP(TotalGMContribution[[#This Row],[Project]],Table_query[Name],Table_query[Status]),"Good")</f>
        <v>#N/A</v>
      </c>
      <c r="R58" s="115" t="e">
        <f>IF(TotalGMContribution[[#This Row],[Status]]="C","6.C - Contracted",_xlfn.XLOOKUP(TotalGMContribution[[#This Row],[Project]],Table_query[Name],Table_query[Phase]))</f>
        <v>#N/A</v>
      </c>
      <c r="S58" s="115">
        <f>SUM(TotalGMContribution[[#This Row],[July]:[June]])</f>
        <v>12337.919999999995</v>
      </c>
      <c r="T58" s="115" t="e">
        <f>IFERROR(_xlfn.XLOOKUP(TotalGMContribution[[#This Row],[Project]],Job_Status[Project],Job_Status[Work Type]),_xlfn.XLOOKUP(TotalGMContribution[[#This Row],[Project]],Table_query[Name],Table_query[Work Type]))</f>
        <v>#N/A</v>
      </c>
    </row>
  </sheetData>
  <phoneticPr fontId="23" type="noConversion"/>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B3BE6-BE76-4ED6-AE5A-FF582664CE70}">
  <sheetPr>
    <tabColor theme="1"/>
  </sheetPr>
  <dimension ref="A1:CA58"/>
  <sheetViews>
    <sheetView topLeftCell="A23" zoomScaleNormal="110" workbookViewId="0">
      <selection activeCell="D13" sqref="D13"/>
    </sheetView>
  </sheetViews>
  <sheetFormatPr defaultRowHeight="15" outlineLevelCol="1" x14ac:dyDescent="0.25"/>
  <cols>
    <col min="1" max="1" width="11.7109375" bestFit="1" customWidth="1"/>
    <col min="2" max="2" width="9.85546875" customWidth="1"/>
    <col min="3" max="3" width="8.28515625" bestFit="1" customWidth="1"/>
    <col min="4" max="4" width="44.42578125" bestFit="1" customWidth="1"/>
    <col min="5" max="5" width="20" bestFit="1" customWidth="1"/>
    <col min="6" max="6" width="18.28515625" customWidth="1"/>
    <col min="7" max="7" width="14" hidden="1" customWidth="1"/>
    <col min="8" max="8" width="11.28515625" bestFit="1" customWidth="1"/>
    <col min="9" max="9" width="10.28515625" bestFit="1" customWidth="1"/>
    <col min="10" max="10" width="10" style="8" customWidth="1"/>
    <col min="11" max="11" width="14.28515625" customWidth="1"/>
    <col min="12" max="12" width="9.85546875" bestFit="1" customWidth="1"/>
    <col min="13" max="13" width="11.28515625" bestFit="1" customWidth="1"/>
    <col min="14" max="19" width="14" customWidth="1"/>
    <col min="20" max="20" width="12.42578125" bestFit="1" customWidth="1"/>
    <col min="21" max="22" width="9.42578125" customWidth="1"/>
    <col min="23" max="30" width="11.28515625" customWidth="1"/>
    <col min="31" max="31" width="11.7109375" customWidth="1"/>
    <col min="32" max="32" width="10" customWidth="1"/>
    <col min="33" max="33" width="12.28515625" customWidth="1"/>
    <col min="34" max="34" width="11.5703125" customWidth="1"/>
    <col min="35" max="36" width="12.42578125" customWidth="1"/>
    <col min="37" max="37" width="11" bestFit="1" customWidth="1"/>
    <col min="38" max="48" width="12.42578125" customWidth="1" outlineLevel="1"/>
    <col min="49" max="49" width="11" bestFit="1" customWidth="1"/>
    <col min="50" max="60" width="12.42578125" customWidth="1" outlineLevel="1"/>
    <col min="61" max="61" width="9.42578125" bestFit="1" customWidth="1"/>
    <col min="62" max="72" width="12.42578125" customWidth="1" outlineLevel="1"/>
    <col min="73" max="83" width="11.5703125" customWidth="1"/>
  </cols>
  <sheetData>
    <row r="1" spans="1:79" s="40" customFormat="1" ht="60" x14ac:dyDescent="0.25">
      <c r="A1" s="40" t="s">
        <v>287</v>
      </c>
      <c r="B1" s="40" t="s">
        <v>16</v>
      </c>
      <c r="C1" s="40" t="s">
        <v>288</v>
      </c>
      <c r="D1" s="40" t="s">
        <v>254</v>
      </c>
      <c r="E1" s="40" t="s">
        <v>289</v>
      </c>
      <c r="F1" s="40" t="s">
        <v>290</v>
      </c>
      <c r="G1" s="40" t="s">
        <v>291</v>
      </c>
      <c r="H1" s="40" t="s">
        <v>292</v>
      </c>
      <c r="I1" s="40" t="s">
        <v>293</v>
      </c>
      <c r="J1" s="41" t="s">
        <v>294</v>
      </c>
      <c r="K1" s="40" t="s">
        <v>32</v>
      </c>
      <c r="L1" s="40" t="s">
        <v>125</v>
      </c>
      <c r="M1" s="40" t="s">
        <v>295</v>
      </c>
      <c r="N1" s="41" t="s">
        <v>296</v>
      </c>
      <c r="O1" s="41" t="s">
        <v>297</v>
      </c>
      <c r="P1" s="41" t="s">
        <v>298</v>
      </c>
      <c r="Q1" s="41" t="s">
        <v>299</v>
      </c>
      <c r="R1" s="41" t="s">
        <v>58</v>
      </c>
      <c r="S1" s="41" t="s">
        <v>300</v>
      </c>
      <c r="T1" s="41" t="s">
        <v>301</v>
      </c>
      <c r="U1" s="41" t="s">
        <v>302</v>
      </c>
      <c r="V1" s="41" t="s">
        <v>303</v>
      </c>
      <c r="W1" s="41" t="s">
        <v>304</v>
      </c>
      <c r="X1" s="41" t="s">
        <v>305</v>
      </c>
      <c r="Y1" s="41" t="s">
        <v>306</v>
      </c>
      <c r="Z1" s="41" t="s">
        <v>307</v>
      </c>
      <c r="AA1" s="41" t="s">
        <v>308</v>
      </c>
      <c r="AB1" s="41" t="s">
        <v>309</v>
      </c>
      <c r="AC1" s="41" t="s">
        <v>310</v>
      </c>
      <c r="AD1" s="41" t="s">
        <v>311</v>
      </c>
      <c r="AE1" s="41" t="s">
        <v>312</v>
      </c>
      <c r="AF1" s="41" t="s">
        <v>313</v>
      </c>
      <c r="AG1" s="41" t="s">
        <v>314</v>
      </c>
      <c r="AH1" s="41" t="s">
        <v>315</v>
      </c>
      <c r="AI1" s="41" t="s">
        <v>316</v>
      </c>
      <c r="AJ1" s="41" t="s">
        <v>317</v>
      </c>
      <c r="AK1" s="41" t="s">
        <v>318</v>
      </c>
      <c r="AL1" s="41" t="s">
        <v>319</v>
      </c>
      <c r="AM1" s="41" t="s">
        <v>320</v>
      </c>
      <c r="AN1" s="41" t="s">
        <v>321</v>
      </c>
      <c r="AO1" s="41" t="s">
        <v>322</v>
      </c>
      <c r="AP1" s="41" t="s">
        <v>323</v>
      </c>
      <c r="AQ1" s="41" t="s">
        <v>324</v>
      </c>
      <c r="AR1" s="41" t="s">
        <v>325</v>
      </c>
      <c r="AS1" s="41" t="s">
        <v>326</v>
      </c>
      <c r="AT1" s="41" t="s">
        <v>327</v>
      </c>
      <c r="AU1" s="41" t="s">
        <v>328</v>
      </c>
      <c r="AV1" s="41" t="s">
        <v>329</v>
      </c>
      <c r="AW1" s="41" t="s">
        <v>330</v>
      </c>
      <c r="AX1" s="41" t="s">
        <v>331</v>
      </c>
      <c r="AY1" s="41" t="s">
        <v>332</v>
      </c>
      <c r="AZ1" s="41" t="s">
        <v>333</v>
      </c>
      <c r="BA1" s="41" t="s">
        <v>334</v>
      </c>
      <c r="BB1" s="41" t="s">
        <v>335</v>
      </c>
      <c r="BC1" s="41" t="s">
        <v>336</v>
      </c>
      <c r="BD1" s="41" t="s">
        <v>337</v>
      </c>
      <c r="BE1" s="41" t="s">
        <v>338</v>
      </c>
      <c r="BF1" s="41" t="s">
        <v>339</v>
      </c>
      <c r="BG1" s="41" t="s">
        <v>340</v>
      </c>
      <c r="BH1" s="41" t="s">
        <v>341</v>
      </c>
      <c r="BI1" s="41" t="s">
        <v>342</v>
      </c>
      <c r="BJ1" s="41" t="s">
        <v>343</v>
      </c>
      <c r="BK1" s="41" t="s">
        <v>344</v>
      </c>
      <c r="BL1" s="41" t="s">
        <v>345</v>
      </c>
      <c r="BM1" s="41" t="s">
        <v>346</v>
      </c>
      <c r="BN1" s="41" t="s">
        <v>347</v>
      </c>
      <c r="BO1" s="41" t="s">
        <v>348</v>
      </c>
      <c r="BP1" s="41" t="s">
        <v>349</v>
      </c>
      <c r="BQ1" s="41" t="s">
        <v>350</v>
      </c>
      <c r="BR1" s="41" t="s">
        <v>351</v>
      </c>
      <c r="BS1" s="41" t="s">
        <v>352</v>
      </c>
      <c r="BT1" s="41" t="s">
        <v>353</v>
      </c>
      <c r="BU1" s="41" t="s">
        <v>354</v>
      </c>
      <c r="BV1" s="41" t="s">
        <v>355</v>
      </c>
      <c r="BW1" s="41" t="s">
        <v>356</v>
      </c>
      <c r="BX1" s="41" t="s">
        <v>357</v>
      </c>
      <c r="BY1" s="41" t="s">
        <v>358</v>
      </c>
      <c r="BZ1" s="41" t="s">
        <v>359</v>
      </c>
      <c r="CA1" s="41" t="s">
        <v>360</v>
      </c>
    </row>
    <row r="2" spans="1:79" x14ac:dyDescent="0.25">
      <c r="A2" s="37" t="s">
        <v>361</v>
      </c>
      <c r="B2" s="37" t="s">
        <v>22</v>
      </c>
      <c r="C2" s="37" t="s">
        <v>362</v>
      </c>
      <c r="D2" s="37" t="s">
        <v>257</v>
      </c>
      <c r="E2" s="37" t="s">
        <v>363</v>
      </c>
      <c r="F2" s="37" t="s">
        <v>364</v>
      </c>
      <c r="G2" s="37"/>
      <c r="H2" s="104">
        <v>46062</v>
      </c>
      <c r="I2" s="104">
        <v>46203</v>
      </c>
      <c r="J2" s="44" t="s">
        <v>365</v>
      </c>
      <c r="K2" s="44" t="s">
        <v>34</v>
      </c>
      <c r="L2" s="44" t="s">
        <v>366</v>
      </c>
      <c r="M2" s="44" t="s">
        <v>367</v>
      </c>
      <c r="N2" s="42">
        <v>792523.63</v>
      </c>
      <c r="O2" s="42">
        <v>792523.63</v>
      </c>
      <c r="P2" s="42">
        <v>0</v>
      </c>
      <c r="Q2" s="42">
        <v>792523.63</v>
      </c>
      <c r="R2" s="42">
        <v>771566.22999999986</v>
      </c>
      <c r="S2" s="42">
        <v>792523.63</v>
      </c>
      <c r="T2" s="42">
        <v>20957.40000000014</v>
      </c>
      <c r="U2" s="38">
        <v>2.6443880291619998E-2</v>
      </c>
      <c r="V2" s="38">
        <v>0</v>
      </c>
      <c r="W2" s="42"/>
      <c r="X2" s="241"/>
      <c r="Y2" s="42">
        <v>0</v>
      </c>
      <c r="Z2" s="42">
        <v>0</v>
      </c>
      <c r="AA2" s="42">
        <v>0</v>
      </c>
      <c r="AB2" s="42">
        <v>0</v>
      </c>
      <c r="AC2" s="42">
        <v>0</v>
      </c>
      <c r="AD2" s="42">
        <v>745959.20000000042</v>
      </c>
      <c r="AE2" s="42">
        <v>0</v>
      </c>
      <c r="AF2" s="38">
        <v>0.2</v>
      </c>
      <c r="AG2" s="38">
        <v>0</v>
      </c>
      <c r="AH2" s="42">
        <v>46564.429999999586</v>
      </c>
      <c r="AI2" s="38">
        <v>5.8754626660153443E-2</v>
      </c>
      <c r="AJ2" s="42">
        <v>0</v>
      </c>
      <c r="AK2" s="42">
        <v>0</v>
      </c>
      <c r="AL2" s="42">
        <v>0</v>
      </c>
      <c r="AM2" s="42">
        <v>0</v>
      </c>
      <c r="AN2" s="42">
        <v>0</v>
      </c>
      <c r="AO2" s="42">
        <v>0</v>
      </c>
      <c r="AP2" s="42">
        <v>0</v>
      </c>
      <c r="AQ2" s="42">
        <v>83497.599999999991</v>
      </c>
      <c r="AR2" s="42">
        <v>189620.80000000002</v>
      </c>
      <c r="AS2" s="42">
        <v>170026</v>
      </c>
      <c r="AT2" s="42">
        <v>161580</v>
      </c>
      <c r="AU2" s="42">
        <v>166841.83000000002</v>
      </c>
      <c r="AV2" s="42">
        <v>0</v>
      </c>
      <c r="AW2" s="42">
        <v>0</v>
      </c>
      <c r="AX2" s="42">
        <v>0</v>
      </c>
      <c r="AY2" s="42">
        <v>0</v>
      </c>
      <c r="AZ2" s="42">
        <v>0</v>
      </c>
      <c r="BA2" s="42">
        <v>0</v>
      </c>
      <c r="BB2" s="42">
        <v>0</v>
      </c>
      <c r="BC2" s="42">
        <v>92902.399999999994</v>
      </c>
      <c r="BD2" s="42">
        <v>187959.99999999997</v>
      </c>
      <c r="BE2" s="42">
        <v>168393.59999999998</v>
      </c>
      <c r="BF2" s="42">
        <v>160973.59999999998</v>
      </c>
      <c r="BG2" s="42">
        <v>135729.59999999998</v>
      </c>
      <c r="BH2" s="42">
        <v>0</v>
      </c>
      <c r="BI2" s="42">
        <v>0</v>
      </c>
      <c r="BJ2" s="42">
        <v>0</v>
      </c>
      <c r="BK2" s="42">
        <v>0</v>
      </c>
      <c r="BL2" s="42">
        <v>0</v>
      </c>
      <c r="BM2" s="42">
        <v>0</v>
      </c>
      <c r="BN2" s="42">
        <v>0</v>
      </c>
      <c r="BO2" s="42">
        <v>-9404.8000000000029</v>
      </c>
      <c r="BP2" s="42">
        <v>1660.8000000000466</v>
      </c>
      <c r="BQ2" s="42">
        <v>1632.4000000000233</v>
      </c>
      <c r="BR2" s="42">
        <v>606.40000000002328</v>
      </c>
      <c r="BS2" s="42">
        <v>31112.23000000004</v>
      </c>
      <c r="BT2" s="42">
        <v>0</v>
      </c>
      <c r="BU2" s="42">
        <v>0</v>
      </c>
      <c r="BV2" s="42">
        <v>0</v>
      </c>
      <c r="BW2" s="42">
        <v>0</v>
      </c>
      <c r="BX2" s="38">
        <v>0</v>
      </c>
      <c r="BY2" s="38">
        <v>0</v>
      </c>
      <c r="BZ2" s="38">
        <v>0</v>
      </c>
      <c r="CA2" s="38">
        <v>0</v>
      </c>
    </row>
    <row r="3" spans="1:79" x14ac:dyDescent="0.25">
      <c r="A3" s="37" t="s">
        <v>368</v>
      </c>
      <c r="B3" s="37" t="s">
        <v>22</v>
      </c>
      <c r="C3" s="37" t="s">
        <v>369</v>
      </c>
      <c r="D3" s="37" t="s">
        <v>370</v>
      </c>
      <c r="E3" s="37" t="s">
        <v>363</v>
      </c>
      <c r="F3" s="37" t="s">
        <v>364</v>
      </c>
      <c r="G3" s="37"/>
      <c r="H3" s="104">
        <v>45870</v>
      </c>
      <c r="I3" s="104">
        <v>45933</v>
      </c>
      <c r="J3" s="44" t="s">
        <v>365</v>
      </c>
      <c r="K3" s="44" t="s">
        <v>31</v>
      </c>
      <c r="L3" s="44" t="s">
        <v>369</v>
      </c>
      <c r="M3" s="44" t="s">
        <v>367</v>
      </c>
      <c r="N3" s="42">
        <v>851402.6</v>
      </c>
      <c r="O3" s="42">
        <v>850000</v>
      </c>
      <c r="P3" s="42">
        <v>850000</v>
      </c>
      <c r="Q3" s="42">
        <v>0</v>
      </c>
      <c r="R3" s="42">
        <v>0</v>
      </c>
      <c r="S3" s="42">
        <v>850000</v>
      </c>
      <c r="T3" s="42">
        <v>0</v>
      </c>
      <c r="U3" s="38">
        <v>0</v>
      </c>
      <c r="V3" s="38">
        <v>1.6473992444937058E-3</v>
      </c>
      <c r="W3" s="42"/>
      <c r="X3" s="241"/>
      <c r="Y3" s="42">
        <v>542358</v>
      </c>
      <c r="Z3" s="42">
        <v>307642</v>
      </c>
      <c r="AA3" s="42">
        <v>0</v>
      </c>
      <c r="AB3" s="42">
        <v>0</v>
      </c>
      <c r="AC3" s="42">
        <v>339204.50000000047</v>
      </c>
      <c r="AD3" s="42">
        <v>0</v>
      </c>
      <c r="AE3" s="42">
        <v>510795.49999999953</v>
      </c>
      <c r="AF3" s="38">
        <v>0.48</v>
      </c>
      <c r="AG3" s="38">
        <v>0.6009358823529406</v>
      </c>
      <c r="AH3" s="42">
        <v>510795.49999999953</v>
      </c>
      <c r="AI3" s="38">
        <v>0.6009358823529406</v>
      </c>
      <c r="AJ3" s="42">
        <v>0</v>
      </c>
      <c r="AK3" s="42">
        <v>192663</v>
      </c>
      <c r="AL3" s="42">
        <v>349695</v>
      </c>
      <c r="AM3" s="42">
        <v>307642</v>
      </c>
      <c r="AN3" s="42">
        <v>0</v>
      </c>
      <c r="AO3" s="42">
        <v>0</v>
      </c>
      <c r="AP3" s="42">
        <v>0</v>
      </c>
      <c r="AQ3" s="42">
        <v>0</v>
      </c>
      <c r="AR3" s="42">
        <v>0</v>
      </c>
      <c r="AS3" s="42">
        <v>0</v>
      </c>
      <c r="AT3" s="42">
        <v>0</v>
      </c>
      <c r="AU3" s="42">
        <v>0</v>
      </c>
      <c r="AV3" s="42">
        <v>0</v>
      </c>
      <c r="AW3" s="42">
        <v>109869.00000000003</v>
      </c>
      <c r="AX3" s="42">
        <v>218642.71</v>
      </c>
      <c r="AY3" s="42">
        <v>10692.789999999999</v>
      </c>
      <c r="AZ3" s="42">
        <v>0</v>
      </c>
      <c r="BA3" s="42">
        <v>0</v>
      </c>
      <c r="BB3" s="42">
        <v>0</v>
      </c>
      <c r="BC3" s="42">
        <v>0</v>
      </c>
      <c r="BD3" s="42">
        <v>0</v>
      </c>
      <c r="BE3" s="42">
        <v>0</v>
      </c>
      <c r="BF3" s="42">
        <v>0</v>
      </c>
      <c r="BG3" s="42">
        <v>0</v>
      </c>
      <c r="BH3" s="42">
        <v>0</v>
      </c>
      <c r="BI3" s="42">
        <v>82793.999999999971</v>
      </c>
      <c r="BJ3" s="42">
        <v>131052.29000000001</v>
      </c>
      <c r="BK3" s="42">
        <v>296949.21000000002</v>
      </c>
      <c r="BL3" s="42">
        <v>0</v>
      </c>
      <c r="BM3" s="42">
        <v>0</v>
      </c>
      <c r="BN3" s="42">
        <v>0</v>
      </c>
      <c r="BO3" s="42">
        <v>0</v>
      </c>
      <c r="BP3" s="42">
        <v>0</v>
      </c>
      <c r="BQ3" s="42">
        <v>0</v>
      </c>
      <c r="BR3" s="42">
        <v>0</v>
      </c>
      <c r="BS3" s="42">
        <v>0</v>
      </c>
      <c r="BT3" s="42">
        <v>213846.28999999957</v>
      </c>
      <c r="BU3" s="42">
        <v>296949.20999999996</v>
      </c>
      <c r="BV3" s="42">
        <v>0</v>
      </c>
      <c r="BW3" s="42">
        <v>0</v>
      </c>
      <c r="BX3" s="38">
        <v>0.39428991551705622</v>
      </c>
      <c r="BY3" s="38">
        <v>0.96524274968957413</v>
      </c>
      <c r="BZ3" s="38">
        <v>0</v>
      </c>
      <c r="CA3" s="38">
        <v>0</v>
      </c>
    </row>
    <row r="4" spans="1:79" x14ac:dyDescent="0.25">
      <c r="A4" s="37" t="s">
        <v>368</v>
      </c>
      <c r="B4" s="37" t="s">
        <v>21</v>
      </c>
      <c r="C4" s="37" t="s">
        <v>369</v>
      </c>
      <c r="D4" s="37" t="s">
        <v>371</v>
      </c>
      <c r="E4" s="37" t="s">
        <v>363</v>
      </c>
      <c r="F4" s="37" t="s">
        <v>364</v>
      </c>
      <c r="G4" s="37"/>
      <c r="H4" s="104">
        <v>45950</v>
      </c>
      <c r="I4" s="104">
        <v>45991</v>
      </c>
      <c r="J4" s="44" t="s">
        <v>372</v>
      </c>
      <c r="K4" s="44" t="s">
        <v>34</v>
      </c>
      <c r="L4" s="44" t="s">
        <v>366</v>
      </c>
      <c r="M4" s="44" t="s">
        <v>367</v>
      </c>
      <c r="N4" s="42">
        <v>126400</v>
      </c>
      <c r="O4" s="42">
        <v>126400</v>
      </c>
      <c r="P4" s="42">
        <v>126400</v>
      </c>
      <c r="Q4" s="42">
        <v>0</v>
      </c>
      <c r="R4" s="42">
        <v>0</v>
      </c>
      <c r="S4" s="42">
        <v>126400</v>
      </c>
      <c r="T4" s="42">
        <v>0</v>
      </c>
      <c r="U4" s="38">
        <v>0</v>
      </c>
      <c r="V4" s="38">
        <v>0</v>
      </c>
      <c r="W4" s="42"/>
      <c r="X4" s="241"/>
      <c r="Y4" s="42">
        <v>0</v>
      </c>
      <c r="Z4" s="42">
        <v>126400</v>
      </c>
      <c r="AA4" s="42">
        <v>0</v>
      </c>
      <c r="AB4" s="42">
        <v>0</v>
      </c>
      <c r="AC4" s="42">
        <v>58521.599999999984</v>
      </c>
      <c r="AD4" s="42">
        <v>0</v>
      </c>
      <c r="AE4" s="42">
        <v>67878.400000000023</v>
      </c>
      <c r="AF4" s="38">
        <v>0.55600000000000005</v>
      </c>
      <c r="AG4" s="38">
        <v>0.53701265822784827</v>
      </c>
      <c r="AH4" s="42">
        <v>67878.400000000023</v>
      </c>
      <c r="AI4" s="38">
        <v>0.53701265822784827</v>
      </c>
      <c r="AJ4" s="42">
        <v>0</v>
      </c>
      <c r="AK4" s="42">
        <v>0</v>
      </c>
      <c r="AL4" s="42">
        <v>0</v>
      </c>
      <c r="AM4" s="42">
        <v>48980</v>
      </c>
      <c r="AN4" s="42">
        <v>77420</v>
      </c>
      <c r="AO4" s="42">
        <v>0</v>
      </c>
      <c r="AP4" s="42">
        <v>0</v>
      </c>
      <c r="AQ4" s="42">
        <v>0</v>
      </c>
      <c r="AR4" s="42">
        <v>0</v>
      </c>
      <c r="AS4" s="42">
        <v>0</v>
      </c>
      <c r="AT4" s="42">
        <v>0</v>
      </c>
      <c r="AU4" s="42">
        <v>0</v>
      </c>
      <c r="AV4" s="42">
        <v>0</v>
      </c>
      <c r="AW4" s="42">
        <v>0</v>
      </c>
      <c r="AX4" s="42">
        <v>0</v>
      </c>
      <c r="AY4" s="42">
        <v>23320.799999999996</v>
      </c>
      <c r="AZ4" s="42">
        <v>35200.799999999996</v>
      </c>
      <c r="BA4" s="42">
        <v>0</v>
      </c>
      <c r="BB4" s="42">
        <v>0</v>
      </c>
      <c r="BC4" s="42">
        <v>0</v>
      </c>
      <c r="BD4" s="42">
        <v>0</v>
      </c>
      <c r="BE4" s="42">
        <v>0</v>
      </c>
      <c r="BF4" s="42">
        <v>0</v>
      </c>
      <c r="BG4" s="42">
        <v>0</v>
      </c>
      <c r="BH4" s="42">
        <v>0</v>
      </c>
      <c r="BI4" s="42">
        <v>0</v>
      </c>
      <c r="BJ4" s="42">
        <v>0</v>
      </c>
      <c r="BK4" s="42">
        <v>25659.200000000004</v>
      </c>
      <c r="BL4" s="42">
        <v>42219.200000000004</v>
      </c>
      <c r="BM4" s="42">
        <v>0</v>
      </c>
      <c r="BN4" s="42">
        <v>0</v>
      </c>
      <c r="BO4" s="42">
        <v>0</v>
      </c>
      <c r="BP4" s="42">
        <v>0</v>
      </c>
      <c r="BQ4" s="42">
        <v>0</v>
      </c>
      <c r="BR4" s="42">
        <v>0</v>
      </c>
      <c r="BS4" s="42">
        <v>0</v>
      </c>
      <c r="BT4" s="42">
        <v>0</v>
      </c>
      <c r="BU4" s="42">
        <v>67878.400000000023</v>
      </c>
      <c r="BV4" s="42">
        <v>0</v>
      </c>
      <c r="BW4" s="42">
        <v>0</v>
      </c>
      <c r="BX4" s="38">
        <v>0</v>
      </c>
      <c r="BY4" s="38">
        <v>0.53701265822784827</v>
      </c>
      <c r="BZ4" s="38">
        <v>0</v>
      </c>
      <c r="CA4" s="38">
        <v>0</v>
      </c>
    </row>
    <row r="5" spans="1:79" x14ac:dyDescent="0.25">
      <c r="A5" s="37" t="s">
        <v>368</v>
      </c>
      <c r="B5" s="37" t="s">
        <v>21</v>
      </c>
      <c r="C5" s="37" t="s">
        <v>373</v>
      </c>
      <c r="D5" s="37" t="s">
        <v>374</v>
      </c>
      <c r="E5" s="37" t="s">
        <v>363</v>
      </c>
      <c r="F5" s="37" t="s">
        <v>364</v>
      </c>
      <c r="G5" s="37"/>
      <c r="H5" s="104">
        <v>45839</v>
      </c>
      <c r="I5" s="104">
        <v>45919</v>
      </c>
      <c r="J5" s="44" t="s">
        <v>365</v>
      </c>
      <c r="K5" s="44" t="s">
        <v>31</v>
      </c>
      <c r="L5" s="44" t="s">
        <v>375</v>
      </c>
      <c r="M5" s="44" t="s">
        <v>367</v>
      </c>
      <c r="N5" s="42">
        <v>443969.05</v>
      </c>
      <c r="O5" s="42">
        <v>443969.05</v>
      </c>
      <c r="P5" s="42">
        <v>443969.05</v>
      </c>
      <c r="Q5" s="42">
        <v>0</v>
      </c>
      <c r="R5" s="42">
        <v>0</v>
      </c>
      <c r="S5" s="42">
        <v>443969.05</v>
      </c>
      <c r="T5" s="42">
        <v>0</v>
      </c>
      <c r="U5" s="38">
        <v>0</v>
      </c>
      <c r="V5" s="38">
        <v>0</v>
      </c>
      <c r="W5" s="42"/>
      <c r="X5" s="241"/>
      <c r="Y5" s="42">
        <v>443969.05</v>
      </c>
      <c r="Z5" s="42">
        <v>0</v>
      </c>
      <c r="AA5" s="42">
        <v>0</v>
      </c>
      <c r="AB5" s="42">
        <v>0</v>
      </c>
      <c r="AC5" s="42">
        <v>209235.1799999997</v>
      </c>
      <c r="AD5" s="42">
        <v>0</v>
      </c>
      <c r="AE5" s="42">
        <v>234733.87000000029</v>
      </c>
      <c r="AF5" s="38">
        <v>0.43</v>
      </c>
      <c r="AG5" s="38">
        <v>0.52871674275492919</v>
      </c>
      <c r="AH5" s="42">
        <v>234733.87000000029</v>
      </c>
      <c r="AI5" s="38">
        <v>0.52871674275492919</v>
      </c>
      <c r="AJ5" s="42">
        <v>227003.5</v>
      </c>
      <c r="AK5" s="42">
        <v>216965.55</v>
      </c>
      <c r="AL5" s="42">
        <v>0</v>
      </c>
      <c r="AM5" s="42">
        <v>0</v>
      </c>
      <c r="AN5" s="42">
        <v>0</v>
      </c>
      <c r="AO5" s="42">
        <v>0</v>
      </c>
      <c r="AP5" s="42">
        <v>0</v>
      </c>
      <c r="AQ5" s="42">
        <v>0</v>
      </c>
      <c r="AR5" s="42">
        <v>0</v>
      </c>
      <c r="AS5" s="42">
        <v>0</v>
      </c>
      <c r="AT5" s="42">
        <v>0</v>
      </c>
      <c r="AU5" s="42">
        <v>0</v>
      </c>
      <c r="AV5" s="42">
        <v>156695.33999999985</v>
      </c>
      <c r="AW5" s="42">
        <v>52539.839999999997</v>
      </c>
      <c r="AX5" s="42">
        <v>0</v>
      </c>
      <c r="AY5" s="42">
        <v>0</v>
      </c>
      <c r="AZ5" s="42">
        <v>0</v>
      </c>
      <c r="BA5" s="42">
        <v>0</v>
      </c>
      <c r="BB5" s="42">
        <v>0</v>
      </c>
      <c r="BC5" s="42">
        <v>0</v>
      </c>
      <c r="BD5" s="42">
        <v>0</v>
      </c>
      <c r="BE5" s="42">
        <v>0</v>
      </c>
      <c r="BF5" s="42">
        <v>0</v>
      </c>
      <c r="BG5" s="42">
        <v>0</v>
      </c>
      <c r="BH5" s="42">
        <v>70308.160000000149</v>
      </c>
      <c r="BI5" s="42">
        <v>164425.71</v>
      </c>
      <c r="BJ5" s="42">
        <v>0</v>
      </c>
      <c r="BK5" s="42">
        <v>0</v>
      </c>
      <c r="BL5" s="42">
        <v>0</v>
      </c>
      <c r="BM5" s="42">
        <v>0</v>
      </c>
      <c r="BN5" s="42">
        <v>0</v>
      </c>
      <c r="BO5" s="42">
        <v>0</v>
      </c>
      <c r="BP5" s="42">
        <v>0</v>
      </c>
      <c r="BQ5" s="42">
        <v>0</v>
      </c>
      <c r="BR5" s="42">
        <v>0</v>
      </c>
      <c r="BS5" s="42">
        <v>0</v>
      </c>
      <c r="BT5" s="42">
        <v>234733.87000000029</v>
      </c>
      <c r="BU5" s="42">
        <v>0</v>
      </c>
      <c r="BV5" s="42">
        <v>0</v>
      </c>
      <c r="BW5" s="42">
        <v>0</v>
      </c>
      <c r="BX5" s="38">
        <v>0.52871674275492919</v>
      </c>
      <c r="BY5" s="38">
        <v>0</v>
      </c>
      <c r="BZ5" s="38">
        <v>0</v>
      </c>
      <c r="CA5" s="38">
        <v>0</v>
      </c>
    </row>
    <row r="6" spans="1:79" x14ac:dyDescent="0.25">
      <c r="A6" s="37" t="s">
        <v>368</v>
      </c>
      <c r="B6" s="37" t="s">
        <v>17</v>
      </c>
      <c r="C6" s="37" t="s">
        <v>376</v>
      </c>
      <c r="D6" s="37" t="s">
        <v>377</v>
      </c>
      <c r="E6" s="37" t="s">
        <v>363</v>
      </c>
      <c r="F6" s="37" t="s">
        <v>378</v>
      </c>
      <c r="G6" s="37"/>
      <c r="H6" s="104">
        <v>45839</v>
      </c>
      <c r="I6" s="104">
        <v>45930</v>
      </c>
      <c r="J6" s="44" t="s">
        <v>372</v>
      </c>
      <c r="K6" s="44" t="s">
        <v>35</v>
      </c>
      <c r="L6" s="44" t="s">
        <v>379</v>
      </c>
      <c r="M6" s="44" t="s">
        <v>380</v>
      </c>
      <c r="N6" s="42">
        <v>590356.55000000005</v>
      </c>
      <c r="O6" s="42">
        <v>590356.55000000005</v>
      </c>
      <c r="P6" s="42">
        <v>582788.48249999969</v>
      </c>
      <c r="Q6" s="42">
        <v>7568.0675000003539</v>
      </c>
      <c r="R6" s="42">
        <v>0</v>
      </c>
      <c r="S6" s="42">
        <v>582788.48249999969</v>
      </c>
      <c r="T6" s="42">
        <v>7568.0675000003539</v>
      </c>
      <c r="U6" s="38">
        <v>1.2819485953023395E-2</v>
      </c>
      <c r="V6" s="38">
        <v>1.2819485953023395E-2</v>
      </c>
      <c r="W6" s="42"/>
      <c r="X6" s="241"/>
      <c r="Y6" s="42">
        <v>582788.48249999969</v>
      </c>
      <c r="Z6" s="42">
        <v>0</v>
      </c>
      <c r="AA6" s="42">
        <v>0</v>
      </c>
      <c r="AB6" s="42">
        <v>0</v>
      </c>
      <c r="AC6" s="42">
        <v>394691.41999999975</v>
      </c>
      <c r="AD6" s="42">
        <v>0</v>
      </c>
      <c r="AE6" s="42">
        <v>188097.06249999994</v>
      </c>
      <c r="AF6" s="38">
        <v>0.36</v>
      </c>
      <c r="AG6" s="38">
        <v>0.32275356865859139</v>
      </c>
      <c r="AH6" s="42">
        <v>188097.06249999994</v>
      </c>
      <c r="AI6" s="38">
        <v>0.32275356865859139</v>
      </c>
      <c r="AJ6" s="42">
        <v>195825.83000000007</v>
      </c>
      <c r="AK6" s="42">
        <v>190551.64500000005</v>
      </c>
      <c r="AL6" s="42">
        <v>196411.00750000001</v>
      </c>
      <c r="AM6" s="42">
        <v>0</v>
      </c>
      <c r="AN6" s="42">
        <v>0</v>
      </c>
      <c r="AO6" s="42">
        <v>0</v>
      </c>
      <c r="AP6" s="42">
        <v>0</v>
      </c>
      <c r="AQ6" s="42">
        <v>0</v>
      </c>
      <c r="AR6" s="42">
        <v>0</v>
      </c>
      <c r="AS6" s="42">
        <v>0</v>
      </c>
      <c r="AT6" s="42">
        <v>0</v>
      </c>
      <c r="AU6" s="42">
        <v>0</v>
      </c>
      <c r="AV6" s="42">
        <v>132445.75999999995</v>
      </c>
      <c r="AW6" s="42">
        <v>129050.51999999996</v>
      </c>
      <c r="AX6" s="42">
        <v>133195.13999999996</v>
      </c>
      <c r="AY6" s="42">
        <v>0</v>
      </c>
      <c r="AZ6" s="42">
        <v>0</v>
      </c>
      <c r="BA6" s="42">
        <v>0</v>
      </c>
      <c r="BB6" s="42">
        <v>0</v>
      </c>
      <c r="BC6" s="42">
        <v>0</v>
      </c>
      <c r="BD6" s="42">
        <v>0</v>
      </c>
      <c r="BE6" s="42">
        <v>0</v>
      </c>
      <c r="BF6" s="42">
        <v>0</v>
      </c>
      <c r="BG6" s="42">
        <v>0</v>
      </c>
      <c r="BH6" s="42">
        <v>63380.070000000123</v>
      </c>
      <c r="BI6" s="42">
        <v>61501.125000000087</v>
      </c>
      <c r="BJ6" s="42">
        <v>63215.867500000051</v>
      </c>
      <c r="BK6" s="42">
        <v>0</v>
      </c>
      <c r="BL6" s="42">
        <v>0</v>
      </c>
      <c r="BM6" s="42">
        <v>0</v>
      </c>
      <c r="BN6" s="42">
        <v>0</v>
      </c>
      <c r="BO6" s="42">
        <v>0</v>
      </c>
      <c r="BP6" s="42">
        <v>0</v>
      </c>
      <c r="BQ6" s="42">
        <v>0</v>
      </c>
      <c r="BR6" s="42">
        <v>0</v>
      </c>
      <c r="BS6" s="42">
        <v>0</v>
      </c>
      <c r="BT6" s="42">
        <v>188097.06249999994</v>
      </c>
      <c r="BU6" s="42">
        <v>0</v>
      </c>
      <c r="BV6" s="42">
        <v>0</v>
      </c>
      <c r="BW6" s="42">
        <v>0</v>
      </c>
      <c r="BX6" s="38">
        <v>0.32275356865859139</v>
      </c>
      <c r="BY6" s="38">
        <v>0</v>
      </c>
      <c r="BZ6" s="38">
        <v>0</v>
      </c>
      <c r="CA6" s="38">
        <v>0</v>
      </c>
    </row>
    <row r="7" spans="1:79" x14ac:dyDescent="0.25">
      <c r="A7" s="37" t="s">
        <v>361</v>
      </c>
      <c r="B7" s="37" t="s">
        <v>17</v>
      </c>
      <c r="C7" s="37" t="s">
        <v>376</v>
      </c>
      <c r="D7" s="37" t="s">
        <v>258</v>
      </c>
      <c r="E7" s="37" t="s">
        <v>363</v>
      </c>
      <c r="F7" s="37" t="s">
        <v>378</v>
      </c>
      <c r="G7" s="37"/>
      <c r="H7" s="104">
        <v>45931</v>
      </c>
      <c r="I7" s="104">
        <v>46203</v>
      </c>
      <c r="J7" s="44" t="s">
        <v>372</v>
      </c>
      <c r="K7" s="44" t="s">
        <v>34</v>
      </c>
      <c r="L7" s="44" t="s">
        <v>379</v>
      </c>
      <c r="M7" s="44" t="s">
        <v>380</v>
      </c>
      <c r="N7" s="42">
        <v>1087920</v>
      </c>
      <c r="O7" s="42">
        <v>1087920</v>
      </c>
      <c r="P7" s="42">
        <v>528185</v>
      </c>
      <c r="Q7" s="42">
        <v>559735</v>
      </c>
      <c r="R7" s="42">
        <v>529920</v>
      </c>
      <c r="S7" s="42">
        <v>1058105</v>
      </c>
      <c r="T7" s="42">
        <v>29815</v>
      </c>
      <c r="U7" s="38">
        <v>2.7405507757923376E-2</v>
      </c>
      <c r="V7" s="38">
        <v>2.7405507757923376E-2</v>
      </c>
      <c r="W7" s="42"/>
      <c r="X7" s="241" t="s">
        <v>381</v>
      </c>
      <c r="Y7" s="42">
        <v>0</v>
      </c>
      <c r="Z7" s="42">
        <v>386345</v>
      </c>
      <c r="AA7" s="42">
        <v>141840</v>
      </c>
      <c r="AB7" s="42">
        <v>0</v>
      </c>
      <c r="AC7" s="42">
        <v>452515.39999999874</v>
      </c>
      <c r="AD7" s="42">
        <v>451523.99999999953</v>
      </c>
      <c r="AE7" s="42">
        <v>75669.600000001257</v>
      </c>
      <c r="AF7" s="38">
        <v>0.14299999999999999</v>
      </c>
      <c r="AG7" s="38">
        <v>0.1432634398932216</v>
      </c>
      <c r="AH7" s="42">
        <v>154065.60000000172</v>
      </c>
      <c r="AI7" s="38">
        <v>0.14560520931287702</v>
      </c>
      <c r="AJ7" s="42">
        <v>0</v>
      </c>
      <c r="AK7" s="42">
        <v>0</v>
      </c>
      <c r="AL7" s="42">
        <v>0</v>
      </c>
      <c r="AM7" s="42">
        <v>147315</v>
      </c>
      <c r="AN7" s="42">
        <v>133265</v>
      </c>
      <c r="AO7" s="42">
        <v>105765</v>
      </c>
      <c r="AP7" s="42">
        <v>119280</v>
      </c>
      <c r="AQ7" s="42">
        <v>105360</v>
      </c>
      <c r="AR7" s="42">
        <v>126960</v>
      </c>
      <c r="AS7" s="42">
        <v>99360</v>
      </c>
      <c r="AT7" s="42">
        <v>110400</v>
      </c>
      <c r="AU7" s="42">
        <v>110400</v>
      </c>
      <c r="AV7" s="42">
        <v>0</v>
      </c>
      <c r="AW7" s="42">
        <v>0</v>
      </c>
      <c r="AX7" s="42">
        <v>0</v>
      </c>
      <c r="AY7" s="42">
        <v>126174.04000000004</v>
      </c>
      <c r="AZ7" s="42">
        <v>114113.80000000005</v>
      </c>
      <c r="BA7" s="42">
        <v>90826.920000000071</v>
      </c>
      <c r="BB7" s="42">
        <v>101971.84000000001</v>
      </c>
      <c r="BC7" s="42">
        <v>89979.425000000003</v>
      </c>
      <c r="BD7" s="42">
        <v>108177.62500000001</v>
      </c>
      <c r="BE7" s="42">
        <v>84660.75</v>
      </c>
      <c r="BF7" s="42">
        <v>94067.500000000029</v>
      </c>
      <c r="BG7" s="42">
        <v>94067.500000000015</v>
      </c>
      <c r="BH7" s="42">
        <v>0</v>
      </c>
      <c r="BI7" s="42">
        <v>0</v>
      </c>
      <c r="BJ7" s="42">
        <v>0</v>
      </c>
      <c r="BK7" s="42">
        <v>21140.959999999963</v>
      </c>
      <c r="BL7" s="42">
        <v>19151.199999999953</v>
      </c>
      <c r="BM7" s="42">
        <v>14938.079999999929</v>
      </c>
      <c r="BN7" s="42">
        <v>17308.159999999989</v>
      </c>
      <c r="BO7" s="42">
        <v>15380.574999999997</v>
      </c>
      <c r="BP7" s="42">
        <v>18782.374999999985</v>
      </c>
      <c r="BQ7" s="42">
        <v>14699.25</v>
      </c>
      <c r="BR7" s="42">
        <v>16332.499999999971</v>
      </c>
      <c r="BS7" s="42">
        <v>16332.499999999985</v>
      </c>
      <c r="BT7" s="42">
        <v>0</v>
      </c>
      <c r="BU7" s="42">
        <v>55230.240000000806</v>
      </c>
      <c r="BV7" s="42">
        <v>20439.360000000452</v>
      </c>
      <c r="BW7" s="42">
        <v>0</v>
      </c>
      <c r="BX7" s="38">
        <v>0</v>
      </c>
      <c r="BY7" s="38">
        <v>0.14295575198333305</v>
      </c>
      <c r="BZ7" s="38">
        <v>0.14410152284264277</v>
      </c>
      <c r="CA7" s="38">
        <v>0</v>
      </c>
    </row>
    <row r="8" spans="1:79" x14ac:dyDescent="0.25">
      <c r="A8" s="37" t="s">
        <v>361</v>
      </c>
      <c r="B8" s="37" t="s">
        <v>17</v>
      </c>
      <c r="C8" s="37" t="s">
        <v>376</v>
      </c>
      <c r="D8" s="37" t="s">
        <v>259</v>
      </c>
      <c r="E8" s="37" t="s">
        <v>363</v>
      </c>
      <c r="F8" s="37" t="s">
        <v>378</v>
      </c>
      <c r="G8" s="37"/>
      <c r="H8" s="104">
        <v>45931</v>
      </c>
      <c r="I8" s="104">
        <v>46203</v>
      </c>
      <c r="J8" s="44" t="s">
        <v>372</v>
      </c>
      <c r="K8" s="44" t="s">
        <v>34</v>
      </c>
      <c r="L8" s="44" t="s">
        <v>379</v>
      </c>
      <c r="M8" s="44" t="s">
        <v>380</v>
      </c>
      <c r="N8" s="42">
        <v>601600</v>
      </c>
      <c r="O8" s="42">
        <v>601600</v>
      </c>
      <c r="P8" s="42">
        <v>243040</v>
      </c>
      <c r="Q8" s="42">
        <v>358560</v>
      </c>
      <c r="R8" s="42">
        <v>266400</v>
      </c>
      <c r="S8" s="42">
        <v>509440</v>
      </c>
      <c r="T8" s="42">
        <v>92160</v>
      </c>
      <c r="U8" s="38">
        <v>0.15319148936170213</v>
      </c>
      <c r="V8" s="38">
        <v>0.15319148936170213</v>
      </c>
      <c r="W8" s="42"/>
      <c r="X8" s="241" t="s">
        <v>382</v>
      </c>
      <c r="Y8" s="42">
        <v>0</v>
      </c>
      <c r="Z8" s="42">
        <v>152640</v>
      </c>
      <c r="AA8" s="42">
        <v>90400</v>
      </c>
      <c r="AB8" s="42">
        <v>0</v>
      </c>
      <c r="AC8" s="42">
        <v>200956</v>
      </c>
      <c r="AD8" s="42">
        <v>209944</v>
      </c>
      <c r="AE8" s="42">
        <v>42084</v>
      </c>
      <c r="AF8" s="38">
        <v>0.2</v>
      </c>
      <c r="AG8" s="38">
        <v>0.17315668202764978</v>
      </c>
      <c r="AH8" s="42">
        <v>98540</v>
      </c>
      <c r="AI8" s="38">
        <v>0.19342807788944724</v>
      </c>
      <c r="AJ8" s="42">
        <v>0</v>
      </c>
      <c r="AK8" s="42">
        <v>0</v>
      </c>
      <c r="AL8" s="42">
        <v>0</v>
      </c>
      <c r="AM8" s="42">
        <v>54080</v>
      </c>
      <c r="AN8" s="42">
        <v>43260</v>
      </c>
      <c r="AO8" s="42">
        <v>55300</v>
      </c>
      <c r="AP8" s="42">
        <v>72300</v>
      </c>
      <c r="AQ8" s="42">
        <v>100180</v>
      </c>
      <c r="AR8" s="42">
        <v>128640</v>
      </c>
      <c r="AS8" s="42">
        <v>55680</v>
      </c>
      <c r="AT8" s="42">
        <v>0</v>
      </c>
      <c r="AU8" s="42">
        <v>0</v>
      </c>
      <c r="AV8" s="42">
        <v>0</v>
      </c>
      <c r="AW8" s="42">
        <v>0</v>
      </c>
      <c r="AX8" s="42">
        <v>0</v>
      </c>
      <c r="AY8" s="42">
        <v>42514</v>
      </c>
      <c r="AZ8" s="42">
        <v>40718</v>
      </c>
      <c r="BA8" s="42">
        <v>43500</v>
      </c>
      <c r="BB8" s="42">
        <v>58094</v>
      </c>
      <c r="BC8" s="42">
        <v>80474</v>
      </c>
      <c r="BD8" s="42">
        <v>101256</v>
      </c>
      <c r="BE8" s="42">
        <v>44344</v>
      </c>
      <c r="BF8" s="42">
        <v>0</v>
      </c>
      <c r="BG8" s="42">
        <v>0</v>
      </c>
      <c r="BH8" s="42">
        <v>0</v>
      </c>
      <c r="BI8" s="42">
        <v>0</v>
      </c>
      <c r="BJ8" s="42">
        <v>0</v>
      </c>
      <c r="BK8" s="42">
        <v>11566</v>
      </c>
      <c r="BL8" s="42">
        <v>2542</v>
      </c>
      <c r="BM8" s="42">
        <v>11800</v>
      </c>
      <c r="BN8" s="42">
        <v>14206</v>
      </c>
      <c r="BO8" s="42">
        <v>19706</v>
      </c>
      <c r="BP8" s="42">
        <v>27384</v>
      </c>
      <c r="BQ8" s="42">
        <v>11336</v>
      </c>
      <c r="BR8" s="42">
        <v>0</v>
      </c>
      <c r="BS8" s="42">
        <v>0</v>
      </c>
      <c r="BT8" s="42">
        <v>0</v>
      </c>
      <c r="BU8" s="42">
        <v>25908</v>
      </c>
      <c r="BV8" s="42">
        <v>16176</v>
      </c>
      <c r="BW8" s="42">
        <v>0</v>
      </c>
      <c r="BX8" s="38">
        <v>0</v>
      </c>
      <c r="BY8" s="38">
        <v>0.16973270440251573</v>
      </c>
      <c r="BZ8" s="38">
        <v>0.17893805309734515</v>
      </c>
      <c r="CA8" s="38">
        <v>0</v>
      </c>
    </row>
    <row r="9" spans="1:79" x14ac:dyDescent="0.25">
      <c r="A9" s="37" t="s">
        <v>368</v>
      </c>
      <c r="B9" s="37" t="s">
        <v>17</v>
      </c>
      <c r="C9" s="37" t="s">
        <v>376</v>
      </c>
      <c r="D9" s="37" t="s">
        <v>383</v>
      </c>
      <c r="E9" s="37" t="s">
        <v>363</v>
      </c>
      <c r="F9" s="37" t="s">
        <v>378</v>
      </c>
      <c r="G9" s="37"/>
      <c r="H9" s="104">
        <v>45839</v>
      </c>
      <c r="I9" s="104">
        <v>45930</v>
      </c>
      <c r="J9" s="44" t="s">
        <v>372</v>
      </c>
      <c r="K9" s="44" t="s">
        <v>34</v>
      </c>
      <c r="L9" s="44" t="s">
        <v>379</v>
      </c>
      <c r="M9" s="44" t="s">
        <v>380</v>
      </c>
      <c r="N9" s="42">
        <v>464337.5</v>
      </c>
      <c r="O9" s="42">
        <v>464337.5</v>
      </c>
      <c r="P9" s="42">
        <v>431600</v>
      </c>
      <c r="Q9" s="42">
        <v>32737.5</v>
      </c>
      <c r="R9" s="42">
        <v>0</v>
      </c>
      <c r="S9" s="42">
        <v>431600</v>
      </c>
      <c r="T9" s="42">
        <v>32737.5</v>
      </c>
      <c r="U9" s="38">
        <v>7.0503674590141868E-2</v>
      </c>
      <c r="V9" s="38">
        <v>7.0503674590141868E-2</v>
      </c>
      <c r="W9" s="42"/>
      <c r="X9" s="241"/>
      <c r="Y9" s="42">
        <v>431600</v>
      </c>
      <c r="Z9" s="42">
        <v>0</v>
      </c>
      <c r="AA9" s="42">
        <v>0</v>
      </c>
      <c r="AB9" s="42">
        <v>0</v>
      </c>
      <c r="AC9" s="42">
        <v>259066</v>
      </c>
      <c r="AD9" s="42">
        <v>0</v>
      </c>
      <c r="AE9" s="42">
        <v>172534</v>
      </c>
      <c r="AF9" s="38">
        <v>0.42</v>
      </c>
      <c r="AG9" s="38">
        <v>0.39975440222428177</v>
      </c>
      <c r="AH9" s="42">
        <v>172534</v>
      </c>
      <c r="AI9" s="38">
        <v>0.39975440222428177</v>
      </c>
      <c r="AJ9" s="42">
        <v>167412.5</v>
      </c>
      <c r="AK9" s="42">
        <v>90787.5</v>
      </c>
      <c r="AL9" s="42">
        <v>173400</v>
      </c>
      <c r="AM9" s="42">
        <v>0</v>
      </c>
      <c r="AN9" s="42">
        <v>0</v>
      </c>
      <c r="AO9" s="42">
        <v>0</v>
      </c>
      <c r="AP9" s="42">
        <v>0</v>
      </c>
      <c r="AQ9" s="42">
        <v>0</v>
      </c>
      <c r="AR9" s="42">
        <v>0</v>
      </c>
      <c r="AS9" s="42">
        <v>0</v>
      </c>
      <c r="AT9" s="42">
        <v>0</v>
      </c>
      <c r="AU9" s="42">
        <v>0</v>
      </c>
      <c r="AV9" s="42">
        <v>96819</v>
      </c>
      <c r="AW9" s="42">
        <v>55687</v>
      </c>
      <c r="AX9" s="42">
        <v>106560</v>
      </c>
      <c r="AY9" s="42">
        <v>0</v>
      </c>
      <c r="AZ9" s="42">
        <v>0</v>
      </c>
      <c r="BA9" s="42">
        <v>0</v>
      </c>
      <c r="BB9" s="42">
        <v>0</v>
      </c>
      <c r="BC9" s="42">
        <v>0</v>
      </c>
      <c r="BD9" s="42">
        <v>0</v>
      </c>
      <c r="BE9" s="42">
        <v>0</v>
      </c>
      <c r="BF9" s="42">
        <v>0</v>
      </c>
      <c r="BG9" s="42">
        <v>0</v>
      </c>
      <c r="BH9" s="42">
        <v>70593.5</v>
      </c>
      <c r="BI9" s="42">
        <v>35100.5</v>
      </c>
      <c r="BJ9" s="42">
        <v>66840</v>
      </c>
      <c r="BK9" s="42">
        <v>0</v>
      </c>
      <c r="BL9" s="42">
        <v>0</v>
      </c>
      <c r="BM9" s="42">
        <v>0</v>
      </c>
      <c r="BN9" s="42">
        <v>0</v>
      </c>
      <c r="BO9" s="42">
        <v>0</v>
      </c>
      <c r="BP9" s="42">
        <v>0</v>
      </c>
      <c r="BQ9" s="42">
        <v>0</v>
      </c>
      <c r="BR9" s="42">
        <v>0</v>
      </c>
      <c r="BS9" s="42">
        <v>0</v>
      </c>
      <c r="BT9" s="42">
        <v>172534</v>
      </c>
      <c r="BU9" s="42">
        <v>0</v>
      </c>
      <c r="BV9" s="42">
        <v>0</v>
      </c>
      <c r="BW9" s="42">
        <v>0</v>
      </c>
      <c r="BX9" s="38">
        <v>0.39975440222428177</v>
      </c>
      <c r="BY9" s="38">
        <v>0</v>
      </c>
      <c r="BZ9" s="38">
        <v>0</v>
      </c>
      <c r="CA9" s="38">
        <v>0</v>
      </c>
    </row>
    <row r="10" spans="1:79" x14ac:dyDescent="0.25">
      <c r="A10" s="37" t="s">
        <v>368</v>
      </c>
      <c r="B10" s="37" t="s">
        <v>17</v>
      </c>
      <c r="C10" s="37" t="s">
        <v>376</v>
      </c>
      <c r="D10" s="37" t="s">
        <v>384</v>
      </c>
      <c r="E10" s="37" t="s">
        <v>363</v>
      </c>
      <c r="F10" s="37" t="s">
        <v>378</v>
      </c>
      <c r="G10" s="37"/>
      <c r="H10" s="104">
        <v>45839</v>
      </c>
      <c r="I10" s="104">
        <v>45917</v>
      </c>
      <c r="J10" s="44" t="s">
        <v>372</v>
      </c>
      <c r="K10" s="44" t="s">
        <v>34</v>
      </c>
      <c r="L10" s="44" t="s">
        <v>379</v>
      </c>
      <c r="M10" s="44" t="s">
        <v>380</v>
      </c>
      <c r="N10" s="42">
        <v>294337.5</v>
      </c>
      <c r="O10" s="42">
        <v>294337.5</v>
      </c>
      <c r="P10" s="42">
        <v>278512.5</v>
      </c>
      <c r="Q10" s="42">
        <v>15825</v>
      </c>
      <c r="R10" s="42">
        <v>0</v>
      </c>
      <c r="S10" s="42">
        <v>278512.5</v>
      </c>
      <c r="T10" s="42">
        <v>15825</v>
      </c>
      <c r="U10" s="38">
        <v>5.3764810803924069E-2</v>
      </c>
      <c r="V10" s="38">
        <v>5.3764810803924069E-2</v>
      </c>
      <c r="W10" s="42"/>
      <c r="X10" s="241"/>
      <c r="Y10" s="42">
        <v>278512.5</v>
      </c>
      <c r="Z10" s="42">
        <v>0</v>
      </c>
      <c r="AA10" s="42">
        <v>0</v>
      </c>
      <c r="AB10" s="42">
        <v>0</v>
      </c>
      <c r="AC10" s="42">
        <v>179604.68000000014</v>
      </c>
      <c r="AD10" s="42">
        <v>0</v>
      </c>
      <c r="AE10" s="42">
        <v>98907.819999999861</v>
      </c>
      <c r="AF10" s="38">
        <v>0.36799999999999999</v>
      </c>
      <c r="AG10" s="38">
        <v>0.35512883622817598</v>
      </c>
      <c r="AH10" s="42">
        <v>98907.819999999861</v>
      </c>
      <c r="AI10" s="38">
        <v>0.35512883622817598</v>
      </c>
      <c r="AJ10" s="42">
        <v>119037.5</v>
      </c>
      <c r="AK10" s="42">
        <v>106075</v>
      </c>
      <c r="AL10" s="42">
        <v>53400</v>
      </c>
      <c r="AM10" s="42">
        <v>0</v>
      </c>
      <c r="AN10" s="42">
        <v>0</v>
      </c>
      <c r="AO10" s="42">
        <v>0</v>
      </c>
      <c r="AP10" s="42">
        <v>0</v>
      </c>
      <c r="AQ10" s="42">
        <v>0</v>
      </c>
      <c r="AR10" s="42">
        <v>0</v>
      </c>
      <c r="AS10" s="42">
        <v>0</v>
      </c>
      <c r="AT10" s="42">
        <v>0</v>
      </c>
      <c r="AU10" s="42">
        <v>0</v>
      </c>
      <c r="AV10" s="42">
        <v>76053.159999999974</v>
      </c>
      <c r="AW10" s="42">
        <v>72112.319999999978</v>
      </c>
      <c r="AX10" s="42">
        <v>31439.19999999999</v>
      </c>
      <c r="AY10" s="42">
        <v>0</v>
      </c>
      <c r="AZ10" s="42">
        <v>0</v>
      </c>
      <c r="BA10" s="42">
        <v>0</v>
      </c>
      <c r="BB10" s="42">
        <v>0</v>
      </c>
      <c r="BC10" s="42">
        <v>0</v>
      </c>
      <c r="BD10" s="42">
        <v>0</v>
      </c>
      <c r="BE10" s="42">
        <v>0</v>
      </c>
      <c r="BF10" s="42">
        <v>0</v>
      </c>
      <c r="BG10" s="42">
        <v>0</v>
      </c>
      <c r="BH10" s="42">
        <v>42984.340000000026</v>
      </c>
      <c r="BI10" s="42">
        <v>33962.680000000022</v>
      </c>
      <c r="BJ10" s="42">
        <v>21960.80000000001</v>
      </c>
      <c r="BK10" s="42">
        <v>0</v>
      </c>
      <c r="BL10" s="42">
        <v>0</v>
      </c>
      <c r="BM10" s="42">
        <v>0</v>
      </c>
      <c r="BN10" s="42">
        <v>0</v>
      </c>
      <c r="BO10" s="42">
        <v>0</v>
      </c>
      <c r="BP10" s="42">
        <v>0</v>
      </c>
      <c r="BQ10" s="42">
        <v>0</v>
      </c>
      <c r="BR10" s="42">
        <v>0</v>
      </c>
      <c r="BS10" s="42">
        <v>0</v>
      </c>
      <c r="BT10" s="42">
        <v>98907.819999999861</v>
      </c>
      <c r="BU10" s="42">
        <v>0</v>
      </c>
      <c r="BV10" s="42">
        <v>0</v>
      </c>
      <c r="BW10" s="42">
        <v>0</v>
      </c>
      <c r="BX10" s="38">
        <v>0.35512883622817598</v>
      </c>
      <c r="BY10" s="38">
        <v>0</v>
      </c>
      <c r="BZ10" s="38">
        <v>0</v>
      </c>
      <c r="CA10" s="38">
        <v>0</v>
      </c>
    </row>
    <row r="11" spans="1:79" x14ac:dyDescent="0.25">
      <c r="A11" s="37" t="s">
        <v>368</v>
      </c>
      <c r="B11" s="37" t="s">
        <v>17</v>
      </c>
      <c r="C11" s="37" t="s">
        <v>376</v>
      </c>
      <c r="D11" s="37" t="s">
        <v>385</v>
      </c>
      <c r="E11" s="37" t="s">
        <v>363</v>
      </c>
      <c r="F11" s="37" t="s">
        <v>378</v>
      </c>
      <c r="G11" s="37"/>
      <c r="H11" s="104">
        <v>45839</v>
      </c>
      <c r="I11" s="104">
        <v>45930</v>
      </c>
      <c r="J11" s="44" t="s">
        <v>372</v>
      </c>
      <c r="K11" s="44" t="s">
        <v>35</v>
      </c>
      <c r="L11" s="44" t="s">
        <v>379</v>
      </c>
      <c r="M11" s="44" t="s">
        <v>380</v>
      </c>
      <c r="N11" s="42">
        <v>374142.5</v>
      </c>
      <c r="O11" s="42">
        <v>0</v>
      </c>
      <c r="P11" s="42">
        <v>0</v>
      </c>
      <c r="Q11" s="42">
        <v>0</v>
      </c>
      <c r="R11" s="42">
        <v>0</v>
      </c>
      <c r="S11" s="42">
        <v>0</v>
      </c>
      <c r="T11" s="42">
        <v>0</v>
      </c>
      <c r="U11" s="38">
        <v>0</v>
      </c>
      <c r="V11" s="38">
        <v>1</v>
      </c>
      <c r="W11" s="42"/>
      <c r="X11" s="241"/>
      <c r="Y11" s="42">
        <v>0</v>
      </c>
      <c r="Z11" s="42">
        <v>0</v>
      </c>
      <c r="AA11" s="42">
        <v>0</v>
      </c>
      <c r="AB11" s="42">
        <v>0</v>
      </c>
      <c r="AC11" s="42">
        <v>0</v>
      </c>
      <c r="AD11" s="42">
        <v>0</v>
      </c>
      <c r="AE11" s="42">
        <v>0</v>
      </c>
      <c r="AF11" s="38"/>
      <c r="AG11" s="38">
        <v>0</v>
      </c>
      <c r="AH11" s="42">
        <v>0</v>
      </c>
      <c r="AI11" s="38">
        <v>0</v>
      </c>
      <c r="AJ11" s="42">
        <v>0</v>
      </c>
      <c r="AK11" s="42">
        <v>0</v>
      </c>
      <c r="AL11" s="42">
        <v>0</v>
      </c>
      <c r="AM11" s="42">
        <v>0</v>
      </c>
      <c r="AN11" s="42">
        <v>0</v>
      </c>
      <c r="AO11" s="42">
        <v>0</v>
      </c>
      <c r="AP11" s="42">
        <v>0</v>
      </c>
      <c r="AQ11" s="42">
        <v>0</v>
      </c>
      <c r="AR11" s="42">
        <v>0</v>
      </c>
      <c r="AS11" s="42">
        <v>0</v>
      </c>
      <c r="AT11" s="42">
        <v>0</v>
      </c>
      <c r="AU11" s="42">
        <v>0</v>
      </c>
      <c r="AV11" s="42">
        <v>0</v>
      </c>
      <c r="AW11" s="42">
        <v>0</v>
      </c>
      <c r="AX11" s="42">
        <v>0</v>
      </c>
      <c r="AY11" s="42">
        <v>0</v>
      </c>
      <c r="AZ11" s="42">
        <v>0</v>
      </c>
      <c r="BA11" s="42">
        <v>0</v>
      </c>
      <c r="BB11" s="42">
        <v>0</v>
      </c>
      <c r="BC11" s="42">
        <v>0</v>
      </c>
      <c r="BD11" s="42">
        <v>0</v>
      </c>
      <c r="BE11" s="42">
        <v>0</v>
      </c>
      <c r="BF11" s="42">
        <v>0</v>
      </c>
      <c r="BG11" s="42">
        <v>0</v>
      </c>
      <c r="BH11" s="42">
        <v>0</v>
      </c>
      <c r="BI11" s="42">
        <v>0</v>
      </c>
      <c r="BJ11" s="42">
        <v>0</v>
      </c>
      <c r="BK11" s="42">
        <v>0</v>
      </c>
      <c r="BL11" s="42">
        <v>0</v>
      </c>
      <c r="BM11" s="42">
        <v>0</v>
      </c>
      <c r="BN11" s="42">
        <v>0</v>
      </c>
      <c r="BO11" s="42">
        <v>0</v>
      </c>
      <c r="BP11" s="42">
        <v>0</v>
      </c>
      <c r="BQ11" s="42">
        <v>0</v>
      </c>
      <c r="BR11" s="42">
        <v>0</v>
      </c>
      <c r="BS11" s="42">
        <v>0</v>
      </c>
      <c r="BT11" s="42">
        <v>0</v>
      </c>
      <c r="BU11" s="42">
        <v>0</v>
      </c>
      <c r="BV11" s="42">
        <v>0</v>
      </c>
      <c r="BW11" s="42">
        <v>0</v>
      </c>
      <c r="BX11" s="38">
        <v>0</v>
      </c>
      <c r="BY11" s="38">
        <v>0</v>
      </c>
      <c r="BZ11" s="38">
        <v>0</v>
      </c>
      <c r="CA11" s="38">
        <v>0</v>
      </c>
    </row>
    <row r="12" spans="1:79" x14ac:dyDescent="0.25">
      <c r="A12" s="37" t="s">
        <v>368</v>
      </c>
      <c r="B12" s="37" t="s">
        <v>17</v>
      </c>
      <c r="C12" s="37" t="s">
        <v>376</v>
      </c>
      <c r="D12" s="37" t="s">
        <v>386</v>
      </c>
      <c r="E12" s="37" t="s">
        <v>363</v>
      </c>
      <c r="F12" s="37" t="s">
        <v>363</v>
      </c>
      <c r="G12" s="37"/>
      <c r="H12" s="104">
        <v>45839</v>
      </c>
      <c r="I12" s="104">
        <v>46028</v>
      </c>
      <c r="J12" s="44" t="s">
        <v>372</v>
      </c>
      <c r="K12" s="44" t="s">
        <v>35</v>
      </c>
      <c r="L12" s="44" t="s">
        <v>379</v>
      </c>
      <c r="M12" s="44" t="s">
        <v>367</v>
      </c>
      <c r="N12" s="42">
        <v>732491.85</v>
      </c>
      <c r="O12" s="42">
        <v>0</v>
      </c>
      <c r="P12" s="42">
        <v>0</v>
      </c>
      <c r="Q12" s="42">
        <v>0</v>
      </c>
      <c r="R12" s="42">
        <v>0</v>
      </c>
      <c r="S12" s="42">
        <v>0</v>
      </c>
      <c r="T12" s="42">
        <v>0</v>
      </c>
      <c r="U12" s="38">
        <v>0</v>
      </c>
      <c r="V12" s="38">
        <v>1</v>
      </c>
      <c r="W12" s="42"/>
      <c r="X12" s="241"/>
      <c r="Y12" s="42">
        <v>0</v>
      </c>
      <c r="Z12" s="42">
        <v>0</v>
      </c>
      <c r="AA12" s="42">
        <v>0</v>
      </c>
      <c r="AB12" s="42">
        <v>0</v>
      </c>
      <c r="AC12" s="42">
        <v>0</v>
      </c>
      <c r="AD12" s="42">
        <v>0</v>
      </c>
      <c r="AE12" s="42">
        <v>0</v>
      </c>
      <c r="AF12" s="38">
        <v>0</v>
      </c>
      <c r="AG12" s="38">
        <v>0</v>
      </c>
      <c r="AH12" s="42">
        <v>0</v>
      </c>
      <c r="AI12" s="38">
        <v>0</v>
      </c>
      <c r="AJ12" s="42">
        <v>0</v>
      </c>
      <c r="AK12" s="42">
        <v>0</v>
      </c>
      <c r="AL12" s="42">
        <v>0</v>
      </c>
      <c r="AM12" s="42">
        <v>0</v>
      </c>
      <c r="AN12" s="42">
        <v>0</v>
      </c>
      <c r="AO12" s="42">
        <v>0</v>
      </c>
      <c r="AP12" s="42">
        <v>0</v>
      </c>
      <c r="AQ12" s="42">
        <v>0</v>
      </c>
      <c r="AR12" s="42">
        <v>0</v>
      </c>
      <c r="AS12" s="42">
        <v>0</v>
      </c>
      <c r="AT12" s="42">
        <v>0</v>
      </c>
      <c r="AU12" s="42">
        <v>0</v>
      </c>
      <c r="AV12" s="42">
        <v>0</v>
      </c>
      <c r="AW12" s="42">
        <v>0</v>
      </c>
      <c r="AX12" s="42">
        <v>0</v>
      </c>
      <c r="AY12" s="42">
        <v>0</v>
      </c>
      <c r="AZ12" s="42">
        <v>0</v>
      </c>
      <c r="BA12" s="42">
        <v>0</v>
      </c>
      <c r="BB12" s="42">
        <v>0</v>
      </c>
      <c r="BC12" s="42">
        <v>0</v>
      </c>
      <c r="BD12" s="42">
        <v>0</v>
      </c>
      <c r="BE12" s="42">
        <v>0</v>
      </c>
      <c r="BF12" s="42">
        <v>0</v>
      </c>
      <c r="BG12" s="42">
        <v>0</v>
      </c>
      <c r="BH12" s="42">
        <v>0</v>
      </c>
      <c r="BI12" s="42">
        <v>0</v>
      </c>
      <c r="BJ12" s="42">
        <v>0</v>
      </c>
      <c r="BK12" s="42">
        <v>0</v>
      </c>
      <c r="BL12" s="42">
        <v>0</v>
      </c>
      <c r="BM12" s="42">
        <v>0</v>
      </c>
      <c r="BN12" s="42">
        <v>0</v>
      </c>
      <c r="BO12" s="42">
        <v>0</v>
      </c>
      <c r="BP12" s="42">
        <v>0</v>
      </c>
      <c r="BQ12" s="42">
        <v>0</v>
      </c>
      <c r="BR12" s="42">
        <v>0</v>
      </c>
      <c r="BS12" s="42">
        <v>0</v>
      </c>
      <c r="BT12" s="42">
        <v>0</v>
      </c>
      <c r="BU12" s="42">
        <v>0</v>
      </c>
      <c r="BV12" s="42">
        <v>0</v>
      </c>
      <c r="BW12" s="42">
        <v>0</v>
      </c>
      <c r="BX12" s="38">
        <v>0</v>
      </c>
      <c r="BY12" s="38">
        <v>0</v>
      </c>
      <c r="BZ12" s="38">
        <v>0</v>
      </c>
      <c r="CA12" s="38">
        <v>0</v>
      </c>
    </row>
    <row r="13" spans="1:79" x14ac:dyDescent="0.25">
      <c r="A13" s="37" t="s">
        <v>368</v>
      </c>
      <c r="B13" s="37" t="s">
        <v>17</v>
      </c>
      <c r="C13" s="37" t="s">
        <v>376</v>
      </c>
      <c r="D13" s="37" t="s">
        <v>387</v>
      </c>
      <c r="E13" s="37" t="s">
        <v>388</v>
      </c>
      <c r="F13" s="37" t="s">
        <v>388</v>
      </c>
      <c r="G13" s="37"/>
      <c r="H13" s="104">
        <v>45839</v>
      </c>
      <c r="I13" s="104">
        <v>46028</v>
      </c>
      <c r="J13" s="44" t="s">
        <v>372</v>
      </c>
      <c r="K13" s="44" t="s">
        <v>35</v>
      </c>
      <c r="L13" s="44" t="s">
        <v>379</v>
      </c>
      <c r="M13" s="44" t="s">
        <v>367</v>
      </c>
      <c r="N13" s="42">
        <v>203058.21</v>
      </c>
      <c r="O13" s="42">
        <v>193750</v>
      </c>
      <c r="P13" s="42">
        <v>175925</v>
      </c>
      <c r="Q13" s="42">
        <v>17825</v>
      </c>
      <c r="R13" s="42">
        <v>0</v>
      </c>
      <c r="S13" s="42">
        <v>175925</v>
      </c>
      <c r="T13" s="42">
        <v>17825</v>
      </c>
      <c r="U13" s="38">
        <v>9.1999999999999998E-2</v>
      </c>
      <c r="V13" s="38">
        <v>0.13362281682676111</v>
      </c>
      <c r="W13" s="42"/>
      <c r="X13" s="241"/>
      <c r="Y13" s="42">
        <v>83796.875</v>
      </c>
      <c r="Z13" s="42">
        <v>92128.125</v>
      </c>
      <c r="AA13" s="42">
        <v>0</v>
      </c>
      <c r="AB13" s="42">
        <v>0</v>
      </c>
      <c r="AC13" s="42">
        <v>140685.52000000014</v>
      </c>
      <c r="AD13" s="42">
        <v>0</v>
      </c>
      <c r="AE13" s="42">
        <v>35239.479999999865</v>
      </c>
      <c r="AF13" s="38">
        <v>0.2</v>
      </c>
      <c r="AG13" s="38">
        <v>0.20030967741935407</v>
      </c>
      <c r="AH13" s="42">
        <v>35239.479999999865</v>
      </c>
      <c r="AI13" s="38">
        <v>0.20030967741935407</v>
      </c>
      <c r="AJ13" s="42">
        <v>35746.875</v>
      </c>
      <c r="AK13" s="42">
        <v>32453.125</v>
      </c>
      <c r="AL13" s="42">
        <v>15596.875</v>
      </c>
      <c r="AM13" s="42">
        <v>34003.125</v>
      </c>
      <c r="AN13" s="42">
        <v>31000</v>
      </c>
      <c r="AO13" s="42">
        <v>27125</v>
      </c>
      <c r="AP13" s="42">
        <v>0</v>
      </c>
      <c r="AQ13" s="42">
        <v>0</v>
      </c>
      <c r="AR13" s="42">
        <v>0</v>
      </c>
      <c r="AS13" s="42">
        <v>0</v>
      </c>
      <c r="AT13" s="42">
        <v>0</v>
      </c>
      <c r="AU13" s="42">
        <v>0</v>
      </c>
      <c r="AV13" s="42">
        <v>28586.43</v>
      </c>
      <c r="AW13" s="42">
        <v>25952.45</v>
      </c>
      <c r="AX13" s="42">
        <v>12472.669999999998</v>
      </c>
      <c r="AY13" s="42">
        <v>27191.970000000005</v>
      </c>
      <c r="AZ13" s="42">
        <v>24790.400000000005</v>
      </c>
      <c r="BA13" s="42">
        <v>21691.600000000006</v>
      </c>
      <c r="BB13" s="42">
        <v>0</v>
      </c>
      <c r="BC13" s="42">
        <v>0</v>
      </c>
      <c r="BD13" s="42">
        <v>0</v>
      </c>
      <c r="BE13" s="42">
        <v>0</v>
      </c>
      <c r="BF13" s="42">
        <v>0</v>
      </c>
      <c r="BG13" s="42">
        <v>0</v>
      </c>
      <c r="BH13" s="42">
        <v>7160.4449999999997</v>
      </c>
      <c r="BI13" s="42">
        <v>6500.6749999999993</v>
      </c>
      <c r="BJ13" s="42">
        <v>3124.2050000000017</v>
      </c>
      <c r="BK13" s="42">
        <v>6811.1549999999952</v>
      </c>
      <c r="BL13" s="42">
        <v>6209.5999999999949</v>
      </c>
      <c r="BM13" s="42">
        <v>5433.3999999999942</v>
      </c>
      <c r="BN13" s="42">
        <v>0</v>
      </c>
      <c r="BO13" s="42">
        <v>0</v>
      </c>
      <c r="BP13" s="42">
        <v>0</v>
      </c>
      <c r="BQ13" s="42">
        <v>0</v>
      </c>
      <c r="BR13" s="42">
        <v>0</v>
      </c>
      <c r="BS13" s="42">
        <v>0</v>
      </c>
      <c r="BT13" s="42">
        <v>16785.324999999997</v>
      </c>
      <c r="BU13" s="42">
        <v>18454.154999999868</v>
      </c>
      <c r="BV13" s="42">
        <v>0</v>
      </c>
      <c r="BW13" s="42">
        <v>0</v>
      </c>
      <c r="BX13" s="38">
        <v>0.20030967741935479</v>
      </c>
      <c r="BY13" s="38">
        <v>0.2003096774193534</v>
      </c>
      <c r="BZ13" s="38">
        <v>0</v>
      </c>
      <c r="CA13" s="38">
        <v>0</v>
      </c>
    </row>
    <row r="14" spans="1:79" x14ac:dyDescent="0.25">
      <c r="A14" s="37" t="s">
        <v>368</v>
      </c>
      <c r="B14" s="37" t="s">
        <v>17</v>
      </c>
      <c r="C14" s="37" t="s">
        <v>376</v>
      </c>
      <c r="D14" s="37" t="s">
        <v>389</v>
      </c>
      <c r="E14" s="37" t="s">
        <v>388</v>
      </c>
      <c r="F14" s="37" t="s">
        <v>388</v>
      </c>
      <c r="G14" s="37"/>
      <c r="H14" s="104">
        <v>45839</v>
      </c>
      <c r="I14" s="104">
        <v>46028</v>
      </c>
      <c r="J14" s="44" t="s">
        <v>372</v>
      </c>
      <c r="K14" s="44" t="s">
        <v>35</v>
      </c>
      <c r="L14" s="44" t="s">
        <v>379</v>
      </c>
      <c r="M14" s="44" t="s">
        <v>367</v>
      </c>
      <c r="N14" s="42">
        <v>169000</v>
      </c>
      <c r="O14" s="42">
        <v>166400</v>
      </c>
      <c r="P14" s="42">
        <v>160387.5</v>
      </c>
      <c r="Q14" s="42">
        <v>6012.5</v>
      </c>
      <c r="R14" s="42">
        <v>0</v>
      </c>
      <c r="S14" s="42">
        <v>160387.5</v>
      </c>
      <c r="T14" s="42">
        <v>6012.5</v>
      </c>
      <c r="U14" s="38">
        <v>3.61328125E-2</v>
      </c>
      <c r="V14" s="38">
        <v>5.0961538461538461E-2</v>
      </c>
      <c r="W14" s="42"/>
      <c r="X14" s="241"/>
      <c r="Y14" s="42">
        <v>86125</v>
      </c>
      <c r="Z14" s="42">
        <v>69550</v>
      </c>
      <c r="AA14" s="42">
        <v>4712.5</v>
      </c>
      <c r="AB14" s="42">
        <v>0</v>
      </c>
      <c r="AC14" s="42">
        <v>147645.33000000013</v>
      </c>
      <c r="AD14" s="42">
        <v>0</v>
      </c>
      <c r="AE14" s="42">
        <v>12742.169999999867</v>
      </c>
      <c r="AF14" s="38">
        <v>0.08</v>
      </c>
      <c r="AG14" s="38">
        <v>7.9446153846153014E-2</v>
      </c>
      <c r="AH14" s="42">
        <v>12742.169999999867</v>
      </c>
      <c r="AI14" s="38">
        <v>7.9446153846153014E-2</v>
      </c>
      <c r="AJ14" s="42">
        <v>28600</v>
      </c>
      <c r="AK14" s="42">
        <v>28437.5</v>
      </c>
      <c r="AL14" s="42">
        <v>29087.5</v>
      </c>
      <c r="AM14" s="42">
        <v>28600</v>
      </c>
      <c r="AN14" s="42">
        <v>15600</v>
      </c>
      <c r="AO14" s="42">
        <v>25350</v>
      </c>
      <c r="AP14" s="42">
        <v>4712.5</v>
      </c>
      <c r="AQ14" s="42">
        <v>0</v>
      </c>
      <c r="AR14" s="42">
        <v>0</v>
      </c>
      <c r="AS14" s="42">
        <v>0</v>
      </c>
      <c r="AT14" s="42">
        <v>0</v>
      </c>
      <c r="AU14" s="42">
        <v>0</v>
      </c>
      <c r="AV14" s="42">
        <v>26327.840000000007</v>
      </c>
      <c r="AW14" s="42">
        <v>26178.250000000007</v>
      </c>
      <c r="AX14" s="42">
        <v>26776.610000000004</v>
      </c>
      <c r="AY14" s="42">
        <v>26327.840000000007</v>
      </c>
      <c r="AZ14" s="42">
        <v>14360.639999999998</v>
      </c>
      <c r="BA14" s="42">
        <v>23336.040000000005</v>
      </c>
      <c r="BB14" s="42">
        <v>4338.1100000000006</v>
      </c>
      <c r="BC14" s="42">
        <v>0</v>
      </c>
      <c r="BD14" s="42">
        <v>0</v>
      </c>
      <c r="BE14" s="42">
        <v>0</v>
      </c>
      <c r="BF14" s="42">
        <v>0</v>
      </c>
      <c r="BG14" s="42">
        <v>0</v>
      </c>
      <c r="BH14" s="42">
        <v>2272.1599999999926</v>
      </c>
      <c r="BI14" s="42">
        <v>2259.2499999999927</v>
      </c>
      <c r="BJ14" s="42">
        <v>2310.8899999999958</v>
      </c>
      <c r="BK14" s="42">
        <v>2272.1599999999926</v>
      </c>
      <c r="BL14" s="42">
        <v>1239.3600000000024</v>
      </c>
      <c r="BM14" s="42">
        <v>2013.9599999999955</v>
      </c>
      <c r="BN14" s="42">
        <v>374.38999999999942</v>
      </c>
      <c r="BO14" s="42">
        <v>0</v>
      </c>
      <c r="BP14" s="42">
        <v>0</v>
      </c>
      <c r="BQ14" s="42">
        <v>0</v>
      </c>
      <c r="BR14" s="42">
        <v>0</v>
      </c>
      <c r="BS14" s="42">
        <v>0</v>
      </c>
      <c r="BT14" s="42">
        <v>6842.2999999999593</v>
      </c>
      <c r="BU14" s="42">
        <v>5525.4799999999232</v>
      </c>
      <c r="BV14" s="42">
        <v>374.38999999998487</v>
      </c>
      <c r="BW14" s="42">
        <v>0</v>
      </c>
      <c r="BX14" s="38">
        <v>7.9446153846153375E-2</v>
      </c>
      <c r="BY14" s="38">
        <v>7.9446153846152737E-2</v>
      </c>
      <c r="BZ14" s="38">
        <v>7.9446153846150641E-2</v>
      </c>
      <c r="CA14" s="38">
        <v>0</v>
      </c>
    </row>
    <row r="15" spans="1:79" x14ac:dyDescent="0.25">
      <c r="A15" s="37" t="s">
        <v>368</v>
      </c>
      <c r="B15" s="37" t="s">
        <v>17</v>
      </c>
      <c r="C15" s="37" t="s">
        <v>376</v>
      </c>
      <c r="D15" s="37" t="s">
        <v>390</v>
      </c>
      <c r="E15" s="37" t="s">
        <v>388</v>
      </c>
      <c r="F15" s="37" t="s">
        <v>388</v>
      </c>
      <c r="G15" s="37"/>
      <c r="H15" s="104">
        <v>45839</v>
      </c>
      <c r="I15" s="104">
        <v>46028</v>
      </c>
      <c r="J15" s="44" t="s">
        <v>372</v>
      </c>
      <c r="K15" s="44" t="s">
        <v>35</v>
      </c>
      <c r="L15" s="44" t="s">
        <v>379</v>
      </c>
      <c r="M15" s="44" t="s">
        <v>367</v>
      </c>
      <c r="N15" s="42">
        <v>213326.85</v>
      </c>
      <c r="O15" s="42">
        <v>193750</v>
      </c>
      <c r="P15" s="42">
        <v>160570.3125</v>
      </c>
      <c r="Q15" s="42">
        <v>33179.6875</v>
      </c>
      <c r="R15" s="42">
        <v>0</v>
      </c>
      <c r="S15" s="42">
        <v>160570.3125</v>
      </c>
      <c r="T15" s="42">
        <v>33179.6875</v>
      </c>
      <c r="U15" s="38">
        <v>0.17125000000000001</v>
      </c>
      <c r="V15" s="38">
        <v>0.24730378524784857</v>
      </c>
      <c r="W15" s="42"/>
      <c r="X15" s="241"/>
      <c r="Y15" s="42">
        <v>81568.75</v>
      </c>
      <c r="Z15" s="42">
        <v>74351.5625</v>
      </c>
      <c r="AA15" s="42">
        <v>4650</v>
      </c>
      <c r="AB15" s="42">
        <v>0</v>
      </c>
      <c r="AC15" s="42">
        <v>123972.71250000007</v>
      </c>
      <c r="AD15" s="42">
        <v>0</v>
      </c>
      <c r="AE15" s="42">
        <v>36597.599999999933</v>
      </c>
      <c r="AF15" s="38">
        <v>0.22</v>
      </c>
      <c r="AG15" s="38">
        <v>0.22792258064516088</v>
      </c>
      <c r="AH15" s="42">
        <v>36597.599999999933</v>
      </c>
      <c r="AI15" s="38">
        <v>0.22792258064516088</v>
      </c>
      <c r="AJ15" s="42">
        <v>17825</v>
      </c>
      <c r="AK15" s="42">
        <v>30612.5</v>
      </c>
      <c r="AL15" s="42">
        <v>33131.25</v>
      </c>
      <c r="AM15" s="42">
        <v>29110.9375</v>
      </c>
      <c r="AN15" s="42">
        <v>17825</v>
      </c>
      <c r="AO15" s="42">
        <v>27415.625</v>
      </c>
      <c r="AP15" s="42">
        <v>4650</v>
      </c>
      <c r="AQ15" s="42">
        <v>0</v>
      </c>
      <c r="AR15" s="42">
        <v>0</v>
      </c>
      <c r="AS15" s="42">
        <v>0</v>
      </c>
      <c r="AT15" s="42">
        <v>0</v>
      </c>
      <c r="AU15" s="42">
        <v>0</v>
      </c>
      <c r="AV15" s="42">
        <v>13762.279999999997</v>
      </c>
      <c r="AW15" s="42">
        <v>23635.220000000005</v>
      </c>
      <c r="AX15" s="42">
        <v>25579.890000000003</v>
      </c>
      <c r="AY15" s="42">
        <v>22475.897500000003</v>
      </c>
      <c r="AZ15" s="42">
        <v>13762.279999999999</v>
      </c>
      <c r="BA15" s="42">
        <v>21166.985000000001</v>
      </c>
      <c r="BB15" s="42">
        <v>3590.16</v>
      </c>
      <c r="BC15" s="42">
        <v>0</v>
      </c>
      <c r="BD15" s="42">
        <v>0</v>
      </c>
      <c r="BE15" s="42">
        <v>0</v>
      </c>
      <c r="BF15" s="42">
        <v>0</v>
      </c>
      <c r="BG15" s="42">
        <v>0</v>
      </c>
      <c r="BH15" s="42">
        <v>4062.720000000003</v>
      </c>
      <c r="BI15" s="42">
        <v>6977.2799999999952</v>
      </c>
      <c r="BJ15" s="42">
        <v>7551.3599999999969</v>
      </c>
      <c r="BK15" s="42">
        <v>6635.0399999999972</v>
      </c>
      <c r="BL15" s="42">
        <v>4062.7200000000012</v>
      </c>
      <c r="BM15" s="42">
        <v>6248.6399999999994</v>
      </c>
      <c r="BN15" s="42">
        <v>1059.8400000000001</v>
      </c>
      <c r="BO15" s="42">
        <v>0</v>
      </c>
      <c r="BP15" s="42">
        <v>0</v>
      </c>
      <c r="BQ15" s="42">
        <v>0</v>
      </c>
      <c r="BR15" s="42">
        <v>0</v>
      </c>
      <c r="BS15" s="42">
        <v>0</v>
      </c>
      <c r="BT15" s="42">
        <v>18591.359999999957</v>
      </c>
      <c r="BU15" s="42">
        <v>16946.39999999998</v>
      </c>
      <c r="BV15" s="42">
        <v>1059.8399999999965</v>
      </c>
      <c r="BW15" s="42">
        <v>0</v>
      </c>
      <c r="BX15" s="38">
        <v>0.22792258064516077</v>
      </c>
      <c r="BY15" s="38">
        <v>0.22792258064516102</v>
      </c>
      <c r="BZ15" s="38">
        <v>0.22792258064516055</v>
      </c>
      <c r="CA15" s="38">
        <v>0</v>
      </c>
    </row>
    <row r="16" spans="1:79" x14ac:dyDescent="0.25">
      <c r="A16" s="37" t="s">
        <v>368</v>
      </c>
      <c r="B16" s="37" t="s">
        <v>17</v>
      </c>
      <c r="C16" s="37" t="s">
        <v>376</v>
      </c>
      <c r="D16" s="37" t="s">
        <v>391</v>
      </c>
      <c r="E16" s="37" t="s">
        <v>388</v>
      </c>
      <c r="F16" s="37" t="s">
        <v>388</v>
      </c>
      <c r="G16" s="37"/>
      <c r="H16" s="104">
        <v>45839</v>
      </c>
      <c r="I16" s="104">
        <v>46028</v>
      </c>
      <c r="J16" s="44" t="s">
        <v>372</v>
      </c>
      <c r="K16" s="44" t="s">
        <v>35</v>
      </c>
      <c r="L16" s="44" t="s">
        <v>379</v>
      </c>
      <c r="M16" s="44" t="s">
        <v>367</v>
      </c>
      <c r="N16" s="42">
        <v>170300</v>
      </c>
      <c r="O16" s="42">
        <v>162500</v>
      </c>
      <c r="P16" s="42">
        <v>161200</v>
      </c>
      <c r="Q16" s="42">
        <v>1300</v>
      </c>
      <c r="R16" s="42">
        <v>0</v>
      </c>
      <c r="S16" s="42">
        <v>161200</v>
      </c>
      <c r="T16" s="42">
        <v>1300</v>
      </c>
      <c r="U16" s="38">
        <v>8.0000000000000002E-3</v>
      </c>
      <c r="V16" s="38">
        <v>5.3435114503816793E-2</v>
      </c>
      <c r="W16" s="42"/>
      <c r="X16" s="241"/>
      <c r="Y16" s="42">
        <v>81900</v>
      </c>
      <c r="Z16" s="42">
        <v>76700</v>
      </c>
      <c r="AA16" s="42">
        <v>2600</v>
      </c>
      <c r="AB16" s="42">
        <v>0</v>
      </c>
      <c r="AC16" s="42">
        <v>125577.28000000012</v>
      </c>
      <c r="AD16" s="42">
        <v>0</v>
      </c>
      <c r="AE16" s="42">
        <v>35622.719999999885</v>
      </c>
      <c r="AF16" s="38">
        <v>0.22</v>
      </c>
      <c r="AG16" s="38">
        <v>0.22098461538461467</v>
      </c>
      <c r="AH16" s="42">
        <v>35622.719999999885</v>
      </c>
      <c r="AI16" s="38">
        <v>0.22098461538461467</v>
      </c>
      <c r="AJ16" s="42">
        <v>29900</v>
      </c>
      <c r="AK16" s="42">
        <v>27300</v>
      </c>
      <c r="AL16" s="42">
        <v>24700</v>
      </c>
      <c r="AM16" s="42">
        <v>28600</v>
      </c>
      <c r="AN16" s="42">
        <v>26000</v>
      </c>
      <c r="AO16" s="42">
        <v>22100</v>
      </c>
      <c r="AP16" s="42">
        <v>2600</v>
      </c>
      <c r="AQ16" s="42">
        <v>0</v>
      </c>
      <c r="AR16" s="42">
        <v>0</v>
      </c>
      <c r="AS16" s="42">
        <v>0</v>
      </c>
      <c r="AT16" s="42">
        <v>0</v>
      </c>
      <c r="AU16" s="42">
        <v>0</v>
      </c>
      <c r="AV16" s="42">
        <v>23292.560000000005</v>
      </c>
      <c r="AW16" s="42">
        <v>21267.120000000003</v>
      </c>
      <c r="AX16" s="42">
        <v>19241.68</v>
      </c>
      <c r="AY16" s="42">
        <v>22279.840000000004</v>
      </c>
      <c r="AZ16" s="42">
        <v>20254.400000000001</v>
      </c>
      <c r="BA16" s="42">
        <v>17216.239999999998</v>
      </c>
      <c r="BB16" s="42">
        <v>2025.44</v>
      </c>
      <c r="BC16" s="42">
        <v>0</v>
      </c>
      <c r="BD16" s="42">
        <v>0</v>
      </c>
      <c r="BE16" s="42">
        <v>0</v>
      </c>
      <c r="BF16" s="42">
        <v>0</v>
      </c>
      <c r="BG16" s="42">
        <v>0</v>
      </c>
      <c r="BH16" s="42">
        <v>6607.4399999999951</v>
      </c>
      <c r="BI16" s="42">
        <v>6032.8799999999974</v>
      </c>
      <c r="BJ16" s="42">
        <v>5458.32</v>
      </c>
      <c r="BK16" s="42">
        <v>6320.1599999999962</v>
      </c>
      <c r="BL16" s="42">
        <v>5745.5999999999985</v>
      </c>
      <c r="BM16" s="42">
        <v>4883.760000000002</v>
      </c>
      <c r="BN16" s="42">
        <v>574.55999999999995</v>
      </c>
      <c r="BO16" s="42">
        <v>0</v>
      </c>
      <c r="BP16" s="42">
        <v>0</v>
      </c>
      <c r="BQ16" s="42">
        <v>0</v>
      </c>
      <c r="BR16" s="42">
        <v>0</v>
      </c>
      <c r="BS16" s="42">
        <v>0</v>
      </c>
      <c r="BT16" s="42">
        <v>18098.639999999948</v>
      </c>
      <c r="BU16" s="42">
        <v>16949.519999999939</v>
      </c>
      <c r="BV16" s="42">
        <v>574.55999999999767</v>
      </c>
      <c r="BW16" s="42">
        <v>0</v>
      </c>
      <c r="BX16" s="38">
        <v>0.22098461538461475</v>
      </c>
      <c r="BY16" s="38">
        <v>0.22098461538461459</v>
      </c>
      <c r="BZ16" s="38">
        <v>0.2209846153846145</v>
      </c>
      <c r="CA16" s="38">
        <v>0</v>
      </c>
    </row>
    <row r="17" spans="1:79" x14ac:dyDescent="0.25">
      <c r="A17" s="37" t="s">
        <v>368</v>
      </c>
      <c r="B17" s="37" t="s">
        <v>17</v>
      </c>
      <c r="C17" s="37" t="s">
        <v>376</v>
      </c>
      <c r="D17" s="37" t="s">
        <v>392</v>
      </c>
      <c r="E17" s="37" t="s">
        <v>388</v>
      </c>
      <c r="F17" s="37" t="s">
        <v>388</v>
      </c>
      <c r="G17" s="37"/>
      <c r="H17" s="104">
        <v>45839</v>
      </c>
      <c r="I17" s="104">
        <v>45931</v>
      </c>
      <c r="J17" s="44" t="s">
        <v>372</v>
      </c>
      <c r="K17" s="44" t="s">
        <v>35</v>
      </c>
      <c r="L17" s="44" t="s">
        <v>379</v>
      </c>
      <c r="M17" s="44" t="s">
        <v>380</v>
      </c>
      <c r="N17" s="42">
        <v>116160</v>
      </c>
      <c r="O17" s="42">
        <v>116160</v>
      </c>
      <c r="P17" s="42">
        <v>113630</v>
      </c>
      <c r="Q17" s="42">
        <v>2530</v>
      </c>
      <c r="R17" s="42">
        <v>0</v>
      </c>
      <c r="S17" s="42">
        <v>113630</v>
      </c>
      <c r="T17" s="42">
        <v>2530</v>
      </c>
      <c r="U17" s="38">
        <v>2.1780303030303032E-2</v>
      </c>
      <c r="V17" s="38">
        <v>2.1780303030303032E-2</v>
      </c>
      <c r="W17" s="42"/>
      <c r="X17" s="241"/>
      <c r="Y17" s="42">
        <v>113630</v>
      </c>
      <c r="Z17" s="42">
        <v>0</v>
      </c>
      <c r="AA17" s="42">
        <v>0</v>
      </c>
      <c r="AB17" s="42">
        <v>0</v>
      </c>
      <c r="AC17" s="42">
        <v>102267</v>
      </c>
      <c r="AD17" s="42">
        <v>0</v>
      </c>
      <c r="AE17" s="42">
        <v>11363</v>
      </c>
      <c r="AF17" s="38">
        <v>0.1</v>
      </c>
      <c r="AG17" s="38">
        <v>0.1</v>
      </c>
      <c r="AH17" s="42">
        <v>11363</v>
      </c>
      <c r="AI17" s="38">
        <v>0.1</v>
      </c>
      <c r="AJ17" s="42">
        <v>39050</v>
      </c>
      <c r="AK17" s="42">
        <v>36960</v>
      </c>
      <c r="AL17" s="42">
        <v>37620</v>
      </c>
      <c r="AM17" s="42">
        <v>0</v>
      </c>
      <c r="AN17" s="42">
        <v>0</v>
      </c>
      <c r="AO17" s="42">
        <v>0</v>
      </c>
      <c r="AP17" s="42">
        <v>0</v>
      </c>
      <c r="AQ17" s="42">
        <v>0</v>
      </c>
      <c r="AR17" s="42">
        <v>0</v>
      </c>
      <c r="AS17" s="42">
        <v>0</v>
      </c>
      <c r="AT17" s="42">
        <v>0</v>
      </c>
      <c r="AU17" s="42">
        <v>0</v>
      </c>
      <c r="AV17" s="42">
        <v>35145</v>
      </c>
      <c r="AW17" s="42">
        <v>33264</v>
      </c>
      <c r="AX17" s="42">
        <v>33858</v>
      </c>
      <c r="AY17" s="42">
        <v>0</v>
      </c>
      <c r="AZ17" s="42">
        <v>0</v>
      </c>
      <c r="BA17" s="42">
        <v>0</v>
      </c>
      <c r="BB17" s="42">
        <v>0</v>
      </c>
      <c r="BC17" s="42">
        <v>0</v>
      </c>
      <c r="BD17" s="42">
        <v>0</v>
      </c>
      <c r="BE17" s="42">
        <v>0</v>
      </c>
      <c r="BF17" s="42">
        <v>0</v>
      </c>
      <c r="BG17" s="42">
        <v>0</v>
      </c>
      <c r="BH17" s="42">
        <v>3905</v>
      </c>
      <c r="BI17" s="42">
        <v>3696</v>
      </c>
      <c r="BJ17" s="42">
        <v>3762</v>
      </c>
      <c r="BK17" s="42">
        <v>0</v>
      </c>
      <c r="BL17" s="42">
        <v>0</v>
      </c>
      <c r="BM17" s="42">
        <v>0</v>
      </c>
      <c r="BN17" s="42">
        <v>0</v>
      </c>
      <c r="BO17" s="42">
        <v>0</v>
      </c>
      <c r="BP17" s="42">
        <v>0</v>
      </c>
      <c r="BQ17" s="42">
        <v>0</v>
      </c>
      <c r="BR17" s="42">
        <v>0</v>
      </c>
      <c r="BS17" s="42">
        <v>0</v>
      </c>
      <c r="BT17" s="42">
        <v>11363</v>
      </c>
      <c r="BU17" s="42">
        <v>0</v>
      </c>
      <c r="BV17" s="42">
        <v>0</v>
      </c>
      <c r="BW17" s="42">
        <v>0</v>
      </c>
      <c r="BX17" s="38">
        <v>0.1</v>
      </c>
      <c r="BY17" s="38">
        <v>0</v>
      </c>
      <c r="BZ17" s="38">
        <v>0</v>
      </c>
      <c r="CA17" s="38">
        <v>0</v>
      </c>
    </row>
    <row r="18" spans="1:79" x14ac:dyDescent="0.25">
      <c r="A18" s="37" t="s">
        <v>361</v>
      </c>
      <c r="B18" s="37" t="s">
        <v>17</v>
      </c>
      <c r="C18" s="37" t="s">
        <v>376</v>
      </c>
      <c r="D18" s="37" t="s">
        <v>260</v>
      </c>
      <c r="E18" s="37" t="s">
        <v>378</v>
      </c>
      <c r="F18" s="37" t="s">
        <v>378</v>
      </c>
      <c r="G18" s="37"/>
      <c r="H18" s="104">
        <v>46029</v>
      </c>
      <c r="I18" s="104">
        <v>46203</v>
      </c>
      <c r="J18" s="44" t="s">
        <v>372</v>
      </c>
      <c r="K18" s="44" t="s">
        <v>35</v>
      </c>
      <c r="L18" s="44" t="s">
        <v>379</v>
      </c>
      <c r="M18" s="44" t="s">
        <v>367</v>
      </c>
      <c r="N18" s="42">
        <v>153271.98000000001</v>
      </c>
      <c r="O18" s="42">
        <v>150180.96</v>
      </c>
      <c r="P18" s="42">
        <v>30068.010000000009</v>
      </c>
      <c r="Q18" s="42">
        <v>120112.94999999998</v>
      </c>
      <c r="R18" s="42">
        <v>122181.12000000004</v>
      </c>
      <c r="S18" s="42">
        <v>150180.96</v>
      </c>
      <c r="T18" s="42">
        <v>-2068.1700000000565</v>
      </c>
      <c r="U18" s="38">
        <v>-1.3771186440678342E-2</v>
      </c>
      <c r="V18" s="38">
        <v>2.0166895475611513E-2</v>
      </c>
      <c r="W18" s="42"/>
      <c r="X18" s="241"/>
      <c r="Y18" s="42">
        <v>0</v>
      </c>
      <c r="Z18" s="42">
        <v>0</v>
      </c>
      <c r="AA18" s="42">
        <v>30068.010000000009</v>
      </c>
      <c r="AB18" s="42">
        <v>0</v>
      </c>
      <c r="AC18" s="42">
        <v>27223.559999999998</v>
      </c>
      <c r="AD18" s="42">
        <v>110622.72000000002</v>
      </c>
      <c r="AE18" s="42">
        <v>2844.4500000000116</v>
      </c>
      <c r="AF18" s="38">
        <v>0.06</v>
      </c>
      <c r="AG18" s="38">
        <v>9.460054057451793E-2</v>
      </c>
      <c r="AH18" s="42">
        <v>12334.679999999964</v>
      </c>
      <c r="AI18" s="38">
        <v>8.2132115815479967E-2</v>
      </c>
      <c r="AJ18" s="42">
        <v>0</v>
      </c>
      <c r="AK18" s="42">
        <v>0</v>
      </c>
      <c r="AL18" s="42">
        <v>0</v>
      </c>
      <c r="AM18" s="42">
        <v>0</v>
      </c>
      <c r="AN18" s="42">
        <v>0</v>
      </c>
      <c r="AO18" s="42">
        <v>0</v>
      </c>
      <c r="AP18" s="42">
        <v>23704.410000000003</v>
      </c>
      <c r="AQ18" s="42">
        <v>25454.400000000001</v>
      </c>
      <c r="AR18" s="42">
        <v>29272.560000000001</v>
      </c>
      <c r="AS18" s="42">
        <v>22908.959999999999</v>
      </c>
      <c r="AT18" s="42">
        <v>25454.400000000001</v>
      </c>
      <c r="AU18" s="42">
        <v>25454.400000000001</v>
      </c>
      <c r="AV18" s="42">
        <v>0</v>
      </c>
      <c r="AW18" s="42">
        <v>0</v>
      </c>
      <c r="AX18" s="42">
        <v>0</v>
      </c>
      <c r="AY18" s="42">
        <v>0</v>
      </c>
      <c r="AZ18" s="42">
        <v>0</v>
      </c>
      <c r="BA18" s="42">
        <v>0</v>
      </c>
      <c r="BB18" s="42">
        <v>21461.96</v>
      </c>
      <c r="BC18" s="42">
        <v>23046.399999999998</v>
      </c>
      <c r="BD18" s="42">
        <v>26503.359999999997</v>
      </c>
      <c r="BE18" s="42">
        <v>20741.759999999998</v>
      </c>
      <c r="BF18" s="42">
        <v>23046.399999999998</v>
      </c>
      <c r="BG18" s="42">
        <v>23046.399999999998</v>
      </c>
      <c r="BH18" s="42">
        <v>0</v>
      </c>
      <c r="BI18" s="42">
        <v>0</v>
      </c>
      <c r="BJ18" s="42">
        <v>0</v>
      </c>
      <c r="BK18" s="42">
        <v>0</v>
      </c>
      <c r="BL18" s="42">
        <v>0</v>
      </c>
      <c r="BM18" s="42">
        <v>0</v>
      </c>
      <c r="BN18" s="42">
        <v>2242.4500000000044</v>
      </c>
      <c r="BO18" s="42">
        <v>2408.0000000000036</v>
      </c>
      <c r="BP18" s="42">
        <v>2769.2000000000044</v>
      </c>
      <c r="BQ18" s="42">
        <v>2167.2000000000007</v>
      </c>
      <c r="BR18" s="42">
        <v>2408.0000000000036</v>
      </c>
      <c r="BS18" s="42">
        <v>2408.0000000000036</v>
      </c>
      <c r="BT18" s="42">
        <v>0</v>
      </c>
      <c r="BU18" s="42">
        <v>0</v>
      </c>
      <c r="BV18" s="42">
        <v>2844.4500000000116</v>
      </c>
      <c r="BW18" s="42">
        <v>0</v>
      </c>
      <c r="BX18" s="38">
        <v>0</v>
      </c>
      <c r="BY18" s="38">
        <v>0</v>
      </c>
      <c r="BZ18" s="38">
        <v>9.460054057451793E-2</v>
      </c>
      <c r="CA18" s="38">
        <v>0</v>
      </c>
    </row>
    <row r="19" spans="1:79" x14ac:dyDescent="0.25">
      <c r="A19" s="37" t="s">
        <v>361</v>
      </c>
      <c r="B19" s="37" t="s">
        <v>17</v>
      </c>
      <c r="C19" s="37" t="s">
        <v>376</v>
      </c>
      <c r="D19" s="37" t="s">
        <v>261</v>
      </c>
      <c r="E19" s="37" t="s">
        <v>378</v>
      </c>
      <c r="F19" s="37" t="s">
        <v>378</v>
      </c>
      <c r="G19" s="37"/>
      <c r="H19" s="104">
        <v>46029</v>
      </c>
      <c r="I19" s="104">
        <v>46203</v>
      </c>
      <c r="J19" s="44" t="s">
        <v>372</v>
      </c>
      <c r="K19" s="44" t="s">
        <v>35</v>
      </c>
      <c r="L19" s="44" t="s">
        <v>379</v>
      </c>
      <c r="M19" s="44" t="s">
        <v>367</v>
      </c>
      <c r="N19" s="42">
        <v>169562.6</v>
      </c>
      <c r="O19" s="42">
        <v>166144</v>
      </c>
      <c r="P19" s="42">
        <v>23848</v>
      </c>
      <c r="Q19" s="42">
        <v>142296</v>
      </c>
      <c r="R19" s="42">
        <v>135168</v>
      </c>
      <c r="S19" s="42">
        <v>159016</v>
      </c>
      <c r="T19" s="42">
        <v>7128</v>
      </c>
      <c r="U19" s="38">
        <v>4.2902542372881353E-2</v>
      </c>
      <c r="V19" s="38">
        <v>6.2198857531082945E-2</v>
      </c>
      <c r="W19" s="42"/>
      <c r="X19" s="241"/>
      <c r="Y19" s="42">
        <v>0</v>
      </c>
      <c r="Z19" s="42">
        <v>0</v>
      </c>
      <c r="AA19" s="42">
        <v>23848</v>
      </c>
      <c r="AB19" s="42">
        <v>0</v>
      </c>
      <c r="AC19" s="42">
        <v>19907.660000000003</v>
      </c>
      <c r="AD19" s="42">
        <v>112834.56000000003</v>
      </c>
      <c r="AE19" s="42">
        <v>3940.3399999999965</v>
      </c>
      <c r="AF19" s="38">
        <v>0.15</v>
      </c>
      <c r="AG19" s="38">
        <v>0.16522727272727258</v>
      </c>
      <c r="AH19" s="42">
        <v>26273.77999999997</v>
      </c>
      <c r="AI19" s="38">
        <v>0.16522727272727253</v>
      </c>
      <c r="AJ19" s="42">
        <v>0</v>
      </c>
      <c r="AK19" s="42">
        <v>0</v>
      </c>
      <c r="AL19" s="42">
        <v>0</v>
      </c>
      <c r="AM19" s="42">
        <v>0</v>
      </c>
      <c r="AN19" s="42">
        <v>0</v>
      </c>
      <c r="AO19" s="42">
        <v>0</v>
      </c>
      <c r="AP19" s="42">
        <v>23848</v>
      </c>
      <c r="AQ19" s="42">
        <v>21120</v>
      </c>
      <c r="AR19" s="42">
        <v>32384</v>
      </c>
      <c r="AS19" s="42">
        <v>25344</v>
      </c>
      <c r="AT19" s="42">
        <v>28160</v>
      </c>
      <c r="AU19" s="42">
        <v>28160</v>
      </c>
      <c r="AV19" s="42">
        <v>0</v>
      </c>
      <c r="AW19" s="42">
        <v>0</v>
      </c>
      <c r="AX19" s="42">
        <v>0</v>
      </c>
      <c r="AY19" s="42">
        <v>0</v>
      </c>
      <c r="AZ19" s="42">
        <v>0</v>
      </c>
      <c r="BA19" s="42">
        <v>0</v>
      </c>
      <c r="BB19" s="42">
        <v>19907.660000000003</v>
      </c>
      <c r="BC19" s="42">
        <v>17630.399999999998</v>
      </c>
      <c r="BD19" s="42">
        <v>27033.279999999995</v>
      </c>
      <c r="BE19" s="42">
        <v>21156.479999999996</v>
      </c>
      <c r="BF19" s="42">
        <v>23507.199999999997</v>
      </c>
      <c r="BG19" s="42">
        <v>23507.199999999997</v>
      </c>
      <c r="BH19" s="42">
        <v>0</v>
      </c>
      <c r="BI19" s="42">
        <v>0</v>
      </c>
      <c r="BJ19" s="42">
        <v>0</v>
      </c>
      <c r="BK19" s="42">
        <v>0</v>
      </c>
      <c r="BL19" s="42">
        <v>0</v>
      </c>
      <c r="BM19" s="42">
        <v>0</v>
      </c>
      <c r="BN19" s="42">
        <v>3940.3399999999965</v>
      </c>
      <c r="BO19" s="42">
        <v>3489.6000000000022</v>
      </c>
      <c r="BP19" s="42">
        <v>5350.7200000000048</v>
      </c>
      <c r="BQ19" s="42">
        <v>4187.5200000000041</v>
      </c>
      <c r="BR19" s="42">
        <v>4652.8000000000029</v>
      </c>
      <c r="BS19" s="42">
        <v>4652.8000000000029</v>
      </c>
      <c r="BT19" s="42">
        <v>0</v>
      </c>
      <c r="BU19" s="42">
        <v>0</v>
      </c>
      <c r="BV19" s="42">
        <v>3940.3399999999965</v>
      </c>
      <c r="BW19" s="42">
        <v>0</v>
      </c>
      <c r="BX19" s="38">
        <v>0</v>
      </c>
      <c r="BY19" s="38">
        <v>0</v>
      </c>
      <c r="BZ19" s="38">
        <v>0.16522727272727258</v>
      </c>
      <c r="CA19" s="38">
        <v>0</v>
      </c>
    </row>
    <row r="20" spans="1:79" x14ac:dyDescent="0.25">
      <c r="A20" s="37" t="s">
        <v>361</v>
      </c>
      <c r="B20" s="37" t="s">
        <v>17</v>
      </c>
      <c r="C20" s="37" t="s">
        <v>376</v>
      </c>
      <c r="D20" s="37" t="s">
        <v>262</v>
      </c>
      <c r="E20" s="37" t="s">
        <v>378</v>
      </c>
      <c r="F20" s="37" t="s">
        <v>378</v>
      </c>
      <c r="G20" s="37"/>
      <c r="H20" s="104">
        <v>46029</v>
      </c>
      <c r="I20" s="104">
        <v>46203</v>
      </c>
      <c r="J20" s="44" t="s">
        <v>372</v>
      </c>
      <c r="K20" s="44" t="s">
        <v>35</v>
      </c>
      <c r="L20" s="44" t="s">
        <v>379</v>
      </c>
      <c r="M20" s="44" t="s">
        <v>367</v>
      </c>
      <c r="N20" s="42">
        <v>157345.47</v>
      </c>
      <c r="O20" s="42">
        <v>153400</v>
      </c>
      <c r="P20" s="42">
        <v>28600</v>
      </c>
      <c r="Q20" s="42">
        <v>124800</v>
      </c>
      <c r="R20" s="42">
        <v>124800</v>
      </c>
      <c r="S20" s="42">
        <v>153400</v>
      </c>
      <c r="T20" s="42">
        <v>0</v>
      </c>
      <c r="U20" s="38">
        <v>0</v>
      </c>
      <c r="V20" s="38">
        <v>2.5075205533403668E-2</v>
      </c>
      <c r="W20" s="42"/>
      <c r="X20" s="241"/>
      <c r="Y20" s="42">
        <v>0</v>
      </c>
      <c r="Z20" s="42">
        <v>0</v>
      </c>
      <c r="AA20" s="42">
        <v>28600</v>
      </c>
      <c r="AB20" s="42">
        <v>0</v>
      </c>
      <c r="AC20" s="42">
        <v>22279.840000000004</v>
      </c>
      <c r="AD20" s="42">
        <v>97221.120000000024</v>
      </c>
      <c r="AE20" s="42">
        <v>6320.1599999999962</v>
      </c>
      <c r="AF20" s="38">
        <v>0.22</v>
      </c>
      <c r="AG20" s="38">
        <v>0.22098461538461525</v>
      </c>
      <c r="AH20" s="42">
        <v>33899.039999999979</v>
      </c>
      <c r="AI20" s="38">
        <v>0.22098461538461525</v>
      </c>
      <c r="AJ20" s="42">
        <v>0</v>
      </c>
      <c r="AK20" s="42">
        <v>0</v>
      </c>
      <c r="AL20" s="42">
        <v>0</v>
      </c>
      <c r="AM20" s="42">
        <v>0</v>
      </c>
      <c r="AN20" s="42">
        <v>0</v>
      </c>
      <c r="AO20" s="42">
        <v>0</v>
      </c>
      <c r="AP20" s="42">
        <v>22100</v>
      </c>
      <c r="AQ20" s="42">
        <v>26000</v>
      </c>
      <c r="AR20" s="42">
        <v>29900</v>
      </c>
      <c r="AS20" s="42">
        <v>23400</v>
      </c>
      <c r="AT20" s="42">
        <v>26000</v>
      </c>
      <c r="AU20" s="42">
        <v>26000</v>
      </c>
      <c r="AV20" s="42">
        <v>0</v>
      </c>
      <c r="AW20" s="42">
        <v>0</v>
      </c>
      <c r="AX20" s="42">
        <v>0</v>
      </c>
      <c r="AY20" s="42">
        <v>0</v>
      </c>
      <c r="AZ20" s="42">
        <v>0</v>
      </c>
      <c r="BA20" s="42">
        <v>0</v>
      </c>
      <c r="BB20" s="42">
        <v>17216.239999999998</v>
      </c>
      <c r="BC20" s="42">
        <v>20254.400000000001</v>
      </c>
      <c r="BD20" s="42">
        <v>23292.560000000001</v>
      </c>
      <c r="BE20" s="42">
        <v>18228.960000000003</v>
      </c>
      <c r="BF20" s="42">
        <v>20254.400000000001</v>
      </c>
      <c r="BG20" s="42">
        <v>20254.399999999998</v>
      </c>
      <c r="BH20" s="42">
        <v>0</v>
      </c>
      <c r="BI20" s="42">
        <v>0</v>
      </c>
      <c r="BJ20" s="42">
        <v>0</v>
      </c>
      <c r="BK20" s="42">
        <v>0</v>
      </c>
      <c r="BL20" s="42">
        <v>0</v>
      </c>
      <c r="BM20" s="42">
        <v>0</v>
      </c>
      <c r="BN20" s="42">
        <v>4883.760000000002</v>
      </c>
      <c r="BO20" s="42">
        <v>5745.5999999999985</v>
      </c>
      <c r="BP20" s="42">
        <v>6607.4399999999987</v>
      </c>
      <c r="BQ20" s="42">
        <v>5171.0399999999972</v>
      </c>
      <c r="BR20" s="42">
        <v>5745.5999999999985</v>
      </c>
      <c r="BS20" s="42">
        <v>5745.6000000000022</v>
      </c>
      <c r="BT20" s="42">
        <v>0</v>
      </c>
      <c r="BU20" s="42">
        <v>0</v>
      </c>
      <c r="BV20" s="42">
        <v>6320.1599999999962</v>
      </c>
      <c r="BW20" s="42">
        <v>0</v>
      </c>
      <c r="BX20" s="38">
        <v>0</v>
      </c>
      <c r="BY20" s="38">
        <v>0</v>
      </c>
      <c r="BZ20" s="38">
        <v>0.22098461538461525</v>
      </c>
      <c r="CA20" s="38">
        <v>0</v>
      </c>
    </row>
    <row r="21" spans="1:79" x14ac:dyDescent="0.25">
      <c r="A21" s="37" t="s">
        <v>361</v>
      </c>
      <c r="B21" s="37" t="s">
        <v>17</v>
      </c>
      <c r="C21" s="37" t="s">
        <v>376</v>
      </c>
      <c r="D21" s="37" t="s">
        <v>263</v>
      </c>
      <c r="E21" s="37" t="s">
        <v>363</v>
      </c>
      <c r="F21" s="37" t="s">
        <v>378</v>
      </c>
      <c r="G21" s="37"/>
      <c r="H21" s="104">
        <v>45945</v>
      </c>
      <c r="I21" s="104">
        <v>46203</v>
      </c>
      <c r="J21" s="44" t="s">
        <v>372</v>
      </c>
      <c r="K21" s="44" t="s">
        <v>39</v>
      </c>
      <c r="L21" s="44" t="s">
        <v>366</v>
      </c>
      <c r="M21" s="44" t="s">
        <v>367</v>
      </c>
      <c r="N21" s="42">
        <v>321600</v>
      </c>
      <c r="O21" s="42">
        <v>233160</v>
      </c>
      <c r="P21" s="42">
        <v>101170</v>
      </c>
      <c r="Q21" s="42">
        <v>131990</v>
      </c>
      <c r="R21" s="42">
        <v>131320</v>
      </c>
      <c r="S21" s="42">
        <v>232490</v>
      </c>
      <c r="T21" s="42">
        <v>670</v>
      </c>
      <c r="U21" s="38">
        <v>2.8735632183908046E-3</v>
      </c>
      <c r="V21" s="38">
        <v>0.27708333333333335</v>
      </c>
      <c r="W21" s="42"/>
      <c r="X21" s="241"/>
      <c r="Y21" s="42">
        <v>0</v>
      </c>
      <c r="Z21" s="42">
        <v>67670</v>
      </c>
      <c r="AA21" s="42">
        <v>33500</v>
      </c>
      <c r="AB21" s="42">
        <v>0</v>
      </c>
      <c r="AC21" s="42">
        <v>87259.879999999932</v>
      </c>
      <c r="AD21" s="42">
        <v>113264.48000000003</v>
      </c>
      <c r="AE21" s="42">
        <v>13910.120000000068</v>
      </c>
      <c r="AF21" s="38">
        <v>0.13700000000000001</v>
      </c>
      <c r="AG21" s="38">
        <v>0.1374925373134335</v>
      </c>
      <c r="AH21" s="42">
        <v>31965.640000000043</v>
      </c>
      <c r="AI21" s="38">
        <v>0.13749253731343303</v>
      </c>
      <c r="AJ21" s="42">
        <v>0</v>
      </c>
      <c r="AK21" s="42">
        <v>0</v>
      </c>
      <c r="AL21" s="42">
        <v>0</v>
      </c>
      <c r="AM21" s="42">
        <v>17420</v>
      </c>
      <c r="AN21" s="42">
        <v>26800</v>
      </c>
      <c r="AO21" s="42">
        <v>23450</v>
      </c>
      <c r="AP21" s="42">
        <v>26800</v>
      </c>
      <c r="AQ21" s="42">
        <v>26800</v>
      </c>
      <c r="AR21" s="42">
        <v>32160</v>
      </c>
      <c r="AS21" s="42">
        <v>24120</v>
      </c>
      <c r="AT21" s="42">
        <v>26800</v>
      </c>
      <c r="AU21" s="42">
        <v>28140</v>
      </c>
      <c r="AV21" s="42">
        <v>0</v>
      </c>
      <c r="AW21" s="42">
        <v>0</v>
      </c>
      <c r="AX21" s="42">
        <v>0</v>
      </c>
      <c r="AY21" s="42">
        <v>15024.880000000001</v>
      </c>
      <c r="AZ21" s="42">
        <v>23115.199999999993</v>
      </c>
      <c r="BA21" s="42">
        <v>20225.8</v>
      </c>
      <c r="BB21" s="42">
        <v>23115.199999999993</v>
      </c>
      <c r="BC21" s="42">
        <v>23115.200000000001</v>
      </c>
      <c r="BD21" s="42">
        <v>27738.240000000002</v>
      </c>
      <c r="BE21" s="42">
        <v>20803.68</v>
      </c>
      <c r="BF21" s="42">
        <v>23115.200000000001</v>
      </c>
      <c r="BG21" s="42">
        <v>24270.959999999999</v>
      </c>
      <c r="BH21" s="42">
        <v>0</v>
      </c>
      <c r="BI21" s="42">
        <v>0</v>
      </c>
      <c r="BJ21" s="42">
        <v>0</v>
      </c>
      <c r="BK21" s="42">
        <v>2395.119999999999</v>
      </c>
      <c r="BL21" s="42">
        <v>3684.8000000000065</v>
      </c>
      <c r="BM21" s="42">
        <v>3224.2000000000007</v>
      </c>
      <c r="BN21" s="42">
        <v>3684.8000000000065</v>
      </c>
      <c r="BO21" s="42">
        <v>3684.7999999999993</v>
      </c>
      <c r="BP21" s="42">
        <v>4421.7599999999984</v>
      </c>
      <c r="BQ21" s="42">
        <v>3316.3199999999997</v>
      </c>
      <c r="BR21" s="42">
        <v>3684.7999999999993</v>
      </c>
      <c r="BS21" s="42">
        <v>3869.0400000000009</v>
      </c>
      <c r="BT21" s="42">
        <v>0</v>
      </c>
      <c r="BU21" s="42">
        <v>9304.1199999999808</v>
      </c>
      <c r="BV21" s="42">
        <v>4606.0000000000873</v>
      </c>
      <c r="BW21" s="42">
        <v>0</v>
      </c>
      <c r="BX21" s="38">
        <v>0</v>
      </c>
      <c r="BY21" s="38">
        <v>0.13749253731343256</v>
      </c>
      <c r="BZ21" s="38">
        <v>0.13749253731343544</v>
      </c>
      <c r="CA21" s="38">
        <v>0</v>
      </c>
    </row>
    <row r="22" spans="1:79" x14ac:dyDescent="0.25">
      <c r="A22" s="37" t="s">
        <v>361</v>
      </c>
      <c r="B22" s="37" t="s">
        <v>17</v>
      </c>
      <c r="C22" s="37" t="s">
        <v>393</v>
      </c>
      <c r="D22" s="37" t="s">
        <v>264</v>
      </c>
      <c r="E22" s="37" t="s">
        <v>388</v>
      </c>
      <c r="F22" s="37" t="s">
        <v>388</v>
      </c>
      <c r="G22" s="37"/>
      <c r="H22" s="104">
        <v>45839</v>
      </c>
      <c r="I22" s="104">
        <v>46149</v>
      </c>
      <c r="J22" s="44" t="s">
        <v>372</v>
      </c>
      <c r="K22" s="44" t="s">
        <v>39</v>
      </c>
      <c r="L22" s="44" t="s">
        <v>379</v>
      </c>
      <c r="M22" s="44" t="s">
        <v>380</v>
      </c>
      <c r="N22" s="42">
        <v>167000</v>
      </c>
      <c r="O22" s="42">
        <v>167000</v>
      </c>
      <c r="P22" s="42">
        <v>138000</v>
      </c>
      <c r="Q22" s="42">
        <v>29000</v>
      </c>
      <c r="R22" s="42">
        <v>15000</v>
      </c>
      <c r="S22" s="42">
        <v>153000</v>
      </c>
      <c r="T22" s="42">
        <v>14000</v>
      </c>
      <c r="U22" s="38">
        <v>8.3832335329341312E-2</v>
      </c>
      <c r="V22" s="38">
        <v>8.3832335329341312E-2</v>
      </c>
      <c r="W22" s="42"/>
      <c r="X22" s="241"/>
      <c r="Y22" s="42">
        <v>67000</v>
      </c>
      <c r="Z22" s="42">
        <v>51000</v>
      </c>
      <c r="AA22" s="42">
        <v>20000</v>
      </c>
      <c r="AB22" s="42">
        <v>0</v>
      </c>
      <c r="AC22" s="42">
        <v>73968</v>
      </c>
      <c r="AD22" s="42">
        <v>8040</v>
      </c>
      <c r="AE22" s="42">
        <v>64032</v>
      </c>
      <c r="AF22" s="38">
        <v>0.46400000000000002</v>
      </c>
      <c r="AG22" s="38">
        <v>0.46400000000000002</v>
      </c>
      <c r="AH22" s="42">
        <v>70992</v>
      </c>
      <c r="AI22" s="38">
        <v>0.46400000000000002</v>
      </c>
      <c r="AJ22" s="42">
        <v>22000</v>
      </c>
      <c r="AK22" s="42">
        <v>21000</v>
      </c>
      <c r="AL22" s="42">
        <v>24000</v>
      </c>
      <c r="AM22" s="42">
        <v>21000</v>
      </c>
      <c r="AN22" s="42">
        <v>20000</v>
      </c>
      <c r="AO22" s="42">
        <v>10000</v>
      </c>
      <c r="AP22" s="42">
        <v>15000</v>
      </c>
      <c r="AQ22" s="42">
        <v>20000</v>
      </c>
      <c r="AR22" s="42">
        <v>0</v>
      </c>
      <c r="AS22" s="42">
        <v>0</v>
      </c>
      <c r="AT22" s="42">
        <v>0</v>
      </c>
      <c r="AU22" s="42">
        <v>0</v>
      </c>
      <c r="AV22" s="42">
        <v>11792</v>
      </c>
      <c r="AW22" s="42">
        <v>11256</v>
      </c>
      <c r="AX22" s="42">
        <v>12864</v>
      </c>
      <c r="AY22" s="42">
        <v>11256</v>
      </c>
      <c r="AZ22" s="42">
        <v>10720</v>
      </c>
      <c r="BA22" s="42">
        <v>5360</v>
      </c>
      <c r="BB22" s="42">
        <v>8040</v>
      </c>
      <c r="BC22" s="42">
        <v>10720</v>
      </c>
      <c r="BD22" s="42">
        <v>0</v>
      </c>
      <c r="BE22" s="42">
        <v>0</v>
      </c>
      <c r="BF22" s="42">
        <v>0</v>
      </c>
      <c r="BG22" s="42">
        <v>0</v>
      </c>
      <c r="BH22" s="42">
        <v>10208</v>
      </c>
      <c r="BI22" s="42">
        <v>9744</v>
      </c>
      <c r="BJ22" s="42">
        <v>11136</v>
      </c>
      <c r="BK22" s="42">
        <v>9744</v>
      </c>
      <c r="BL22" s="42">
        <v>9280</v>
      </c>
      <c r="BM22" s="42">
        <v>4640</v>
      </c>
      <c r="BN22" s="42">
        <v>6960</v>
      </c>
      <c r="BO22" s="42">
        <v>9280</v>
      </c>
      <c r="BP22" s="42">
        <v>0</v>
      </c>
      <c r="BQ22" s="42">
        <v>0</v>
      </c>
      <c r="BR22" s="42">
        <v>0</v>
      </c>
      <c r="BS22" s="42">
        <v>0</v>
      </c>
      <c r="BT22" s="42">
        <v>31088</v>
      </c>
      <c r="BU22" s="42">
        <v>23664</v>
      </c>
      <c r="BV22" s="42">
        <v>9280</v>
      </c>
      <c r="BW22" s="42">
        <v>0</v>
      </c>
      <c r="BX22" s="38">
        <v>0.46400000000000002</v>
      </c>
      <c r="BY22" s="38">
        <v>0.46400000000000002</v>
      </c>
      <c r="BZ22" s="38">
        <v>0.46400000000000002</v>
      </c>
      <c r="CA22" s="38">
        <v>0</v>
      </c>
    </row>
    <row r="23" spans="1:79" x14ac:dyDescent="0.25">
      <c r="A23" s="37" t="s">
        <v>361</v>
      </c>
      <c r="B23" s="37" t="s">
        <v>21</v>
      </c>
      <c r="C23" s="37" t="s">
        <v>394</v>
      </c>
      <c r="D23" s="37" t="s">
        <v>265</v>
      </c>
      <c r="E23" s="37" t="s">
        <v>363</v>
      </c>
      <c r="F23" s="37" t="s">
        <v>364</v>
      </c>
      <c r="G23" s="37"/>
      <c r="H23" s="104">
        <v>45839</v>
      </c>
      <c r="I23" s="104">
        <v>46203</v>
      </c>
      <c r="J23" s="44" t="s">
        <v>372</v>
      </c>
      <c r="K23" s="44" t="s">
        <v>39</v>
      </c>
      <c r="L23" s="44" t="s">
        <v>379</v>
      </c>
      <c r="M23" s="44" t="s">
        <v>380</v>
      </c>
      <c r="N23" s="42">
        <v>329400</v>
      </c>
      <c r="O23" s="42">
        <v>329440</v>
      </c>
      <c r="P23" s="42">
        <v>194208</v>
      </c>
      <c r="Q23" s="42">
        <v>135232</v>
      </c>
      <c r="R23" s="42">
        <v>139944</v>
      </c>
      <c r="S23" s="42">
        <v>329440</v>
      </c>
      <c r="T23" s="42">
        <v>-4712</v>
      </c>
      <c r="U23" s="38">
        <v>-1.4303059737736766E-2</v>
      </c>
      <c r="V23" s="38">
        <v>-1.2143290831815422E-4</v>
      </c>
      <c r="W23" s="42"/>
      <c r="X23" s="241" t="s">
        <v>395</v>
      </c>
      <c r="Y23" s="42">
        <v>92820</v>
      </c>
      <c r="Z23" s="42">
        <v>81396</v>
      </c>
      <c r="AA23" s="42">
        <v>19992</v>
      </c>
      <c r="AB23" s="42">
        <v>0</v>
      </c>
      <c r="AC23" s="42">
        <v>181696</v>
      </c>
      <c r="AD23" s="42">
        <v>130928</v>
      </c>
      <c r="AE23" s="42">
        <v>12512</v>
      </c>
      <c r="AF23" s="38">
        <v>0.06</v>
      </c>
      <c r="AG23" s="38">
        <v>6.4425770308123242E-2</v>
      </c>
      <c r="AH23" s="42">
        <v>16816</v>
      </c>
      <c r="AI23" s="38">
        <v>5.1044196211753282E-2</v>
      </c>
      <c r="AJ23" s="42">
        <v>31416</v>
      </c>
      <c r="AK23" s="42">
        <v>29988</v>
      </c>
      <c r="AL23" s="42">
        <v>31416</v>
      </c>
      <c r="AM23" s="42">
        <v>31416</v>
      </c>
      <c r="AN23" s="42">
        <v>28560</v>
      </c>
      <c r="AO23" s="42">
        <v>21420</v>
      </c>
      <c r="AP23" s="42">
        <v>19992</v>
      </c>
      <c r="AQ23" s="42">
        <v>21420</v>
      </c>
      <c r="AR23" s="42">
        <v>34272</v>
      </c>
      <c r="AS23" s="42">
        <v>27132</v>
      </c>
      <c r="AT23" s="42">
        <v>28560</v>
      </c>
      <c r="AU23" s="42">
        <v>28560</v>
      </c>
      <c r="AV23" s="42">
        <v>29392</v>
      </c>
      <c r="AW23" s="42">
        <v>28056</v>
      </c>
      <c r="AX23" s="42">
        <v>29392</v>
      </c>
      <c r="AY23" s="42">
        <v>29392</v>
      </c>
      <c r="AZ23" s="42">
        <v>26720</v>
      </c>
      <c r="BA23" s="42">
        <v>20040</v>
      </c>
      <c r="BB23" s="42">
        <v>18704</v>
      </c>
      <c r="BC23" s="42">
        <v>20040</v>
      </c>
      <c r="BD23" s="42">
        <v>32064</v>
      </c>
      <c r="BE23" s="42">
        <v>25384</v>
      </c>
      <c r="BF23" s="42">
        <v>26720</v>
      </c>
      <c r="BG23" s="42">
        <v>26720</v>
      </c>
      <c r="BH23" s="42">
        <v>2024</v>
      </c>
      <c r="BI23" s="42">
        <v>1932</v>
      </c>
      <c r="BJ23" s="42">
        <v>2024</v>
      </c>
      <c r="BK23" s="42">
        <v>2024</v>
      </c>
      <c r="BL23" s="42">
        <v>1840</v>
      </c>
      <c r="BM23" s="42">
        <v>1380</v>
      </c>
      <c r="BN23" s="42">
        <v>1288</v>
      </c>
      <c r="BO23" s="42">
        <v>1380</v>
      </c>
      <c r="BP23" s="42">
        <v>2208</v>
      </c>
      <c r="BQ23" s="42">
        <v>1748</v>
      </c>
      <c r="BR23" s="42">
        <v>1840</v>
      </c>
      <c r="BS23" s="42">
        <v>1840</v>
      </c>
      <c r="BT23" s="42">
        <v>5980</v>
      </c>
      <c r="BU23" s="42">
        <v>5244</v>
      </c>
      <c r="BV23" s="42">
        <v>1288</v>
      </c>
      <c r="BW23" s="42">
        <v>0</v>
      </c>
      <c r="BX23" s="38">
        <v>6.4425770308123242E-2</v>
      </c>
      <c r="BY23" s="38">
        <v>6.4425770308123242E-2</v>
      </c>
      <c r="BZ23" s="38">
        <v>6.4425770308123242E-2</v>
      </c>
      <c r="CA23" s="38">
        <v>0</v>
      </c>
    </row>
    <row r="24" spans="1:79" x14ac:dyDescent="0.25">
      <c r="A24" s="37" t="s">
        <v>361</v>
      </c>
      <c r="B24" s="37" t="s">
        <v>22</v>
      </c>
      <c r="C24" s="37" t="s">
        <v>396</v>
      </c>
      <c r="D24" s="37" t="s">
        <v>266</v>
      </c>
      <c r="E24" s="37" t="s">
        <v>397</v>
      </c>
      <c r="F24" s="37" t="s">
        <v>364</v>
      </c>
      <c r="G24" s="37"/>
      <c r="H24" s="104">
        <v>45985</v>
      </c>
      <c r="I24" s="104">
        <v>46112</v>
      </c>
      <c r="J24" s="44" t="s">
        <v>372</v>
      </c>
      <c r="K24" s="44" t="s">
        <v>34</v>
      </c>
      <c r="L24" s="44" t="s">
        <v>398</v>
      </c>
      <c r="M24" s="44" t="s">
        <v>367</v>
      </c>
      <c r="N24" s="42">
        <v>42000</v>
      </c>
      <c r="O24" s="42">
        <v>42000</v>
      </c>
      <c r="P24" s="42">
        <v>7000</v>
      </c>
      <c r="Q24" s="42">
        <v>35000</v>
      </c>
      <c r="R24" s="42">
        <v>12250</v>
      </c>
      <c r="S24" s="42">
        <v>19250</v>
      </c>
      <c r="T24" s="42">
        <v>22750</v>
      </c>
      <c r="U24" s="38">
        <v>0.54166666666666663</v>
      </c>
      <c r="V24" s="38">
        <v>0.54166666666666663</v>
      </c>
      <c r="W24" s="42"/>
      <c r="X24" s="241" t="s">
        <v>399</v>
      </c>
      <c r="Y24" s="42">
        <v>0</v>
      </c>
      <c r="Z24" s="42">
        <v>0</v>
      </c>
      <c r="AA24" s="42">
        <v>7000</v>
      </c>
      <c r="AB24" s="42">
        <v>0</v>
      </c>
      <c r="AC24" s="42">
        <v>5152</v>
      </c>
      <c r="AD24" s="42">
        <v>8975.4</v>
      </c>
      <c r="AE24" s="42">
        <v>1848</v>
      </c>
      <c r="AF24" s="38">
        <v>0.26700000000000002</v>
      </c>
      <c r="AG24" s="38">
        <v>0.26400000000000001</v>
      </c>
      <c r="AH24" s="42">
        <v>5122.6000000000004</v>
      </c>
      <c r="AI24" s="38">
        <v>0.26610909090909091</v>
      </c>
      <c r="AJ24" s="42">
        <v>0</v>
      </c>
      <c r="AK24" s="42">
        <v>0</v>
      </c>
      <c r="AL24" s="42">
        <v>0</v>
      </c>
      <c r="AM24" s="42">
        <v>0</v>
      </c>
      <c r="AN24" s="42">
        <v>0</v>
      </c>
      <c r="AO24" s="42">
        <v>0</v>
      </c>
      <c r="AP24" s="42">
        <v>7000</v>
      </c>
      <c r="AQ24" s="42">
        <v>5250</v>
      </c>
      <c r="AR24" s="42">
        <v>7000</v>
      </c>
      <c r="AS24" s="42">
        <v>0</v>
      </c>
      <c r="AT24" s="42">
        <v>0</v>
      </c>
      <c r="AU24" s="42">
        <v>0</v>
      </c>
      <c r="AV24" s="42">
        <v>0</v>
      </c>
      <c r="AW24" s="42">
        <v>0</v>
      </c>
      <c r="AX24" s="42">
        <v>0</v>
      </c>
      <c r="AY24" s="42">
        <v>0</v>
      </c>
      <c r="AZ24" s="42">
        <v>0</v>
      </c>
      <c r="BA24" s="42">
        <v>0</v>
      </c>
      <c r="BB24" s="42">
        <v>5152</v>
      </c>
      <c r="BC24" s="42">
        <v>3846.6000000000004</v>
      </c>
      <c r="BD24" s="42">
        <v>5128.8</v>
      </c>
      <c r="BE24" s="42">
        <v>0</v>
      </c>
      <c r="BF24" s="42">
        <v>0</v>
      </c>
      <c r="BG24" s="42">
        <v>0</v>
      </c>
      <c r="BH24" s="42">
        <v>0</v>
      </c>
      <c r="BI24" s="42">
        <v>0</v>
      </c>
      <c r="BJ24" s="42">
        <v>0</v>
      </c>
      <c r="BK24" s="42">
        <v>0</v>
      </c>
      <c r="BL24" s="42">
        <v>0</v>
      </c>
      <c r="BM24" s="42">
        <v>0</v>
      </c>
      <c r="BN24" s="42">
        <v>1848</v>
      </c>
      <c r="BO24" s="42">
        <v>1403.3999999999996</v>
      </c>
      <c r="BP24" s="42">
        <v>1871.1999999999998</v>
      </c>
      <c r="BQ24" s="42">
        <v>0</v>
      </c>
      <c r="BR24" s="42">
        <v>0</v>
      </c>
      <c r="BS24" s="42">
        <v>0</v>
      </c>
      <c r="BT24" s="42">
        <v>0</v>
      </c>
      <c r="BU24" s="42">
        <v>0</v>
      </c>
      <c r="BV24" s="42">
        <v>1848</v>
      </c>
      <c r="BW24" s="42">
        <v>0</v>
      </c>
      <c r="BX24" s="38">
        <v>0</v>
      </c>
      <c r="BY24" s="38">
        <v>0</v>
      </c>
      <c r="BZ24" s="38">
        <v>0.26400000000000001</v>
      </c>
      <c r="CA24" s="38">
        <v>0</v>
      </c>
    </row>
    <row r="25" spans="1:79" x14ac:dyDescent="0.25">
      <c r="A25" s="37" t="s">
        <v>361</v>
      </c>
      <c r="B25" s="37" t="s">
        <v>22</v>
      </c>
      <c r="C25" s="37" t="s">
        <v>400</v>
      </c>
      <c r="D25" s="37" t="s">
        <v>267</v>
      </c>
      <c r="E25" s="37" t="s">
        <v>363</v>
      </c>
      <c r="F25" s="37" t="s">
        <v>401</v>
      </c>
      <c r="G25" s="37"/>
      <c r="H25" s="104">
        <v>45880</v>
      </c>
      <c r="I25" s="104">
        <v>46142</v>
      </c>
      <c r="J25" s="44" t="s">
        <v>365</v>
      </c>
      <c r="K25" s="44" t="s">
        <v>31</v>
      </c>
      <c r="L25" s="44" t="s">
        <v>366</v>
      </c>
      <c r="M25" s="44" t="s">
        <v>367</v>
      </c>
      <c r="N25" s="42">
        <v>2850380</v>
      </c>
      <c r="O25" s="42">
        <v>1442340</v>
      </c>
      <c r="P25" s="42">
        <v>1539530</v>
      </c>
      <c r="Q25" s="42">
        <v>-97190</v>
      </c>
      <c r="R25" s="42">
        <v>0</v>
      </c>
      <c r="S25" s="42">
        <v>1442340</v>
      </c>
      <c r="T25" s="42">
        <v>-97190</v>
      </c>
      <c r="U25" s="38">
        <v>-6.7383557274983713E-2</v>
      </c>
      <c r="V25" s="38">
        <v>0.49398325837256785</v>
      </c>
      <c r="W25" s="42"/>
      <c r="X25" s="241" t="s">
        <v>402</v>
      </c>
      <c r="Y25" s="42">
        <v>367572.5</v>
      </c>
      <c r="Z25" s="42">
        <v>1167597.5</v>
      </c>
      <c r="AA25" s="42">
        <v>4360</v>
      </c>
      <c r="AB25" s="42">
        <v>0</v>
      </c>
      <c r="AC25" s="42">
        <v>732887.68999999855</v>
      </c>
      <c r="AD25" s="42">
        <v>0</v>
      </c>
      <c r="AE25" s="42">
        <v>806642.31000000145</v>
      </c>
      <c r="AF25" s="38">
        <v>0.5</v>
      </c>
      <c r="AG25" s="38">
        <v>0.52395361571388765</v>
      </c>
      <c r="AH25" s="42">
        <v>709452.31000000145</v>
      </c>
      <c r="AI25" s="38">
        <v>0.49187591691279542</v>
      </c>
      <c r="AJ25" s="42">
        <v>0</v>
      </c>
      <c r="AK25" s="42">
        <v>52607.5</v>
      </c>
      <c r="AL25" s="42">
        <v>314965</v>
      </c>
      <c r="AM25" s="42">
        <v>458632.5</v>
      </c>
      <c r="AN25" s="42">
        <v>426102.5</v>
      </c>
      <c r="AO25" s="42">
        <v>282862.5</v>
      </c>
      <c r="AP25" s="42">
        <v>4360</v>
      </c>
      <c r="AQ25" s="42">
        <v>0</v>
      </c>
      <c r="AR25" s="42">
        <v>0</v>
      </c>
      <c r="AS25" s="42">
        <v>0</v>
      </c>
      <c r="AT25" s="42">
        <v>0</v>
      </c>
      <c r="AU25" s="42">
        <v>0</v>
      </c>
      <c r="AV25" s="42">
        <v>0</v>
      </c>
      <c r="AW25" s="42">
        <v>26330.86</v>
      </c>
      <c r="AX25" s="42">
        <v>147863.53</v>
      </c>
      <c r="AY25" s="42">
        <v>218869.61999999979</v>
      </c>
      <c r="AZ25" s="42">
        <v>203569.98999999993</v>
      </c>
      <c r="BA25" s="42">
        <v>134209.68999999997</v>
      </c>
      <c r="BB25" s="42">
        <v>2044</v>
      </c>
      <c r="BC25" s="42">
        <v>0</v>
      </c>
      <c r="BD25" s="42">
        <v>0</v>
      </c>
      <c r="BE25" s="42">
        <v>0</v>
      </c>
      <c r="BF25" s="42">
        <v>0</v>
      </c>
      <c r="BG25" s="42">
        <v>0</v>
      </c>
      <c r="BH25" s="42">
        <v>0</v>
      </c>
      <c r="BI25" s="42">
        <v>26276.639999999999</v>
      </c>
      <c r="BJ25" s="42">
        <v>167101.47</v>
      </c>
      <c r="BK25" s="42">
        <v>239762.88000000021</v>
      </c>
      <c r="BL25" s="42">
        <v>222532.51000000007</v>
      </c>
      <c r="BM25" s="42">
        <v>148652.81000000003</v>
      </c>
      <c r="BN25" s="42">
        <v>2316</v>
      </c>
      <c r="BO25" s="42">
        <v>0</v>
      </c>
      <c r="BP25" s="42">
        <v>0</v>
      </c>
      <c r="BQ25" s="42">
        <v>0</v>
      </c>
      <c r="BR25" s="42">
        <v>0</v>
      </c>
      <c r="BS25" s="42">
        <v>0</v>
      </c>
      <c r="BT25" s="42">
        <v>193378.1100000001</v>
      </c>
      <c r="BU25" s="42">
        <v>610948.20000000135</v>
      </c>
      <c r="BV25" s="42">
        <v>2316</v>
      </c>
      <c r="BW25" s="42">
        <v>0</v>
      </c>
      <c r="BX25" s="38">
        <v>0.52609515129668327</v>
      </c>
      <c r="BY25" s="38">
        <v>0.52325240504540427</v>
      </c>
      <c r="BZ25" s="38">
        <v>0.53119266055045866</v>
      </c>
      <c r="CA25" s="38">
        <v>0</v>
      </c>
    </row>
    <row r="26" spans="1:79" x14ac:dyDescent="0.25">
      <c r="A26" s="37" t="s">
        <v>368</v>
      </c>
      <c r="B26" s="37" t="s">
        <v>20</v>
      </c>
      <c r="C26" s="37" t="s">
        <v>403</v>
      </c>
      <c r="D26" s="37" t="s">
        <v>404</v>
      </c>
      <c r="E26" s="37" t="s">
        <v>363</v>
      </c>
      <c r="F26" s="37" t="s">
        <v>363</v>
      </c>
      <c r="G26" s="37"/>
      <c r="H26" s="104">
        <v>45861</v>
      </c>
      <c r="I26" s="104">
        <v>45912</v>
      </c>
      <c r="J26" s="44" t="s">
        <v>365</v>
      </c>
      <c r="K26" s="44" t="s">
        <v>34</v>
      </c>
      <c r="L26" s="44" t="s">
        <v>366</v>
      </c>
      <c r="M26" s="44" t="s">
        <v>367</v>
      </c>
      <c r="N26" s="42">
        <v>72660</v>
      </c>
      <c r="O26" s="42">
        <v>72660</v>
      </c>
      <c r="P26" s="42">
        <v>72660</v>
      </c>
      <c r="Q26" s="42">
        <v>0</v>
      </c>
      <c r="R26" s="42">
        <v>0</v>
      </c>
      <c r="S26" s="42">
        <v>72660</v>
      </c>
      <c r="T26" s="42">
        <v>0</v>
      </c>
      <c r="U26" s="38">
        <v>0</v>
      </c>
      <c r="V26" s="38">
        <v>0</v>
      </c>
      <c r="W26" s="42"/>
      <c r="X26" s="241"/>
      <c r="Y26" s="42">
        <v>72660</v>
      </c>
      <c r="Z26" s="42">
        <v>0</v>
      </c>
      <c r="AA26" s="42">
        <v>0</v>
      </c>
      <c r="AB26" s="42">
        <v>0</v>
      </c>
      <c r="AC26" s="42">
        <v>32225</v>
      </c>
      <c r="AD26" s="42">
        <v>0</v>
      </c>
      <c r="AE26" s="42">
        <v>40435</v>
      </c>
      <c r="AF26" s="38">
        <v>0.28999999999999998</v>
      </c>
      <c r="AG26" s="38">
        <v>0.55649600880814754</v>
      </c>
      <c r="AH26" s="42">
        <v>40435</v>
      </c>
      <c r="AI26" s="38">
        <v>0.55649600880814754</v>
      </c>
      <c r="AJ26" s="42">
        <v>15197.5</v>
      </c>
      <c r="AK26" s="42">
        <v>30950</v>
      </c>
      <c r="AL26" s="42">
        <v>26512.5</v>
      </c>
      <c r="AM26" s="42">
        <v>0</v>
      </c>
      <c r="AN26" s="42">
        <v>0</v>
      </c>
      <c r="AO26" s="42">
        <v>0</v>
      </c>
      <c r="AP26" s="42">
        <v>0</v>
      </c>
      <c r="AQ26" s="42">
        <v>0</v>
      </c>
      <c r="AR26" s="42">
        <v>0</v>
      </c>
      <c r="AS26" s="42">
        <v>0</v>
      </c>
      <c r="AT26" s="42">
        <v>0</v>
      </c>
      <c r="AU26" s="42">
        <v>0</v>
      </c>
      <c r="AV26" s="42">
        <v>8103</v>
      </c>
      <c r="AW26" s="42">
        <v>16178</v>
      </c>
      <c r="AX26" s="42">
        <v>7944</v>
      </c>
      <c r="AY26" s="42">
        <v>0</v>
      </c>
      <c r="AZ26" s="42">
        <v>0</v>
      </c>
      <c r="BA26" s="42">
        <v>0</v>
      </c>
      <c r="BB26" s="42">
        <v>0</v>
      </c>
      <c r="BC26" s="42">
        <v>0</v>
      </c>
      <c r="BD26" s="42">
        <v>0</v>
      </c>
      <c r="BE26" s="42">
        <v>0</v>
      </c>
      <c r="BF26" s="42">
        <v>0</v>
      </c>
      <c r="BG26" s="42">
        <v>0</v>
      </c>
      <c r="BH26" s="42">
        <v>7094.5</v>
      </c>
      <c r="BI26" s="42">
        <v>14772</v>
      </c>
      <c r="BJ26" s="42">
        <v>18568.5</v>
      </c>
      <c r="BK26" s="42">
        <v>0</v>
      </c>
      <c r="BL26" s="42">
        <v>0</v>
      </c>
      <c r="BM26" s="42">
        <v>0</v>
      </c>
      <c r="BN26" s="42">
        <v>0</v>
      </c>
      <c r="BO26" s="42">
        <v>0</v>
      </c>
      <c r="BP26" s="42">
        <v>0</v>
      </c>
      <c r="BQ26" s="42">
        <v>0</v>
      </c>
      <c r="BR26" s="42">
        <v>0</v>
      </c>
      <c r="BS26" s="42">
        <v>0</v>
      </c>
      <c r="BT26" s="42">
        <v>40435</v>
      </c>
      <c r="BU26" s="42">
        <v>0</v>
      </c>
      <c r="BV26" s="42">
        <v>0</v>
      </c>
      <c r="BW26" s="42">
        <v>0</v>
      </c>
      <c r="BX26" s="38">
        <v>0.55649600880814754</v>
      </c>
      <c r="BY26" s="38">
        <v>0</v>
      </c>
      <c r="BZ26" s="38">
        <v>0</v>
      </c>
      <c r="CA26" s="38">
        <v>0</v>
      </c>
    </row>
    <row r="27" spans="1:79" x14ac:dyDescent="0.25">
      <c r="A27" s="37" t="s">
        <v>368</v>
      </c>
      <c r="B27" s="37" t="s">
        <v>20</v>
      </c>
      <c r="C27" s="37" t="s">
        <v>403</v>
      </c>
      <c r="D27" s="37" t="s">
        <v>405</v>
      </c>
      <c r="E27" s="37" t="s">
        <v>363</v>
      </c>
      <c r="F27" s="37" t="s">
        <v>406</v>
      </c>
      <c r="G27" s="37"/>
      <c r="H27" s="104">
        <v>45915</v>
      </c>
      <c r="I27" s="104">
        <v>45940</v>
      </c>
      <c r="J27" s="44" t="s">
        <v>365</v>
      </c>
      <c r="K27" s="44" t="s">
        <v>34</v>
      </c>
      <c r="L27" s="44" t="s">
        <v>407</v>
      </c>
      <c r="M27" s="44" t="s">
        <v>380</v>
      </c>
      <c r="N27" s="42">
        <v>67990</v>
      </c>
      <c r="O27" s="42">
        <v>67990</v>
      </c>
      <c r="P27" s="42">
        <v>67990</v>
      </c>
      <c r="Q27" s="42">
        <v>0</v>
      </c>
      <c r="R27" s="42">
        <v>0</v>
      </c>
      <c r="S27" s="42">
        <v>67990</v>
      </c>
      <c r="T27" s="42">
        <v>0</v>
      </c>
      <c r="U27" s="38">
        <v>0</v>
      </c>
      <c r="V27" s="38">
        <v>0</v>
      </c>
      <c r="W27" s="42"/>
      <c r="X27" s="241"/>
      <c r="Y27" s="42">
        <v>22442.5</v>
      </c>
      <c r="Z27" s="42">
        <v>45547.5</v>
      </c>
      <c r="AA27" s="42">
        <v>0</v>
      </c>
      <c r="AB27" s="42">
        <v>0</v>
      </c>
      <c r="AC27" s="42">
        <v>19080</v>
      </c>
      <c r="AD27" s="42">
        <v>0</v>
      </c>
      <c r="AE27" s="42">
        <v>48910</v>
      </c>
      <c r="AF27" s="38">
        <v>0.33600000000000002</v>
      </c>
      <c r="AG27" s="38">
        <v>0.71937049566112665</v>
      </c>
      <c r="AH27" s="42">
        <v>48910</v>
      </c>
      <c r="AI27" s="38">
        <v>0.71937049566112665</v>
      </c>
      <c r="AJ27" s="42">
        <v>0</v>
      </c>
      <c r="AK27" s="42">
        <v>0</v>
      </c>
      <c r="AL27" s="42">
        <v>22442.5</v>
      </c>
      <c r="AM27" s="42">
        <v>45547.5</v>
      </c>
      <c r="AN27" s="42">
        <v>0</v>
      </c>
      <c r="AO27" s="42">
        <v>0</v>
      </c>
      <c r="AP27" s="42">
        <v>0</v>
      </c>
      <c r="AQ27" s="42">
        <v>0</v>
      </c>
      <c r="AR27" s="42">
        <v>0</v>
      </c>
      <c r="AS27" s="42">
        <v>0</v>
      </c>
      <c r="AT27" s="42">
        <v>0</v>
      </c>
      <c r="AU27" s="42">
        <v>0</v>
      </c>
      <c r="AV27" s="42">
        <v>0</v>
      </c>
      <c r="AW27" s="42">
        <v>0</v>
      </c>
      <c r="AX27" s="42">
        <v>10746</v>
      </c>
      <c r="AY27" s="42">
        <v>8334</v>
      </c>
      <c r="AZ27" s="42">
        <v>0</v>
      </c>
      <c r="BA27" s="42">
        <v>0</v>
      </c>
      <c r="BB27" s="42">
        <v>0</v>
      </c>
      <c r="BC27" s="42">
        <v>0</v>
      </c>
      <c r="BD27" s="42">
        <v>0</v>
      </c>
      <c r="BE27" s="42">
        <v>0</v>
      </c>
      <c r="BF27" s="42">
        <v>0</v>
      </c>
      <c r="BG27" s="42">
        <v>0</v>
      </c>
      <c r="BH27" s="42">
        <v>0</v>
      </c>
      <c r="BI27" s="42">
        <v>0</v>
      </c>
      <c r="BJ27" s="42">
        <v>11696.5</v>
      </c>
      <c r="BK27" s="42">
        <v>37213.5</v>
      </c>
      <c r="BL27" s="42">
        <v>0</v>
      </c>
      <c r="BM27" s="42">
        <v>0</v>
      </c>
      <c r="BN27" s="42">
        <v>0</v>
      </c>
      <c r="BO27" s="42">
        <v>0</v>
      </c>
      <c r="BP27" s="42">
        <v>0</v>
      </c>
      <c r="BQ27" s="42">
        <v>0</v>
      </c>
      <c r="BR27" s="42">
        <v>0</v>
      </c>
      <c r="BS27" s="42">
        <v>0</v>
      </c>
      <c r="BT27" s="42">
        <v>11696.5</v>
      </c>
      <c r="BU27" s="42">
        <v>37213.5</v>
      </c>
      <c r="BV27" s="42">
        <v>0</v>
      </c>
      <c r="BW27" s="42">
        <v>0</v>
      </c>
      <c r="BX27" s="38">
        <v>0.5211763395343656</v>
      </c>
      <c r="BY27" s="38">
        <v>0.81702618145891648</v>
      </c>
      <c r="BZ27" s="38">
        <v>0</v>
      </c>
      <c r="CA27" s="38">
        <v>0</v>
      </c>
    </row>
    <row r="28" spans="1:79" x14ac:dyDescent="0.25">
      <c r="A28" s="37" t="s">
        <v>361</v>
      </c>
      <c r="B28" s="37" t="s">
        <v>20</v>
      </c>
      <c r="C28" s="37" t="s">
        <v>403</v>
      </c>
      <c r="D28" s="37" t="s">
        <v>268</v>
      </c>
      <c r="E28" s="37" t="s">
        <v>363</v>
      </c>
      <c r="F28" s="37" t="s">
        <v>408</v>
      </c>
      <c r="G28" s="37"/>
      <c r="H28" s="104">
        <v>45915</v>
      </c>
      <c r="I28" s="104">
        <v>46112</v>
      </c>
      <c r="J28" s="44" t="s">
        <v>365</v>
      </c>
      <c r="K28" s="44" t="s">
        <v>34</v>
      </c>
      <c r="L28" s="44" t="s">
        <v>366</v>
      </c>
      <c r="M28" s="44" t="s">
        <v>380</v>
      </c>
      <c r="N28" s="42">
        <v>1018316</v>
      </c>
      <c r="O28" s="42">
        <v>1018316</v>
      </c>
      <c r="P28" s="42">
        <v>630142.88749999984</v>
      </c>
      <c r="Q28" s="42">
        <v>388173.11250000016</v>
      </c>
      <c r="R28" s="42">
        <v>335458.5</v>
      </c>
      <c r="S28" s="42">
        <v>1018316</v>
      </c>
      <c r="T28" s="42">
        <v>52714.612500000163</v>
      </c>
      <c r="U28" s="38">
        <v>5.1766458054278007E-2</v>
      </c>
      <c r="V28" s="38">
        <v>0</v>
      </c>
      <c r="W28" s="42"/>
      <c r="X28" s="241"/>
      <c r="Y28" s="42">
        <v>32155.5</v>
      </c>
      <c r="Z28" s="42">
        <v>446867.26249999984</v>
      </c>
      <c r="AA28" s="42">
        <v>151120.125</v>
      </c>
      <c r="AB28" s="42">
        <v>0</v>
      </c>
      <c r="AC28" s="42">
        <v>445658.94000000093</v>
      </c>
      <c r="AD28" s="42">
        <v>266031.8000000001</v>
      </c>
      <c r="AE28" s="42">
        <v>184483.9474999989</v>
      </c>
      <c r="AF28" s="38">
        <v>0.33</v>
      </c>
      <c r="AG28" s="38">
        <v>0.29276526191053603</v>
      </c>
      <c r="AH28" s="42">
        <v>306625.25999999896</v>
      </c>
      <c r="AI28" s="38">
        <v>0.30111012691541622</v>
      </c>
      <c r="AJ28" s="42">
        <v>0</v>
      </c>
      <c r="AK28" s="42">
        <v>0</v>
      </c>
      <c r="AL28" s="42">
        <v>32155.5</v>
      </c>
      <c r="AM28" s="42">
        <v>130681.6875</v>
      </c>
      <c r="AN28" s="42">
        <v>168612.32499999998</v>
      </c>
      <c r="AO28" s="42">
        <v>147573.25</v>
      </c>
      <c r="AP28" s="42">
        <v>127001.875</v>
      </c>
      <c r="AQ28" s="42">
        <v>152551.75</v>
      </c>
      <c r="AR28" s="42">
        <v>152932</v>
      </c>
      <c r="AS28" s="42">
        <v>54093</v>
      </c>
      <c r="AT28" s="42">
        <v>0</v>
      </c>
      <c r="AU28" s="42">
        <v>0</v>
      </c>
      <c r="AV28" s="42">
        <v>0</v>
      </c>
      <c r="AW28" s="42">
        <v>0</v>
      </c>
      <c r="AX28" s="42">
        <v>23046.539999999994</v>
      </c>
      <c r="AY28" s="42">
        <v>92332.520000000033</v>
      </c>
      <c r="AZ28" s="42">
        <v>114331.47999999986</v>
      </c>
      <c r="BA28" s="42">
        <v>106376.91999999993</v>
      </c>
      <c r="BB28" s="42">
        <v>90491.479999999923</v>
      </c>
      <c r="BC28" s="42">
        <v>110260</v>
      </c>
      <c r="BD28" s="42">
        <v>123964.79999999997</v>
      </c>
      <c r="BE28" s="42">
        <v>50886.999999999993</v>
      </c>
      <c r="BF28" s="42">
        <v>0</v>
      </c>
      <c r="BG28" s="42">
        <v>0</v>
      </c>
      <c r="BH28" s="42">
        <v>0</v>
      </c>
      <c r="BI28" s="42">
        <v>0</v>
      </c>
      <c r="BJ28" s="42">
        <v>9108.9600000000064</v>
      </c>
      <c r="BK28" s="42">
        <v>38349.167499999967</v>
      </c>
      <c r="BL28" s="42">
        <v>54280.845000000118</v>
      </c>
      <c r="BM28" s="42">
        <v>41196.330000000075</v>
      </c>
      <c r="BN28" s="42">
        <v>36510.395000000077</v>
      </c>
      <c r="BO28" s="42">
        <v>42291.75</v>
      </c>
      <c r="BP28" s="42">
        <v>28967.200000000026</v>
      </c>
      <c r="BQ28" s="42">
        <v>3206.0000000000073</v>
      </c>
      <c r="BR28" s="42">
        <v>0</v>
      </c>
      <c r="BS28" s="42">
        <v>0</v>
      </c>
      <c r="BT28" s="42">
        <v>9108.9600000000064</v>
      </c>
      <c r="BU28" s="42">
        <v>133826.34249999892</v>
      </c>
      <c r="BV28" s="42">
        <v>41548.64499999996</v>
      </c>
      <c r="BW28" s="42">
        <v>0</v>
      </c>
      <c r="BX28" s="38">
        <v>0.28327844381210077</v>
      </c>
      <c r="BY28" s="38">
        <v>0.29947672100951672</v>
      </c>
      <c r="BZ28" s="38">
        <v>0.27493786813635812</v>
      </c>
      <c r="CA28" s="38">
        <v>0</v>
      </c>
    </row>
    <row r="29" spans="1:79" x14ac:dyDescent="0.25">
      <c r="A29" s="37" t="s">
        <v>361</v>
      </c>
      <c r="B29" s="37" t="s">
        <v>20</v>
      </c>
      <c r="C29" s="37" t="s">
        <v>403</v>
      </c>
      <c r="D29" s="37" t="s">
        <v>269</v>
      </c>
      <c r="E29" s="37" t="s">
        <v>363</v>
      </c>
      <c r="F29" s="37" t="s">
        <v>408</v>
      </c>
      <c r="G29" s="37"/>
      <c r="H29" s="104">
        <v>45978</v>
      </c>
      <c r="I29" s="104">
        <v>46045</v>
      </c>
      <c r="J29" s="44" t="s">
        <v>365</v>
      </c>
      <c r="K29" s="44" t="s">
        <v>34</v>
      </c>
      <c r="L29" s="44" t="s">
        <v>366</v>
      </c>
      <c r="M29" s="44" t="s">
        <v>380</v>
      </c>
      <c r="N29" s="42">
        <v>247000</v>
      </c>
      <c r="O29" s="42">
        <v>247000</v>
      </c>
      <c r="P29" s="42">
        <v>220120.01000000033</v>
      </c>
      <c r="Q29" s="42">
        <v>26879.989999999671</v>
      </c>
      <c r="R29" s="42">
        <v>16127.5</v>
      </c>
      <c r="S29" s="42">
        <v>247000</v>
      </c>
      <c r="T29" s="42">
        <v>10752.489999999671</v>
      </c>
      <c r="U29" s="38">
        <v>4.3532348178136317E-2</v>
      </c>
      <c r="V29" s="38">
        <v>0</v>
      </c>
      <c r="W29" s="42"/>
      <c r="X29" s="241"/>
      <c r="Y29" s="42">
        <v>0</v>
      </c>
      <c r="Z29" s="42">
        <v>116688.89999999992</v>
      </c>
      <c r="AA29" s="42">
        <v>103431.11000000041</v>
      </c>
      <c r="AB29" s="42">
        <v>0</v>
      </c>
      <c r="AC29" s="42">
        <v>187969.51999999964</v>
      </c>
      <c r="AD29" s="42">
        <v>12233.720000000001</v>
      </c>
      <c r="AE29" s="42">
        <v>32150.490000000689</v>
      </c>
      <c r="AF29" s="38">
        <v>0.32</v>
      </c>
      <c r="AG29" s="38">
        <v>0.146058915770541</v>
      </c>
      <c r="AH29" s="42">
        <v>46796.760000000359</v>
      </c>
      <c r="AI29" s="38">
        <v>0.18946056680162088</v>
      </c>
      <c r="AJ29" s="42">
        <v>0</v>
      </c>
      <c r="AK29" s="42">
        <v>0</v>
      </c>
      <c r="AL29" s="42">
        <v>0</v>
      </c>
      <c r="AM29" s="42">
        <v>0</v>
      </c>
      <c r="AN29" s="42">
        <v>55086.650000000009</v>
      </c>
      <c r="AO29" s="42">
        <v>61602.250000000007</v>
      </c>
      <c r="AP29" s="42">
        <v>98060.109999999971</v>
      </c>
      <c r="AQ29" s="42">
        <v>21498.5</v>
      </c>
      <c r="AR29" s="42">
        <v>0</v>
      </c>
      <c r="AS29" s="42">
        <v>0</v>
      </c>
      <c r="AT29" s="42">
        <v>0</v>
      </c>
      <c r="AU29" s="42">
        <v>0</v>
      </c>
      <c r="AV29" s="42">
        <v>0</v>
      </c>
      <c r="AW29" s="42">
        <v>0</v>
      </c>
      <c r="AX29" s="42">
        <v>0</v>
      </c>
      <c r="AY29" s="42">
        <v>0</v>
      </c>
      <c r="AZ29" s="42">
        <v>47839</v>
      </c>
      <c r="BA29" s="42">
        <v>51534.39999999998</v>
      </c>
      <c r="BB29" s="42">
        <v>84776.119999999952</v>
      </c>
      <c r="BC29" s="42">
        <v>16053.720000000001</v>
      </c>
      <c r="BD29" s="42">
        <v>0</v>
      </c>
      <c r="BE29" s="42">
        <v>0</v>
      </c>
      <c r="BF29" s="42">
        <v>0</v>
      </c>
      <c r="BG29" s="42">
        <v>0</v>
      </c>
      <c r="BH29" s="42">
        <v>0</v>
      </c>
      <c r="BI29" s="42">
        <v>0</v>
      </c>
      <c r="BJ29" s="42">
        <v>0</v>
      </c>
      <c r="BK29" s="42">
        <v>0</v>
      </c>
      <c r="BL29" s="42">
        <v>7247.6500000000087</v>
      </c>
      <c r="BM29" s="42">
        <v>10067.850000000028</v>
      </c>
      <c r="BN29" s="42">
        <v>13283.99000000002</v>
      </c>
      <c r="BO29" s="42">
        <v>5444.7799999999988</v>
      </c>
      <c r="BP29" s="42">
        <v>0</v>
      </c>
      <c r="BQ29" s="42">
        <v>0</v>
      </c>
      <c r="BR29" s="42">
        <v>0</v>
      </c>
      <c r="BS29" s="42">
        <v>0</v>
      </c>
      <c r="BT29" s="42">
        <v>0</v>
      </c>
      <c r="BU29" s="42">
        <v>17315.500000000044</v>
      </c>
      <c r="BV29" s="42">
        <v>14834.990000000646</v>
      </c>
      <c r="BW29" s="42">
        <v>0</v>
      </c>
      <c r="BX29" s="38">
        <v>0</v>
      </c>
      <c r="BY29" s="38">
        <v>0.14839029247854812</v>
      </c>
      <c r="BZ29" s="38">
        <v>0.1434287034142879</v>
      </c>
      <c r="CA29" s="38">
        <v>0</v>
      </c>
    </row>
    <row r="30" spans="1:79" x14ac:dyDescent="0.25">
      <c r="A30" s="37" t="s">
        <v>361</v>
      </c>
      <c r="B30" s="37" t="s">
        <v>20</v>
      </c>
      <c r="C30" s="37" t="s">
        <v>403</v>
      </c>
      <c r="D30" s="37" t="s">
        <v>270</v>
      </c>
      <c r="E30" s="37" t="s">
        <v>363</v>
      </c>
      <c r="F30" s="37" t="s">
        <v>408</v>
      </c>
      <c r="G30" s="37"/>
      <c r="H30" s="104">
        <v>45936</v>
      </c>
      <c r="I30" s="104">
        <v>46094</v>
      </c>
      <c r="J30" s="44" t="s">
        <v>365</v>
      </c>
      <c r="K30" s="44" t="s">
        <v>34</v>
      </c>
      <c r="L30" s="44" t="s">
        <v>366</v>
      </c>
      <c r="M30" s="44" t="s">
        <v>380</v>
      </c>
      <c r="N30" s="42">
        <v>908782</v>
      </c>
      <c r="O30" s="42">
        <v>908782.16</v>
      </c>
      <c r="P30" s="42">
        <v>635166.05000000156</v>
      </c>
      <c r="Q30" s="42">
        <v>273616.10999999847</v>
      </c>
      <c r="R30" s="42">
        <v>252465.80000000002</v>
      </c>
      <c r="S30" s="42">
        <v>908782.16</v>
      </c>
      <c r="T30" s="42">
        <v>21150.309999998455</v>
      </c>
      <c r="U30" s="38">
        <v>2.3273245152610009E-2</v>
      </c>
      <c r="V30" s="38">
        <v>-1.7605982516444679E-7</v>
      </c>
      <c r="W30" s="42"/>
      <c r="X30" s="241"/>
      <c r="Y30" s="42">
        <v>0</v>
      </c>
      <c r="Z30" s="42">
        <v>404950.20000000088</v>
      </c>
      <c r="AA30" s="42">
        <v>230215.85000000068</v>
      </c>
      <c r="AB30" s="42">
        <v>0</v>
      </c>
      <c r="AC30" s="42">
        <v>484632.91999999934</v>
      </c>
      <c r="AD30" s="42">
        <v>191631.52000000002</v>
      </c>
      <c r="AE30" s="42">
        <v>150533.13000000222</v>
      </c>
      <c r="AF30" s="38">
        <v>0.17299999999999999</v>
      </c>
      <c r="AG30" s="38">
        <v>0.23699807318102384</v>
      </c>
      <c r="AH30" s="42">
        <v>232517.72000000067</v>
      </c>
      <c r="AI30" s="38">
        <v>0.25585638696956886</v>
      </c>
      <c r="AJ30" s="42">
        <v>0</v>
      </c>
      <c r="AK30" s="42">
        <v>0</v>
      </c>
      <c r="AL30" s="42">
        <v>0</v>
      </c>
      <c r="AM30" s="42">
        <v>87588.25</v>
      </c>
      <c r="AN30" s="42">
        <v>146312.79999999996</v>
      </c>
      <c r="AO30" s="42">
        <v>171049.14999999982</v>
      </c>
      <c r="AP30" s="42">
        <v>194052.05</v>
      </c>
      <c r="AQ30" s="42">
        <v>176630.59999999998</v>
      </c>
      <c r="AR30" s="42">
        <v>111999</v>
      </c>
      <c r="AS30" s="42">
        <v>0</v>
      </c>
      <c r="AT30" s="42">
        <v>0</v>
      </c>
      <c r="AU30" s="42">
        <v>0</v>
      </c>
      <c r="AV30" s="42">
        <v>0</v>
      </c>
      <c r="AW30" s="42">
        <v>0</v>
      </c>
      <c r="AX30" s="42">
        <v>0</v>
      </c>
      <c r="AY30" s="42">
        <v>67722.040000000052</v>
      </c>
      <c r="AZ30" s="42">
        <v>117246.39999999992</v>
      </c>
      <c r="BA30" s="42">
        <v>127167.31999999993</v>
      </c>
      <c r="BB30" s="42">
        <v>145151.95999999985</v>
      </c>
      <c r="BC30" s="42">
        <v>133719.52000000002</v>
      </c>
      <c r="BD30" s="42">
        <v>85257.2</v>
      </c>
      <c r="BE30" s="42">
        <v>0</v>
      </c>
      <c r="BF30" s="42">
        <v>0</v>
      </c>
      <c r="BG30" s="42">
        <v>0</v>
      </c>
      <c r="BH30" s="42">
        <v>0</v>
      </c>
      <c r="BI30" s="42">
        <v>0</v>
      </c>
      <c r="BJ30" s="42">
        <v>0</v>
      </c>
      <c r="BK30" s="42">
        <v>19866.209999999948</v>
      </c>
      <c r="BL30" s="42">
        <v>29066.400000000038</v>
      </c>
      <c r="BM30" s="42">
        <v>43881.829999999885</v>
      </c>
      <c r="BN30" s="42">
        <v>48900.090000000142</v>
      </c>
      <c r="BO30" s="42">
        <v>42911.079999999958</v>
      </c>
      <c r="BP30" s="42">
        <v>26741.800000000003</v>
      </c>
      <c r="BQ30" s="42">
        <v>0</v>
      </c>
      <c r="BR30" s="42">
        <v>0</v>
      </c>
      <c r="BS30" s="42">
        <v>0</v>
      </c>
      <c r="BT30" s="42">
        <v>0</v>
      </c>
      <c r="BU30" s="42">
        <v>92814.440000000759</v>
      </c>
      <c r="BV30" s="42">
        <v>57718.690000001458</v>
      </c>
      <c r="BW30" s="42">
        <v>0</v>
      </c>
      <c r="BX30" s="38">
        <v>0</v>
      </c>
      <c r="BY30" s="38">
        <v>0.22919963985695169</v>
      </c>
      <c r="BZ30" s="38">
        <v>0.25071553500769511</v>
      </c>
      <c r="CA30" s="38">
        <v>0</v>
      </c>
    </row>
    <row r="31" spans="1:79" x14ac:dyDescent="0.25">
      <c r="A31" s="37" t="s">
        <v>361</v>
      </c>
      <c r="B31" s="37" t="s">
        <v>20</v>
      </c>
      <c r="C31" s="37" t="s">
        <v>403</v>
      </c>
      <c r="D31" s="37" t="s">
        <v>271</v>
      </c>
      <c r="E31" s="37" t="s">
        <v>363</v>
      </c>
      <c r="F31" s="37" t="s">
        <v>408</v>
      </c>
      <c r="G31" s="37"/>
      <c r="H31" s="104">
        <v>46027</v>
      </c>
      <c r="I31" s="104">
        <v>46203</v>
      </c>
      <c r="J31" s="44" t="s">
        <v>365</v>
      </c>
      <c r="K31" s="44" t="s">
        <v>34</v>
      </c>
      <c r="L31" s="44" t="s">
        <v>366</v>
      </c>
      <c r="M31" s="44" t="s">
        <v>380</v>
      </c>
      <c r="N31" s="42">
        <v>2044615</v>
      </c>
      <c r="O31" s="42">
        <v>2044615.33</v>
      </c>
      <c r="P31" s="42">
        <v>102812.58250000006</v>
      </c>
      <c r="Q31" s="42">
        <v>1941802.7475000001</v>
      </c>
      <c r="R31" s="42">
        <v>1828685.1639780365</v>
      </c>
      <c r="S31" s="42">
        <v>2044615.33</v>
      </c>
      <c r="T31" s="42">
        <v>113117.58352196356</v>
      </c>
      <c r="U31" s="38">
        <v>5.5324628482543735E-2</v>
      </c>
      <c r="V31" s="38">
        <v>-1.6139957893026599E-7</v>
      </c>
      <c r="W31" s="42"/>
      <c r="X31" s="241"/>
      <c r="Y31" s="42">
        <v>0</v>
      </c>
      <c r="Z31" s="42">
        <v>0</v>
      </c>
      <c r="AA31" s="42">
        <v>102812.58250000006</v>
      </c>
      <c r="AB31" s="42">
        <v>0</v>
      </c>
      <c r="AC31" s="42">
        <v>79211.020000000019</v>
      </c>
      <c r="AD31" s="42">
        <v>1423443.9134750024</v>
      </c>
      <c r="AE31" s="42">
        <v>23601.562500000044</v>
      </c>
      <c r="AF31" s="38">
        <v>0.2</v>
      </c>
      <c r="AG31" s="38">
        <v>0.22955908631125019</v>
      </c>
      <c r="AH31" s="42">
        <v>541960.39652499766</v>
      </c>
      <c r="AI31" s="38">
        <v>0.2650671686614996</v>
      </c>
      <c r="AJ31" s="42">
        <v>0</v>
      </c>
      <c r="AK31" s="42">
        <v>0</v>
      </c>
      <c r="AL31" s="42">
        <v>0</v>
      </c>
      <c r="AM31" s="42">
        <v>0</v>
      </c>
      <c r="AN31" s="42">
        <v>0</v>
      </c>
      <c r="AO31" s="42">
        <v>0</v>
      </c>
      <c r="AP31" s="42">
        <v>65354.935000000012</v>
      </c>
      <c r="AQ31" s="42">
        <v>263657.06728050299</v>
      </c>
      <c r="AR31" s="42">
        <v>403846.1705438713</v>
      </c>
      <c r="AS31" s="42">
        <v>334559.1491230391</v>
      </c>
      <c r="AT31" s="42">
        <v>400586.27578168048</v>
      </c>
      <c r="AU31" s="42">
        <v>463494.14874894207</v>
      </c>
      <c r="AV31" s="42">
        <v>0</v>
      </c>
      <c r="AW31" s="42">
        <v>0</v>
      </c>
      <c r="AX31" s="42">
        <v>0</v>
      </c>
      <c r="AY31" s="42">
        <v>0</v>
      </c>
      <c r="AZ31" s="42">
        <v>0</v>
      </c>
      <c r="BA31" s="42">
        <v>0</v>
      </c>
      <c r="BB31" s="42">
        <v>50352.120000000017</v>
      </c>
      <c r="BC31" s="42">
        <v>205292.93537499997</v>
      </c>
      <c r="BD31" s="42">
        <v>314596.94757500017</v>
      </c>
      <c r="BE31" s="42">
        <v>260495.16244999997</v>
      </c>
      <c r="BF31" s="42">
        <v>311509.38049999997</v>
      </c>
      <c r="BG31" s="42">
        <v>360408.387575</v>
      </c>
      <c r="BH31" s="42">
        <v>0</v>
      </c>
      <c r="BI31" s="42">
        <v>0</v>
      </c>
      <c r="BJ31" s="42">
        <v>0</v>
      </c>
      <c r="BK31" s="42">
        <v>0</v>
      </c>
      <c r="BL31" s="42">
        <v>0</v>
      </c>
      <c r="BM31" s="42">
        <v>0</v>
      </c>
      <c r="BN31" s="42">
        <v>15002.814999999995</v>
      </c>
      <c r="BO31" s="42">
        <v>58364.131905503018</v>
      </c>
      <c r="BP31" s="42">
        <v>89249.222968871123</v>
      </c>
      <c r="BQ31" s="42">
        <v>74063.986673039122</v>
      </c>
      <c r="BR31" s="42">
        <v>89076.89528168051</v>
      </c>
      <c r="BS31" s="42">
        <v>103085.76117394207</v>
      </c>
      <c r="BT31" s="42">
        <v>0</v>
      </c>
      <c r="BU31" s="42">
        <v>0</v>
      </c>
      <c r="BV31" s="42">
        <v>23601.562500000044</v>
      </c>
      <c r="BW31" s="42">
        <v>0</v>
      </c>
      <c r="BX31" s="38">
        <v>0</v>
      </c>
      <c r="BY31" s="38">
        <v>0</v>
      </c>
      <c r="BZ31" s="38">
        <v>0.22955908631125019</v>
      </c>
      <c r="CA31" s="38">
        <v>0</v>
      </c>
    </row>
    <row r="32" spans="1:79" x14ac:dyDescent="0.25">
      <c r="A32" s="37" t="s">
        <v>368</v>
      </c>
      <c r="B32" s="37" t="s">
        <v>19</v>
      </c>
      <c r="C32" s="37" t="s">
        <v>409</v>
      </c>
      <c r="D32" s="37" t="s">
        <v>410</v>
      </c>
      <c r="E32" s="37" t="s">
        <v>411</v>
      </c>
      <c r="F32" s="37" t="s">
        <v>412</v>
      </c>
      <c r="G32" s="37"/>
      <c r="H32" s="104">
        <v>45839</v>
      </c>
      <c r="I32" s="104">
        <v>45879</v>
      </c>
      <c r="J32" s="44" t="s">
        <v>365</v>
      </c>
      <c r="K32" s="44" t="s">
        <v>34</v>
      </c>
      <c r="L32" s="44" t="s">
        <v>413</v>
      </c>
      <c r="M32" s="44" t="s">
        <v>380</v>
      </c>
      <c r="N32" s="42">
        <v>39709</v>
      </c>
      <c r="O32" s="42">
        <v>39708.68</v>
      </c>
      <c r="P32" s="42">
        <v>39708.68</v>
      </c>
      <c r="Q32" s="42">
        <v>0</v>
      </c>
      <c r="R32" s="42">
        <v>0</v>
      </c>
      <c r="S32" s="42">
        <v>39708.68</v>
      </c>
      <c r="T32" s="42">
        <v>0</v>
      </c>
      <c r="U32" s="38">
        <v>0</v>
      </c>
      <c r="V32" s="38">
        <v>8.0586265078372403E-6</v>
      </c>
      <c r="W32" s="42"/>
      <c r="X32" s="241"/>
      <c r="Y32" s="42">
        <v>39708.68</v>
      </c>
      <c r="Z32" s="42">
        <v>0</v>
      </c>
      <c r="AA32" s="42">
        <v>0</v>
      </c>
      <c r="AB32" s="42">
        <v>0</v>
      </c>
      <c r="AC32" s="42">
        <v>2641.08</v>
      </c>
      <c r="AD32" s="42">
        <v>0</v>
      </c>
      <c r="AE32" s="42">
        <v>37067.599999999999</v>
      </c>
      <c r="AF32" s="38">
        <v>0</v>
      </c>
      <c r="AG32" s="38">
        <v>0.93348859745526669</v>
      </c>
      <c r="AH32" s="42">
        <v>37067.599999999999</v>
      </c>
      <c r="AI32" s="38">
        <v>0.93348859745526669</v>
      </c>
      <c r="AJ32" s="42">
        <v>394.92</v>
      </c>
      <c r="AK32" s="42">
        <v>0</v>
      </c>
      <c r="AL32" s="42">
        <v>39313.760000000002</v>
      </c>
      <c r="AM32" s="42">
        <v>0</v>
      </c>
      <c r="AN32" s="42">
        <v>0</v>
      </c>
      <c r="AO32" s="42">
        <v>0</v>
      </c>
      <c r="AP32" s="42">
        <v>0</v>
      </c>
      <c r="AQ32" s="42">
        <v>0</v>
      </c>
      <c r="AR32" s="42">
        <v>0</v>
      </c>
      <c r="AS32" s="42">
        <v>0</v>
      </c>
      <c r="AT32" s="42">
        <v>0</v>
      </c>
      <c r="AU32" s="42">
        <v>0</v>
      </c>
      <c r="AV32" s="42">
        <v>1515.23</v>
      </c>
      <c r="AW32" s="42">
        <v>1125.8499999999999</v>
      </c>
      <c r="AX32" s="42">
        <v>0</v>
      </c>
      <c r="AY32" s="42">
        <v>0</v>
      </c>
      <c r="AZ32" s="42">
        <v>0</v>
      </c>
      <c r="BA32" s="42">
        <v>0</v>
      </c>
      <c r="BB32" s="42">
        <v>0</v>
      </c>
      <c r="BC32" s="42">
        <v>0</v>
      </c>
      <c r="BD32" s="42">
        <v>0</v>
      </c>
      <c r="BE32" s="42">
        <v>0</v>
      </c>
      <c r="BF32" s="42">
        <v>0</v>
      </c>
      <c r="BG32" s="42">
        <v>0</v>
      </c>
      <c r="BH32" s="42">
        <v>-1120.31</v>
      </c>
      <c r="BI32" s="42">
        <v>-1125.8499999999999</v>
      </c>
      <c r="BJ32" s="42">
        <v>39313.760000000002</v>
      </c>
      <c r="BK32" s="42">
        <v>0</v>
      </c>
      <c r="BL32" s="42">
        <v>0</v>
      </c>
      <c r="BM32" s="42">
        <v>0</v>
      </c>
      <c r="BN32" s="42">
        <v>0</v>
      </c>
      <c r="BO32" s="42">
        <v>0</v>
      </c>
      <c r="BP32" s="42">
        <v>0</v>
      </c>
      <c r="BQ32" s="42">
        <v>0</v>
      </c>
      <c r="BR32" s="42">
        <v>0</v>
      </c>
      <c r="BS32" s="42">
        <v>0</v>
      </c>
      <c r="BT32" s="42">
        <v>37067.599999999999</v>
      </c>
      <c r="BU32" s="42">
        <v>0</v>
      </c>
      <c r="BV32" s="42">
        <v>0</v>
      </c>
      <c r="BW32" s="42">
        <v>0</v>
      </c>
      <c r="BX32" s="38">
        <v>0.93348859745526669</v>
      </c>
      <c r="BY32" s="38">
        <v>0</v>
      </c>
      <c r="BZ32" s="38">
        <v>0</v>
      </c>
      <c r="CA32" s="38">
        <v>0</v>
      </c>
    </row>
    <row r="33" spans="1:79" x14ac:dyDescent="0.25">
      <c r="A33" s="37" t="s">
        <v>361</v>
      </c>
      <c r="B33" s="37" t="s">
        <v>19</v>
      </c>
      <c r="C33" s="37" t="s">
        <v>409</v>
      </c>
      <c r="D33" s="37" t="s">
        <v>272</v>
      </c>
      <c r="E33" s="37" t="s">
        <v>411</v>
      </c>
      <c r="F33" s="37" t="s">
        <v>412</v>
      </c>
      <c r="G33" s="37"/>
      <c r="H33" s="104">
        <v>45888</v>
      </c>
      <c r="I33" s="104">
        <v>46073</v>
      </c>
      <c r="J33" s="44" t="s">
        <v>365</v>
      </c>
      <c r="K33" s="44" t="s">
        <v>34</v>
      </c>
      <c r="L33" s="44" t="s">
        <v>413</v>
      </c>
      <c r="M33" s="44" t="s">
        <v>380</v>
      </c>
      <c r="N33" s="42">
        <v>3532660</v>
      </c>
      <c r="O33" s="42">
        <v>3532660</v>
      </c>
      <c r="P33" s="42">
        <v>3154415.04</v>
      </c>
      <c r="Q33" s="42">
        <v>378244.95999999996</v>
      </c>
      <c r="R33" s="42">
        <v>59870</v>
      </c>
      <c r="S33" s="42">
        <v>3214285.04</v>
      </c>
      <c r="T33" s="42">
        <v>318374.95999999996</v>
      </c>
      <c r="U33" s="38">
        <v>9.0123295193989789E-2</v>
      </c>
      <c r="V33" s="38">
        <v>9.0123295193989789E-2</v>
      </c>
      <c r="W33" s="42"/>
      <c r="X33" s="241"/>
      <c r="Y33" s="42">
        <v>924645.78999999992</v>
      </c>
      <c r="Z33" s="42">
        <v>1752303.625</v>
      </c>
      <c r="AA33" s="42">
        <v>477465.625</v>
      </c>
      <c r="AB33" s="42">
        <v>0</v>
      </c>
      <c r="AC33" s="42">
        <v>2183334.7300000149</v>
      </c>
      <c r="AD33" s="42">
        <v>41082.880000000005</v>
      </c>
      <c r="AE33" s="42">
        <v>971080.30999998515</v>
      </c>
      <c r="AF33" s="38">
        <v>0.3</v>
      </c>
      <c r="AG33" s="38">
        <v>0.30784798375802352</v>
      </c>
      <c r="AH33" s="42">
        <v>989867.42999998527</v>
      </c>
      <c r="AI33" s="38">
        <v>0.30795882060291246</v>
      </c>
      <c r="AJ33" s="42">
        <v>0</v>
      </c>
      <c r="AK33" s="42">
        <v>274269.59999999998</v>
      </c>
      <c r="AL33" s="42">
        <v>650376.18999999994</v>
      </c>
      <c r="AM33" s="42">
        <v>734405.07499999995</v>
      </c>
      <c r="AN33" s="42">
        <v>589679.46</v>
      </c>
      <c r="AO33" s="42">
        <v>428219.09</v>
      </c>
      <c r="AP33" s="42">
        <v>396915.625</v>
      </c>
      <c r="AQ33" s="42">
        <v>140420</v>
      </c>
      <c r="AR33" s="42">
        <v>0</v>
      </c>
      <c r="AS33" s="42">
        <v>0</v>
      </c>
      <c r="AT33" s="42">
        <v>0</v>
      </c>
      <c r="AU33" s="42">
        <v>0</v>
      </c>
      <c r="AV33" s="42">
        <v>0</v>
      </c>
      <c r="AW33" s="42">
        <v>186355.4</v>
      </c>
      <c r="AX33" s="42">
        <v>484296.11999999982</v>
      </c>
      <c r="AY33" s="42">
        <v>499416.06000000029</v>
      </c>
      <c r="AZ33" s="42">
        <v>400182.89999999997</v>
      </c>
      <c r="BA33" s="42">
        <v>294733.1999999999</v>
      </c>
      <c r="BB33" s="42">
        <v>269511.64999999985</v>
      </c>
      <c r="BC33" s="42">
        <v>89922.28</v>
      </c>
      <c r="BD33" s="42">
        <v>0</v>
      </c>
      <c r="BE33" s="42">
        <v>0</v>
      </c>
      <c r="BF33" s="42">
        <v>0</v>
      </c>
      <c r="BG33" s="42">
        <v>0</v>
      </c>
      <c r="BH33" s="42">
        <v>0</v>
      </c>
      <c r="BI33" s="42">
        <v>87914.199999999983</v>
      </c>
      <c r="BJ33" s="42">
        <v>166080.07000000012</v>
      </c>
      <c r="BK33" s="42">
        <v>234989.01499999966</v>
      </c>
      <c r="BL33" s="42">
        <v>189496.56</v>
      </c>
      <c r="BM33" s="42">
        <v>133485.89000000013</v>
      </c>
      <c r="BN33" s="42">
        <v>127403.97500000015</v>
      </c>
      <c r="BO33" s="42">
        <v>50497.72</v>
      </c>
      <c r="BP33" s="42">
        <v>0</v>
      </c>
      <c r="BQ33" s="42">
        <v>0</v>
      </c>
      <c r="BR33" s="42">
        <v>0</v>
      </c>
      <c r="BS33" s="42">
        <v>0</v>
      </c>
      <c r="BT33" s="42">
        <v>253994.26999999944</v>
      </c>
      <c r="BU33" s="42">
        <v>557971.46499998984</v>
      </c>
      <c r="BV33" s="42">
        <v>159114.57499999576</v>
      </c>
      <c r="BW33" s="42">
        <v>0</v>
      </c>
      <c r="BX33" s="38">
        <v>0.27469358834154151</v>
      </c>
      <c r="BY33" s="38">
        <v>0.3184216804892987</v>
      </c>
      <c r="BZ33" s="38">
        <v>0.33324823122082509</v>
      </c>
      <c r="CA33" s="38">
        <v>0</v>
      </c>
    </row>
    <row r="34" spans="1:79" x14ac:dyDescent="0.25">
      <c r="A34" s="37" t="s">
        <v>361</v>
      </c>
      <c r="B34" s="37" t="s">
        <v>22</v>
      </c>
      <c r="C34" s="37" t="s">
        <v>414</v>
      </c>
      <c r="D34" s="37" t="s">
        <v>273</v>
      </c>
      <c r="E34" s="37" t="s">
        <v>363</v>
      </c>
      <c r="F34" s="37" t="s">
        <v>411</v>
      </c>
      <c r="G34" s="37"/>
      <c r="H34" s="104">
        <v>45973</v>
      </c>
      <c r="I34" s="104">
        <v>46081</v>
      </c>
      <c r="J34" s="44" t="s">
        <v>372</v>
      </c>
      <c r="K34" s="44" t="s">
        <v>34</v>
      </c>
      <c r="L34" s="44" t="s">
        <v>415</v>
      </c>
      <c r="M34" s="44" t="s">
        <v>367</v>
      </c>
      <c r="N34" s="42">
        <v>28635</v>
      </c>
      <c r="O34" s="42">
        <v>28635</v>
      </c>
      <c r="P34" s="42">
        <v>20200</v>
      </c>
      <c r="Q34" s="42">
        <v>8435</v>
      </c>
      <c r="R34" s="42">
        <v>2500</v>
      </c>
      <c r="S34" s="42">
        <v>22700</v>
      </c>
      <c r="T34" s="42">
        <v>5935</v>
      </c>
      <c r="U34" s="38">
        <v>0.20726383796053779</v>
      </c>
      <c r="V34" s="38">
        <v>0.20726383796053779</v>
      </c>
      <c r="W34" s="42"/>
      <c r="X34" s="241" t="s">
        <v>416</v>
      </c>
      <c r="Y34" s="42">
        <v>0</v>
      </c>
      <c r="Z34" s="42">
        <v>18705</v>
      </c>
      <c r="AA34" s="42">
        <v>1495</v>
      </c>
      <c r="AB34" s="42">
        <v>0</v>
      </c>
      <c r="AC34" s="42">
        <v>17148.5</v>
      </c>
      <c r="AD34" s="42">
        <v>1984</v>
      </c>
      <c r="AE34" s="42">
        <v>3051.5</v>
      </c>
      <c r="AF34" s="38">
        <v>0.20599999999999999</v>
      </c>
      <c r="AG34" s="38">
        <v>0.15106435643564356</v>
      </c>
      <c r="AH34" s="42">
        <v>3567.5</v>
      </c>
      <c r="AI34" s="38">
        <v>0.15715859030837004</v>
      </c>
      <c r="AJ34" s="42">
        <v>0</v>
      </c>
      <c r="AK34" s="42">
        <v>0</v>
      </c>
      <c r="AL34" s="42">
        <v>0</v>
      </c>
      <c r="AM34" s="42">
        <v>0</v>
      </c>
      <c r="AN34" s="42">
        <v>9287.5</v>
      </c>
      <c r="AO34" s="42">
        <v>9417.5</v>
      </c>
      <c r="AP34" s="42">
        <v>115</v>
      </c>
      <c r="AQ34" s="42">
        <v>3880</v>
      </c>
      <c r="AR34" s="42">
        <v>0</v>
      </c>
      <c r="AS34" s="42">
        <v>0</v>
      </c>
      <c r="AT34" s="42">
        <v>0</v>
      </c>
      <c r="AU34" s="42">
        <v>0</v>
      </c>
      <c r="AV34" s="42">
        <v>0</v>
      </c>
      <c r="AW34" s="42">
        <v>0</v>
      </c>
      <c r="AX34" s="42">
        <v>0</v>
      </c>
      <c r="AY34" s="42">
        <v>0</v>
      </c>
      <c r="AZ34" s="42">
        <v>7680</v>
      </c>
      <c r="BA34" s="42">
        <v>7876</v>
      </c>
      <c r="BB34" s="42">
        <v>122.5</v>
      </c>
      <c r="BC34" s="42">
        <v>3454</v>
      </c>
      <c r="BD34" s="42">
        <v>0</v>
      </c>
      <c r="BE34" s="42">
        <v>0</v>
      </c>
      <c r="BF34" s="42">
        <v>0</v>
      </c>
      <c r="BG34" s="42">
        <v>0</v>
      </c>
      <c r="BH34" s="42">
        <v>0</v>
      </c>
      <c r="BI34" s="42">
        <v>0</v>
      </c>
      <c r="BJ34" s="42">
        <v>0</v>
      </c>
      <c r="BK34" s="42">
        <v>0</v>
      </c>
      <c r="BL34" s="42">
        <v>1607.5</v>
      </c>
      <c r="BM34" s="42">
        <v>1541.5</v>
      </c>
      <c r="BN34" s="42">
        <v>-7.5</v>
      </c>
      <c r="BO34" s="42">
        <v>426</v>
      </c>
      <c r="BP34" s="42">
        <v>0</v>
      </c>
      <c r="BQ34" s="42">
        <v>0</v>
      </c>
      <c r="BR34" s="42">
        <v>0</v>
      </c>
      <c r="BS34" s="42">
        <v>0</v>
      </c>
      <c r="BT34" s="42">
        <v>0</v>
      </c>
      <c r="BU34" s="42">
        <v>3149</v>
      </c>
      <c r="BV34" s="42">
        <v>-97.5</v>
      </c>
      <c r="BW34" s="42">
        <v>0</v>
      </c>
      <c r="BX34" s="38">
        <v>0</v>
      </c>
      <c r="BY34" s="38">
        <v>0.16835070836674687</v>
      </c>
      <c r="BZ34" s="38">
        <v>-6.5217391304347824E-2</v>
      </c>
      <c r="CA34" s="38">
        <v>0</v>
      </c>
    </row>
    <row r="35" spans="1:79" x14ac:dyDescent="0.25">
      <c r="A35" s="37" t="s">
        <v>368</v>
      </c>
      <c r="B35" s="37" t="s">
        <v>21</v>
      </c>
      <c r="C35" s="37" t="s">
        <v>417</v>
      </c>
      <c r="D35" s="37" t="s">
        <v>418</v>
      </c>
      <c r="E35" s="37" t="s">
        <v>363</v>
      </c>
      <c r="F35" s="37" t="s">
        <v>363</v>
      </c>
      <c r="G35" s="37"/>
      <c r="H35" s="104">
        <v>45839</v>
      </c>
      <c r="I35" s="104">
        <v>45930</v>
      </c>
      <c r="J35" s="44" t="s">
        <v>372</v>
      </c>
      <c r="K35" s="44" t="s">
        <v>34</v>
      </c>
      <c r="L35" s="44" t="s">
        <v>379</v>
      </c>
      <c r="M35" s="44" t="s">
        <v>380</v>
      </c>
      <c r="N35" s="42">
        <v>26290</v>
      </c>
      <c r="O35" s="42">
        <v>26290</v>
      </c>
      <c r="P35" s="42">
        <v>0</v>
      </c>
      <c r="Q35" s="42">
        <v>26290</v>
      </c>
      <c r="R35" s="42">
        <v>0</v>
      </c>
      <c r="S35" s="42">
        <v>0</v>
      </c>
      <c r="T35" s="42">
        <v>26290</v>
      </c>
      <c r="U35" s="38">
        <v>1</v>
      </c>
      <c r="V35" s="38">
        <v>1</v>
      </c>
      <c r="W35" s="42"/>
      <c r="X35" s="241"/>
      <c r="Y35" s="42">
        <v>0</v>
      </c>
      <c r="Z35" s="42">
        <v>0</v>
      </c>
      <c r="AA35" s="42">
        <v>0</v>
      </c>
      <c r="AB35" s="42">
        <v>0</v>
      </c>
      <c r="AC35" s="42">
        <v>915.61</v>
      </c>
      <c r="AD35" s="42">
        <v>0</v>
      </c>
      <c r="AE35" s="42">
        <v>-915.61</v>
      </c>
      <c r="AF35" s="38">
        <v>0.4</v>
      </c>
      <c r="AG35" s="38">
        <v>0</v>
      </c>
      <c r="AH35" s="42">
        <v>-915.61</v>
      </c>
      <c r="AI35" s="38">
        <v>0</v>
      </c>
      <c r="AJ35" s="42">
        <v>0</v>
      </c>
      <c r="AK35" s="42">
        <v>0</v>
      </c>
      <c r="AL35" s="42">
        <v>0</v>
      </c>
      <c r="AM35" s="42">
        <v>0</v>
      </c>
      <c r="AN35" s="42">
        <v>0</v>
      </c>
      <c r="AO35" s="42">
        <v>0</v>
      </c>
      <c r="AP35" s="42">
        <v>0</v>
      </c>
      <c r="AQ35" s="42">
        <v>0</v>
      </c>
      <c r="AR35" s="42">
        <v>0</v>
      </c>
      <c r="AS35" s="42">
        <v>0</v>
      </c>
      <c r="AT35" s="42">
        <v>0</v>
      </c>
      <c r="AU35" s="42">
        <v>0</v>
      </c>
      <c r="AV35" s="42">
        <v>249.26</v>
      </c>
      <c r="AW35" s="42">
        <v>338.1</v>
      </c>
      <c r="AX35" s="42">
        <v>328.25</v>
      </c>
      <c r="AY35" s="42">
        <v>0</v>
      </c>
      <c r="AZ35" s="42">
        <v>0</v>
      </c>
      <c r="BA35" s="42">
        <v>0</v>
      </c>
      <c r="BB35" s="42">
        <v>0</v>
      </c>
      <c r="BC35" s="42">
        <v>0</v>
      </c>
      <c r="BD35" s="42">
        <v>0</v>
      </c>
      <c r="BE35" s="42">
        <v>0</v>
      </c>
      <c r="BF35" s="42">
        <v>0</v>
      </c>
      <c r="BG35" s="42">
        <v>0</v>
      </c>
      <c r="BH35" s="42">
        <v>-249.26</v>
      </c>
      <c r="BI35" s="42">
        <v>-338.1</v>
      </c>
      <c r="BJ35" s="42">
        <v>-328.25</v>
      </c>
      <c r="BK35" s="42">
        <v>0</v>
      </c>
      <c r="BL35" s="42">
        <v>0</v>
      </c>
      <c r="BM35" s="42">
        <v>0</v>
      </c>
      <c r="BN35" s="42">
        <v>0</v>
      </c>
      <c r="BO35" s="42">
        <v>0</v>
      </c>
      <c r="BP35" s="42">
        <v>0</v>
      </c>
      <c r="BQ35" s="42">
        <v>0</v>
      </c>
      <c r="BR35" s="42">
        <v>0</v>
      </c>
      <c r="BS35" s="42">
        <v>0</v>
      </c>
      <c r="BT35" s="42">
        <v>-915.61</v>
      </c>
      <c r="BU35" s="42">
        <v>0</v>
      </c>
      <c r="BV35" s="42">
        <v>0</v>
      </c>
      <c r="BW35" s="42">
        <v>0</v>
      </c>
      <c r="BX35" s="38">
        <v>0</v>
      </c>
      <c r="BY35" s="38">
        <v>0</v>
      </c>
      <c r="BZ35" s="38">
        <v>0</v>
      </c>
      <c r="CA35" s="38">
        <v>0</v>
      </c>
    </row>
    <row r="36" spans="1:79" x14ac:dyDescent="0.25">
      <c r="A36" s="37" t="s">
        <v>368</v>
      </c>
      <c r="B36" s="37" t="s">
        <v>21</v>
      </c>
      <c r="C36" s="37" t="s">
        <v>417</v>
      </c>
      <c r="D36" s="37" t="s">
        <v>419</v>
      </c>
      <c r="E36" s="37" t="s">
        <v>363</v>
      </c>
      <c r="F36" s="37" t="s">
        <v>420</v>
      </c>
      <c r="G36" s="37"/>
      <c r="H36" s="104">
        <v>45859</v>
      </c>
      <c r="I36" s="104">
        <v>45930</v>
      </c>
      <c r="J36" s="44" t="s">
        <v>372</v>
      </c>
      <c r="K36" s="44" t="s">
        <v>34</v>
      </c>
      <c r="L36" s="44" t="s">
        <v>379</v>
      </c>
      <c r="M36" s="44" t="s">
        <v>380</v>
      </c>
      <c r="N36" s="42">
        <v>86400</v>
      </c>
      <c r="O36" s="42">
        <v>86400</v>
      </c>
      <c r="P36" s="42">
        <v>55740</v>
      </c>
      <c r="Q36" s="42">
        <v>30660</v>
      </c>
      <c r="R36" s="42">
        <v>0</v>
      </c>
      <c r="S36" s="42">
        <v>55740</v>
      </c>
      <c r="T36" s="42">
        <v>30660</v>
      </c>
      <c r="U36" s="38">
        <v>0.35486111111111113</v>
      </c>
      <c r="V36" s="38">
        <v>0.35486111111111113</v>
      </c>
      <c r="W36" s="42"/>
      <c r="X36" s="241"/>
      <c r="Y36" s="42">
        <v>55740</v>
      </c>
      <c r="Z36" s="42">
        <v>0</v>
      </c>
      <c r="AA36" s="42">
        <v>0</v>
      </c>
      <c r="AB36" s="42">
        <v>0</v>
      </c>
      <c r="AC36" s="42">
        <v>33060.999999999985</v>
      </c>
      <c r="AD36" s="42">
        <v>0</v>
      </c>
      <c r="AE36" s="42">
        <v>22679.000000000015</v>
      </c>
      <c r="AF36" s="38">
        <v>0.4</v>
      </c>
      <c r="AG36" s="38">
        <v>0.40687118765697911</v>
      </c>
      <c r="AH36" s="42">
        <v>22679.000000000015</v>
      </c>
      <c r="AI36" s="38">
        <v>0.40687118765697911</v>
      </c>
      <c r="AJ36" s="42">
        <v>13630</v>
      </c>
      <c r="AK36" s="42">
        <v>39500</v>
      </c>
      <c r="AL36" s="42">
        <v>2610</v>
      </c>
      <c r="AM36" s="42">
        <v>0</v>
      </c>
      <c r="AN36" s="42">
        <v>0</v>
      </c>
      <c r="AO36" s="42">
        <v>0</v>
      </c>
      <c r="AP36" s="42">
        <v>0</v>
      </c>
      <c r="AQ36" s="42">
        <v>0</v>
      </c>
      <c r="AR36" s="42">
        <v>0</v>
      </c>
      <c r="AS36" s="42">
        <v>0</v>
      </c>
      <c r="AT36" s="42">
        <v>0</v>
      </c>
      <c r="AU36" s="42">
        <v>0</v>
      </c>
      <c r="AV36" s="42">
        <v>8498.39</v>
      </c>
      <c r="AW36" s="42">
        <v>22987.609999999997</v>
      </c>
      <c r="AX36" s="42">
        <v>1575</v>
      </c>
      <c r="AY36" s="42">
        <v>0</v>
      </c>
      <c r="AZ36" s="42">
        <v>0</v>
      </c>
      <c r="BA36" s="42">
        <v>0</v>
      </c>
      <c r="BB36" s="42">
        <v>0</v>
      </c>
      <c r="BC36" s="42">
        <v>0</v>
      </c>
      <c r="BD36" s="42">
        <v>0</v>
      </c>
      <c r="BE36" s="42">
        <v>0</v>
      </c>
      <c r="BF36" s="42">
        <v>0</v>
      </c>
      <c r="BG36" s="42">
        <v>0</v>
      </c>
      <c r="BH36" s="42">
        <v>5131.6100000000006</v>
      </c>
      <c r="BI36" s="42">
        <v>16512.390000000003</v>
      </c>
      <c r="BJ36" s="42">
        <v>1035</v>
      </c>
      <c r="BK36" s="42">
        <v>0</v>
      </c>
      <c r="BL36" s="42">
        <v>0</v>
      </c>
      <c r="BM36" s="42">
        <v>0</v>
      </c>
      <c r="BN36" s="42">
        <v>0</v>
      </c>
      <c r="BO36" s="42">
        <v>0</v>
      </c>
      <c r="BP36" s="42">
        <v>0</v>
      </c>
      <c r="BQ36" s="42">
        <v>0</v>
      </c>
      <c r="BR36" s="42">
        <v>0</v>
      </c>
      <c r="BS36" s="42">
        <v>0</v>
      </c>
      <c r="BT36" s="42">
        <v>22679.000000000015</v>
      </c>
      <c r="BU36" s="42">
        <v>0</v>
      </c>
      <c r="BV36" s="42">
        <v>0</v>
      </c>
      <c r="BW36" s="42">
        <v>0</v>
      </c>
      <c r="BX36" s="38">
        <v>0.40687118765697911</v>
      </c>
      <c r="BY36" s="38">
        <v>0</v>
      </c>
      <c r="BZ36" s="38">
        <v>0</v>
      </c>
      <c r="CA36" s="38">
        <v>0</v>
      </c>
    </row>
    <row r="37" spans="1:79" x14ac:dyDescent="0.25">
      <c r="A37" s="37" t="s">
        <v>368</v>
      </c>
      <c r="B37" s="37" t="s">
        <v>18</v>
      </c>
      <c r="C37" s="37" t="s">
        <v>18</v>
      </c>
      <c r="D37" s="37" t="s">
        <v>421</v>
      </c>
      <c r="E37" s="37" t="s">
        <v>411</v>
      </c>
      <c r="F37" s="37" t="s">
        <v>412</v>
      </c>
      <c r="G37" s="37"/>
      <c r="H37" s="104">
        <v>45839</v>
      </c>
      <c r="I37" s="104">
        <v>46203</v>
      </c>
      <c r="J37" s="44" t="s">
        <v>372</v>
      </c>
      <c r="K37" s="44" t="s">
        <v>39</v>
      </c>
      <c r="L37" s="44" t="s">
        <v>379</v>
      </c>
      <c r="M37" s="44" t="s">
        <v>380</v>
      </c>
      <c r="N37" s="42">
        <v>468000</v>
      </c>
      <c r="O37" s="42">
        <v>446400</v>
      </c>
      <c r="P37" s="42">
        <v>105300</v>
      </c>
      <c r="Q37" s="42">
        <v>341100</v>
      </c>
      <c r="R37" s="42">
        <v>0</v>
      </c>
      <c r="S37" s="42">
        <v>105300</v>
      </c>
      <c r="T37" s="42">
        <v>341100</v>
      </c>
      <c r="U37" s="38">
        <v>0.76411290322580649</v>
      </c>
      <c r="V37" s="38">
        <v>0.77500000000000002</v>
      </c>
      <c r="W37" s="42"/>
      <c r="X37" s="241"/>
      <c r="Y37" s="42">
        <v>101700</v>
      </c>
      <c r="Z37" s="42">
        <v>3600</v>
      </c>
      <c r="AA37" s="42">
        <v>0</v>
      </c>
      <c r="AB37" s="42">
        <v>0</v>
      </c>
      <c r="AC37" s="42">
        <v>94536</v>
      </c>
      <c r="AD37" s="42">
        <v>0</v>
      </c>
      <c r="AE37" s="42">
        <v>10764</v>
      </c>
      <c r="AF37" s="38">
        <v>0.1</v>
      </c>
      <c r="AG37" s="38">
        <v>0.10222222222222223</v>
      </c>
      <c r="AH37" s="42">
        <v>10764</v>
      </c>
      <c r="AI37" s="38">
        <v>0.10222222222222224</v>
      </c>
      <c r="AJ37" s="42">
        <v>29700</v>
      </c>
      <c r="AK37" s="42">
        <v>37800</v>
      </c>
      <c r="AL37" s="42">
        <v>34200</v>
      </c>
      <c r="AM37" s="42">
        <v>3600</v>
      </c>
      <c r="AN37" s="42">
        <v>0</v>
      </c>
      <c r="AO37" s="42">
        <v>0</v>
      </c>
      <c r="AP37" s="42">
        <v>0</v>
      </c>
      <c r="AQ37" s="42">
        <v>0</v>
      </c>
      <c r="AR37" s="42">
        <v>0</v>
      </c>
      <c r="AS37" s="42">
        <v>0</v>
      </c>
      <c r="AT37" s="42">
        <v>0</v>
      </c>
      <c r="AU37" s="42">
        <v>0</v>
      </c>
      <c r="AV37" s="42">
        <v>26664</v>
      </c>
      <c r="AW37" s="42">
        <v>33936</v>
      </c>
      <c r="AX37" s="42">
        <v>30704</v>
      </c>
      <c r="AY37" s="42">
        <v>3232</v>
      </c>
      <c r="AZ37" s="42">
        <v>0</v>
      </c>
      <c r="BA37" s="42">
        <v>0</v>
      </c>
      <c r="BB37" s="42">
        <v>0</v>
      </c>
      <c r="BC37" s="42">
        <v>0</v>
      </c>
      <c r="BD37" s="42">
        <v>0</v>
      </c>
      <c r="BE37" s="42">
        <v>0</v>
      </c>
      <c r="BF37" s="42">
        <v>0</v>
      </c>
      <c r="BG37" s="42">
        <v>0</v>
      </c>
      <c r="BH37" s="42">
        <v>3036</v>
      </c>
      <c r="BI37" s="42">
        <v>3864</v>
      </c>
      <c r="BJ37" s="42">
        <v>3496</v>
      </c>
      <c r="BK37" s="42">
        <v>368</v>
      </c>
      <c r="BL37" s="42">
        <v>0</v>
      </c>
      <c r="BM37" s="42">
        <v>0</v>
      </c>
      <c r="BN37" s="42">
        <v>0</v>
      </c>
      <c r="BO37" s="42">
        <v>0</v>
      </c>
      <c r="BP37" s="42">
        <v>0</v>
      </c>
      <c r="BQ37" s="42">
        <v>0</v>
      </c>
      <c r="BR37" s="42">
        <v>0</v>
      </c>
      <c r="BS37" s="42">
        <v>0</v>
      </c>
      <c r="BT37" s="42">
        <v>10396</v>
      </c>
      <c r="BU37" s="42">
        <v>368</v>
      </c>
      <c r="BV37" s="42">
        <v>0</v>
      </c>
      <c r="BW37" s="42">
        <v>0</v>
      </c>
      <c r="BX37" s="38">
        <v>0.10222222222222223</v>
      </c>
      <c r="BY37" s="38">
        <v>0.10222222222222223</v>
      </c>
      <c r="BZ37" s="38">
        <v>0</v>
      </c>
      <c r="CA37" s="38">
        <v>0</v>
      </c>
    </row>
    <row r="38" spans="1:79" x14ac:dyDescent="0.25">
      <c r="A38" s="37" t="s">
        <v>368</v>
      </c>
      <c r="B38" s="37" t="s">
        <v>18</v>
      </c>
      <c r="C38" s="37" t="s">
        <v>18</v>
      </c>
      <c r="D38" s="37" t="s">
        <v>422</v>
      </c>
      <c r="E38" s="37" t="s">
        <v>411</v>
      </c>
      <c r="F38" s="37" t="s">
        <v>412</v>
      </c>
      <c r="G38" s="37"/>
      <c r="H38" s="104">
        <v>45839</v>
      </c>
      <c r="I38" s="104">
        <v>46022</v>
      </c>
      <c r="J38" s="44" t="s">
        <v>372</v>
      </c>
      <c r="K38" s="44" t="s">
        <v>39</v>
      </c>
      <c r="L38" s="44" t="s">
        <v>379</v>
      </c>
      <c r="M38" s="44" t="s">
        <v>380</v>
      </c>
      <c r="N38" s="42">
        <v>248850</v>
      </c>
      <c r="O38" s="42">
        <v>221400</v>
      </c>
      <c r="P38" s="42">
        <v>206100</v>
      </c>
      <c r="Q38" s="42">
        <v>15300</v>
      </c>
      <c r="R38" s="42">
        <v>0</v>
      </c>
      <c r="S38" s="42">
        <v>206100</v>
      </c>
      <c r="T38" s="42">
        <v>15300</v>
      </c>
      <c r="U38" s="38">
        <v>6.910569105691057E-2</v>
      </c>
      <c r="V38" s="38">
        <v>0.17179023508137431</v>
      </c>
      <c r="W38" s="42"/>
      <c r="X38" s="241"/>
      <c r="Y38" s="42">
        <v>114525</v>
      </c>
      <c r="Z38" s="42">
        <v>91575</v>
      </c>
      <c r="AA38" s="42">
        <v>0</v>
      </c>
      <c r="AB38" s="42">
        <v>0</v>
      </c>
      <c r="AC38" s="42">
        <v>171292</v>
      </c>
      <c r="AD38" s="42">
        <v>0</v>
      </c>
      <c r="AE38" s="42">
        <v>34808</v>
      </c>
      <c r="AF38" s="38">
        <v>0.17</v>
      </c>
      <c r="AG38" s="38">
        <v>0.16888888888888889</v>
      </c>
      <c r="AH38" s="42">
        <v>34808</v>
      </c>
      <c r="AI38" s="38">
        <v>0.16888888888888887</v>
      </c>
      <c r="AJ38" s="42">
        <v>38700</v>
      </c>
      <c r="AK38" s="42">
        <v>37800</v>
      </c>
      <c r="AL38" s="42">
        <v>38025</v>
      </c>
      <c r="AM38" s="42">
        <v>34200</v>
      </c>
      <c r="AN38" s="42">
        <v>32400</v>
      </c>
      <c r="AO38" s="42">
        <v>24975</v>
      </c>
      <c r="AP38" s="42">
        <v>0</v>
      </c>
      <c r="AQ38" s="42">
        <v>0</v>
      </c>
      <c r="AR38" s="42">
        <v>0</v>
      </c>
      <c r="AS38" s="42">
        <v>0</v>
      </c>
      <c r="AT38" s="42">
        <v>0</v>
      </c>
      <c r="AU38" s="42">
        <v>0</v>
      </c>
      <c r="AV38" s="42">
        <v>32164</v>
      </c>
      <c r="AW38" s="42">
        <v>31416</v>
      </c>
      <c r="AX38" s="42">
        <v>31603</v>
      </c>
      <c r="AY38" s="42">
        <v>28424</v>
      </c>
      <c r="AZ38" s="42">
        <v>26928</v>
      </c>
      <c r="BA38" s="42">
        <v>20757</v>
      </c>
      <c r="BB38" s="42">
        <v>0</v>
      </c>
      <c r="BC38" s="42">
        <v>0</v>
      </c>
      <c r="BD38" s="42">
        <v>0</v>
      </c>
      <c r="BE38" s="42">
        <v>0</v>
      </c>
      <c r="BF38" s="42">
        <v>0</v>
      </c>
      <c r="BG38" s="42">
        <v>0</v>
      </c>
      <c r="BH38" s="42">
        <v>6536</v>
      </c>
      <c r="BI38" s="42">
        <v>6384</v>
      </c>
      <c r="BJ38" s="42">
        <v>6422</v>
      </c>
      <c r="BK38" s="42">
        <v>5776</v>
      </c>
      <c r="BL38" s="42">
        <v>5472</v>
      </c>
      <c r="BM38" s="42">
        <v>4218</v>
      </c>
      <c r="BN38" s="42">
        <v>0</v>
      </c>
      <c r="BO38" s="42">
        <v>0</v>
      </c>
      <c r="BP38" s="42">
        <v>0</v>
      </c>
      <c r="BQ38" s="42">
        <v>0</v>
      </c>
      <c r="BR38" s="42">
        <v>0</v>
      </c>
      <c r="BS38" s="42">
        <v>0</v>
      </c>
      <c r="BT38" s="42">
        <v>19342</v>
      </c>
      <c r="BU38" s="42">
        <v>15466</v>
      </c>
      <c r="BV38" s="42">
        <v>0</v>
      </c>
      <c r="BW38" s="42">
        <v>0</v>
      </c>
      <c r="BX38" s="38">
        <v>0.16888888888888889</v>
      </c>
      <c r="BY38" s="38">
        <v>0.16888888888888889</v>
      </c>
      <c r="BZ38" s="38">
        <v>0</v>
      </c>
      <c r="CA38" s="38">
        <v>0</v>
      </c>
    </row>
    <row r="39" spans="1:79" x14ac:dyDescent="0.25">
      <c r="A39" s="37" t="s">
        <v>361</v>
      </c>
      <c r="B39" s="37" t="s">
        <v>18</v>
      </c>
      <c r="C39" s="37" t="s">
        <v>18</v>
      </c>
      <c r="D39" s="37" t="s">
        <v>274</v>
      </c>
      <c r="E39" s="37" t="s">
        <v>411</v>
      </c>
      <c r="F39" s="37" t="s">
        <v>412</v>
      </c>
      <c r="G39" s="37"/>
      <c r="H39" s="104">
        <v>46023</v>
      </c>
      <c r="I39" s="104">
        <v>46203</v>
      </c>
      <c r="J39" s="44" t="s">
        <v>372</v>
      </c>
      <c r="K39" s="44" t="s">
        <v>39</v>
      </c>
      <c r="L39" s="44" t="s">
        <v>379</v>
      </c>
      <c r="M39" s="44" t="s">
        <v>380</v>
      </c>
      <c r="N39" s="42">
        <v>232066</v>
      </c>
      <c r="O39" s="42">
        <v>216000</v>
      </c>
      <c r="P39" s="42">
        <v>27000</v>
      </c>
      <c r="Q39" s="42">
        <v>189000</v>
      </c>
      <c r="R39" s="42">
        <v>172800</v>
      </c>
      <c r="S39" s="42">
        <v>199800</v>
      </c>
      <c r="T39" s="42">
        <v>16200</v>
      </c>
      <c r="U39" s="38">
        <v>7.4999999999999997E-2</v>
      </c>
      <c r="V39" s="38">
        <v>0.13903803228391923</v>
      </c>
      <c r="W39" s="42"/>
      <c r="X39" s="241"/>
      <c r="Y39" s="42">
        <v>0</v>
      </c>
      <c r="Z39" s="42">
        <v>0</v>
      </c>
      <c r="AA39" s="42">
        <v>27000</v>
      </c>
      <c r="AB39" s="42">
        <v>0</v>
      </c>
      <c r="AC39" s="42">
        <v>22440</v>
      </c>
      <c r="AD39" s="42">
        <v>143616</v>
      </c>
      <c r="AE39" s="42">
        <v>4560</v>
      </c>
      <c r="AF39" s="38">
        <v>0.16900000000000001</v>
      </c>
      <c r="AG39" s="38">
        <v>0.16888888888888889</v>
      </c>
      <c r="AH39" s="42">
        <v>33744</v>
      </c>
      <c r="AI39" s="38">
        <v>0.16888888888888887</v>
      </c>
      <c r="AJ39" s="42">
        <v>0</v>
      </c>
      <c r="AK39" s="42">
        <v>0</v>
      </c>
      <c r="AL39" s="42">
        <v>0</v>
      </c>
      <c r="AM39" s="42">
        <v>0</v>
      </c>
      <c r="AN39" s="42">
        <v>0</v>
      </c>
      <c r="AO39" s="42">
        <v>0</v>
      </c>
      <c r="AP39" s="42">
        <v>27000</v>
      </c>
      <c r="AQ39" s="42">
        <v>27000</v>
      </c>
      <c r="AR39" s="42">
        <v>41400</v>
      </c>
      <c r="AS39" s="42">
        <v>32400</v>
      </c>
      <c r="AT39" s="42">
        <v>36000</v>
      </c>
      <c r="AU39" s="42">
        <v>36000</v>
      </c>
      <c r="AV39" s="42">
        <v>0</v>
      </c>
      <c r="AW39" s="42">
        <v>0</v>
      </c>
      <c r="AX39" s="42">
        <v>0</v>
      </c>
      <c r="AY39" s="42">
        <v>0</v>
      </c>
      <c r="AZ39" s="42">
        <v>0</v>
      </c>
      <c r="BA39" s="42">
        <v>0</v>
      </c>
      <c r="BB39" s="42">
        <v>22440</v>
      </c>
      <c r="BC39" s="42">
        <v>22440</v>
      </c>
      <c r="BD39" s="42">
        <v>34408</v>
      </c>
      <c r="BE39" s="42">
        <v>26928</v>
      </c>
      <c r="BF39" s="42">
        <v>29920</v>
      </c>
      <c r="BG39" s="42">
        <v>29920</v>
      </c>
      <c r="BH39" s="42">
        <v>0</v>
      </c>
      <c r="BI39" s="42">
        <v>0</v>
      </c>
      <c r="BJ39" s="42">
        <v>0</v>
      </c>
      <c r="BK39" s="42">
        <v>0</v>
      </c>
      <c r="BL39" s="42">
        <v>0</v>
      </c>
      <c r="BM39" s="42">
        <v>0</v>
      </c>
      <c r="BN39" s="42">
        <v>4560</v>
      </c>
      <c r="BO39" s="42">
        <v>4560</v>
      </c>
      <c r="BP39" s="42">
        <v>6992</v>
      </c>
      <c r="BQ39" s="42">
        <v>5472</v>
      </c>
      <c r="BR39" s="42">
        <v>6080</v>
      </c>
      <c r="BS39" s="42">
        <v>6080</v>
      </c>
      <c r="BT39" s="42">
        <v>0</v>
      </c>
      <c r="BU39" s="42">
        <v>0</v>
      </c>
      <c r="BV39" s="42">
        <v>4560</v>
      </c>
      <c r="BW39" s="42">
        <v>0</v>
      </c>
      <c r="BX39" s="38">
        <v>0</v>
      </c>
      <c r="BY39" s="38">
        <v>0</v>
      </c>
      <c r="BZ39" s="38">
        <v>0.16888888888888889</v>
      </c>
      <c r="CA39" s="38">
        <v>0</v>
      </c>
    </row>
    <row r="40" spans="1:79" x14ac:dyDescent="0.25">
      <c r="A40" s="37" t="s">
        <v>368</v>
      </c>
      <c r="B40" s="37" t="s">
        <v>18</v>
      </c>
      <c r="C40" s="37" t="s">
        <v>18</v>
      </c>
      <c r="D40" s="37" t="s">
        <v>423</v>
      </c>
      <c r="E40" s="37" t="s">
        <v>424</v>
      </c>
      <c r="F40" s="37" t="s">
        <v>424</v>
      </c>
      <c r="G40" s="37"/>
      <c r="H40" s="104">
        <v>45839</v>
      </c>
      <c r="I40" s="104">
        <v>46022</v>
      </c>
      <c r="J40" s="44" t="s">
        <v>372</v>
      </c>
      <c r="K40" s="44" t="s">
        <v>39</v>
      </c>
      <c r="L40" s="44" t="s">
        <v>379</v>
      </c>
      <c r="M40" s="44" t="s">
        <v>380</v>
      </c>
      <c r="N40" s="42">
        <v>280800</v>
      </c>
      <c r="O40" s="42">
        <v>265680</v>
      </c>
      <c r="P40" s="42">
        <v>204120</v>
      </c>
      <c r="Q40" s="42">
        <v>61560</v>
      </c>
      <c r="R40" s="42">
        <v>0</v>
      </c>
      <c r="S40" s="42">
        <v>204120</v>
      </c>
      <c r="T40" s="42">
        <v>61560</v>
      </c>
      <c r="U40" s="38">
        <v>0.23170731707317074</v>
      </c>
      <c r="V40" s="38">
        <v>0.27307692307692305</v>
      </c>
      <c r="W40" s="42"/>
      <c r="X40" s="241"/>
      <c r="Y40" s="42">
        <v>122580</v>
      </c>
      <c r="Z40" s="42">
        <v>81540</v>
      </c>
      <c r="AA40" s="42">
        <v>0</v>
      </c>
      <c r="AB40" s="42">
        <v>0</v>
      </c>
      <c r="AC40" s="42">
        <v>174636</v>
      </c>
      <c r="AD40" s="42">
        <v>0</v>
      </c>
      <c r="AE40" s="42">
        <v>29484</v>
      </c>
      <c r="AF40" s="38">
        <v>0.14000000000000001</v>
      </c>
      <c r="AG40" s="38">
        <v>0.14444444444444443</v>
      </c>
      <c r="AH40" s="42">
        <v>29484</v>
      </c>
      <c r="AI40" s="38">
        <v>0.14444444444444443</v>
      </c>
      <c r="AJ40" s="42">
        <v>45360</v>
      </c>
      <c r="AK40" s="42">
        <v>38880</v>
      </c>
      <c r="AL40" s="42">
        <v>38340</v>
      </c>
      <c r="AM40" s="42">
        <v>17280</v>
      </c>
      <c r="AN40" s="42">
        <v>34560</v>
      </c>
      <c r="AO40" s="42">
        <v>29700</v>
      </c>
      <c r="AP40" s="42">
        <v>0</v>
      </c>
      <c r="AQ40" s="42">
        <v>0</v>
      </c>
      <c r="AR40" s="42">
        <v>0</v>
      </c>
      <c r="AS40" s="42">
        <v>0</v>
      </c>
      <c r="AT40" s="42">
        <v>0</v>
      </c>
      <c r="AU40" s="42">
        <v>0</v>
      </c>
      <c r="AV40" s="42">
        <v>38808</v>
      </c>
      <c r="AW40" s="42">
        <v>33264</v>
      </c>
      <c r="AX40" s="42">
        <v>32802</v>
      </c>
      <c r="AY40" s="42">
        <v>14784</v>
      </c>
      <c r="AZ40" s="42">
        <v>29568</v>
      </c>
      <c r="BA40" s="42">
        <v>25410</v>
      </c>
      <c r="BB40" s="42">
        <v>0</v>
      </c>
      <c r="BC40" s="42">
        <v>0</v>
      </c>
      <c r="BD40" s="42">
        <v>0</v>
      </c>
      <c r="BE40" s="42">
        <v>0</v>
      </c>
      <c r="BF40" s="42">
        <v>0</v>
      </c>
      <c r="BG40" s="42">
        <v>0</v>
      </c>
      <c r="BH40" s="42">
        <v>6552</v>
      </c>
      <c r="BI40" s="42">
        <v>5616</v>
      </c>
      <c r="BJ40" s="42">
        <v>5538</v>
      </c>
      <c r="BK40" s="42">
        <v>2496</v>
      </c>
      <c r="BL40" s="42">
        <v>4992</v>
      </c>
      <c r="BM40" s="42">
        <v>4290</v>
      </c>
      <c r="BN40" s="42">
        <v>0</v>
      </c>
      <c r="BO40" s="42">
        <v>0</v>
      </c>
      <c r="BP40" s="42">
        <v>0</v>
      </c>
      <c r="BQ40" s="42">
        <v>0</v>
      </c>
      <c r="BR40" s="42">
        <v>0</v>
      </c>
      <c r="BS40" s="42">
        <v>0</v>
      </c>
      <c r="BT40" s="42">
        <v>17706</v>
      </c>
      <c r="BU40" s="42">
        <v>11778</v>
      </c>
      <c r="BV40" s="42">
        <v>0</v>
      </c>
      <c r="BW40" s="42">
        <v>0</v>
      </c>
      <c r="BX40" s="38">
        <v>0.14444444444444443</v>
      </c>
      <c r="BY40" s="38">
        <v>0.14444444444444443</v>
      </c>
      <c r="BZ40" s="38">
        <v>0</v>
      </c>
      <c r="CA40" s="38">
        <v>0</v>
      </c>
    </row>
    <row r="41" spans="1:79" x14ac:dyDescent="0.25">
      <c r="A41" s="37" t="s">
        <v>361</v>
      </c>
      <c r="B41" s="37" t="s">
        <v>18</v>
      </c>
      <c r="C41" s="37" t="s">
        <v>18</v>
      </c>
      <c r="D41" s="37" t="s">
        <v>275</v>
      </c>
      <c r="E41" s="37" t="s">
        <v>424</v>
      </c>
      <c r="F41" s="37" t="s">
        <v>424</v>
      </c>
      <c r="G41" s="37"/>
      <c r="H41" s="104">
        <v>46023</v>
      </c>
      <c r="I41" s="104">
        <v>46112</v>
      </c>
      <c r="J41" s="44" t="s">
        <v>372</v>
      </c>
      <c r="K41" s="44" t="s">
        <v>39</v>
      </c>
      <c r="L41" s="44" t="s">
        <v>379</v>
      </c>
      <c r="M41" s="44" t="s">
        <v>380</v>
      </c>
      <c r="N41" s="42">
        <v>140400</v>
      </c>
      <c r="O41" s="42">
        <v>129600</v>
      </c>
      <c r="P41" s="42">
        <v>17280</v>
      </c>
      <c r="Q41" s="42">
        <v>112320</v>
      </c>
      <c r="R41" s="42">
        <v>77760</v>
      </c>
      <c r="S41" s="42">
        <v>95040</v>
      </c>
      <c r="T41" s="42">
        <v>34560</v>
      </c>
      <c r="U41" s="38">
        <v>0.26666666666666666</v>
      </c>
      <c r="V41" s="38">
        <v>0.32307692307692309</v>
      </c>
      <c r="W41" s="42"/>
      <c r="X41" s="241" t="s">
        <v>425</v>
      </c>
      <c r="Y41" s="42">
        <v>0</v>
      </c>
      <c r="Z41" s="42">
        <v>0</v>
      </c>
      <c r="AA41" s="42">
        <v>17280</v>
      </c>
      <c r="AB41" s="42">
        <v>0</v>
      </c>
      <c r="AC41" s="42">
        <v>14784</v>
      </c>
      <c r="AD41" s="42">
        <v>66528</v>
      </c>
      <c r="AE41" s="42">
        <v>2496</v>
      </c>
      <c r="AF41" s="38">
        <v>0.14399999999999999</v>
      </c>
      <c r="AG41" s="38">
        <v>0.14444444444444443</v>
      </c>
      <c r="AH41" s="42">
        <v>13728</v>
      </c>
      <c r="AI41" s="38">
        <v>0.14444444444444443</v>
      </c>
      <c r="AJ41" s="42">
        <v>0</v>
      </c>
      <c r="AK41" s="42">
        <v>0</v>
      </c>
      <c r="AL41" s="42">
        <v>0</v>
      </c>
      <c r="AM41" s="42">
        <v>0</v>
      </c>
      <c r="AN41" s="42">
        <v>0</v>
      </c>
      <c r="AO41" s="42">
        <v>0</v>
      </c>
      <c r="AP41" s="42">
        <v>17280</v>
      </c>
      <c r="AQ41" s="42">
        <v>32400</v>
      </c>
      <c r="AR41" s="42">
        <v>45360</v>
      </c>
      <c r="AS41" s="42">
        <v>0</v>
      </c>
      <c r="AT41" s="42">
        <v>0</v>
      </c>
      <c r="AU41" s="42">
        <v>0</v>
      </c>
      <c r="AV41" s="42">
        <v>0</v>
      </c>
      <c r="AW41" s="42">
        <v>0</v>
      </c>
      <c r="AX41" s="42">
        <v>0</v>
      </c>
      <c r="AY41" s="42">
        <v>0</v>
      </c>
      <c r="AZ41" s="42">
        <v>0</v>
      </c>
      <c r="BA41" s="42">
        <v>0</v>
      </c>
      <c r="BB41" s="42">
        <v>14784</v>
      </c>
      <c r="BC41" s="42">
        <v>27720</v>
      </c>
      <c r="BD41" s="42">
        <v>38808</v>
      </c>
      <c r="BE41" s="42">
        <v>0</v>
      </c>
      <c r="BF41" s="42">
        <v>0</v>
      </c>
      <c r="BG41" s="42">
        <v>0</v>
      </c>
      <c r="BH41" s="42">
        <v>0</v>
      </c>
      <c r="BI41" s="42">
        <v>0</v>
      </c>
      <c r="BJ41" s="42">
        <v>0</v>
      </c>
      <c r="BK41" s="42">
        <v>0</v>
      </c>
      <c r="BL41" s="42">
        <v>0</v>
      </c>
      <c r="BM41" s="42">
        <v>0</v>
      </c>
      <c r="BN41" s="42">
        <v>2496</v>
      </c>
      <c r="BO41" s="42">
        <v>4680</v>
      </c>
      <c r="BP41" s="42">
        <v>6552</v>
      </c>
      <c r="BQ41" s="42">
        <v>0</v>
      </c>
      <c r="BR41" s="42">
        <v>0</v>
      </c>
      <c r="BS41" s="42">
        <v>0</v>
      </c>
      <c r="BT41" s="42">
        <v>0</v>
      </c>
      <c r="BU41" s="42">
        <v>0</v>
      </c>
      <c r="BV41" s="42">
        <v>2496</v>
      </c>
      <c r="BW41" s="42">
        <v>0</v>
      </c>
      <c r="BX41" s="38">
        <v>0</v>
      </c>
      <c r="BY41" s="38">
        <v>0</v>
      </c>
      <c r="BZ41" s="38">
        <v>0.14444444444444443</v>
      </c>
      <c r="CA41" s="38">
        <v>0</v>
      </c>
    </row>
    <row r="42" spans="1:79" x14ac:dyDescent="0.25">
      <c r="A42" s="37" t="s">
        <v>361</v>
      </c>
      <c r="B42" s="37" t="s">
        <v>18</v>
      </c>
      <c r="C42" s="37" t="s">
        <v>18</v>
      </c>
      <c r="D42" s="37" t="s">
        <v>276</v>
      </c>
      <c r="E42" s="37" t="s">
        <v>411</v>
      </c>
      <c r="F42" s="37" t="s">
        <v>411</v>
      </c>
      <c r="G42" s="37"/>
      <c r="H42" s="104">
        <v>45839</v>
      </c>
      <c r="I42" s="104">
        <v>46112</v>
      </c>
      <c r="J42" s="44" t="s">
        <v>372</v>
      </c>
      <c r="K42" s="44" t="s">
        <v>39</v>
      </c>
      <c r="L42" s="44" t="s">
        <v>379</v>
      </c>
      <c r="M42" s="44" t="s">
        <v>380</v>
      </c>
      <c r="N42" s="42">
        <v>664812.5</v>
      </c>
      <c r="O42" s="42">
        <v>244750</v>
      </c>
      <c r="P42" s="42">
        <v>158812.5</v>
      </c>
      <c r="Q42" s="42">
        <v>85937.5</v>
      </c>
      <c r="R42" s="42">
        <v>31625</v>
      </c>
      <c r="S42" s="42">
        <v>190437.5</v>
      </c>
      <c r="T42" s="42">
        <v>54312.5</v>
      </c>
      <c r="U42" s="38">
        <v>0.22191011235955055</v>
      </c>
      <c r="V42" s="38">
        <v>0.71354705274043428</v>
      </c>
      <c r="W42" s="42"/>
      <c r="X42" s="241" t="s">
        <v>426</v>
      </c>
      <c r="Y42" s="42">
        <v>112750</v>
      </c>
      <c r="Z42" s="42">
        <v>46062.5</v>
      </c>
      <c r="AA42" s="42">
        <v>0</v>
      </c>
      <c r="AB42" s="42">
        <v>0</v>
      </c>
      <c r="AC42" s="42">
        <v>114576</v>
      </c>
      <c r="AD42" s="42">
        <v>22816</v>
      </c>
      <c r="AE42" s="42">
        <v>44236.5</v>
      </c>
      <c r="AF42" s="38">
        <v>0.28000000000000003</v>
      </c>
      <c r="AG42" s="38">
        <v>0.27854545454545454</v>
      </c>
      <c r="AH42" s="42">
        <v>53045.5</v>
      </c>
      <c r="AI42" s="38">
        <v>0.27854545454545454</v>
      </c>
      <c r="AJ42" s="42">
        <v>55000</v>
      </c>
      <c r="AK42" s="42">
        <v>27500</v>
      </c>
      <c r="AL42" s="42">
        <v>30250</v>
      </c>
      <c r="AM42" s="42">
        <v>34375</v>
      </c>
      <c r="AN42" s="42">
        <v>11687.5</v>
      </c>
      <c r="AO42" s="42">
        <v>0</v>
      </c>
      <c r="AP42" s="42">
        <v>0</v>
      </c>
      <c r="AQ42" s="42">
        <v>12375</v>
      </c>
      <c r="AR42" s="42">
        <v>19250</v>
      </c>
      <c r="AS42" s="42">
        <v>0</v>
      </c>
      <c r="AT42" s="42">
        <v>0</v>
      </c>
      <c r="AU42" s="42">
        <v>0</v>
      </c>
      <c r="AV42" s="42">
        <v>39680</v>
      </c>
      <c r="AW42" s="42">
        <v>19840</v>
      </c>
      <c r="AX42" s="42">
        <v>21824</v>
      </c>
      <c r="AY42" s="42">
        <v>24800</v>
      </c>
      <c r="AZ42" s="42">
        <v>8432</v>
      </c>
      <c r="BA42" s="42">
        <v>0</v>
      </c>
      <c r="BB42" s="42">
        <v>0</v>
      </c>
      <c r="BC42" s="42">
        <v>8928</v>
      </c>
      <c r="BD42" s="42">
        <v>13888</v>
      </c>
      <c r="BE42" s="42">
        <v>0</v>
      </c>
      <c r="BF42" s="42">
        <v>0</v>
      </c>
      <c r="BG42" s="42">
        <v>0</v>
      </c>
      <c r="BH42" s="42">
        <v>15320</v>
      </c>
      <c r="BI42" s="42">
        <v>7660</v>
      </c>
      <c r="BJ42" s="42">
        <v>8426</v>
      </c>
      <c r="BK42" s="42">
        <v>9575</v>
      </c>
      <c r="BL42" s="42">
        <v>3255.5</v>
      </c>
      <c r="BM42" s="42">
        <v>0</v>
      </c>
      <c r="BN42" s="42">
        <v>0</v>
      </c>
      <c r="BO42" s="42">
        <v>3447</v>
      </c>
      <c r="BP42" s="42">
        <v>5362</v>
      </c>
      <c r="BQ42" s="42">
        <v>0</v>
      </c>
      <c r="BR42" s="42">
        <v>0</v>
      </c>
      <c r="BS42" s="42">
        <v>0</v>
      </c>
      <c r="BT42" s="42">
        <v>31406</v>
      </c>
      <c r="BU42" s="42">
        <v>12830.5</v>
      </c>
      <c r="BV42" s="42">
        <v>0</v>
      </c>
      <c r="BW42" s="42">
        <v>0</v>
      </c>
      <c r="BX42" s="38">
        <v>0.27854545454545454</v>
      </c>
      <c r="BY42" s="38">
        <v>0.27854545454545454</v>
      </c>
      <c r="BZ42" s="38">
        <v>0</v>
      </c>
      <c r="CA42" s="38">
        <v>0</v>
      </c>
    </row>
    <row r="43" spans="1:79" x14ac:dyDescent="0.25">
      <c r="A43" s="37" t="s">
        <v>368</v>
      </c>
      <c r="B43" s="37" t="s">
        <v>18</v>
      </c>
      <c r="C43" s="37" t="s">
        <v>18</v>
      </c>
      <c r="D43" s="37" t="s">
        <v>427</v>
      </c>
      <c r="E43" s="37" t="s">
        <v>411</v>
      </c>
      <c r="F43" s="37" t="s">
        <v>411</v>
      </c>
      <c r="G43" s="37"/>
      <c r="H43" s="104">
        <v>45839</v>
      </c>
      <c r="I43" s="104">
        <v>45930</v>
      </c>
      <c r="J43" s="44" t="s">
        <v>372</v>
      </c>
      <c r="K43" s="44" t="s">
        <v>39</v>
      </c>
      <c r="L43" s="44" t="s">
        <v>379</v>
      </c>
      <c r="M43" s="44" t="s">
        <v>367</v>
      </c>
      <c r="N43" s="42">
        <v>91651.78</v>
      </c>
      <c r="O43" s="42">
        <v>91651.78</v>
      </c>
      <c r="P43" s="42">
        <v>94006.469999999899</v>
      </c>
      <c r="Q43" s="42">
        <v>-2354.6899999999005</v>
      </c>
      <c r="R43" s="42">
        <v>0</v>
      </c>
      <c r="S43" s="42">
        <v>94006.469999999899</v>
      </c>
      <c r="T43" s="42">
        <v>-2354.6899999999005</v>
      </c>
      <c r="U43" s="38">
        <v>-2.5691699604741998E-2</v>
      </c>
      <c r="V43" s="38">
        <v>-2.5691699604741998E-2</v>
      </c>
      <c r="W43" s="42"/>
      <c r="X43" s="241"/>
      <c r="Y43" s="42">
        <v>94006.469999999899</v>
      </c>
      <c r="Z43" s="42">
        <v>0</v>
      </c>
      <c r="AA43" s="42">
        <v>0</v>
      </c>
      <c r="AB43" s="42">
        <v>0</v>
      </c>
      <c r="AC43" s="42">
        <v>90306</v>
      </c>
      <c r="AD43" s="42">
        <v>0</v>
      </c>
      <c r="AE43" s="42">
        <v>3700.4699999998993</v>
      </c>
      <c r="AF43" s="38">
        <v>0.04</v>
      </c>
      <c r="AG43" s="38">
        <v>3.9363992712415467E-2</v>
      </c>
      <c r="AH43" s="42">
        <v>3700.4699999998993</v>
      </c>
      <c r="AI43" s="38">
        <v>3.9363992712415467E-2</v>
      </c>
      <c r="AJ43" s="42">
        <v>32603.400000000012</v>
      </c>
      <c r="AK43" s="42">
        <v>30429.840000000011</v>
      </c>
      <c r="AL43" s="42">
        <v>30973.23000000001</v>
      </c>
      <c r="AM43" s="42">
        <v>0</v>
      </c>
      <c r="AN43" s="42">
        <v>0</v>
      </c>
      <c r="AO43" s="42">
        <v>0</v>
      </c>
      <c r="AP43" s="42">
        <v>0</v>
      </c>
      <c r="AQ43" s="42">
        <v>0</v>
      </c>
      <c r="AR43" s="42">
        <v>0</v>
      </c>
      <c r="AS43" s="42">
        <v>0</v>
      </c>
      <c r="AT43" s="42">
        <v>0</v>
      </c>
      <c r="AU43" s="42">
        <v>0</v>
      </c>
      <c r="AV43" s="42">
        <v>31320</v>
      </c>
      <c r="AW43" s="42">
        <v>29232</v>
      </c>
      <c r="AX43" s="42">
        <v>29754</v>
      </c>
      <c r="AY43" s="42">
        <v>0</v>
      </c>
      <c r="AZ43" s="42">
        <v>0</v>
      </c>
      <c r="BA43" s="42">
        <v>0</v>
      </c>
      <c r="BB43" s="42">
        <v>0</v>
      </c>
      <c r="BC43" s="42">
        <v>0</v>
      </c>
      <c r="BD43" s="42">
        <v>0</v>
      </c>
      <c r="BE43" s="42">
        <v>0</v>
      </c>
      <c r="BF43" s="42">
        <v>0</v>
      </c>
      <c r="BG43" s="42">
        <v>0</v>
      </c>
      <c r="BH43" s="42">
        <v>1283.4000000000124</v>
      </c>
      <c r="BI43" s="42">
        <v>1197.8400000000111</v>
      </c>
      <c r="BJ43" s="42">
        <v>1219.2300000000105</v>
      </c>
      <c r="BK43" s="42">
        <v>0</v>
      </c>
      <c r="BL43" s="42">
        <v>0</v>
      </c>
      <c r="BM43" s="42">
        <v>0</v>
      </c>
      <c r="BN43" s="42">
        <v>0</v>
      </c>
      <c r="BO43" s="42">
        <v>0</v>
      </c>
      <c r="BP43" s="42">
        <v>0</v>
      </c>
      <c r="BQ43" s="42">
        <v>0</v>
      </c>
      <c r="BR43" s="42">
        <v>0</v>
      </c>
      <c r="BS43" s="42">
        <v>0</v>
      </c>
      <c r="BT43" s="42">
        <v>3700.4699999998993</v>
      </c>
      <c r="BU43" s="42">
        <v>0</v>
      </c>
      <c r="BV43" s="42">
        <v>0</v>
      </c>
      <c r="BW43" s="42">
        <v>0</v>
      </c>
      <c r="BX43" s="37">
        <v>3.9363992712415467E-2</v>
      </c>
      <c r="BY43" s="37">
        <v>0</v>
      </c>
      <c r="BZ43" s="37">
        <v>0</v>
      </c>
      <c r="CA43" s="37">
        <v>0</v>
      </c>
    </row>
    <row r="44" spans="1:79" x14ac:dyDescent="0.25">
      <c r="A44" s="37" t="s">
        <v>361</v>
      </c>
      <c r="B44" s="37" t="s">
        <v>18</v>
      </c>
      <c r="C44" s="37" t="s">
        <v>18</v>
      </c>
      <c r="D44" s="37" t="s">
        <v>277</v>
      </c>
      <c r="E44" s="37" t="s">
        <v>411</v>
      </c>
      <c r="F44" s="37" t="s">
        <v>424</v>
      </c>
      <c r="G44" s="37"/>
      <c r="H44" s="104">
        <v>45931</v>
      </c>
      <c r="I44" s="104">
        <v>46203</v>
      </c>
      <c r="J44" s="44" t="s">
        <v>372</v>
      </c>
      <c r="K44" s="44" t="s">
        <v>39</v>
      </c>
      <c r="L44" s="44" t="s">
        <v>379</v>
      </c>
      <c r="M44" s="44" t="s">
        <v>380</v>
      </c>
      <c r="N44" s="42">
        <v>256465.92000000001</v>
      </c>
      <c r="O44" s="42">
        <v>256465.92000000001</v>
      </c>
      <c r="P44" s="42">
        <v>110127.03999999983</v>
      </c>
      <c r="Q44" s="42">
        <v>146338.88000000018</v>
      </c>
      <c r="R44" s="42">
        <v>141998.08000000002</v>
      </c>
      <c r="S44" s="42">
        <v>252125.11999999985</v>
      </c>
      <c r="T44" s="42">
        <v>4340.800000000163</v>
      </c>
      <c r="U44" s="38">
        <v>1.6925445688846935E-2</v>
      </c>
      <c r="V44" s="38">
        <v>1.6925445688846935E-2</v>
      </c>
      <c r="W44" s="42"/>
      <c r="X44" s="241"/>
      <c r="Y44" s="42">
        <v>0</v>
      </c>
      <c r="Z44" s="42">
        <v>82595.279999999955</v>
      </c>
      <c r="AA44" s="42">
        <v>27531.759999999878</v>
      </c>
      <c r="AB44" s="42">
        <v>0</v>
      </c>
      <c r="AC44" s="42">
        <v>105792</v>
      </c>
      <c r="AD44" s="42">
        <v>136416</v>
      </c>
      <c r="AE44" s="42">
        <v>4335.0399999998335</v>
      </c>
      <c r="AF44" s="38">
        <v>0.04</v>
      </c>
      <c r="AG44" s="38">
        <v>3.9363992712415044E-2</v>
      </c>
      <c r="AH44" s="42">
        <v>9917.1199999998498</v>
      </c>
      <c r="AI44" s="38">
        <v>3.9334121090353294E-2</v>
      </c>
      <c r="AJ44" s="42">
        <v>0</v>
      </c>
      <c r="AK44" s="42">
        <v>0</v>
      </c>
      <c r="AL44" s="42">
        <v>0</v>
      </c>
      <c r="AM44" s="42">
        <v>33327.920000000013</v>
      </c>
      <c r="AN44" s="42">
        <v>27531.760000000009</v>
      </c>
      <c r="AO44" s="42">
        <v>21735.600000000006</v>
      </c>
      <c r="AP44" s="42">
        <v>27531.760000000009</v>
      </c>
      <c r="AQ44" s="42">
        <v>21734.400000000001</v>
      </c>
      <c r="AR44" s="42">
        <v>34775.040000000001</v>
      </c>
      <c r="AS44" s="42">
        <v>27530.239999999998</v>
      </c>
      <c r="AT44" s="42">
        <v>28979.200000000001</v>
      </c>
      <c r="AU44" s="42">
        <v>28979.199999999997</v>
      </c>
      <c r="AV44" s="42">
        <v>0</v>
      </c>
      <c r="AW44" s="42">
        <v>0</v>
      </c>
      <c r="AX44" s="42">
        <v>0</v>
      </c>
      <c r="AY44" s="42">
        <v>32016</v>
      </c>
      <c r="AZ44" s="42">
        <v>26448</v>
      </c>
      <c r="BA44" s="42">
        <v>20880</v>
      </c>
      <c r="BB44" s="42">
        <v>26448</v>
      </c>
      <c r="BC44" s="42">
        <v>20880</v>
      </c>
      <c r="BD44" s="42">
        <v>33408</v>
      </c>
      <c r="BE44" s="42">
        <v>26448</v>
      </c>
      <c r="BF44" s="42">
        <v>27840</v>
      </c>
      <c r="BG44" s="42">
        <v>27840</v>
      </c>
      <c r="BH44" s="42">
        <v>0</v>
      </c>
      <c r="BI44" s="42">
        <v>0</v>
      </c>
      <c r="BJ44" s="42">
        <v>0</v>
      </c>
      <c r="BK44" s="42">
        <v>1311.9200000000128</v>
      </c>
      <c r="BL44" s="42">
        <v>1083.7600000000093</v>
      </c>
      <c r="BM44" s="42">
        <v>855.60000000000582</v>
      </c>
      <c r="BN44" s="42">
        <v>1083.7600000000093</v>
      </c>
      <c r="BO44" s="42">
        <v>854.40000000000146</v>
      </c>
      <c r="BP44" s="42">
        <v>1367.0400000000009</v>
      </c>
      <c r="BQ44" s="42">
        <v>1082.239999999998</v>
      </c>
      <c r="BR44" s="42">
        <v>1139.2000000000007</v>
      </c>
      <c r="BS44" s="42">
        <v>1139.1999999999971</v>
      </c>
      <c r="BT44" s="42">
        <v>0</v>
      </c>
      <c r="BU44" s="42">
        <v>3251.2799999999552</v>
      </c>
      <c r="BV44" s="42">
        <v>1083.7599999998783</v>
      </c>
      <c r="BW44" s="42">
        <v>0</v>
      </c>
      <c r="BX44" s="37">
        <v>0</v>
      </c>
      <c r="BY44" s="37">
        <v>3.9363992712415974E-2</v>
      </c>
      <c r="BZ44" s="37">
        <v>3.9363992712412255E-2</v>
      </c>
      <c r="CA44" s="37">
        <v>0</v>
      </c>
    </row>
    <row r="45" spans="1:79" x14ac:dyDescent="0.25">
      <c r="A45" s="37" t="s">
        <v>368</v>
      </c>
      <c r="B45" s="37" t="s">
        <v>18</v>
      </c>
      <c r="C45" s="37" t="s">
        <v>18</v>
      </c>
      <c r="D45" s="37" t="s">
        <v>428</v>
      </c>
      <c r="E45" s="37" t="s">
        <v>411</v>
      </c>
      <c r="F45" s="37" t="s">
        <v>411</v>
      </c>
      <c r="G45" s="37"/>
      <c r="H45" s="104">
        <v>45839</v>
      </c>
      <c r="I45" s="104">
        <v>45960</v>
      </c>
      <c r="J45" s="44" t="s">
        <v>372</v>
      </c>
      <c r="K45" s="44" t="s">
        <v>39</v>
      </c>
      <c r="L45" s="44" t="s">
        <v>379</v>
      </c>
      <c r="M45" s="44" t="s">
        <v>367</v>
      </c>
      <c r="N45" s="42">
        <v>185600</v>
      </c>
      <c r="O45" s="42">
        <v>158050</v>
      </c>
      <c r="P45" s="42">
        <v>129050</v>
      </c>
      <c r="Q45" s="42">
        <v>29000</v>
      </c>
      <c r="R45" s="42">
        <v>0</v>
      </c>
      <c r="S45" s="42">
        <v>129050</v>
      </c>
      <c r="T45" s="42">
        <v>29000</v>
      </c>
      <c r="U45" s="38">
        <v>0.1834862385321101</v>
      </c>
      <c r="V45" s="38">
        <v>0.3046875</v>
      </c>
      <c r="W45" s="42"/>
      <c r="X45" s="241"/>
      <c r="Y45" s="42">
        <v>95700</v>
      </c>
      <c r="Z45" s="42">
        <v>33350</v>
      </c>
      <c r="AA45" s="42">
        <v>0</v>
      </c>
      <c r="AB45" s="42">
        <v>0</v>
      </c>
      <c r="AC45" s="42">
        <v>123888</v>
      </c>
      <c r="AD45" s="42">
        <v>0</v>
      </c>
      <c r="AE45" s="42">
        <v>5162</v>
      </c>
      <c r="AF45" s="38">
        <v>0.04</v>
      </c>
      <c r="AG45" s="38">
        <v>0.04</v>
      </c>
      <c r="AH45" s="42">
        <v>5162</v>
      </c>
      <c r="AI45" s="38">
        <v>0.04</v>
      </c>
      <c r="AJ45" s="42">
        <v>33350</v>
      </c>
      <c r="AK45" s="42">
        <v>30450</v>
      </c>
      <c r="AL45" s="42">
        <v>31900</v>
      </c>
      <c r="AM45" s="42">
        <v>33350</v>
      </c>
      <c r="AN45" s="42">
        <v>0</v>
      </c>
      <c r="AO45" s="42">
        <v>0</v>
      </c>
      <c r="AP45" s="42">
        <v>0</v>
      </c>
      <c r="AQ45" s="42">
        <v>0</v>
      </c>
      <c r="AR45" s="42">
        <v>0</v>
      </c>
      <c r="AS45" s="42">
        <v>0</v>
      </c>
      <c r="AT45" s="42">
        <v>0</v>
      </c>
      <c r="AU45" s="42">
        <v>0</v>
      </c>
      <c r="AV45" s="42">
        <v>32016</v>
      </c>
      <c r="AW45" s="42">
        <v>29232</v>
      </c>
      <c r="AX45" s="42">
        <v>30624</v>
      </c>
      <c r="AY45" s="42">
        <v>32016</v>
      </c>
      <c r="AZ45" s="42">
        <v>0</v>
      </c>
      <c r="BA45" s="42">
        <v>0</v>
      </c>
      <c r="BB45" s="42">
        <v>0</v>
      </c>
      <c r="BC45" s="42">
        <v>0</v>
      </c>
      <c r="BD45" s="42">
        <v>0</v>
      </c>
      <c r="BE45" s="42">
        <v>0</v>
      </c>
      <c r="BF45" s="42">
        <v>0</v>
      </c>
      <c r="BG45" s="42">
        <v>0</v>
      </c>
      <c r="BH45" s="42">
        <v>1334</v>
      </c>
      <c r="BI45" s="42">
        <v>1218</v>
      </c>
      <c r="BJ45" s="42">
        <v>1276</v>
      </c>
      <c r="BK45" s="42">
        <v>1334</v>
      </c>
      <c r="BL45" s="42">
        <v>0</v>
      </c>
      <c r="BM45" s="42">
        <v>0</v>
      </c>
      <c r="BN45" s="42">
        <v>0</v>
      </c>
      <c r="BO45" s="42">
        <v>0</v>
      </c>
      <c r="BP45" s="42">
        <v>0</v>
      </c>
      <c r="BQ45" s="42">
        <v>0</v>
      </c>
      <c r="BR45" s="42">
        <v>0</v>
      </c>
      <c r="BS45" s="42">
        <v>0</v>
      </c>
      <c r="BT45" s="42">
        <v>3828</v>
      </c>
      <c r="BU45" s="42">
        <v>1334</v>
      </c>
      <c r="BV45" s="42">
        <v>0</v>
      </c>
      <c r="BW45" s="42">
        <v>0</v>
      </c>
      <c r="BX45" s="37">
        <v>0.04</v>
      </c>
      <c r="BY45" s="37">
        <v>0.04</v>
      </c>
      <c r="BZ45" s="37">
        <v>0</v>
      </c>
      <c r="CA45" s="37">
        <v>0</v>
      </c>
    </row>
    <row r="46" spans="1:79" x14ac:dyDescent="0.25">
      <c r="A46" s="37" t="s">
        <v>361</v>
      </c>
      <c r="B46" s="37" t="s">
        <v>18</v>
      </c>
      <c r="C46" s="37" t="s">
        <v>18</v>
      </c>
      <c r="D46" s="37" t="s">
        <v>278</v>
      </c>
      <c r="E46" s="37" t="s">
        <v>363</v>
      </c>
      <c r="F46" s="37" t="s">
        <v>411</v>
      </c>
      <c r="G46" s="37"/>
      <c r="H46" s="104">
        <v>45964</v>
      </c>
      <c r="I46" s="104">
        <v>46203</v>
      </c>
      <c r="J46" s="44" t="s">
        <v>372</v>
      </c>
      <c r="K46" s="44" t="s">
        <v>39</v>
      </c>
      <c r="L46" s="44" t="s">
        <v>379</v>
      </c>
      <c r="M46" s="44" t="s">
        <v>380</v>
      </c>
      <c r="N46" s="42">
        <v>224750</v>
      </c>
      <c r="O46" s="42">
        <v>224750</v>
      </c>
      <c r="P46" s="42">
        <v>74131.25</v>
      </c>
      <c r="Q46" s="42">
        <v>150618.75</v>
      </c>
      <c r="R46" s="42">
        <v>139200</v>
      </c>
      <c r="S46" s="42">
        <v>213331.25</v>
      </c>
      <c r="T46" s="42">
        <v>11418.75</v>
      </c>
      <c r="U46" s="38">
        <v>5.0806451612903224E-2</v>
      </c>
      <c r="V46" s="38">
        <v>5.0806451612903224E-2</v>
      </c>
      <c r="W46" s="42"/>
      <c r="X46" s="241"/>
      <c r="Y46" s="42">
        <v>0</v>
      </c>
      <c r="Z46" s="42">
        <v>52381.25</v>
      </c>
      <c r="AA46" s="42">
        <v>21750</v>
      </c>
      <c r="AB46" s="42">
        <v>0</v>
      </c>
      <c r="AC46" s="42">
        <v>71166</v>
      </c>
      <c r="AD46" s="42">
        <v>133632</v>
      </c>
      <c r="AE46" s="42">
        <v>2965.25</v>
      </c>
      <c r="AF46" s="38">
        <v>0.04</v>
      </c>
      <c r="AG46" s="38">
        <v>0.04</v>
      </c>
      <c r="AH46" s="42">
        <v>8533.25</v>
      </c>
      <c r="AI46" s="38">
        <v>0.04</v>
      </c>
      <c r="AJ46" s="42">
        <v>0</v>
      </c>
      <c r="AK46" s="42">
        <v>0</v>
      </c>
      <c r="AL46" s="42">
        <v>0</v>
      </c>
      <c r="AM46" s="42">
        <v>0</v>
      </c>
      <c r="AN46" s="42">
        <v>30631.25</v>
      </c>
      <c r="AO46" s="42">
        <v>21750</v>
      </c>
      <c r="AP46" s="42">
        <v>21750</v>
      </c>
      <c r="AQ46" s="42">
        <v>21750</v>
      </c>
      <c r="AR46" s="42">
        <v>33350</v>
      </c>
      <c r="AS46" s="42">
        <v>26100</v>
      </c>
      <c r="AT46" s="42">
        <v>29000</v>
      </c>
      <c r="AU46" s="42">
        <v>29000</v>
      </c>
      <c r="AV46" s="42">
        <v>0</v>
      </c>
      <c r="AW46" s="42">
        <v>0</v>
      </c>
      <c r="AX46" s="42">
        <v>0</v>
      </c>
      <c r="AY46" s="42">
        <v>0</v>
      </c>
      <c r="AZ46" s="42">
        <v>29406</v>
      </c>
      <c r="BA46" s="42">
        <v>20880</v>
      </c>
      <c r="BB46" s="42">
        <v>20880</v>
      </c>
      <c r="BC46" s="42">
        <v>20880</v>
      </c>
      <c r="BD46" s="42">
        <v>32016</v>
      </c>
      <c r="BE46" s="42">
        <v>25056</v>
      </c>
      <c r="BF46" s="42">
        <v>27840</v>
      </c>
      <c r="BG46" s="42">
        <v>27840</v>
      </c>
      <c r="BH46" s="42">
        <v>0</v>
      </c>
      <c r="BI46" s="42">
        <v>0</v>
      </c>
      <c r="BJ46" s="42">
        <v>0</v>
      </c>
      <c r="BK46" s="42">
        <v>0</v>
      </c>
      <c r="BL46" s="42">
        <v>1225.25</v>
      </c>
      <c r="BM46" s="42">
        <v>870</v>
      </c>
      <c r="BN46" s="42">
        <v>870</v>
      </c>
      <c r="BO46" s="42">
        <v>870</v>
      </c>
      <c r="BP46" s="42">
        <v>1334</v>
      </c>
      <c r="BQ46" s="42">
        <v>1044</v>
      </c>
      <c r="BR46" s="42">
        <v>1160</v>
      </c>
      <c r="BS46" s="42">
        <v>1160</v>
      </c>
      <c r="BT46" s="42">
        <v>0</v>
      </c>
      <c r="BU46" s="42">
        <v>2095.25</v>
      </c>
      <c r="BV46" s="42">
        <v>870</v>
      </c>
      <c r="BW46" s="42">
        <v>0</v>
      </c>
      <c r="BX46" s="37">
        <v>0</v>
      </c>
      <c r="BY46" s="37">
        <v>0.04</v>
      </c>
      <c r="BZ46" s="37">
        <v>0.04</v>
      </c>
      <c r="CA46" s="37">
        <v>0</v>
      </c>
    </row>
    <row r="47" spans="1:79" x14ac:dyDescent="0.25">
      <c r="A47" s="37" t="s">
        <v>368</v>
      </c>
      <c r="B47" s="37" t="s">
        <v>18</v>
      </c>
      <c r="C47" s="37" t="s">
        <v>18</v>
      </c>
      <c r="D47" s="37" t="s">
        <v>429</v>
      </c>
      <c r="E47" s="37" t="s">
        <v>411</v>
      </c>
      <c r="F47" s="37" t="s">
        <v>411</v>
      </c>
      <c r="G47" s="37"/>
      <c r="H47" s="104">
        <v>45839</v>
      </c>
      <c r="I47" s="104">
        <v>45960</v>
      </c>
      <c r="J47" s="44" t="s">
        <v>372</v>
      </c>
      <c r="K47" s="44" t="s">
        <v>39</v>
      </c>
      <c r="L47" s="44" t="s">
        <v>379</v>
      </c>
      <c r="M47" s="44" t="s">
        <v>367</v>
      </c>
      <c r="N47" s="42">
        <v>129600</v>
      </c>
      <c r="O47" s="42">
        <v>124320</v>
      </c>
      <c r="P47" s="42">
        <v>124320</v>
      </c>
      <c r="Q47" s="42">
        <v>0</v>
      </c>
      <c r="R47" s="42">
        <v>0</v>
      </c>
      <c r="S47" s="42">
        <v>124320</v>
      </c>
      <c r="T47" s="42">
        <v>0</v>
      </c>
      <c r="U47" s="38">
        <v>0</v>
      </c>
      <c r="V47" s="38">
        <v>4.0740740740740744E-2</v>
      </c>
      <c r="W47" s="42"/>
      <c r="X47" s="241"/>
      <c r="Y47" s="42">
        <v>95040</v>
      </c>
      <c r="Z47" s="42">
        <v>29280</v>
      </c>
      <c r="AA47" s="42">
        <v>0</v>
      </c>
      <c r="AB47" s="42">
        <v>0</v>
      </c>
      <c r="AC47" s="42">
        <v>114219</v>
      </c>
      <c r="AD47" s="42">
        <v>0</v>
      </c>
      <c r="AE47" s="42">
        <v>10101</v>
      </c>
      <c r="AF47" s="38">
        <v>0.08</v>
      </c>
      <c r="AG47" s="38">
        <v>8.1250000000000003E-2</v>
      </c>
      <c r="AH47" s="42">
        <v>10101</v>
      </c>
      <c r="AI47" s="38">
        <v>8.1250000000000003E-2</v>
      </c>
      <c r="AJ47" s="42">
        <v>30720</v>
      </c>
      <c r="AK47" s="42">
        <v>33760</v>
      </c>
      <c r="AL47" s="42">
        <v>30560</v>
      </c>
      <c r="AM47" s="42">
        <v>29280</v>
      </c>
      <c r="AN47" s="42">
        <v>0</v>
      </c>
      <c r="AO47" s="42">
        <v>0</v>
      </c>
      <c r="AP47" s="42">
        <v>0</v>
      </c>
      <c r="AQ47" s="42">
        <v>0</v>
      </c>
      <c r="AR47" s="42">
        <v>0</v>
      </c>
      <c r="AS47" s="42">
        <v>0</v>
      </c>
      <c r="AT47" s="42">
        <v>0</v>
      </c>
      <c r="AU47" s="42">
        <v>0</v>
      </c>
      <c r="AV47" s="42">
        <v>28224</v>
      </c>
      <c r="AW47" s="42">
        <v>31017</v>
      </c>
      <c r="AX47" s="42">
        <v>28077</v>
      </c>
      <c r="AY47" s="42">
        <v>26901</v>
      </c>
      <c r="AZ47" s="42">
        <v>0</v>
      </c>
      <c r="BA47" s="42">
        <v>0</v>
      </c>
      <c r="BB47" s="42">
        <v>0</v>
      </c>
      <c r="BC47" s="42">
        <v>0</v>
      </c>
      <c r="BD47" s="42">
        <v>0</v>
      </c>
      <c r="BE47" s="42">
        <v>0</v>
      </c>
      <c r="BF47" s="42">
        <v>0</v>
      </c>
      <c r="BG47" s="42">
        <v>0</v>
      </c>
      <c r="BH47" s="42">
        <v>2496</v>
      </c>
      <c r="BI47" s="42">
        <v>2743</v>
      </c>
      <c r="BJ47" s="42">
        <v>2483</v>
      </c>
      <c r="BK47" s="42">
        <v>2379</v>
      </c>
      <c r="BL47" s="42">
        <v>0</v>
      </c>
      <c r="BM47" s="42">
        <v>0</v>
      </c>
      <c r="BN47" s="42">
        <v>0</v>
      </c>
      <c r="BO47" s="42">
        <v>0</v>
      </c>
      <c r="BP47" s="42">
        <v>0</v>
      </c>
      <c r="BQ47" s="42">
        <v>0</v>
      </c>
      <c r="BR47" s="42">
        <v>0</v>
      </c>
      <c r="BS47" s="42">
        <v>0</v>
      </c>
      <c r="BT47" s="42">
        <v>7722</v>
      </c>
      <c r="BU47" s="42">
        <v>2379</v>
      </c>
      <c r="BV47" s="42">
        <v>0</v>
      </c>
      <c r="BW47" s="42">
        <v>0</v>
      </c>
      <c r="BX47" s="37">
        <v>8.1250000000000003E-2</v>
      </c>
      <c r="BY47" s="37">
        <v>8.1250000000000003E-2</v>
      </c>
      <c r="BZ47" s="37">
        <v>0</v>
      </c>
      <c r="CA47" s="37">
        <v>0</v>
      </c>
    </row>
    <row r="48" spans="1:79" x14ac:dyDescent="0.25">
      <c r="A48" s="37" t="s">
        <v>361</v>
      </c>
      <c r="B48" s="37" t="s">
        <v>18</v>
      </c>
      <c r="C48" s="37" t="s">
        <v>18</v>
      </c>
      <c r="D48" s="37" t="s">
        <v>279</v>
      </c>
      <c r="E48" s="37" t="s">
        <v>363</v>
      </c>
      <c r="F48" s="37" t="s">
        <v>411</v>
      </c>
      <c r="G48" s="37"/>
      <c r="H48" s="104">
        <v>45964</v>
      </c>
      <c r="I48" s="104">
        <v>46203</v>
      </c>
      <c r="J48" s="44" t="s">
        <v>372</v>
      </c>
      <c r="K48" s="44" t="s">
        <v>39</v>
      </c>
      <c r="L48" s="44" t="s">
        <v>379</v>
      </c>
      <c r="M48" s="44" t="s">
        <v>380</v>
      </c>
      <c r="N48" s="42">
        <v>198400</v>
      </c>
      <c r="O48" s="42">
        <v>198400</v>
      </c>
      <c r="P48" s="42">
        <v>48960</v>
      </c>
      <c r="Q48" s="42">
        <v>149440</v>
      </c>
      <c r="R48" s="42">
        <v>122880</v>
      </c>
      <c r="S48" s="42">
        <v>171840</v>
      </c>
      <c r="T48" s="42">
        <v>26560</v>
      </c>
      <c r="U48" s="38">
        <v>0.13387096774193549</v>
      </c>
      <c r="V48" s="38">
        <v>0.13387096774193549</v>
      </c>
      <c r="W48" s="42"/>
      <c r="X48" s="241" t="s">
        <v>425</v>
      </c>
      <c r="Y48" s="42">
        <v>0</v>
      </c>
      <c r="Z48" s="42">
        <v>48960</v>
      </c>
      <c r="AA48" s="42">
        <v>0</v>
      </c>
      <c r="AB48" s="42">
        <v>0</v>
      </c>
      <c r="AC48" s="42">
        <v>44982</v>
      </c>
      <c r="AD48" s="42">
        <v>112896</v>
      </c>
      <c r="AE48" s="42">
        <v>3978</v>
      </c>
      <c r="AF48" s="38">
        <v>8.1000000000000003E-2</v>
      </c>
      <c r="AG48" s="38">
        <v>8.1250000000000003E-2</v>
      </c>
      <c r="AH48" s="42">
        <v>13962</v>
      </c>
      <c r="AI48" s="38">
        <v>8.1250000000000003E-2</v>
      </c>
      <c r="AJ48" s="42">
        <v>0</v>
      </c>
      <c r="AK48" s="42">
        <v>0</v>
      </c>
      <c r="AL48" s="42">
        <v>0</v>
      </c>
      <c r="AM48" s="42">
        <v>0</v>
      </c>
      <c r="AN48" s="42">
        <v>29280</v>
      </c>
      <c r="AO48" s="42">
        <v>19680</v>
      </c>
      <c r="AP48" s="42">
        <v>0</v>
      </c>
      <c r="AQ48" s="42">
        <v>19200</v>
      </c>
      <c r="AR48" s="42">
        <v>29440</v>
      </c>
      <c r="AS48" s="42">
        <v>23040</v>
      </c>
      <c r="AT48" s="42">
        <v>25600</v>
      </c>
      <c r="AU48" s="42">
        <v>25600</v>
      </c>
      <c r="AV48" s="42">
        <v>0</v>
      </c>
      <c r="AW48" s="42">
        <v>0</v>
      </c>
      <c r="AX48" s="42">
        <v>0</v>
      </c>
      <c r="AY48" s="42">
        <v>0</v>
      </c>
      <c r="AZ48" s="42">
        <v>26901</v>
      </c>
      <c r="BA48" s="42">
        <v>18081</v>
      </c>
      <c r="BB48" s="42">
        <v>0</v>
      </c>
      <c r="BC48" s="42">
        <v>17640</v>
      </c>
      <c r="BD48" s="42">
        <v>27048</v>
      </c>
      <c r="BE48" s="42">
        <v>21168</v>
      </c>
      <c r="BF48" s="42">
        <v>23520</v>
      </c>
      <c r="BG48" s="42">
        <v>23520</v>
      </c>
      <c r="BH48" s="42">
        <v>0</v>
      </c>
      <c r="BI48" s="42">
        <v>0</v>
      </c>
      <c r="BJ48" s="42">
        <v>0</v>
      </c>
      <c r="BK48" s="42">
        <v>0</v>
      </c>
      <c r="BL48" s="42">
        <v>2379</v>
      </c>
      <c r="BM48" s="42">
        <v>1599</v>
      </c>
      <c r="BN48" s="42">
        <v>0</v>
      </c>
      <c r="BO48" s="42">
        <v>1560</v>
      </c>
      <c r="BP48" s="42">
        <v>2392</v>
      </c>
      <c r="BQ48" s="42">
        <v>1872</v>
      </c>
      <c r="BR48" s="42">
        <v>2080</v>
      </c>
      <c r="BS48" s="42">
        <v>2080</v>
      </c>
      <c r="BT48" s="42">
        <v>0</v>
      </c>
      <c r="BU48" s="42">
        <v>3978</v>
      </c>
      <c r="BV48" s="42">
        <v>0</v>
      </c>
      <c r="BW48" s="42">
        <v>0</v>
      </c>
      <c r="BX48" s="37">
        <v>0</v>
      </c>
      <c r="BY48" s="37">
        <v>8.1250000000000003E-2</v>
      </c>
      <c r="BZ48" s="37">
        <v>0</v>
      </c>
      <c r="CA48" s="37">
        <v>0</v>
      </c>
    </row>
    <row r="49" spans="1:79" x14ac:dyDescent="0.25">
      <c r="A49" s="37" t="s">
        <v>368</v>
      </c>
      <c r="B49" s="37" t="s">
        <v>18</v>
      </c>
      <c r="C49" s="37" t="s">
        <v>18</v>
      </c>
      <c r="D49" s="37" t="s">
        <v>430</v>
      </c>
      <c r="E49" s="37" t="s">
        <v>397</v>
      </c>
      <c r="F49" s="37" t="s">
        <v>424</v>
      </c>
      <c r="G49" s="37"/>
      <c r="H49" s="104">
        <v>45839</v>
      </c>
      <c r="I49" s="104">
        <v>45991</v>
      </c>
      <c r="J49" s="44" t="s">
        <v>372</v>
      </c>
      <c r="K49" s="44" t="s">
        <v>39</v>
      </c>
      <c r="L49" s="44" t="s">
        <v>366</v>
      </c>
      <c r="M49" s="44" t="s">
        <v>380</v>
      </c>
      <c r="N49" s="42">
        <v>222378.64</v>
      </c>
      <c r="O49" s="42">
        <v>198486.72</v>
      </c>
      <c r="P49" s="42">
        <v>196648.87999999968</v>
      </c>
      <c r="Q49" s="42">
        <v>1837.8400000003166</v>
      </c>
      <c r="R49" s="42">
        <v>0</v>
      </c>
      <c r="S49" s="42">
        <v>196648.87999999968</v>
      </c>
      <c r="T49" s="42">
        <v>1837.8400000003166</v>
      </c>
      <c r="U49" s="38">
        <v>9.2592592592608547E-3</v>
      </c>
      <c r="V49" s="38">
        <v>0.11570247933884445</v>
      </c>
      <c r="W49" s="42"/>
      <c r="X49" s="241"/>
      <c r="Y49" s="42">
        <v>119459.59999999983</v>
      </c>
      <c r="Z49" s="42">
        <v>77189.279999999853</v>
      </c>
      <c r="AA49" s="42">
        <v>0</v>
      </c>
      <c r="AB49" s="42">
        <v>0</v>
      </c>
      <c r="AC49" s="42">
        <v>174923.59999999986</v>
      </c>
      <c r="AD49" s="42">
        <v>0</v>
      </c>
      <c r="AE49" s="42">
        <v>21725.279999999824</v>
      </c>
      <c r="AF49" s="38">
        <v>0.11</v>
      </c>
      <c r="AG49" s="38">
        <v>0.1104775170852733</v>
      </c>
      <c r="AH49" s="42">
        <v>21725.279999999824</v>
      </c>
      <c r="AI49" s="38">
        <v>0.1104775170852733</v>
      </c>
      <c r="AJ49" s="42">
        <v>42270.319999999978</v>
      </c>
      <c r="AK49" s="42">
        <v>38594.639999999985</v>
      </c>
      <c r="AL49" s="42">
        <v>38594.639999999985</v>
      </c>
      <c r="AM49" s="42">
        <v>40432.479999999981</v>
      </c>
      <c r="AN49" s="42">
        <v>36756.799999999988</v>
      </c>
      <c r="AO49" s="42">
        <v>0</v>
      </c>
      <c r="AP49" s="42">
        <v>0</v>
      </c>
      <c r="AQ49" s="42">
        <v>0</v>
      </c>
      <c r="AR49" s="42">
        <v>0</v>
      </c>
      <c r="AS49" s="42">
        <v>0</v>
      </c>
      <c r="AT49" s="42">
        <v>0</v>
      </c>
      <c r="AU49" s="42">
        <v>0</v>
      </c>
      <c r="AV49" s="42">
        <v>37600.399999999994</v>
      </c>
      <c r="AW49" s="42">
        <v>34330.799999999988</v>
      </c>
      <c r="AX49" s="42">
        <v>34330.799999999988</v>
      </c>
      <c r="AY49" s="42">
        <v>35965.599999999991</v>
      </c>
      <c r="AZ49" s="42">
        <v>32695.999999999989</v>
      </c>
      <c r="BA49" s="42">
        <v>0</v>
      </c>
      <c r="BB49" s="42">
        <v>0</v>
      </c>
      <c r="BC49" s="42">
        <v>0</v>
      </c>
      <c r="BD49" s="42">
        <v>0</v>
      </c>
      <c r="BE49" s="42">
        <v>0</v>
      </c>
      <c r="BF49" s="42">
        <v>0</v>
      </c>
      <c r="BG49" s="42">
        <v>0</v>
      </c>
      <c r="BH49" s="42">
        <v>4669.9199999999837</v>
      </c>
      <c r="BI49" s="42">
        <v>4263.8399999999965</v>
      </c>
      <c r="BJ49" s="42">
        <v>4263.8399999999965</v>
      </c>
      <c r="BK49" s="42">
        <v>4466.8799999999901</v>
      </c>
      <c r="BL49" s="42">
        <v>4060.7999999999993</v>
      </c>
      <c r="BM49" s="42">
        <v>0</v>
      </c>
      <c r="BN49" s="42">
        <v>0</v>
      </c>
      <c r="BO49" s="42">
        <v>0</v>
      </c>
      <c r="BP49" s="42">
        <v>0</v>
      </c>
      <c r="BQ49" s="42">
        <v>0</v>
      </c>
      <c r="BR49" s="42">
        <v>0</v>
      </c>
      <c r="BS49" s="42">
        <v>0</v>
      </c>
      <c r="BT49" s="42">
        <v>13197.599999999715</v>
      </c>
      <c r="BU49" s="42">
        <v>8527.6800000001094</v>
      </c>
      <c r="BV49" s="42">
        <v>0</v>
      </c>
      <c r="BW49" s="42">
        <v>0</v>
      </c>
      <c r="BX49" s="37">
        <v>0.11047751708527179</v>
      </c>
      <c r="BY49" s="37">
        <v>0.11047751708527564</v>
      </c>
      <c r="BZ49" s="37">
        <v>0</v>
      </c>
      <c r="CA49" s="37">
        <v>0</v>
      </c>
    </row>
    <row r="50" spans="1:79" x14ac:dyDescent="0.25">
      <c r="A50" s="37" t="s">
        <v>361</v>
      </c>
      <c r="B50" s="37" t="s">
        <v>18</v>
      </c>
      <c r="C50" s="37" t="s">
        <v>18</v>
      </c>
      <c r="D50" s="37" t="s">
        <v>280</v>
      </c>
      <c r="E50" s="37" t="s">
        <v>397</v>
      </c>
      <c r="F50" s="37" t="s">
        <v>424</v>
      </c>
      <c r="G50" s="37"/>
      <c r="H50" s="104">
        <v>45992</v>
      </c>
      <c r="I50" s="104">
        <v>46111</v>
      </c>
      <c r="J50" s="44" t="s">
        <v>372</v>
      </c>
      <c r="K50" s="44" t="s">
        <v>39</v>
      </c>
      <c r="L50" s="44" t="s">
        <v>366</v>
      </c>
      <c r="M50" s="44" t="s">
        <v>380</v>
      </c>
      <c r="N50" s="42">
        <v>156216</v>
      </c>
      <c r="O50" s="42">
        <v>137838</v>
      </c>
      <c r="P50" s="42">
        <v>58810.879999999946</v>
      </c>
      <c r="Q50" s="42">
        <v>79027.120000000054</v>
      </c>
      <c r="R50" s="42">
        <v>64324.399999999987</v>
      </c>
      <c r="S50" s="42">
        <v>123135.27999999994</v>
      </c>
      <c r="T50" s="42">
        <v>14702.720000000067</v>
      </c>
      <c r="U50" s="38">
        <v>0.10666666666666715</v>
      </c>
      <c r="V50" s="38">
        <v>0.21176268756081362</v>
      </c>
      <c r="W50" s="42"/>
      <c r="X50" s="241"/>
      <c r="Y50" s="42">
        <v>0</v>
      </c>
      <c r="Z50" s="42">
        <v>23891.919999999998</v>
      </c>
      <c r="AA50" s="42">
        <v>34918.959999999948</v>
      </c>
      <c r="AB50" s="42">
        <v>0</v>
      </c>
      <c r="AC50" s="42">
        <v>52313.60000000002</v>
      </c>
      <c r="AD50" s="42">
        <v>57218</v>
      </c>
      <c r="AE50" s="42">
        <v>6497.2799999999261</v>
      </c>
      <c r="AF50" s="38">
        <v>0.11</v>
      </c>
      <c r="AG50" s="38">
        <v>0.11047751708527286</v>
      </c>
      <c r="AH50" s="42">
        <v>13603.67999999992</v>
      </c>
      <c r="AI50" s="38">
        <v>0.11047751708527342</v>
      </c>
      <c r="AJ50" s="42">
        <v>0</v>
      </c>
      <c r="AK50" s="42">
        <v>0</v>
      </c>
      <c r="AL50" s="42">
        <v>0</v>
      </c>
      <c r="AM50" s="42">
        <v>0</v>
      </c>
      <c r="AN50" s="42">
        <v>0</v>
      </c>
      <c r="AO50" s="42">
        <v>23891.919999999998</v>
      </c>
      <c r="AP50" s="42">
        <v>34918.959999999992</v>
      </c>
      <c r="AQ50" s="42">
        <v>27567.599999999999</v>
      </c>
      <c r="AR50" s="42">
        <v>36756.799999999988</v>
      </c>
      <c r="AS50" s="42">
        <v>0</v>
      </c>
      <c r="AT50" s="42">
        <v>0</v>
      </c>
      <c r="AU50" s="42">
        <v>0</v>
      </c>
      <c r="AV50" s="42">
        <v>0</v>
      </c>
      <c r="AW50" s="42">
        <v>0</v>
      </c>
      <c r="AX50" s="42">
        <v>0</v>
      </c>
      <c r="AY50" s="42">
        <v>0</v>
      </c>
      <c r="AZ50" s="42">
        <v>0</v>
      </c>
      <c r="BA50" s="42">
        <v>21252.399999999994</v>
      </c>
      <c r="BB50" s="42">
        <v>31061.19999999999</v>
      </c>
      <c r="BC50" s="42">
        <v>24522</v>
      </c>
      <c r="BD50" s="42">
        <v>32696</v>
      </c>
      <c r="BE50" s="42">
        <v>0</v>
      </c>
      <c r="BF50" s="42">
        <v>0</v>
      </c>
      <c r="BG50" s="42">
        <v>0</v>
      </c>
      <c r="BH50" s="42">
        <v>0</v>
      </c>
      <c r="BI50" s="42">
        <v>0</v>
      </c>
      <c r="BJ50" s="42">
        <v>0</v>
      </c>
      <c r="BK50" s="42">
        <v>0</v>
      </c>
      <c r="BL50" s="42">
        <v>0</v>
      </c>
      <c r="BM50" s="42">
        <v>2639.5200000000041</v>
      </c>
      <c r="BN50" s="42">
        <v>3857.760000000002</v>
      </c>
      <c r="BO50" s="42">
        <v>3045.5999999999985</v>
      </c>
      <c r="BP50" s="42">
        <v>4060.7999999999884</v>
      </c>
      <c r="BQ50" s="42">
        <v>0</v>
      </c>
      <c r="BR50" s="42">
        <v>0</v>
      </c>
      <c r="BS50" s="42">
        <v>0</v>
      </c>
      <c r="BT50" s="42">
        <v>0</v>
      </c>
      <c r="BU50" s="42">
        <v>2639.5200000000041</v>
      </c>
      <c r="BV50" s="42">
        <v>3857.759999999922</v>
      </c>
      <c r="BW50" s="42">
        <v>0</v>
      </c>
      <c r="BX50" s="37">
        <v>0</v>
      </c>
      <c r="BY50" s="37">
        <v>0.1104775170852742</v>
      </c>
      <c r="BZ50" s="37">
        <v>0.11047751708527195</v>
      </c>
      <c r="CA50" s="37">
        <v>0</v>
      </c>
    </row>
    <row r="51" spans="1:79" x14ac:dyDescent="0.25">
      <c r="A51" s="37" t="s">
        <v>361</v>
      </c>
      <c r="B51" s="37" t="s">
        <v>18</v>
      </c>
      <c r="C51" s="37" t="s">
        <v>18</v>
      </c>
      <c r="D51" s="37" t="s">
        <v>281</v>
      </c>
      <c r="E51" s="37" t="s">
        <v>397</v>
      </c>
      <c r="F51" s="37" t="s">
        <v>424</v>
      </c>
      <c r="G51" s="37"/>
      <c r="H51" s="104">
        <v>45839</v>
      </c>
      <c r="I51" s="104">
        <v>46203</v>
      </c>
      <c r="J51" s="44" t="s">
        <v>372</v>
      </c>
      <c r="K51" s="44" t="s">
        <v>39</v>
      </c>
      <c r="L51" s="44" t="s">
        <v>366</v>
      </c>
      <c r="M51" s="44" t="s">
        <v>380</v>
      </c>
      <c r="N51" s="42">
        <v>477380.8</v>
      </c>
      <c r="O51" s="42">
        <v>449839.6</v>
      </c>
      <c r="P51" s="42">
        <v>224001.75999999946</v>
      </c>
      <c r="Q51" s="42">
        <v>225837.84000000052</v>
      </c>
      <c r="R51" s="42">
        <v>179935.83999999997</v>
      </c>
      <c r="S51" s="42">
        <v>403937.59999999939</v>
      </c>
      <c r="T51" s="42">
        <v>45902.000000000553</v>
      </c>
      <c r="U51" s="38">
        <v>0.10204081632653185</v>
      </c>
      <c r="V51" s="38">
        <v>0.1538461538461551</v>
      </c>
      <c r="W51" s="42"/>
      <c r="X51" s="241" t="s">
        <v>425</v>
      </c>
      <c r="Y51" s="42">
        <v>121181.2800000001</v>
      </c>
      <c r="Z51" s="42">
        <v>102820.47999999936</v>
      </c>
      <c r="AA51" s="42">
        <v>0</v>
      </c>
      <c r="AB51" s="42">
        <v>0</v>
      </c>
      <c r="AC51" s="42">
        <v>192281.75999999963</v>
      </c>
      <c r="AD51" s="42">
        <v>154455.83999999997</v>
      </c>
      <c r="AE51" s="42">
        <v>31719.999999999825</v>
      </c>
      <c r="AF51" s="38">
        <v>0.14199999999999999</v>
      </c>
      <c r="AG51" s="38">
        <v>0.1416060302383334</v>
      </c>
      <c r="AH51" s="42">
        <v>57199.999999999767</v>
      </c>
      <c r="AI51" s="38">
        <v>0.14160603023833349</v>
      </c>
      <c r="AJ51" s="42">
        <v>42229.840000000026</v>
      </c>
      <c r="AK51" s="42">
        <v>38557.680000000022</v>
      </c>
      <c r="AL51" s="42">
        <v>40393.760000000024</v>
      </c>
      <c r="AM51" s="42">
        <v>38557.680000000022</v>
      </c>
      <c r="AN51" s="42">
        <v>36721.60000000002</v>
      </c>
      <c r="AO51" s="42">
        <v>27541.200000000012</v>
      </c>
      <c r="AP51" s="42">
        <v>0</v>
      </c>
      <c r="AQ51" s="42">
        <v>27541.199999999997</v>
      </c>
      <c r="AR51" s="42">
        <v>44065.920000000006</v>
      </c>
      <c r="AS51" s="42">
        <v>34885.520000000004</v>
      </c>
      <c r="AT51" s="42">
        <v>36721.599999999999</v>
      </c>
      <c r="AU51" s="42">
        <v>36721.600000000006</v>
      </c>
      <c r="AV51" s="42">
        <v>36249.840000000018</v>
      </c>
      <c r="AW51" s="42">
        <v>33097.680000000015</v>
      </c>
      <c r="AX51" s="42">
        <v>34673.760000000017</v>
      </c>
      <c r="AY51" s="42">
        <v>33097.680000000015</v>
      </c>
      <c r="AZ51" s="42">
        <v>31521.600000000013</v>
      </c>
      <c r="BA51" s="42">
        <v>23641.200000000004</v>
      </c>
      <c r="BB51" s="42">
        <v>0</v>
      </c>
      <c r="BC51" s="42">
        <v>23641.199999999997</v>
      </c>
      <c r="BD51" s="42">
        <v>37825.919999999998</v>
      </c>
      <c r="BE51" s="42">
        <v>29945.519999999997</v>
      </c>
      <c r="BF51" s="42">
        <v>31521.599999999999</v>
      </c>
      <c r="BG51" s="42">
        <v>31521.600000000002</v>
      </c>
      <c r="BH51" s="42">
        <v>5980.0000000000073</v>
      </c>
      <c r="BI51" s="42">
        <v>5460.0000000000073</v>
      </c>
      <c r="BJ51" s="42">
        <v>5720.0000000000073</v>
      </c>
      <c r="BK51" s="42">
        <v>5460.0000000000073</v>
      </c>
      <c r="BL51" s="42">
        <v>5200.0000000000073</v>
      </c>
      <c r="BM51" s="42">
        <v>3900.0000000000073</v>
      </c>
      <c r="BN51" s="42">
        <v>0</v>
      </c>
      <c r="BO51" s="42">
        <v>3900</v>
      </c>
      <c r="BP51" s="42">
        <v>6240.0000000000073</v>
      </c>
      <c r="BQ51" s="42">
        <v>4940.0000000000073</v>
      </c>
      <c r="BR51" s="42">
        <v>5200</v>
      </c>
      <c r="BS51" s="42">
        <v>5200.0000000000036</v>
      </c>
      <c r="BT51" s="42">
        <v>17160.000000000015</v>
      </c>
      <c r="BU51" s="42">
        <v>14559.999999999811</v>
      </c>
      <c r="BV51" s="42">
        <v>0</v>
      </c>
      <c r="BW51" s="42">
        <v>0</v>
      </c>
      <c r="BX51" s="37">
        <v>0.14160603023833385</v>
      </c>
      <c r="BY51" s="37">
        <v>0.1416060302383329</v>
      </c>
      <c r="BZ51" s="37">
        <v>0</v>
      </c>
      <c r="CA51" s="37">
        <v>0</v>
      </c>
    </row>
    <row r="52" spans="1:79" x14ac:dyDescent="0.25">
      <c r="A52" s="37" t="s">
        <v>361</v>
      </c>
      <c r="B52" s="37" t="s">
        <v>18</v>
      </c>
      <c r="C52" s="37" t="s">
        <v>18</v>
      </c>
      <c r="D52" s="37" t="s">
        <v>282</v>
      </c>
      <c r="E52" s="37" t="s">
        <v>397</v>
      </c>
      <c r="F52" s="37" t="s">
        <v>424</v>
      </c>
      <c r="G52" s="37"/>
      <c r="H52" s="104">
        <v>45839</v>
      </c>
      <c r="I52" s="104">
        <v>46203</v>
      </c>
      <c r="J52" s="44" t="s">
        <v>372</v>
      </c>
      <c r="K52" s="44" t="s">
        <v>39</v>
      </c>
      <c r="L52" s="44" t="s">
        <v>366</v>
      </c>
      <c r="M52" s="44" t="s">
        <v>380</v>
      </c>
      <c r="N52" s="42">
        <v>455249.6</v>
      </c>
      <c r="O52" s="42">
        <v>428985.2</v>
      </c>
      <c r="P52" s="42">
        <v>222809.65999999977</v>
      </c>
      <c r="Q52" s="42">
        <v>206175.54000000024</v>
      </c>
      <c r="R52" s="42">
        <v>171594.08</v>
      </c>
      <c r="S52" s="42">
        <v>394403.73999999976</v>
      </c>
      <c r="T52" s="42">
        <v>34581.460000000254</v>
      </c>
      <c r="U52" s="38">
        <v>8.0612244897959776E-2</v>
      </c>
      <c r="V52" s="38">
        <v>0.13365384615384665</v>
      </c>
      <c r="W52" s="42"/>
      <c r="X52" s="241"/>
      <c r="Y52" s="42">
        <v>110748.22000000013</v>
      </c>
      <c r="Z52" s="42">
        <v>75291.27999999981</v>
      </c>
      <c r="AA52" s="42">
        <v>36770.159999999829</v>
      </c>
      <c r="AB52" s="42">
        <v>0</v>
      </c>
      <c r="AC52" s="42">
        <v>190355.82000000039</v>
      </c>
      <c r="AD52" s="42">
        <v>146600.16000000003</v>
      </c>
      <c r="AE52" s="42">
        <v>32453.839999999385</v>
      </c>
      <c r="AF52" s="38">
        <v>0.15</v>
      </c>
      <c r="AG52" s="38">
        <v>0.14565723945720943</v>
      </c>
      <c r="AH52" s="42">
        <v>57447.759999999311</v>
      </c>
      <c r="AI52" s="38">
        <v>0.14565723945721035</v>
      </c>
      <c r="AJ52" s="42">
        <v>40709.819999999985</v>
      </c>
      <c r="AK52" s="42">
        <v>32392.759999999987</v>
      </c>
      <c r="AL52" s="42">
        <v>37645.639999999985</v>
      </c>
      <c r="AM52" s="42">
        <v>38521.119999999988</v>
      </c>
      <c r="AN52" s="42">
        <v>35019.19999999999</v>
      </c>
      <c r="AO52" s="42">
        <v>1750.96</v>
      </c>
      <c r="AP52" s="42">
        <v>28015.35999999999</v>
      </c>
      <c r="AQ52" s="42">
        <v>35019.199999999997</v>
      </c>
      <c r="AR52" s="42">
        <v>42023.039999999994</v>
      </c>
      <c r="AS52" s="42">
        <v>33268.239999999998</v>
      </c>
      <c r="AT52" s="42">
        <v>35019.199999999997</v>
      </c>
      <c r="AU52" s="42">
        <v>35019.199999999997</v>
      </c>
      <c r="AV52" s="42">
        <v>34780.139999999985</v>
      </c>
      <c r="AW52" s="42">
        <v>27674.51999999999</v>
      </c>
      <c r="AX52" s="42">
        <v>32162.279999999984</v>
      </c>
      <c r="AY52" s="42">
        <v>32910.239999999983</v>
      </c>
      <c r="AZ52" s="42">
        <v>29918.399999999987</v>
      </c>
      <c r="BA52" s="42">
        <v>1495.92</v>
      </c>
      <c r="BB52" s="42">
        <v>23934.719999999994</v>
      </c>
      <c r="BC52" s="42">
        <v>29918.400000000001</v>
      </c>
      <c r="BD52" s="42">
        <v>35902.080000000002</v>
      </c>
      <c r="BE52" s="42">
        <v>28422.480000000003</v>
      </c>
      <c r="BF52" s="42">
        <v>29918.400000000001</v>
      </c>
      <c r="BG52" s="42">
        <v>29918.399999999998</v>
      </c>
      <c r="BH52" s="42">
        <v>5929.68</v>
      </c>
      <c r="BI52" s="42">
        <v>4718.239999999998</v>
      </c>
      <c r="BJ52" s="42">
        <v>5483.3600000000006</v>
      </c>
      <c r="BK52" s="42">
        <v>5610.8800000000047</v>
      </c>
      <c r="BL52" s="42">
        <v>5100.8000000000029</v>
      </c>
      <c r="BM52" s="42">
        <v>255.03999999999996</v>
      </c>
      <c r="BN52" s="42">
        <v>4080.6399999999958</v>
      </c>
      <c r="BO52" s="42">
        <v>5100.7999999999956</v>
      </c>
      <c r="BP52" s="42">
        <v>6120.9599999999919</v>
      </c>
      <c r="BQ52" s="42">
        <v>4845.7599999999948</v>
      </c>
      <c r="BR52" s="42">
        <v>5100.7999999999956</v>
      </c>
      <c r="BS52" s="42">
        <v>5100.7999999999993</v>
      </c>
      <c r="BT52" s="42">
        <v>16131.280000000203</v>
      </c>
      <c r="BU52" s="42">
        <v>10966.719999999623</v>
      </c>
      <c r="BV52" s="42">
        <v>5355.83999999956</v>
      </c>
      <c r="BW52" s="42">
        <v>0</v>
      </c>
      <c r="BX52" s="37">
        <v>0.14565723945721371</v>
      </c>
      <c r="BY52" s="37">
        <v>0.1456572394572074</v>
      </c>
      <c r="BZ52" s="37">
        <v>0.14565723945720074</v>
      </c>
      <c r="CA52" s="37">
        <v>0</v>
      </c>
    </row>
    <row r="53" spans="1:79" x14ac:dyDescent="0.25">
      <c r="A53" s="37" t="s">
        <v>361</v>
      </c>
      <c r="B53" s="37" t="s">
        <v>18</v>
      </c>
      <c r="C53" s="37" t="s">
        <v>18</v>
      </c>
      <c r="D53" s="37" t="s">
        <v>283</v>
      </c>
      <c r="E53" s="37" t="s">
        <v>397</v>
      </c>
      <c r="F53" s="37" t="s">
        <v>424</v>
      </c>
      <c r="G53" s="37"/>
      <c r="H53" s="104">
        <v>45839</v>
      </c>
      <c r="I53" s="104">
        <v>46203</v>
      </c>
      <c r="J53" s="44" t="s">
        <v>372</v>
      </c>
      <c r="K53" s="44" t="s">
        <v>39</v>
      </c>
      <c r="L53" s="44" t="s">
        <v>366</v>
      </c>
      <c r="M53" s="44" t="s">
        <v>380</v>
      </c>
      <c r="N53" s="42">
        <v>455436.79999999999</v>
      </c>
      <c r="O53" s="42">
        <v>429161.6</v>
      </c>
      <c r="P53" s="42">
        <v>249833.35999999958</v>
      </c>
      <c r="Q53" s="42">
        <v>179328.2400000004</v>
      </c>
      <c r="R53" s="42">
        <v>171664.63999999996</v>
      </c>
      <c r="S53" s="42">
        <v>421497.99999999953</v>
      </c>
      <c r="T53" s="42">
        <v>7663.6000000004424</v>
      </c>
      <c r="U53" s="38">
        <v>1.785714285714389E-2</v>
      </c>
      <c r="V53" s="38">
        <v>7.4519230769231767E-2</v>
      </c>
      <c r="W53" s="42"/>
      <c r="X53" s="241"/>
      <c r="Y53" s="42">
        <v>117143.5999999998</v>
      </c>
      <c r="Z53" s="42">
        <v>132689.75999999978</v>
      </c>
      <c r="AA53" s="42">
        <v>0</v>
      </c>
      <c r="AB53" s="42">
        <v>0</v>
      </c>
      <c r="AC53" s="42">
        <v>213355.59000000026</v>
      </c>
      <c r="AD53" s="42">
        <v>146600.16000000003</v>
      </c>
      <c r="AE53" s="42">
        <v>36477.76999999932</v>
      </c>
      <c r="AF53" s="38">
        <v>0.14599999999999999</v>
      </c>
      <c r="AG53" s="38">
        <v>0.14600840336134208</v>
      </c>
      <c r="AH53" s="42">
        <v>61542.249999999243</v>
      </c>
      <c r="AI53" s="38">
        <v>0.14600840336134291</v>
      </c>
      <c r="AJ53" s="42">
        <v>40945.520000000004</v>
      </c>
      <c r="AK53" s="42">
        <v>36785.279999999999</v>
      </c>
      <c r="AL53" s="42">
        <v>39412.800000000003</v>
      </c>
      <c r="AM53" s="42">
        <v>49047.040000000001</v>
      </c>
      <c r="AN53" s="42">
        <v>45981.599999999999</v>
      </c>
      <c r="AO53" s="42">
        <v>37661.119999999995</v>
      </c>
      <c r="AP53" s="42">
        <v>0</v>
      </c>
      <c r="AQ53" s="42">
        <v>26275.199999999997</v>
      </c>
      <c r="AR53" s="42">
        <v>42040.32</v>
      </c>
      <c r="AS53" s="42">
        <v>33281.919999999998</v>
      </c>
      <c r="AT53" s="42">
        <v>35033.599999999999</v>
      </c>
      <c r="AU53" s="42">
        <v>35033.599999999999</v>
      </c>
      <c r="AV53" s="42">
        <v>34967.129999999983</v>
      </c>
      <c r="AW53" s="42">
        <v>31414.319999999985</v>
      </c>
      <c r="AX53" s="42">
        <v>33658.199999999983</v>
      </c>
      <c r="AY53" s="42">
        <v>41885.75999999998</v>
      </c>
      <c r="AZ53" s="42">
        <v>39267.899999999987</v>
      </c>
      <c r="BA53" s="42">
        <v>32162.280000000006</v>
      </c>
      <c r="BB53" s="42">
        <v>0</v>
      </c>
      <c r="BC53" s="42">
        <v>22438.800000000003</v>
      </c>
      <c r="BD53" s="42">
        <v>35902.080000000002</v>
      </c>
      <c r="BE53" s="42">
        <v>28422.480000000003</v>
      </c>
      <c r="BF53" s="42">
        <v>29918.400000000001</v>
      </c>
      <c r="BG53" s="42">
        <v>29918.399999999998</v>
      </c>
      <c r="BH53" s="42">
        <v>5978.3900000000212</v>
      </c>
      <c r="BI53" s="42">
        <v>5370.9600000000137</v>
      </c>
      <c r="BJ53" s="42">
        <v>5754.6000000000204</v>
      </c>
      <c r="BK53" s="42">
        <v>7161.2800000000207</v>
      </c>
      <c r="BL53" s="42">
        <v>6713.7000000000116</v>
      </c>
      <c r="BM53" s="42">
        <v>5498.8399999999892</v>
      </c>
      <c r="BN53" s="42">
        <v>0</v>
      </c>
      <c r="BO53" s="42">
        <v>3836.3999999999942</v>
      </c>
      <c r="BP53" s="42">
        <v>6138.239999999998</v>
      </c>
      <c r="BQ53" s="42">
        <v>4859.4399999999951</v>
      </c>
      <c r="BR53" s="42">
        <v>5115.1999999999971</v>
      </c>
      <c r="BS53" s="42">
        <v>5115.2000000000007</v>
      </c>
      <c r="BT53" s="42">
        <v>17103.949999999881</v>
      </c>
      <c r="BU53" s="42">
        <v>19373.819999999439</v>
      </c>
      <c r="BV53" s="42">
        <v>0</v>
      </c>
      <c r="BW53" s="42">
        <v>0</v>
      </c>
      <c r="BX53" s="37">
        <v>0.14600840336134377</v>
      </c>
      <c r="BY53" s="37">
        <v>0.14600840336134055</v>
      </c>
      <c r="BZ53" s="37">
        <v>0</v>
      </c>
      <c r="CA53" s="37">
        <v>0</v>
      </c>
    </row>
    <row r="54" spans="1:79" x14ac:dyDescent="0.25">
      <c r="A54" s="37" t="s">
        <v>361</v>
      </c>
      <c r="B54" s="37" t="s">
        <v>18</v>
      </c>
      <c r="C54" s="37" t="s">
        <v>18</v>
      </c>
      <c r="D54" s="37" t="s">
        <v>284</v>
      </c>
      <c r="E54" s="37" t="s">
        <v>397</v>
      </c>
      <c r="F54" s="37" t="s">
        <v>424</v>
      </c>
      <c r="G54" s="37"/>
      <c r="H54" s="104">
        <v>45839</v>
      </c>
      <c r="I54" s="104">
        <v>46203</v>
      </c>
      <c r="J54" s="44" t="s">
        <v>372</v>
      </c>
      <c r="K54" s="44" t="s">
        <v>39</v>
      </c>
      <c r="L54" s="44" t="s">
        <v>366</v>
      </c>
      <c r="M54" s="44" t="s">
        <v>380</v>
      </c>
      <c r="N54" s="42">
        <v>450840</v>
      </c>
      <c r="O54" s="42">
        <v>424830</v>
      </c>
      <c r="P54" s="42">
        <v>237774.75</v>
      </c>
      <c r="Q54" s="42">
        <v>187055.25</v>
      </c>
      <c r="R54" s="42">
        <v>169932</v>
      </c>
      <c r="S54" s="42">
        <v>407706.75</v>
      </c>
      <c r="T54" s="42">
        <v>17123.25</v>
      </c>
      <c r="U54" s="38">
        <v>4.0306122448979589E-2</v>
      </c>
      <c r="V54" s="38">
        <v>9.5673076923076916E-2</v>
      </c>
      <c r="W54" s="42"/>
      <c r="X54" s="241"/>
      <c r="Y54" s="42">
        <v>111843</v>
      </c>
      <c r="Z54" s="42">
        <v>96670.5</v>
      </c>
      <c r="AA54" s="42">
        <v>29261.25</v>
      </c>
      <c r="AB54" s="42">
        <v>0</v>
      </c>
      <c r="AC54" s="42">
        <v>205128.03000000049</v>
      </c>
      <c r="AD54" s="42">
        <v>146600.16000000003</v>
      </c>
      <c r="AE54" s="42">
        <v>32646.719999999506</v>
      </c>
      <c r="AF54" s="38">
        <v>0.14000000000000001</v>
      </c>
      <c r="AG54" s="38">
        <v>0.13730103806228167</v>
      </c>
      <c r="AH54" s="42">
        <v>55978.559999999474</v>
      </c>
      <c r="AI54" s="38">
        <v>0.13730103806228244</v>
      </c>
      <c r="AJ54" s="42">
        <v>37281</v>
      </c>
      <c r="AK54" s="42">
        <v>36414</v>
      </c>
      <c r="AL54" s="42">
        <v>38148</v>
      </c>
      <c r="AM54" s="42">
        <v>38148</v>
      </c>
      <c r="AN54" s="42">
        <v>34680</v>
      </c>
      <c r="AO54" s="42">
        <v>23842.5</v>
      </c>
      <c r="AP54" s="42">
        <v>29261.25</v>
      </c>
      <c r="AQ54" s="42">
        <v>26010</v>
      </c>
      <c r="AR54" s="42">
        <v>41616</v>
      </c>
      <c r="AS54" s="42">
        <v>32946</v>
      </c>
      <c r="AT54" s="42">
        <v>34680</v>
      </c>
      <c r="AU54" s="42">
        <v>34680</v>
      </c>
      <c r="AV54" s="42">
        <v>32162.279999999984</v>
      </c>
      <c r="AW54" s="42">
        <v>31414.319999999985</v>
      </c>
      <c r="AX54" s="42">
        <v>32910.239999999983</v>
      </c>
      <c r="AY54" s="42">
        <v>32910.239999999983</v>
      </c>
      <c r="AZ54" s="42">
        <v>29918.399999999987</v>
      </c>
      <c r="BA54" s="42">
        <v>20568.899999999998</v>
      </c>
      <c r="BB54" s="42">
        <v>25243.649999999994</v>
      </c>
      <c r="BC54" s="42">
        <v>22438.800000000003</v>
      </c>
      <c r="BD54" s="42">
        <v>35902.080000000002</v>
      </c>
      <c r="BE54" s="42">
        <v>28422.480000000003</v>
      </c>
      <c r="BF54" s="42">
        <v>29918.400000000001</v>
      </c>
      <c r="BG54" s="42">
        <v>29918.399999999998</v>
      </c>
      <c r="BH54" s="42">
        <v>5118.7200000000157</v>
      </c>
      <c r="BI54" s="42">
        <v>4999.6800000000148</v>
      </c>
      <c r="BJ54" s="42">
        <v>5237.7600000000166</v>
      </c>
      <c r="BK54" s="42">
        <v>5237.7600000000166</v>
      </c>
      <c r="BL54" s="42">
        <v>4761.6000000000131</v>
      </c>
      <c r="BM54" s="42">
        <v>3273.6000000000022</v>
      </c>
      <c r="BN54" s="42">
        <v>4017.6000000000058</v>
      </c>
      <c r="BO54" s="42">
        <v>3571.1999999999971</v>
      </c>
      <c r="BP54" s="42">
        <v>5713.9199999999983</v>
      </c>
      <c r="BQ54" s="42">
        <v>4523.5199999999968</v>
      </c>
      <c r="BR54" s="42">
        <v>4761.5999999999985</v>
      </c>
      <c r="BS54" s="42">
        <v>4761.6000000000022</v>
      </c>
      <c r="BT54" s="42">
        <v>15356.160000000091</v>
      </c>
      <c r="BU54" s="42">
        <v>13272.959999999614</v>
      </c>
      <c r="BV54" s="42">
        <v>4017.5999999998021</v>
      </c>
      <c r="BW54" s="42">
        <v>0</v>
      </c>
      <c r="BX54" s="37">
        <v>0.13730103806228455</v>
      </c>
      <c r="BY54" s="37">
        <v>0.13730103806227975</v>
      </c>
      <c r="BZ54" s="37">
        <v>0.13730103806227698</v>
      </c>
      <c r="CA54" s="37">
        <v>0</v>
      </c>
    </row>
    <row r="55" spans="1:79" x14ac:dyDescent="0.25">
      <c r="A55" s="37" t="s">
        <v>361</v>
      </c>
      <c r="B55" s="37" t="s">
        <v>18</v>
      </c>
      <c r="C55" s="37" t="s">
        <v>18</v>
      </c>
      <c r="D55" s="37" t="s">
        <v>285</v>
      </c>
      <c r="E55" s="37" t="s">
        <v>397</v>
      </c>
      <c r="F55" s="37" t="s">
        <v>424</v>
      </c>
      <c r="G55" s="37"/>
      <c r="H55" s="104">
        <v>45839</v>
      </c>
      <c r="I55" s="104">
        <v>46203</v>
      </c>
      <c r="J55" s="44" t="s">
        <v>372</v>
      </c>
      <c r="K55" s="44" t="s">
        <v>39</v>
      </c>
      <c r="L55" s="44" t="s">
        <v>366</v>
      </c>
      <c r="M55" s="44" t="s">
        <v>380</v>
      </c>
      <c r="N55" s="42">
        <v>455270.40000000002</v>
      </c>
      <c r="O55" s="42">
        <v>429004.79999999999</v>
      </c>
      <c r="P55" s="42">
        <v>218223.36000000019</v>
      </c>
      <c r="Q55" s="42">
        <v>210781.4399999998</v>
      </c>
      <c r="R55" s="42">
        <v>171601.92000000001</v>
      </c>
      <c r="S55" s="42">
        <v>389825.2800000002</v>
      </c>
      <c r="T55" s="42">
        <v>39179.519999999786</v>
      </c>
      <c r="U55" s="38">
        <v>9.1326530612244397E-2</v>
      </c>
      <c r="V55" s="38">
        <v>0.1437499999999996</v>
      </c>
      <c r="W55" s="42"/>
      <c r="X55" s="241"/>
      <c r="Y55" s="42">
        <v>86676.479999999952</v>
      </c>
      <c r="Z55" s="42">
        <v>89521.920000000042</v>
      </c>
      <c r="AA55" s="42">
        <v>42024.960000000196</v>
      </c>
      <c r="AB55" s="42">
        <v>0</v>
      </c>
      <c r="AC55" s="42">
        <v>186429.03000000035</v>
      </c>
      <c r="AD55" s="42">
        <v>146600.16000000003</v>
      </c>
      <c r="AE55" s="42">
        <v>31794.329999999842</v>
      </c>
      <c r="AF55" s="38">
        <v>0.15</v>
      </c>
      <c r="AG55" s="38">
        <v>0.14569627192982371</v>
      </c>
      <c r="AH55" s="42">
        <v>56796.089999999793</v>
      </c>
      <c r="AI55" s="38">
        <v>0.14569627192982396</v>
      </c>
      <c r="AJ55" s="42">
        <v>40273.920000000013</v>
      </c>
      <c r="AK55" s="42">
        <v>36771.840000000011</v>
      </c>
      <c r="AL55" s="42">
        <v>9630.7199999999993</v>
      </c>
      <c r="AM55" s="42">
        <v>33269.760000000009</v>
      </c>
      <c r="AN55" s="42">
        <v>33269.760000000009</v>
      </c>
      <c r="AO55" s="42">
        <v>22982.400000000005</v>
      </c>
      <c r="AP55" s="42">
        <v>33269.760000000009</v>
      </c>
      <c r="AQ55" s="42">
        <v>35020.800000000003</v>
      </c>
      <c r="AR55" s="42">
        <v>42024.960000000006</v>
      </c>
      <c r="AS55" s="42">
        <v>33269.760000000002</v>
      </c>
      <c r="AT55" s="42">
        <v>35020.800000000003</v>
      </c>
      <c r="AU55" s="42">
        <v>35020.800000000003</v>
      </c>
      <c r="AV55" s="42">
        <v>34406.159999999982</v>
      </c>
      <c r="AW55" s="42">
        <v>31414.319999999985</v>
      </c>
      <c r="AX55" s="42">
        <v>8227.5600000000013</v>
      </c>
      <c r="AY55" s="42">
        <v>28422.479999999989</v>
      </c>
      <c r="AZ55" s="42">
        <v>28422.479999999989</v>
      </c>
      <c r="BA55" s="42">
        <v>19633.949999999997</v>
      </c>
      <c r="BB55" s="42">
        <v>28422.479999999989</v>
      </c>
      <c r="BC55" s="42">
        <v>29918.400000000001</v>
      </c>
      <c r="BD55" s="42">
        <v>35902.080000000002</v>
      </c>
      <c r="BE55" s="42">
        <v>28422.480000000003</v>
      </c>
      <c r="BF55" s="42">
        <v>29918.400000000001</v>
      </c>
      <c r="BG55" s="42">
        <v>29918.399999999998</v>
      </c>
      <c r="BH55" s="42">
        <v>5867.7600000000311</v>
      </c>
      <c r="BI55" s="42">
        <v>5357.5200000000259</v>
      </c>
      <c r="BJ55" s="42">
        <v>1403.159999999998</v>
      </c>
      <c r="BK55" s="42">
        <v>4847.2800000000207</v>
      </c>
      <c r="BL55" s="42">
        <v>4847.2800000000207</v>
      </c>
      <c r="BM55" s="42">
        <v>3348.450000000008</v>
      </c>
      <c r="BN55" s="42">
        <v>4847.2800000000207</v>
      </c>
      <c r="BO55" s="42">
        <v>5102.4000000000015</v>
      </c>
      <c r="BP55" s="42">
        <v>6122.8800000000047</v>
      </c>
      <c r="BQ55" s="42">
        <v>4847.2799999999988</v>
      </c>
      <c r="BR55" s="42">
        <v>5102.4000000000015</v>
      </c>
      <c r="BS55" s="42">
        <v>5102.4000000000051</v>
      </c>
      <c r="BT55" s="42">
        <v>12628.440000000002</v>
      </c>
      <c r="BU55" s="42">
        <v>13043.009999999951</v>
      </c>
      <c r="BV55" s="42">
        <v>6122.8799999998882</v>
      </c>
      <c r="BW55" s="42">
        <v>0</v>
      </c>
      <c r="BX55" s="37">
        <v>0.14569627192982468</v>
      </c>
      <c r="BY55" s="37">
        <v>0.14569627192982396</v>
      </c>
      <c r="BZ55" s="37">
        <v>0.14569627192982124</v>
      </c>
      <c r="CA55" s="37">
        <v>0</v>
      </c>
    </row>
    <row r="56" spans="1:79" x14ac:dyDescent="0.25">
      <c r="A56" s="37" t="s">
        <v>361</v>
      </c>
      <c r="B56" s="37" t="s">
        <v>18</v>
      </c>
      <c r="C56" s="37" t="s">
        <v>18</v>
      </c>
      <c r="D56" s="37" t="s">
        <v>286</v>
      </c>
      <c r="E56" s="37" t="s">
        <v>397</v>
      </c>
      <c r="F56" s="37" t="s">
        <v>424</v>
      </c>
      <c r="G56" s="37"/>
      <c r="H56" s="104">
        <v>46062</v>
      </c>
      <c r="I56" s="104">
        <v>46203</v>
      </c>
      <c r="J56" s="44" t="s">
        <v>372</v>
      </c>
      <c r="K56" s="44" t="s">
        <v>39</v>
      </c>
      <c r="L56" s="44" t="s">
        <v>366</v>
      </c>
      <c r="M56" s="44" t="s">
        <v>367</v>
      </c>
      <c r="N56" s="42">
        <v>141933</v>
      </c>
      <c r="O56" s="42">
        <v>137472</v>
      </c>
      <c r="P56" s="42">
        <v>0</v>
      </c>
      <c r="Q56" s="42">
        <v>137472</v>
      </c>
      <c r="R56" s="42">
        <v>137472</v>
      </c>
      <c r="S56" s="42">
        <v>137472</v>
      </c>
      <c r="T56" s="42">
        <v>0</v>
      </c>
      <c r="U56" s="38">
        <v>0</v>
      </c>
      <c r="V56" s="38">
        <v>3.1430322757920993E-2</v>
      </c>
      <c r="W56" s="42"/>
      <c r="X56" s="241"/>
      <c r="Y56" s="42">
        <v>0</v>
      </c>
      <c r="Z56" s="42">
        <v>0</v>
      </c>
      <c r="AA56" s="42">
        <v>0</v>
      </c>
      <c r="AB56" s="42">
        <v>0</v>
      </c>
      <c r="AC56" s="42">
        <v>0</v>
      </c>
      <c r="AD56" s="42">
        <v>123091.20000000001</v>
      </c>
      <c r="AE56" s="42">
        <v>0</v>
      </c>
      <c r="AF56" s="38">
        <v>0.105</v>
      </c>
      <c r="AG56" s="38">
        <v>0</v>
      </c>
      <c r="AH56" s="42">
        <v>14380.799999999988</v>
      </c>
      <c r="AI56" s="38">
        <v>0.10460893854748594</v>
      </c>
      <c r="AJ56" s="42">
        <v>0</v>
      </c>
      <c r="AK56" s="42">
        <v>0</v>
      </c>
      <c r="AL56" s="42">
        <v>0</v>
      </c>
      <c r="AM56" s="42">
        <v>0</v>
      </c>
      <c r="AN56" s="42">
        <v>0</v>
      </c>
      <c r="AO56" s="42">
        <v>0</v>
      </c>
      <c r="AP56" s="42">
        <v>0</v>
      </c>
      <c r="AQ56" s="42">
        <v>21480</v>
      </c>
      <c r="AR56" s="42">
        <v>32936</v>
      </c>
      <c r="AS56" s="42">
        <v>25776</v>
      </c>
      <c r="AT56" s="42">
        <v>28640</v>
      </c>
      <c r="AU56" s="42">
        <v>28640</v>
      </c>
      <c r="AV56" s="42">
        <v>0</v>
      </c>
      <c r="AW56" s="42">
        <v>0</v>
      </c>
      <c r="AX56" s="42">
        <v>0</v>
      </c>
      <c r="AY56" s="42">
        <v>0</v>
      </c>
      <c r="AZ56" s="42">
        <v>0</v>
      </c>
      <c r="BA56" s="42">
        <v>0</v>
      </c>
      <c r="BB56" s="42">
        <v>0</v>
      </c>
      <c r="BC56" s="42">
        <v>19233</v>
      </c>
      <c r="BD56" s="42">
        <v>29490.6</v>
      </c>
      <c r="BE56" s="42">
        <v>23079.599999999999</v>
      </c>
      <c r="BF56" s="42">
        <v>25644</v>
      </c>
      <c r="BG56" s="42">
        <v>25644</v>
      </c>
      <c r="BH56" s="42">
        <v>0</v>
      </c>
      <c r="BI56" s="42">
        <v>0</v>
      </c>
      <c r="BJ56" s="42">
        <v>0</v>
      </c>
      <c r="BK56" s="42">
        <v>0</v>
      </c>
      <c r="BL56" s="42">
        <v>0</v>
      </c>
      <c r="BM56" s="42">
        <v>0</v>
      </c>
      <c r="BN56" s="42">
        <v>0</v>
      </c>
      <c r="BO56" s="42">
        <v>2247</v>
      </c>
      <c r="BP56" s="42">
        <v>3445.4000000000015</v>
      </c>
      <c r="BQ56" s="42">
        <v>2696.4000000000015</v>
      </c>
      <c r="BR56" s="42">
        <v>2996</v>
      </c>
      <c r="BS56" s="42">
        <v>2996</v>
      </c>
      <c r="BT56" s="42">
        <v>0</v>
      </c>
      <c r="BU56" s="42">
        <v>0</v>
      </c>
      <c r="BV56" s="42">
        <v>0</v>
      </c>
      <c r="BW56" s="42">
        <v>0</v>
      </c>
      <c r="BX56" s="37">
        <v>0</v>
      </c>
      <c r="BY56" s="37">
        <v>0</v>
      </c>
      <c r="BZ56" s="37">
        <v>0</v>
      </c>
      <c r="CA56" s="37">
        <v>0</v>
      </c>
    </row>
    <row r="57" spans="1:79" x14ac:dyDescent="0.25">
      <c r="A57" s="37" t="s">
        <v>368</v>
      </c>
      <c r="B57" s="37" t="s">
        <v>18</v>
      </c>
      <c r="C57" s="37" t="s">
        <v>431</v>
      </c>
      <c r="D57" s="37" t="s">
        <v>432</v>
      </c>
      <c r="E57" s="37" t="s">
        <v>411</v>
      </c>
      <c r="F57" s="37" t="s">
        <v>411</v>
      </c>
      <c r="G57" s="37"/>
      <c r="H57" s="104">
        <v>45839</v>
      </c>
      <c r="I57" s="104">
        <v>45930</v>
      </c>
      <c r="J57" s="44" t="s">
        <v>372</v>
      </c>
      <c r="K57" s="44" t="s">
        <v>39</v>
      </c>
      <c r="L57" s="44" t="s">
        <v>433</v>
      </c>
      <c r="M57" s="44" t="s">
        <v>380</v>
      </c>
      <c r="N57" s="42">
        <v>108540</v>
      </c>
      <c r="O57" s="42">
        <v>108540</v>
      </c>
      <c r="P57" s="42">
        <v>108540</v>
      </c>
      <c r="Q57" s="42">
        <v>0</v>
      </c>
      <c r="R57" s="42">
        <v>0</v>
      </c>
      <c r="S57" s="42">
        <v>108540</v>
      </c>
      <c r="T57" s="42">
        <v>0</v>
      </c>
      <c r="U57" s="38">
        <v>0</v>
      </c>
      <c r="V57" s="38">
        <v>0</v>
      </c>
      <c r="W57" s="42"/>
      <c r="X57" s="241"/>
      <c r="Y57" s="42">
        <v>108540</v>
      </c>
      <c r="Z57" s="42">
        <v>0</v>
      </c>
      <c r="AA57" s="42">
        <v>0</v>
      </c>
      <c r="AB57" s="42">
        <v>0</v>
      </c>
      <c r="AC57" s="42">
        <v>87100</v>
      </c>
      <c r="AD57" s="42">
        <v>0</v>
      </c>
      <c r="AE57" s="42">
        <v>21440</v>
      </c>
      <c r="AF57" s="38">
        <v>0.2</v>
      </c>
      <c r="AG57" s="38">
        <v>0.19753086419753085</v>
      </c>
      <c r="AH57" s="42">
        <v>21440</v>
      </c>
      <c r="AI57" s="38">
        <v>0.19753086419753085</v>
      </c>
      <c r="AJ57" s="42">
        <v>37260</v>
      </c>
      <c r="AK57" s="42">
        <v>34020</v>
      </c>
      <c r="AL57" s="42">
        <v>37260</v>
      </c>
      <c r="AM57" s="42">
        <v>0</v>
      </c>
      <c r="AN57" s="42">
        <v>0</v>
      </c>
      <c r="AO57" s="42">
        <v>0</v>
      </c>
      <c r="AP57" s="42">
        <v>0</v>
      </c>
      <c r="AQ57" s="42">
        <v>0</v>
      </c>
      <c r="AR57" s="42">
        <v>0</v>
      </c>
      <c r="AS57" s="42">
        <v>0</v>
      </c>
      <c r="AT57" s="42">
        <v>0</v>
      </c>
      <c r="AU57" s="42">
        <v>0</v>
      </c>
      <c r="AV57" s="42">
        <v>29900</v>
      </c>
      <c r="AW57" s="42">
        <v>27300</v>
      </c>
      <c r="AX57" s="42">
        <v>29900</v>
      </c>
      <c r="AY57" s="42">
        <v>0</v>
      </c>
      <c r="AZ57" s="42">
        <v>0</v>
      </c>
      <c r="BA57" s="42">
        <v>0</v>
      </c>
      <c r="BB57" s="42">
        <v>0</v>
      </c>
      <c r="BC57" s="42">
        <v>0</v>
      </c>
      <c r="BD57" s="42">
        <v>0</v>
      </c>
      <c r="BE57" s="42">
        <v>0</v>
      </c>
      <c r="BF57" s="42">
        <v>0</v>
      </c>
      <c r="BG57" s="42">
        <v>0</v>
      </c>
      <c r="BH57" s="42">
        <v>7360</v>
      </c>
      <c r="BI57" s="42">
        <v>6720</v>
      </c>
      <c r="BJ57" s="42">
        <v>7360</v>
      </c>
      <c r="BK57" s="42">
        <v>0</v>
      </c>
      <c r="BL57" s="42">
        <v>0</v>
      </c>
      <c r="BM57" s="42">
        <v>0</v>
      </c>
      <c r="BN57" s="42">
        <v>0</v>
      </c>
      <c r="BO57" s="42">
        <v>0</v>
      </c>
      <c r="BP57" s="42">
        <v>0</v>
      </c>
      <c r="BQ57" s="42">
        <v>0</v>
      </c>
      <c r="BR57" s="42">
        <v>0</v>
      </c>
      <c r="BS57" s="42">
        <v>0</v>
      </c>
      <c r="BT57" s="42">
        <v>21440</v>
      </c>
      <c r="BU57" s="42">
        <v>0</v>
      </c>
      <c r="BV57" s="42">
        <v>0</v>
      </c>
      <c r="BW57" s="42">
        <v>0</v>
      </c>
      <c r="BX57" s="37">
        <v>0.19753086419753085</v>
      </c>
      <c r="BY57" s="37">
        <v>0</v>
      </c>
      <c r="BZ57" s="37">
        <v>0</v>
      </c>
      <c r="CA57" s="37">
        <v>0</v>
      </c>
    </row>
    <row r="58" spans="1:79" x14ac:dyDescent="0.25">
      <c r="A58" s="37" t="s">
        <v>174</v>
      </c>
      <c r="B58" s="37"/>
      <c r="C58" s="37"/>
      <c r="D58" s="37"/>
      <c r="E58" s="37"/>
      <c r="F58" s="37"/>
      <c r="G58" s="37"/>
      <c r="H58" s="37"/>
      <c r="I58" s="37"/>
      <c r="J58" s="44"/>
      <c r="K58" s="37"/>
      <c r="L58" s="37"/>
      <c r="M58" s="37"/>
      <c r="N58" s="36">
        <f>SUBTOTAL(109,Job_Status[Work Order Amount])</f>
        <v>25539584.730000004</v>
      </c>
      <c r="O58" s="36">
        <f>SUBTOTAL(109,Job_Status[Budget])</f>
        <v>22162351.980000004</v>
      </c>
      <c r="P58" s="36">
        <f>SUBTOTAL(109,Job_Status[Actual])</f>
        <v>14133437.015000001</v>
      </c>
      <c r="Q58" s="36">
        <f>SUBTOTAL(109,Job_Status[Balance])</f>
        <v>8028914.9649999989</v>
      </c>
      <c r="R58" s="36">
        <f>SUBTOTAL(109,Job_Status[Forecast])</f>
        <v>6496444.2739780368</v>
      </c>
      <c r="S58" s="36">
        <f>SUBTOTAL(109,Job_Status[Forecasted Revenue])</f>
        <v>20744603.514999997</v>
      </c>
      <c r="T58" s="36">
        <f>SUBTOTAL(109,Job_Status[Variance @ Completion])</f>
        <v>1532470.6910219637</v>
      </c>
      <c r="U58" s="43">
        <f>(Job_Status[[#Totals],[Budget]]-Job_Status[[#Totals],[Forecasted Revenue]])/Job_Status[[#Totals],[Budget]]</f>
        <v>6.3971029170524302E-2</v>
      </c>
      <c r="V58" s="43">
        <f>(Job_Status[[#Totals],[Work Order Amount]]-Job_Status[[#Totals],[Forecasted Revenue]])/Job_Status[[#Totals],[Work Order Amount]]</f>
        <v>0.18774703135120266</v>
      </c>
      <c r="W58" s="36">
        <f>SUBTOTAL(109,Job_Status[Write-Off])</f>
        <v>0</v>
      </c>
      <c r="Y58" s="36">
        <f>SUBTOTAL(109,Job_Status[Revenue Q1])</f>
        <v>5912887.277499998</v>
      </c>
      <c r="Z58" s="36">
        <f>SUBTOTAL(109,Job_Status[Revenue Q2])</f>
        <v>6505901.8450000007</v>
      </c>
      <c r="AA58" s="36">
        <f>SUBTOTAL(109,Job_Status[Revenue Q3])</f>
        <v>1714647.892500001</v>
      </c>
      <c r="AB58" s="36">
        <f>SUBTOTAL(109,Job_Status[Revenue Q4])</f>
        <v>0</v>
      </c>
      <c r="AC58" s="36">
        <f>SUBTOTAL(109,Job_Status[Gross Cost])</f>
        <v>9814700.0025000144</v>
      </c>
      <c r="AD58" s="36">
        <f>SUBTOTAL(109,Job_Status[Forecasted Gross Cost])</f>
        <v>5462790.9934750032</v>
      </c>
      <c r="AE58" s="36">
        <f>SUBTOTAL(109,Job_Status[To Date Gross Profit])</f>
        <v>4318737.0124999871</v>
      </c>
      <c r="AF58" s="43">
        <f>SUMPRODUCT(Job_Status[Sold GM (%)],Job_Status[Budget])/SUM(Job_Status[Budget])</f>
        <v>0.24875288876176399</v>
      </c>
      <c r="AG58" s="43">
        <f>Job_Status[[#Totals],[To Date Gross Profit]]/Job_Status[[#Totals],[Actual]]</f>
        <v>0.30556877339294436</v>
      </c>
      <c r="AH58" s="36">
        <f>SUBTOTAL(109,Job_Status[GP at completion])</f>
        <v>5467112.5190249821</v>
      </c>
      <c r="AI58" s="5">
        <f>Job_Status[[#Totals],[GP at completion]]/Job_Status[[#Totals],[Forecasted Revenue]]</f>
        <v>0.26354384238155359</v>
      </c>
      <c r="AJ58" s="36">
        <f>SUBTOTAL(109,Job_Status[R1])</f>
        <v>1489443.4450000001</v>
      </c>
      <c r="AK58" s="36">
        <f>SUBTOTAL(109,Job_Status[R2])</f>
        <v>1891276.96</v>
      </c>
      <c r="AL58" s="36">
        <f>SUBTOTAL(109,Job_Status[R3])</f>
        <v>2532166.8725000005</v>
      </c>
      <c r="AM58" s="36">
        <f>SUBTOTAL(109,Job_Status[R4])</f>
        <v>2628411.0750000002</v>
      </c>
      <c r="AN58" s="36">
        <f>SUBTOTAL(109,Job_Status[R5])</f>
        <v>2203330.7050000001</v>
      </c>
      <c r="AO58" s="36">
        <f>SUBTOTAL(109,Job_Status[R6])</f>
        <v>1674160.0649999995</v>
      </c>
      <c r="AP58" s="36">
        <f>SUBTOTAL(109,Job_Status[R7])</f>
        <v>1446873.5950000002</v>
      </c>
      <c r="AQ58" s="36">
        <f>SUBTOTAL(109,Job_Status[R8])</f>
        <v>1527093.317280503</v>
      </c>
      <c r="AR58" s="36">
        <f>SUBTOTAL(109,Job_Status[R9])</f>
        <v>1764024.6105438715</v>
      </c>
      <c r="AS58" s="36">
        <f>SUBTOTAL(109,Job_Status[R10])</f>
        <v>1139120.789123039</v>
      </c>
      <c r="AT58" s="36">
        <f>SUBTOTAL(109,Job_Status[R11])</f>
        <v>1132235.0757816804</v>
      </c>
      <c r="AU58" s="36">
        <f>SUBTOTAL(109,Job_Status[R12])</f>
        <v>1201744.7787489423</v>
      </c>
      <c r="AV58" s="36">
        <f>SUBTOTAL(109,Job_Status[C1])</f>
        <v>1117619.1999999997</v>
      </c>
      <c r="AW58" s="36">
        <f>SUBTOTAL(109,Job_Status[C2])</f>
        <v>1266766.5000000002</v>
      </c>
      <c r="AX58" s="36">
        <f>SUBTOTAL(109,Job_Status[C3])</f>
        <v>1737072.18</v>
      </c>
      <c r="AY58" s="36">
        <f>SUBTOTAL(109,Job_Status[C4])</f>
        <v>1610689.2975000003</v>
      </c>
      <c r="AZ58" s="36">
        <f>SUBTOTAL(109,Job_Status[C5])</f>
        <v>1554033.0699999996</v>
      </c>
      <c r="BA58" s="36">
        <f>SUBTOTAL(109,Job_Status[C6])</f>
        <v>1210023.7649999994</v>
      </c>
      <c r="BB58" s="36">
        <f>SUBTOTAL(109,Job_Status[C7])</f>
        <v>1119280.4899999993</v>
      </c>
      <c r="BC58" s="36">
        <f>SUBTOTAL(109,Job_Status[C8])</f>
        <v>1231309.8803749999</v>
      </c>
      <c r="BD58" s="36">
        <f>SUBTOTAL(109,Job_Status[C9])</f>
        <v>1486169.6525750004</v>
      </c>
      <c r="BE58" s="36">
        <f>SUBTOTAL(109,Job_Status[C10])</f>
        <v>981410.43244999985</v>
      </c>
      <c r="BF58" s="36">
        <f>SUBTOTAL(109,Job_Status[C11])</f>
        <v>969152.88050000009</v>
      </c>
      <c r="BG58" s="36">
        <f>SUBTOTAL(109,Job_Status[C12])</f>
        <v>993963.64757500007</v>
      </c>
      <c r="BH58" s="36">
        <f>SUBTOTAL(109,Job_Status[P1])</f>
        <v>371824.24500000034</v>
      </c>
      <c r="BI58" s="36">
        <f>SUBTOTAL(109,Job_Status[P2])</f>
        <v>624510.46000000008</v>
      </c>
      <c r="BJ58" s="36">
        <f>SUBTOTAL(109,Job_Status[P3])</f>
        <v>795094.69250000012</v>
      </c>
      <c r="BK58" s="36">
        <f>SUBTOTAL(109,Job_Status[P4])</f>
        <v>1017721.7774999999</v>
      </c>
      <c r="BL58" s="36">
        <f>SUBTOTAL(109,Job_Status[P5])</f>
        <v>649297.63500000036</v>
      </c>
      <c r="BM58" s="36">
        <f>SUBTOTAL(109,Job_Status[P6])</f>
        <v>464136.30000000005</v>
      </c>
      <c r="BN58" s="36">
        <f>SUBTOTAL(109,Job_Status[P7])</f>
        <v>327593.10500000045</v>
      </c>
      <c r="BO58" s="36">
        <f>SUBTOTAL(109,Job_Status[P8])</f>
        <v>295783.43690550298</v>
      </c>
      <c r="BP58" s="36">
        <f>SUBTOTAL(109,Job_Status[P9])</f>
        <v>277854.95796887117</v>
      </c>
      <c r="BQ58" s="36">
        <f>SUBTOTAL(109,Job_Status[P10])</f>
        <v>157710.35667303912</v>
      </c>
      <c r="BR58" s="36">
        <f>SUBTOTAL(109,Job_Status[P11])</f>
        <v>163082.1952816805</v>
      </c>
      <c r="BS58" s="36">
        <f>SUBTOTAL(109,Job_Status[P12])</f>
        <v>207781.13117394212</v>
      </c>
      <c r="BT58" s="36">
        <f>SUBTOTAL(109,Job_Status[Gross Profit Q1])</f>
        <v>1791429.3974999988</v>
      </c>
      <c r="BU58" s="36">
        <f>SUBTOTAL(109,Job_Status[Gross Profit Q2])</f>
        <v>2131155.7124999897</v>
      </c>
      <c r="BV58" s="36">
        <f>SUBTOTAL(109,Job_Status[Gross Profit Q3])</f>
        <v>396151.90249999752</v>
      </c>
      <c r="BW58" s="36">
        <f>SUBTOTAL(109,Job_Status[Gross Profit Q4])</f>
        <v>0</v>
      </c>
      <c r="BX58" s="43"/>
      <c r="BY58" s="43"/>
      <c r="BZ58" s="43"/>
      <c r="CA58" s="43"/>
    </row>
  </sheetData>
  <phoneticPr fontId="23"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AEA79-F8F2-4BCA-8912-F367B20EFA40}">
  <sheetPr>
    <tabColor theme="1"/>
  </sheetPr>
  <dimension ref="A1:AC94"/>
  <sheetViews>
    <sheetView topLeftCell="A68" zoomScaleNormal="100" workbookViewId="0">
      <selection activeCell="A95" sqref="A95:XFD5923"/>
    </sheetView>
  </sheetViews>
  <sheetFormatPr defaultRowHeight="15" x14ac:dyDescent="0.25"/>
  <cols>
    <col min="1" max="1" width="80.5703125" bestFit="1" customWidth="1"/>
    <col min="2" max="2" width="16" bestFit="1" customWidth="1"/>
    <col min="3" max="3" width="14.85546875" bestFit="1" customWidth="1"/>
    <col min="4" max="4" width="15.42578125" bestFit="1" customWidth="1"/>
    <col min="5" max="5" width="8.7109375" bestFit="1" customWidth="1"/>
    <col min="6" max="6" width="8.42578125" bestFit="1" customWidth="1"/>
    <col min="7" max="7" width="61.85546875" bestFit="1" customWidth="1"/>
    <col min="8" max="8" width="20" bestFit="1" customWidth="1"/>
    <col min="9" max="9" width="40.85546875" bestFit="1" customWidth="1"/>
    <col min="10" max="10" width="18.140625" bestFit="1" customWidth="1"/>
    <col min="11" max="11" width="80.5703125" bestFit="1" customWidth="1"/>
    <col min="12" max="12" width="26.85546875" bestFit="1" customWidth="1"/>
    <col min="13" max="13" width="16.28515625" bestFit="1" customWidth="1"/>
    <col min="14" max="14" width="11.5703125" bestFit="1" customWidth="1"/>
    <col min="15" max="15" width="12.7109375" bestFit="1" customWidth="1"/>
    <col min="16" max="16" width="13.28515625" bestFit="1" customWidth="1"/>
    <col min="17" max="17" width="14.85546875" bestFit="1" customWidth="1"/>
    <col min="18" max="18" width="23" bestFit="1" customWidth="1"/>
    <col min="19" max="19" width="14.85546875" bestFit="1" customWidth="1"/>
    <col min="20" max="20" width="23" bestFit="1" customWidth="1"/>
    <col min="21" max="21" width="11.42578125" bestFit="1" customWidth="1"/>
    <col min="22" max="22" width="80.5703125" bestFit="1" customWidth="1"/>
    <col min="23" max="23" width="19.140625" bestFit="1" customWidth="1"/>
    <col min="24" max="24" width="13.140625" bestFit="1" customWidth="1"/>
    <col min="25" max="25" width="14.42578125" bestFit="1" customWidth="1"/>
    <col min="26" max="26" width="18.5703125" bestFit="1" customWidth="1"/>
    <col min="27" max="27" width="15.42578125" style="10" bestFit="1" customWidth="1"/>
    <col min="28" max="28" width="33.140625" bestFit="1" customWidth="1"/>
    <col min="29" max="29" width="24.42578125" bestFit="1" customWidth="1"/>
    <col min="30" max="30" width="23.28515625" bestFit="1" customWidth="1"/>
  </cols>
  <sheetData>
    <row r="1" spans="1:29" x14ac:dyDescent="0.25">
      <c r="A1" t="s">
        <v>37</v>
      </c>
      <c r="B1" t="s">
        <v>36</v>
      </c>
      <c r="C1" t="s">
        <v>434</v>
      </c>
      <c r="D1" t="s">
        <v>435</v>
      </c>
      <c r="E1" t="s">
        <v>121</v>
      </c>
      <c r="F1" t="s">
        <v>38</v>
      </c>
      <c r="G1" t="s">
        <v>16</v>
      </c>
      <c r="H1" t="s">
        <v>436</v>
      </c>
      <c r="I1" t="s">
        <v>437</v>
      </c>
      <c r="J1" t="s">
        <v>438</v>
      </c>
      <c r="K1" t="s">
        <v>439</v>
      </c>
      <c r="L1" t="s">
        <v>240</v>
      </c>
      <c r="M1" t="s">
        <v>32</v>
      </c>
      <c r="N1" t="s">
        <v>122</v>
      </c>
      <c r="O1" t="s">
        <v>191</v>
      </c>
      <c r="P1" t="s">
        <v>440</v>
      </c>
      <c r="Q1" t="s">
        <v>441</v>
      </c>
      <c r="R1" t="s">
        <v>442</v>
      </c>
      <c r="S1" t="s">
        <v>443</v>
      </c>
      <c r="T1" t="s">
        <v>444</v>
      </c>
      <c r="U1" t="s">
        <v>445</v>
      </c>
      <c r="V1" t="s">
        <v>29</v>
      </c>
      <c r="W1" t="s">
        <v>241</v>
      </c>
      <c r="X1" t="s">
        <v>446</v>
      </c>
      <c r="Y1" t="s">
        <v>447</v>
      </c>
      <c r="Z1" s="10" t="s">
        <v>448</v>
      </c>
      <c r="AA1" t="s">
        <v>449</v>
      </c>
      <c r="AB1" t="s">
        <v>450</v>
      </c>
      <c r="AC1" t="s">
        <v>451</v>
      </c>
    </row>
    <row r="2" spans="1:29" x14ac:dyDescent="0.25">
      <c r="A2" s="1" t="s">
        <v>224</v>
      </c>
      <c r="B2" s="2" t="s">
        <v>192</v>
      </c>
      <c r="C2" s="3">
        <v>46112.999305555553</v>
      </c>
      <c r="D2" s="4"/>
      <c r="E2" s="5"/>
      <c r="F2" s="2" t="s">
        <v>44</v>
      </c>
      <c r="G2" s="2" t="s">
        <v>22</v>
      </c>
      <c r="H2" s="2" t="s">
        <v>397</v>
      </c>
      <c r="I2" t="s">
        <v>452</v>
      </c>
      <c r="J2" s="1" t="s">
        <v>453</v>
      </c>
      <c r="K2" s="2" t="s">
        <v>454</v>
      </c>
      <c r="L2" s="2" t="s">
        <v>455</v>
      </c>
      <c r="M2" s="2" t="s">
        <v>34</v>
      </c>
      <c r="N2" s="6"/>
      <c r="O2" s="6"/>
      <c r="P2" s="2" t="s">
        <v>456</v>
      </c>
      <c r="Q2" s="3">
        <v>46067.36041666667</v>
      </c>
      <c r="R2" s="2" t="s">
        <v>457</v>
      </c>
      <c r="S2" s="3">
        <v>45755.977766203701</v>
      </c>
      <c r="T2" s="2" t="s">
        <v>457</v>
      </c>
      <c r="U2" s="2" t="s">
        <v>458</v>
      </c>
      <c r="V2" s="2" t="s">
        <v>30</v>
      </c>
      <c r="W2" s="2" t="s">
        <v>243</v>
      </c>
      <c r="X2" s="4">
        <f>Table_query[[#This Row],[Value $ ex GST]]*Table_query[[#This Row],[Margin]]</f>
        <v>0</v>
      </c>
      <c r="Y2">
        <f>ROUND(Table_query[[#This Row],[Modified]]-Table_query[[#This Row],[Created]],0)</f>
        <v>311</v>
      </c>
      <c r="Z2" s="10" t="str">
        <f ca="1">IF(_xlfn.NUMBERVALUE(LEFT(Table_query[[#This Row],[Phase]],1))&lt;=2,"",IF(Table_query[[#This Row],[Due]]&lt;TODAY(),ROUND(TODAY()-Table_query[[#This Row],[Due]],0),""))</f>
        <v/>
      </c>
      <c r="AA2" s="6">
        <f ca="1">ROUND(TODAY()-Table_query[[#This Row],[Modified]],0)</f>
        <v>9</v>
      </c>
      <c r="AB2" s="4">
        <f>(Table_query[[#This Row],[Value $ ex GST]]*Table_query[[#This Row],[Margin]])/(DATEDIF(Table_query[[#This Row],[Start Date]],Table_query[[#This Row],[Expiry Date]],"m")+1)</f>
        <v>0</v>
      </c>
      <c r="AC2">
        <f>(Table_query[[#This Row],[Value $ ex GST]])/(DATEDIF(Table_query[[#This Row],[Start Date]],Table_query[[#This Row],[Expiry Date]],"m")+1)</f>
        <v>0</v>
      </c>
    </row>
    <row r="3" spans="1:29" x14ac:dyDescent="0.25">
      <c r="A3" s="1" t="s">
        <v>225</v>
      </c>
      <c r="B3" s="2" t="s">
        <v>192</v>
      </c>
      <c r="C3" s="3">
        <v>46142</v>
      </c>
      <c r="D3" s="4">
        <v>1999992</v>
      </c>
      <c r="E3" s="5">
        <v>0.27</v>
      </c>
      <c r="F3" s="2" t="s">
        <v>44</v>
      </c>
      <c r="G3" s="2" t="s">
        <v>22</v>
      </c>
      <c r="H3" s="2" t="s">
        <v>363</v>
      </c>
      <c r="I3" t="s">
        <v>452</v>
      </c>
      <c r="J3" s="1"/>
      <c r="K3" s="2" t="s">
        <v>459</v>
      </c>
      <c r="L3" s="2" t="s">
        <v>460</v>
      </c>
      <c r="M3" s="2" t="s">
        <v>35</v>
      </c>
      <c r="N3" s="6">
        <v>46055</v>
      </c>
      <c r="O3" s="6">
        <v>46387</v>
      </c>
      <c r="P3" s="2" t="s">
        <v>461</v>
      </c>
      <c r="Q3" s="3">
        <v>46071.46802083333</v>
      </c>
      <c r="R3" s="2" t="s">
        <v>457</v>
      </c>
      <c r="S3" s="3">
        <v>45784.581458333334</v>
      </c>
      <c r="T3" s="2" t="s">
        <v>457</v>
      </c>
      <c r="U3" s="2" t="s">
        <v>458</v>
      </c>
      <c r="V3" s="2" t="s">
        <v>30</v>
      </c>
      <c r="W3" s="2" t="s">
        <v>463</v>
      </c>
      <c r="X3" s="4">
        <f>Table_query[[#This Row],[Value $ ex GST]]*Table_query[[#This Row],[Margin]]</f>
        <v>539997.84000000008</v>
      </c>
      <c r="Y3">
        <f>ROUND(Table_query[[#This Row],[Modified]]-Table_query[[#This Row],[Created]],0)</f>
        <v>287</v>
      </c>
      <c r="Z3" s="10" t="str">
        <f ca="1">IF(_xlfn.NUMBERVALUE(LEFT(Table_query[[#This Row],[Phase]],1))&lt;=2,"",IF(Table_query[[#This Row],[Due]]&lt;TODAY(),ROUND(TODAY()-Table_query[[#This Row],[Due]],0),""))</f>
        <v/>
      </c>
      <c r="AA3" s="8">
        <f ca="1">ROUND(TODAY()-Table_query[[#This Row],[Modified]],0)</f>
        <v>5</v>
      </c>
      <c r="AB3" s="4">
        <f>(Table_query[[#This Row],[Value $ ex GST]]*Table_query[[#This Row],[Margin]])/(DATEDIF(Table_query[[#This Row],[Start Date]],Table_query[[#This Row],[Expiry Date]],"m")+1)</f>
        <v>49090.712727272738</v>
      </c>
      <c r="AC3">
        <f>(Table_query[[#This Row],[Value $ ex GST]])/(DATEDIF(Table_query[[#This Row],[Start Date]],Table_query[[#This Row],[Expiry Date]],"m")+1)</f>
        <v>181817.45454545456</v>
      </c>
    </row>
    <row r="4" spans="1:29" x14ac:dyDescent="0.25">
      <c r="A4" s="1" t="s">
        <v>464</v>
      </c>
      <c r="B4" s="2" t="s">
        <v>192</v>
      </c>
      <c r="C4" s="3">
        <v>46171.999305555553</v>
      </c>
      <c r="D4" s="4"/>
      <c r="E4" s="5"/>
      <c r="F4" s="2"/>
      <c r="G4" s="2" t="s">
        <v>22</v>
      </c>
      <c r="H4" s="2" t="s">
        <v>363</v>
      </c>
      <c r="I4" t="s">
        <v>251</v>
      </c>
      <c r="J4" s="1"/>
      <c r="K4" s="2" t="s">
        <v>465</v>
      </c>
      <c r="L4" s="2" t="s">
        <v>466</v>
      </c>
      <c r="M4" s="2" t="s">
        <v>131</v>
      </c>
      <c r="N4" s="6"/>
      <c r="O4" s="6"/>
      <c r="P4" s="2" t="s">
        <v>467</v>
      </c>
      <c r="Q4" s="3">
        <v>46071.464525462965</v>
      </c>
      <c r="R4" s="2" t="s">
        <v>457</v>
      </c>
      <c r="S4" s="3">
        <v>45985.365219907406</v>
      </c>
      <c r="T4" s="2" t="s">
        <v>462</v>
      </c>
      <c r="U4" s="2" t="s">
        <v>458</v>
      </c>
      <c r="V4" s="2" t="s">
        <v>30</v>
      </c>
      <c r="W4" s="2"/>
      <c r="X4" s="4">
        <f>Table_query[[#This Row],[Value $ ex GST]]*Table_query[[#This Row],[Margin]]</f>
        <v>0</v>
      </c>
      <c r="Y4">
        <f>ROUND(Table_query[[#This Row],[Modified]]-Table_query[[#This Row],[Created]],0)</f>
        <v>86</v>
      </c>
      <c r="Z4" s="10" t="str">
        <f ca="1">IF(_xlfn.NUMBERVALUE(LEFT(Table_query[[#This Row],[Phase]],1))&lt;=2,"",IF(Table_query[[#This Row],[Due]]&lt;TODAY(),ROUND(TODAY()-Table_query[[#This Row],[Due]],0),""))</f>
        <v/>
      </c>
      <c r="AA4" s="8">
        <f ca="1">ROUND(TODAY()-Table_query[[#This Row],[Modified]],0)</f>
        <v>5</v>
      </c>
      <c r="AB4" s="4">
        <f>(Table_query[[#This Row],[Value $ ex GST]]*Table_query[[#This Row],[Margin]])/(DATEDIF(Table_query[[#This Row],[Start Date]],Table_query[[#This Row],[Expiry Date]],"m")+1)</f>
        <v>0</v>
      </c>
      <c r="AC4">
        <f>(Table_query[[#This Row],[Value $ ex GST]])/(DATEDIF(Table_query[[#This Row],[Start Date]],Table_query[[#This Row],[Expiry Date]],"m")+1)</f>
        <v>0</v>
      </c>
    </row>
    <row r="5" spans="1:29" x14ac:dyDescent="0.25">
      <c r="A5" s="1" t="s">
        <v>67</v>
      </c>
      <c r="B5" s="2" t="s">
        <v>66</v>
      </c>
      <c r="C5" s="3">
        <v>46003.999305555553</v>
      </c>
      <c r="D5" s="4">
        <v>466560</v>
      </c>
      <c r="E5" s="5">
        <v>0.154</v>
      </c>
      <c r="F5" s="2" t="s">
        <v>44</v>
      </c>
      <c r="G5" s="2" t="s">
        <v>22</v>
      </c>
      <c r="H5" s="2" t="s">
        <v>468</v>
      </c>
      <c r="I5" t="s">
        <v>251</v>
      </c>
      <c r="J5" s="1"/>
      <c r="K5" s="2" t="s">
        <v>469</v>
      </c>
      <c r="L5" s="2" t="s">
        <v>466</v>
      </c>
      <c r="M5" s="2" t="s">
        <v>39</v>
      </c>
      <c r="N5" s="6">
        <v>46204</v>
      </c>
      <c r="O5" s="6">
        <v>46568</v>
      </c>
      <c r="P5" s="2" t="s">
        <v>470</v>
      </c>
      <c r="Q5" s="3">
        <v>46071.455243055556</v>
      </c>
      <c r="R5" s="2" t="s">
        <v>457</v>
      </c>
      <c r="S5" s="3">
        <v>45994.492256944446</v>
      </c>
      <c r="T5" s="2" t="s">
        <v>462</v>
      </c>
      <c r="U5" s="2" t="s">
        <v>458</v>
      </c>
      <c r="V5" s="2" t="s">
        <v>30</v>
      </c>
      <c r="W5" s="2"/>
      <c r="X5" s="4">
        <f>Table_query[[#This Row],[Value $ ex GST]]*Table_query[[#This Row],[Margin]]</f>
        <v>71850.240000000005</v>
      </c>
      <c r="Y5">
        <f>ROUND(Table_query[[#This Row],[Modified]]-Table_query[[#This Row],[Created]],0)</f>
        <v>77</v>
      </c>
      <c r="Z5" s="10">
        <f ca="1">IF(_xlfn.NUMBERVALUE(LEFT(Table_query[[#This Row],[Phase]],1))&lt;=2,"",IF(Table_query[[#This Row],[Due]]&lt;TODAY(),ROUND(TODAY()-Table_query[[#This Row],[Due]],0),""))</f>
        <v>72</v>
      </c>
      <c r="AA5" s="8">
        <f ca="1">ROUND(TODAY()-Table_query[[#This Row],[Modified]],0)</f>
        <v>5</v>
      </c>
      <c r="AB5" s="4">
        <f>(Table_query[[#This Row],[Value $ ex GST]]*Table_query[[#This Row],[Margin]])/(DATEDIF(Table_query[[#This Row],[Start Date]],Table_query[[#This Row],[Expiry Date]],"m")+1)</f>
        <v>5987.52</v>
      </c>
      <c r="AC5">
        <f>(Table_query[[#This Row],[Value $ ex GST]])/(DATEDIF(Table_query[[#This Row],[Start Date]],Table_query[[#This Row],[Expiry Date]],"m")+1)</f>
        <v>38880</v>
      </c>
    </row>
    <row r="6" spans="1:29" x14ac:dyDescent="0.25">
      <c r="A6" s="1" t="s">
        <v>226</v>
      </c>
      <c r="B6" s="2" t="s">
        <v>192</v>
      </c>
      <c r="C6" s="3">
        <v>46112.999305555553</v>
      </c>
      <c r="D6" s="4"/>
      <c r="E6" s="5"/>
      <c r="F6" s="2"/>
      <c r="G6" s="2" t="s">
        <v>22</v>
      </c>
      <c r="H6" s="2" t="s">
        <v>397</v>
      </c>
      <c r="I6" t="s">
        <v>452</v>
      </c>
      <c r="J6" s="1" t="s">
        <v>472</v>
      </c>
      <c r="K6" s="2" t="s">
        <v>473</v>
      </c>
      <c r="L6" s="2" t="s">
        <v>455</v>
      </c>
      <c r="M6" s="2" t="s">
        <v>34</v>
      </c>
      <c r="N6" s="6"/>
      <c r="O6" s="6"/>
      <c r="P6" s="2" t="s">
        <v>362</v>
      </c>
      <c r="Q6" s="3">
        <v>46067.359444444446</v>
      </c>
      <c r="R6" s="2" t="s">
        <v>457</v>
      </c>
      <c r="S6" s="3">
        <v>45812.507037037038</v>
      </c>
      <c r="T6" s="2" t="s">
        <v>457</v>
      </c>
      <c r="U6" s="2" t="s">
        <v>458</v>
      </c>
      <c r="V6" s="2" t="s">
        <v>30</v>
      </c>
      <c r="W6" s="2" t="s">
        <v>243</v>
      </c>
      <c r="X6" s="4">
        <f>Table_query[[#This Row],[Value $ ex GST]]*Table_query[[#This Row],[Margin]]</f>
        <v>0</v>
      </c>
      <c r="Y6">
        <f>ROUND(Table_query[[#This Row],[Modified]]-Table_query[[#This Row],[Created]],0)</f>
        <v>255</v>
      </c>
      <c r="Z6" s="10" t="str">
        <f ca="1">IF(_xlfn.NUMBERVALUE(LEFT(Table_query[[#This Row],[Phase]],1))&lt;=2,"",IF(Table_query[[#This Row],[Due]]&lt;TODAY(),ROUND(TODAY()-Table_query[[#This Row],[Due]],0),""))</f>
        <v/>
      </c>
      <c r="AA6" s="6">
        <f ca="1">ROUND(TODAY()-Table_query[[#This Row],[Modified]],0)</f>
        <v>9</v>
      </c>
      <c r="AB6" s="4">
        <f>(Table_query[[#This Row],[Value $ ex GST]]*Table_query[[#This Row],[Margin]])/(DATEDIF(Table_query[[#This Row],[Start Date]],Table_query[[#This Row],[Expiry Date]],"m")+1)</f>
        <v>0</v>
      </c>
      <c r="AC6">
        <f>(Table_query[[#This Row],[Value $ ex GST]])/(DATEDIF(Table_query[[#This Row],[Start Date]],Table_query[[#This Row],[Expiry Date]],"m")+1)</f>
        <v>0</v>
      </c>
    </row>
    <row r="7" spans="1:29" x14ac:dyDescent="0.25">
      <c r="A7" s="1" t="s">
        <v>612</v>
      </c>
      <c r="B7" s="2" t="s">
        <v>192</v>
      </c>
      <c r="C7" s="3">
        <v>46203.708333333336</v>
      </c>
      <c r="D7" s="4"/>
      <c r="E7" s="5"/>
      <c r="F7" s="2"/>
      <c r="G7" s="2" t="s">
        <v>22</v>
      </c>
      <c r="H7" s="2" t="s">
        <v>397</v>
      </c>
      <c r="I7" t="s">
        <v>251</v>
      </c>
      <c r="J7" s="1"/>
      <c r="K7" s="2"/>
      <c r="L7" s="2" t="s">
        <v>466</v>
      </c>
      <c r="M7" s="2" t="s">
        <v>34</v>
      </c>
      <c r="N7" s="6"/>
      <c r="O7" s="6"/>
      <c r="P7" s="2"/>
      <c r="Q7" s="3">
        <v>46076.366539351853</v>
      </c>
      <c r="R7" s="2" t="s">
        <v>523</v>
      </c>
      <c r="S7" s="3">
        <v>46076.365428240744</v>
      </c>
      <c r="T7" s="2" t="s">
        <v>523</v>
      </c>
      <c r="U7" s="2" t="s">
        <v>458</v>
      </c>
      <c r="V7" s="2" t="s">
        <v>30</v>
      </c>
      <c r="W7" s="2"/>
      <c r="X7" s="4">
        <f>Table_query[[#This Row],[Value $ ex GST]]*Table_query[[#This Row],[Margin]]</f>
        <v>0</v>
      </c>
      <c r="Y7">
        <f>ROUND(Table_query[[#This Row],[Modified]]-Table_query[[#This Row],[Created]],0)</f>
        <v>0</v>
      </c>
      <c r="Z7" s="10" t="str">
        <f ca="1">IF(_xlfn.NUMBERVALUE(LEFT(Table_query[[#This Row],[Phase]],1))&lt;=2,"",IF(Table_query[[#This Row],[Due]]&lt;TODAY(),ROUND(TODAY()-Table_query[[#This Row],[Due]],0),""))</f>
        <v/>
      </c>
      <c r="AA7" s="10">
        <f ca="1">ROUND(TODAY()-Table_query[[#This Row],[Modified]],0)</f>
        <v>0</v>
      </c>
      <c r="AB7" s="4">
        <f>(Table_query[[#This Row],[Value $ ex GST]]*Table_query[[#This Row],[Margin]])/(DATEDIF(Table_query[[#This Row],[Start Date]],Table_query[[#This Row],[Expiry Date]],"m")+1)</f>
        <v>0</v>
      </c>
      <c r="AC7">
        <f>(Table_query[[#This Row],[Value $ ex GST]])/(DATEDIF(Table_query[[#This Row],[Start Date]],Table_query[[#This Row],[Expiry Date]],"m")+1)</f>
        <v>0</v>
      </c>
    </row>
    <row r="8" spans="1:29" x14ac:dyDescent="0.25">
      <c r="A8" s="1" t="s">
        <v>613</v>
      </c>
      <c r="B8" s="2" t="s">
        <v>192</v>
      </c>
      <c r="C8" s="3">
        <v>46203.708333333336</v>
      </c>
      <c r="D8" s="4"/>
      <c r="E8" s="5"/>
      <c r="F8" s="2"/>
      <c r="G8" s="2" t="s">
        <v>22</v>
      </c>
      <c r="H8" s="2" t="s">
        <v>397</v>
      </c>
      <c r="I8" t="s">
        <v>251</v>
      </c>
      <c r="J8" s="1"/>
      <c r="K8" s="2"/>
      <c r="L8" s="2" t="s">
        <v>466</v>
      </c>
      <c r="M8" s="2" t="s">
        <v>34</v>
      </c>
      <c r="N8" s="6"/>
      <c r="O8" s="6"/>
      <c r="P8" s="2"/>
      <c r="Q8" s="3">
        <v>46076.365300925929</v>
      </c>
      <c r="R8" s="2" t="s">
        <v>523</v>
      </c>
      <c r="S8" s="3">
        <v>46076.363761574074</v>
      </c>
      <c r="T8" s="2" t="s">
        <v>523</v>
      </c>
      <c r="U8" s="2" t="s">
        <v>458</v>
      </c>
      <c r="V8" s="2" t="s">
        <v>30</v>
      </c>
      <c r="W8" s="2"/>
      <c r="X8" s="4">
        <f>Table_query[[#This Row],[Value $ ex GST]]*Table_query[[#This Row],[Margin]]</f>
        <v>0</v>
      </c>
      <c r="Y8">
        <f>ROUND(Table_query[[#This Row],[Modified]]-Table_query[[#This Row],[Created]],0)</f>
        <v>0</v>
      </c>
      <c r="Z8" s="10" t="str">
        <f ca="1">IF(_xlfn.NUMBERVALUE(LEFT(Table_query[[#This Row],[Phase]],1))&lt;=2,"",IF(Table_query[[#This Row],[Due]]&lt;TODAY(),ROUND(TODAY()-Table_query[[#This Row],[Due]],0),""))</f>
        <v/>
      </c>
      <c r="AA8" s="10">
        <f ca="1">ROUND(TODAY()-Table_query[[#This Row],[Modified]],0)</f>
        <v>0</v>
      </c>
      <c r="AB8" s="4">
        <f>(Table_query[[#This Row],[Value $ ex GST]]*Table_query[[#This Row],[Margin]])/(DATEDIF(Table_query[[#This Row],[Start Date]],Table_query[[#This Row],[Expiry Date]],"m")+1)</f>
        <v>0</v>
      </c>
      <c r="AC8">
        <f>(Table_query[[#This Row],[Value $ ex GST]])/(DATEDIF(Table_query[[#This Row],[Start Date]],Table_query[[#This Row],[Expiry Date]],"m")+1)</f>
        <v>0</v>
      </c>
    </row>
    <row r="9" spans="1:29" x14ac:dyDescent="0.25">
      <c r="A9" s="1" t="s">
        <v>68</v>
      </c>
      <c r="B9" s="2" t="s">
        <v>66</v>
      </c>
      <c r="C9" s="3">
        <v>46047.999305555553</v>
      </c>
      <c r="D9" s="4">
        <v>161000</v>
      </c>
      <c r="E9" s="5">
        <v>0.36</v>
      </c>
      <c r="F9" s="2" t="s">
        <v>44</v>
      </c>
      <c r="G9" s="2" t="s">
        <v>21</v>
      </c>
      <c r="H9" s="2" t="s">
        <v>457</v>
      </c>
      <c r="I9" t="s">
        <v>251</v>
      </c>
      <c r="J9" s="1"/>
      <c r="K9" s="2" t="s">
        <v>474</v>
      </c>
      <c r="L9" s="2" t="s">
        <v>475</v>
      </c>
      <c r="M9" s="2" t="s">
        <v>34</v>
      </c>
      <c r="N9" s="6">
        <v>46069</v>
      </c>
      <c r="O9" s="6">
        <v>46250</v>
      </c>
      <c r="P9" s="2" t="s">
        <v>362</v>
      </c>
      <c r="Q9" s="3">
        <v>46071.449513888889</v>
      </c>
      <c r="R9" s="2" t="s">
        <v>457</v>
      </c>
      <c r="S9" s="3">
        <v>46027.399814814817</v>
      </c>
      <c r="T9" s="2" t="s">
        <v>462</v>
      </c>
      <c r="U9" s="2" t="s">
        <v>458</v>
      </c>
      <c r="V9" s="2" t="s">
        <v>30</v>
      </c>
      <c r="W9" s="2"/>
      <c r="X9" s="4">
        <f>Table_query[[#This Row],[Value $ ex GST]]*Table_query[[#This Row],[Margin]]</f>
        <v>57960</v>
      </c>
      <c r="Y9">
        <f>ROUND(Table_query[[#This Row],[Modified]]-Table_query[[#This Row],[Created]],0)</f>
        <v>44</v>
      </c>
      <c r="Z9" s="10">
        <f ca="1">IF(_xlfn.NUMBERVALUE(LEFT(Table_query[[#This Row],[Phase]],1))&lt;=2,"",IF(Table_query[[#This Row],[Due]]&lt;TODAY(),ROUND(TODAY()-Table_query[[#This Row],[Due]],0),""))</f>
        <v>28</v>
      </c>
      <c r="AA9" s="10">
        <f ca="1">ROUND(TODAY()-Table_query[[#This Row],[Modified]],0)</f>
        <v>5</v>
      </c>
      <c r="AB9" s="4">
        <f>(Table_query[[#This Row],[Value $ ex GST]]*Table_query[[#This Row],[Margin]])/(DATEDIF(Table_query[[#This Row],[Start Date]],Table_query[[#This Row],[Expiry Date]],"m")+1)</f>
        <v>8280</v>
      </c>
      <c r="AC9">
        <f>(Table_query[[#This Row],[Value $ ex GST]])/(DATEDIF(Table_query[[#This Row],[Start Date]],Table_query[[#This Row],[Expiry Date]],"m")+1)</f>
        <v>23000</v>
      </c>
    </row>
    <row r="10" spans="1:29" x14ac:dyDescent="0.25">
      <c r="A10" s="1" t="s">
        <v>69</v>
      </c>
      <c r="B10" s="2" t="s">
        <v>66</v>
      </c>
      <c r="C10" s="3">
        <v>46052.999305555553</v>
      </c>
      <c r="D10" s="4">
        <v>298214</v>
      </c>
      <c r="E10" s="5">
        <v>0.28999999999999998</v>
      </c>
      <c r="F10" s="2" t="s">
        <v>44</v>
      </c>
      <c r="G10" s="2" t="s">
        <v>22</v>
      </c>
      <c r="H10" s="2" t="s">
        <v>363</v>
      </c>
      <c r="I10" t="s">
        <v>251</v>
      </c>
      <c r="J10" s="1"/>
      <c r="K10" s="2" t="s">
        <v>476</v>
      </c>
      <c r="L10" s="2" t="s">
        <v>477</v>
      </c>
      <c r="M10" s="2" t="s">
        <v>34</v>
      </c>
      <c r="N10" s="6">
        <v>46076</v>
      </c>
      <c r="O10" s="6">
        <v>46157</v>
      </c>
      <c r="P10" s="2" t="s">
        <v>478</v>
      </c>
      <c r="Q10" s="3">
        <v>46063.516817129632</v>
      </c>
      <c r="R10" s="2" t="s">
        <v>471</v>
      </c>
      <c r="S10" s="3">
        <v>46041.59716435185</v>
      </c>
      <c r="T10" s="2" t="s">
        <v>462</v>
      </c>
      <c r="U10" s="2" t="s">
        <v>458</v>
      </c>
      <c r="V10" s="2" t="s">
        <v>30</v>
      </c>
      <c r="W10" s="2"/>
      <c r="X10" s="4">
        <f>Table_query[[#This Row],[Value $ ex GST]]*Table_query[[#This Row],[Margin]]</f>
        <v>86482.06</v>
      </c>
      <c r="Y10">
        <f>ROUND(Table_query[[#This Row],[Modified]]-Table_query[[#This Row],[Created]],0)</f>
        <v>22</v>
      </c>
      <c r="Z10" s="10">
        <f ca="1">IF(_xlfn.NUMBERVALUE(LEFT(Table_query[[#This Row],[Phase]],1))&lt;=2,"",IF(Table_query[[#This Row],[Due]]&lt;TODAY(),ROUND(TODAY()-Table_query[[#This Row],[Due]],0),""))</f>
        <v>23</v>
      </c>
      <c r="AA10" s="10">
        <f ca="1">ROUND(TODAY()-Table_query[[#This Row],[Modified]],0)</f>
        <v>12</v>
      </c>
      <c r="AB10" s="4">
        <f>(Table_query[[#This Row],[Value $ ex GST]]*Table_query[[#This Row],[Margin]])/(DATEDIF(Table_query[[#This Row],[Start Date]],Table_query[[#This Row],[Expiry Date]],"m")+1)</f>
        <v>28827.353333333333</v>
      </c>
      <c r="AC10">
        <f>(Table_query[[#This Row],[Value $ ex GST]])/(DATEDIF(Table_query[[#This Row],[Start Date]],Table_query[[#This Row],[Expiry Date]],"m")+1)</f>
        <v>99404.666666666672</v>
      </c>
    </row>
    <row r="11" spans="1:29" x14ac:dyDescent="0.25">
      <c r="A11" s="1" t="s">
        <v>227</v>
      </c>
      <c r="B11" s="2" t="s">
        <v>192</v>
      </c>
      <c r="C11" s="3">
        <v>46171.999305555553</v>
      </c>
      <c r="D11" s="4"/>
      <c r="E11" s="5"/>
      <c r="F11" s="2"/>
      <c r="G11" s="2" t="s">
        <v>22</v>
      </c>
      <c r="H11" s="2" t="s">
        <v>397</v>
      </c>
      <c r="I11" t="s">
        <v>479</v>
      </c>
      <c r="J11" s="1"/>
      <c r="K11" s="2" t="s">
        <v>600</v>
      </c>
      <c r="L11" s="2" t="s">
        <v>466</v>
      </c>
      <c r="M11" s="2" t="s">
        <v>31</v>
      </c>
      <c r="N11" s="6"/>
      <c r="O11" s="6"/>
      <c r="P11" s="2" t="s">
        <v>480</v>
      </c>
      <c r="Q11" s="3">
        <v>46071.466909722221</v>
      </c>
      <c r="R11" s="2" t="s">
        <v>457</v>
      </c>
      <c r="S11" s="3">
        <v>45855.618437500001</v>
      </c>
      <c r="T11" s="2" t="s">
        <v>481</v>
      </c>
      <c r="U11" s="2" t="s">
        <v>458</v>
      </c>
      <c r="V11" s="2" t="s">
        <v>30</v>
      </c>
      <c r="W11" s="2"/>
      <c r="X11" s="4">
        <f>Table_query[[#This Row],[Value $ ex GST]]*Table_query[[#This Row],[Margin]]</f>
        <v>0</v>
      </c>
      <c r="Y11">
        <f>ROUND(Table_query[[#This Row],[Modified]]-Table_query[[#This Row],[Created]],0)</f>
        <v>216</v>
      </c>
      <c r="Z11" s="10" t="str">
        <f ca="1">IF(_xlfn.NUMBERVALUE(LEFT(Table_query[[#This Row],[Phase]],1))&lt;=2,"",IF(Table_query[[#This Row],[Due]]&lt;TODAY(),ROUND(TODAY()-Table_query[[#This Row],[Due]],0),""))</f>
        <v/>
      </c>
      <c r="AA11" s="10">
        <f ca="1">ROUND(TODAY()-Table_query[[#This Row],[Modified]],0)</f>
        <v>5</v>
      </c>
      <c r="AB11" s="4">
        <f>(Table_query[[#This Row],[Value $ ex GST]]*Table_query[[#This Row],[Margin]])/(DATEDIF(Table_query[[#This Row],[Start Date]],Table_query[[#This Row],[Expiry Date]],"m")+1)</f>
        <v>0</v>
      </c>
      <c r="AC11">
        <f>(Table_query[[#This Row],[Value $ ex GST]])/(DATEDIF(Table_query[[#This Row],[Start Date]],Table_query[[#This Row],[Expiry Date]],"m")+1)</f>
        <v>0</v>
      </c>
    </row>
    <row r="12" spans="1:29" x14ac:dyDescent="0.25">
      <c r="A12" s="1" t="s">
        <v>228</v>
      </c>
      <c r="B12" s="2" t="s">
        <v>192</v>
      </c>
      <c r="C12" s="3">
        <v>46112.999305555553</v>
      </c>
      <c r="D12" s="4"/>
      <c r="E12" s="5"/>
      <c r="F12" s="2" t="s">
        <v>55</v>
      </c>
      <c r="G12" s="2" t="s">
        <v>22</v>
      </c>
      <c r="H12" s="2" t="s">
        <v>397</v>
      </c>
      <c r="I12" t="s">
        <v>482</v>
      </c>
      <c r="J12" s="1"/>
      <c r="K12" s="2" t="s">
        <v>483</v>
      </c>
      <c r="L12" s="2" t="s">
        <v>455</v>
      </c>
      <c r="M12" s="2" t="s">
        <v>34</v>
      </c>
      <c r="N12" s="6"/>
      <c r="O12" s="6"/>
      <c r="P12" s="2" t="s">
        <v>480</v>
      </c>
      <c r="Q12" s="3">
        <v>46067.36041666667</v>
      </c>
      <c r="R12" s="2" t="s">
        <v>457</v>
      </c>
      <c r="S12" s="3">
        <v>45803.906157407408</v>
      </c>
      <c r="T12" s="2" t="s">
        <v>420</v>
      </c>
      <c r="U12" s="2" t="s">
        <v>458</v>
      </c>
      <c r="V12" s="2" t="s">
        <v>30</v>
      </c>
      <c r="W12" s="2" t="s">
        <v>243</v>
      </c>
      <c r="X12" s="4">
        <f>Table_query[[#This Row],[Value $ ex GST]]*Table_query[[#This Row],[Margin]]</f>
        <v>0</v>
      </c>
      <c r="Y12">
        <f>ROUND(Table_query[[#This Row],[Modified]]-Table_query[[#This Row],[Created]],0)</f>
        <v>263</v>
      </c>
      <c r="Z12" s="10" t="str">
        <f ca="1">IF(_xlfn.NUMBERVALUE(LEFT(Table_query[[#This Row],[Phase]],1))&lt;=2,"",IF(Table_query[[#This Row],[Due]]&lt;TODAY(),ROUND(TODAY()-Table_query[[#This Row],[Due]],0),""))</f>
        <v/>
      </c>
      <c r="AA12" s="10">
        <f ca="1">ROUND(TODAY()-Table_query[[#This Row],[Modified]],0)</f>
        <v>9</v>
      </c>
      <c r="AB12" s="4">
        <f>(Table_query[[#This Row],[Value $ ex GST]]*Table_query[[#This Row],[Margin]])/(DATEDIF(Table_query[[#This Row],[Start Date]],Table_query[[#This Row],[Expiry Date]],"m")+1)</f>
        <v>0</v>
      </c>
      <c r="AC12">
        <f>(Table_query[[#This Row],[Value $ ex GST]])/(DATEDIF(Table_query[[#This Row],[Start Date]],Table_query[[#This Row],[Expiry Date]],"m")+1)</f>
        <v>0</v>
      </c>
    </row>
    <row r="13" spans="1:29" x14ac:dyDescent="0.25">
      <c r="A13" s="1" t="s">
        <v>138</v>
      </c>
      <c r="B13" s="2" t="s">
        <v>132</v>
      </c>
      <c r="C13" s="3">
        <v>46083</v>
      </c>
      <c r="D13" s="4">
        <v>316800</v>
      </c>
      <c r="E13" s="5">
        <v>0.28000000000000003</v>
      </c>
      <c r="F13" s="2" t="s">
        <v>44</v>
      </c>
      <c r="G13" s="2" t="s">
        <v>208</v>
      </c>
      <c r="H13" s="2" t="s">
        <v>363</v>
      </c>
      <c r="I13" t="s">
        <v>484</v>
      </c>
      <c r="J13" s="1"/>
      <c r="K13" s="2" t="s">
        <v>485</v>
      </c>
      <c r="L13" s="2" t="s">
        <v>477</v>
      </c>
      <c r="M13" s="2" t="s">
        <v>35</v>
      </c>
      <c r="N13" s="6">
        <v>46083</v>
      </c>
      <c r="O13" s="6">
        <v>46171</v>
      </c>
      <c r="P13" s="2" t="s">
        <v>486</v>
      </c>
      <c r="Q13" s="3">
        <v>46069.379629629628</v>
      </c>
      <c r="R13" s="2" t="s">
        <v>457</v>
      </c>
      <c r="S13" s="3">
        <v>45943.450787037036</v>
      </c>
      <c r="T13" s="2" t="s">
        <v>471</v>
      </c>
      <c r="U13" s="2" t="s">
        <v>458</v>
      </c>
      <c r="V13" s="2" t="s">
        <v>30</v>
      </c>
      <c r="W13" s="2"/>
      <c r="X13" s="4">
        <f>Table_query[[#This Row],[Value $ ex GST]]*Table_query[[#This Row],[Margin]]</f>
        <v>88704.000000000015</v>
      </c>
      <c r="Y13">
        <f>ROUND(Table_query[[#This Row],[Modified]]-Table_query[[#This Row],[Created]],0)</f>
        <v>126</v>
      </c>
      <c r="Z13" s="10" t="str">
        <f ca="1">IF(_xlfn.NUMBERVALUE(LEFT(Table_query[[#This Row],[Phase]],1))&lt;=2,"",IF(Table_query[[#This Row],[Due]]&lt;TODAY(),ROUND(TODAY()-Table_query[[#This Row],[Due]],0),""))</f>
        <v/>
      </c>
      <c r="AA13" s="8">
        <f ca="1">ROUND(TODAY()-Table_query[[#This Row],[Modified]],0)</f>
        <v>7</v>
      </c>
      <c r="AB13" s="4">
        <f>(Table_query[[#This Row],[Value $ ex GST]]*Table_query[[#This Row],[Margin]])/(DATEDIF(Table_query[[#This Row],[Start Date]],Table_query[[#This Row],[Expiry Date]],"m")+1)</f>
        <v>29568.000000000004</v>
      </c>
      <c r="AC13">
        <f>(Table_query[[#This Row],[Value $ ex GST]])/(DATEDIF(Table_query[[#This Row],[Start Date]],Table_query[[#This Row],[Expiry Date]],"m")+1)</f>
        <v>105600</v>
      </c>
    </row>
    <row r="14" spans="1:29" x14ac:dyDescent="0.25">
      <c r="A14" s="1" t="s">
        <v>195</v>
      </c>
      <c r="B14" s="2" t="s">
        <v>192</v>
      </c>
      <c r="C14" s="3">
        <v>46203</v>
      </c>
      <c r="D14" s="4"/>
      <c r="E14" s="5"/>
      <c r="F14" s="2" t="s">
        <v>5</v>
      </c>
      <c r="G14" s="2" t="s">
        <v>17</v>
      </c>
      <c r="H14" s="2" t="s">
        <v>363</v>
      </c>
      <c r="I14" t="s">
        <v>487</v>
      </c>
      <c r="J14" s="1"/>
      <c r="K14" s="2" t="s">
        <v>488</v>
      </c>
      <c r="L14" s="2" t="s">
        <v>489</v>
      </c>
      <c r="M14" s="2" t="s">
        <v>34</v>
      </c>
      <c r="N14" s="6">
        <v>46055</v>
      </c>
      <c r="O14" s="6">
        <v>46081</v>
      </c>
      <c r="P14" s="2" t="s">
        <v>376</v>
      </c>
      <c r="Q14" s="3">
        <v>46059.963078703702</v>
      </c>
      <c r="R14" s="2" t="s">
        <v>457</v>
      </c>
      <c r="S14" s="3">
        <v>45975.465370370373</v>
      </c>
      <c r="T14" s="2" t="s">
        <v>462</v>
      </c>
      <c r="U14" s="2" t="s">
        <v>458</v>
      </c>
      <c r="V14" s="2" t="s">
        <v>30</v>
      </c>
      <c r="W14" s="2"/>
      <c r="X14" s="4">
        <f>Table_query[[#This Row],[Value $ ex GST]]*Table_query[[#This Row],[Margin]]</f>
        <v>0</v>
      </c>
      <c r="Y14">
        <f>ROUND(Table_query[[#This Row],[Modified]]-Table_query[[#This Row],[Created]],0)</f>
        <v>84</v>
      </c>
      <c r="Z14" s="10" t="str">
        <f ca="1">IF(_xlfn.NUMBERVALUE(LEFT(Table_query[[#This Row],[Phase]],1))&lt;=2,"",IF(Table_query[[#This Row],[Due]]&lt;TODAY(),ROUND(TODAY()-Table_query[[#This Row],[Due]],0),""))</f>
        <v/>
      </c>
      <c r="AA14" s="8">
        <f ca="1">ROUND(TODAY()-Table_query[[#This Row],[Modified]],0)</f>
        <v>16</v>
      </c>
      <c r="AB14" s="4">
        <f>(Table_query[[#This Row],[Value $ ex GST]]*Table_query[[#This Row],[Margin]])/(DATEDIF(Table_query[[#This Row],[Start Date]],Table_query[[#This Row],[Expiry Date]],"m")+1)</f>
        <v>0</v>
      </c>
      <c r="AC14">
        <f>(Table_query[[#This Row],[Value $ ex GST]])/(DATEDIF(Table_query[[#This Row],[Start Date]],Table_query[[#This Row],[Expiry Date]],"m")+1)</f>
        <v>0</v>
      </c>
    </row>
    <row r="15" spans="1:29" x14ac:dyDescent="0.25">
      <c r="A15" s="1" t="s">
        <v>614</v>
      </c>
      <c r="B15" s="2" t="s">
        <v>192</v>
      </c>
      <c r="C15" s="3">
        <v>46142</v>
      </c>
      <c r="D15" s="4">
        <v>250000</v>
      </c>
      <c r="E15" s="5">
        <v>0.25</v>
      </c>
      <c r="F15" s="2" t="s">
        <v>55</v>
      </c>
      <c r="G15" s="2" t="s">
        <v>17</v>
      </c>
      <c r="H15" s="2"/>
      <c r="I15" t="s">
        <v>251</v>
      </c>
      <c r="J15" s="1"/>
      <c r="K15" s="2"/>
      <c r="L15" s="2"/>
      <c r="M15" s="2" t="s">
        <v>34</v>
      </c>
      <c r="N15" s="6"/>
      <c r="O15" s="6"/>
      <c r="P15" s="2"/>
      <c r="Q15" s="3">
        <v>46070.494479166664</v>
      </c>
      <c r="R15" s="2" t="s">
        <v>378</v>
      </c>
      <c r="S15" s="3">
        <v>46070.458124999997</v>
      </c>
      <c r="T15" s="2" t="s">
        <v>378</v>
      </c>
      <c r="U15" s="2" t="s">
        <v>458</v>
      </c>
      <c r="V15" s="2" t="s">
        <v>30</v>
      </c>
      <c r="W15" s="2"/>
      <c r="X15" s="4">
        <f>Table_query[[#This Row],[Value $ ex GST]]*Table_query[[#This Row],[Margin]]</f>
        <v>62500</v>
      </c>
      <c r="Y15">
        <f>ROUND(Table_query[[#This Row],[Modified]]-Table_query[[#This Row],[Created]],0)</f>
        <v>0</v>
      </c>
      <c r="Z15" s="10" t="str">
        <f ca="1">IF(_xlfn.NUMBERVALUE(LEFT(Table_query[[#This Row],[Phase]],1))&lt;=2,"",IF(Table_query[[#This Row],[Due]]&lt;TODAY(),ROUND(TODAY()-Table_query[[#This Row],[Due]],0),""))</f>
        <v/>
      </c>
      <c r="AA15" s="10">
        <f ca="1">ROUND(TODAY()-Table_query[[#This Row],[Modified]],0)</f>
        <v>6</v>
      </c>
      <c r="AB15" s="4">
        <f>(Table_query[[#This Row],[Value $ ex GST]]*Table_query[[#This Row],[Margin]])/(DATEDIF(Table_query[[#This Row],[Start Date]],Table_query[[#This Row],[Expiry Date]],"m")+1)</f>
        <v>62500</v>
      </c>
      <c r="AC15">
        <f>(Table_query[[#This Row],[Value $ ex GST]])/(DATEDIF(Table_query[[#This Row],[Start Date]],Table_query[[#This Row],[Expiry Date]],"m")+1)</f>
        <v>250000</v>
      </c>
    </row>
    <row r="16" spans="1:29" x14ac:dyDescent="0.25">
      <c r="A16" s="1" t="s">
        <v>615</v>
      </c>
      <c r="B16" s="2" t="s">
        <v>192</v>
      </c>
      <c r="C16" s="3">
        <v>46112</v>
      </c>
      <c r="D16" s="4">
        <v>250000</v>
      </c>
      <c r="E16" s="5">
        <v>0.25</v>
      </c>
      <c r="F16" s="2" t="s">
        <v>55</v>
      </c>
      <c r="G16" s="2" t="s">
        <v>17</v>
      </c>
      <c r="H16" s="2"/>
      <c r="I16" t="s">
        <v>251</v>
      </c>
      <c r="J16" s="1"/>
      <c r="K16" s="2"/>
      <c r="L16" s="2"/>
      <c r="M16" s="2" t="s">
        <v>34</v>
      </c>
      <c r="N16" s="6"/>
      <c r="O16" s="6"/>
      <c r="P16" s="2"/>
      <c r="Q16" s="3">
        <v>46070.494560185187</v>
      </c>
      <c r="R16" s="2" t="s">
        <v>378</v>
      </c>
      <c r="S16" s="3">
        <v>46070.486481481479</v>
      </c>
      <c r="T16" s="2" t="s">
        <v>378</v>
      </c>
      <c r="U16" s="2" t="s">
        <v>458</v>
      </c>
      <c r="V16" s="2" t="s">
        <v>30</v>
      </c>
      <c r="W16" s="2"/>
      <c r="X16" s="4">
        <f>Table_query[[#This Row],[Value $ ex GST]]*Table_query[[#This Row],[Margin]]</f>
        <v>62500</v>
      </c>
      <c r="Y16">
        <f>ROUND(Table_query[[#This Row],[Modified]]-Table_query[[#This Row],[Created]],0)</f>
        <v>0</v>
      </c>
      <c r="Z16" s="10" t="str">
        <f ca="1">IF(_xlfn.NUMBERVALUE(LEFT(Table_query[[#This Row],[Phase]],1))&lt;=2,"",IF(Table_query[[#This Row],[Due]]&lt;TODAY(),ROUND(TODAY()-Table_query[[#This Row],[Due]],0),""))</f>
        <v/>
      </c>
      <c r="AA16" s="10">
        <f ca="1">ROUND(TODAY()-Table_query[[#This Row],[Modified]],0)</f>
        <v>6</v>
      </c>
      <c r="AB16" s="4">
        <f>(Table_query[[#This Row],[Value $ ex GST]]*Table_query[[#This Row],[Margin]])/(DATEDIF(Table_query[[#This Row],[Start Date]],Table_query[[#This Row],[Expiry Date]],"m")+1)</f>
        <v>62500</v>
      </c>
      <c r="AC16">
        <f>(Table_query[[#This Row],[Value $ ex GST]])/(DATEDIF(Table_query[[#This Row],[Start Date]],Table_query[[#This Row],[Expiry Date]],"m")+1)</f>
        <v>250000</v>
      </c>
    </row>
    <row r="17" spans="1:29" x14ac:dyDescent="0.25">
      <c r="A17" s="1" t="s">
        <v>194</v>
      </c>
      <c r="B17" s="2" t="s">
        <v>192</v>
      </c>
      <c r="C17" s="3">
        <v>46066</v>
      </c>
      <c r="D17" s="4"/>
      <c r="E17" s="5"/>
      <c r="F17" s="2" t="s">
        <v>55</v>
      </c>
      <c r="G17" s="2" t="s">
        <v>17</v>
      </c>
      <c r="H17" s="2" t="s">
        <v>363</v>
      </c>
      <c r="I17" t="s">
        <v>487</v>
      </c>
      <c r="J17" s="1"/>
      <c r="K17" s="2" t="s">
        <v>491</v>
      </c>
      <c r="L17" s="2"/>
      <c r="M17" s="2" t="s">
        <v>34</v>
      </c>
      <c r="N17" s="6"/>
      <c r="O17" s="6"/>
      <c r="P17" s="2" t="s">
        <v>376</v>
      </c>
      <c r="Q17" s="3">
        <v>46070.494016203702</v>
      </c>
      <c r="R17" s="2" t="s">
        <v>378</v>
      </c>
      <c r="S17" s="3">
        <v>46041.411469907405</v>
      </c>
      <c r="T17" s="2" t="s">
        <v>462</v>
      </c>
      <c r="U17" s="2" t="s">
        <v>458</v>
      </c>
      <c r="V17" s="2" t="s">
        <v>30</v>
      </c>
      <c r="W17" s="2"/>
      <c r="X17" s="4">
        <f>Table_query[[#This Row],[Value $ ex GST]]*Table_query[[#This Row],[Margin]]</f>
        <v>0</v>
      </c>
      <c r="Y17">
        <f>ROUND(Table_query[[#This Row],[Modified]]-Table_query[[#This Row],[Created]],0)</f>
        <v>29</v>
      </c>
      <c r="Z17" s="6" t="str">
        <f ca="1">IF(_xlfn.NUMBERVALUE(LEFT(Table_query[[#This Row],[Phase]],1))&lt;=2,"",IF(Table_query[[#This Row],[Due]]&lt;TODAY(),ROUND(TODAY()-Table_query[[#This Row],[Due]],0),""))</f>
        <v/>
      </c>
      <c r="AA17" s="6">
        <f ca="1">ROUND(TODAY()-Table_query[[#This Row],[Modified]],0)</f>
        <v>6</v>
      </c>
      <c r="AB17" s="4">
        <f>(Table_query[[#This Row],[Value $ ex GST]]*Table_query[[#This Row],[Margin]])/(DATEDIF(Table_query[[#This Row],[Start Date]],Table_query[[#This Row],[Expiry Date]],"m")+1)</f>
        <v>0</v>
      </c>
      <c r="AC17">
        <f>(Table_query[[#This Row],[Value $ ex GST]])/(DATEDIF(Table_query[[#This Row],[Start Date]],Table_query[[#This Row],[Expiry Date]],"m")+1)</f>
        <v>0</v>
      </c>
    </row>
    <row r="18" spans="1:29" x14ac:dyDescent="0.25">
      <c r="A18" s="1" t="s">
        <v>139</v>
      </c>
      <c r="B18" s="2" t="s">
        <v>66</v>
      </c>
      <c r="C18" s="3">
        <v>46070.999305555553</v>
      </c>
      <c r="D18" s="4">
        <v>133000</v>
      </c>
      <c r="E18" s="5">
        <v>0.28999999999999998</v>
      </c>
      <c r="F18" s="2" t="s">
        <v>5</v>
      </c>
      <c r="G18" s="2" t="s">
        <v>17</v>
      </c>
      <c r="H18" s="2" t="s">
        <v>363</v>
      </c>
      <c r="I18" t="s">
        <v>487</v>
      </c>
      <c r="J18" s="1"/>
      <c r="K18" s="2"/>
      <c r="L18" s="2"/>
      <c r="M18" s="2" t="s">
        <v>34</v>
      </c>
      <c r="N18" s="6">
        <v>46083</v>
      </c>
      <c r="O18" s="6">
        <v>46266</v>
      </c>
      <c r="P18" s="2" t="s">
        <v>376</v>
      </c>
      <c r="Q18" s="3">
        <v>46070.688576388886</v>
      </c>
      <c r="R18" s="2" t="s">
        <v>457</v>
      </c>
      <c r="S18" s="3">
        <v>46057.374212962961</v>
      </c>
      <c r="T18" s="2" t="s">
        <v>481</v>
      </c>
      <c r="U18" s="2" t="s">
        <v>458</v>
      </c>
      <c r="V18" s="2" t="s">
        <v>30</v>
      </c>
      <c r="W18" s="2"/>
      <c r="X18" s="4">
        <f>Table_query[[#This Row],[Value $ ex GST]]*Table_query[[#This Row],[Margin]]</f>
        <v>38570</v>
      </c>
      <c r="Y18">
        <f>ROUND(Table_query[[#This Row],[Modified]]-Table_query[[#This Row],[Created]],0)</f>
        <v>13</v>
      </c>
      <c r="Z18" s="10">
        <f ca="1">IF(_xlfn.NUMBERVALUE(LEFT(Table_query[[#This Row],[Phase]],1))&lt;=2,"",IF(Table_query[[#This Row],[Due]]&lt;TODAY(),ROUND(TODAY()-Table_query[[#This Row],[Due]],0),""))</f>
        <v>5</v>
      </c>
      <c r="AA18" s="6">
        <f ca="1">ROUND(TODAY()-Table_query[[#This Row],[Modified]],0)</f>
        <v>5</v>
      </c>
      <c r="AB18" s="4">
        <f>(Table_query[[#This Row],[Value $ ex GST]]*Table_query[[#This Row],[Margin]])/(DATEDIF(Table_query[[#This Row],[Start Date]],Table_query[[#This Row],[Expiry Date]],"m")+1)</f>
        <v>6428.333333333333</v>
      </c>
      <c r="AC18">
        <f>(Table_query[[#This Row],[Value $ ex GST]])/(DATEDIF(Table_query[[#This Row],[Start Date]],Table_query[[#This Row],[Expiry Date]],"m")+1)</f>
        <v>22166.666666666668</v>
      </c>
    </row>
    <row r="19" spans="1:29" x14ac:dyDescent="0.25">
      <c r="A19" s="1" t="s">
        <v>196</v>
      </c>
      <c r="B19" s="2" t="s">
        <v>192</v>
      </c>
      <c r="C19" s="3">
        <v>46082</v>
      </c>
      <c r="D19" s="4">
        <v>535000</v>
      </c>
      <c r="E19" s="5">
        <v>0.25</v>
      </c>
      <c r="F19" s="2" t="s">
        <v>55</v>
      </c>
      <c r="G19" s="2" t="s">
        <v>17</v>
      </c>
      <c r="H19" s="2" t="s">
        <v>363</v>
      </c>
      <c r="I19" t="s">
        <v>487</v>
      </c>
      <c r="J19" s="1"/>
      <c r="K19" s="2"/>
      <c r="L19" s="2"/>
      <c r="M19" s="2" t="s">
        <v>34</v>
      </c>
      <c r="N19" s="6">
        <v>46096</v>
      </c>
      <c r="O19" s="6"/>
      <c r="P19" s="2"/>
      <c r="Q19" s="3">
        <v>46073.652407407404</v>
      </c>
      <c r="R19" s="2" t="s">
        <v>378</v>
      </c>
      <c r="S19" s="3">
        <v>46053.518842592595</v>
      </c>
      <c r="T19" s="2" t="s">
        <v>378</v>
      </c>
      <c r="U19" s="2" t="s">
        <v>458</v>
      </c>
      <c r="V19" s="2" t="s">
        <v>30</v>
      </c>
      <c r="W19" s="2"/>
      <c r="X19" s="4">
        <f>Table_query[[#This Row],[Value $ ex GST]]*Table_query[[#This Row],[Margin]]</f>
        <v>133750</v>
      </c>
      <c r="Y19">
        <f>ROUND(Table_query[[#This Row],[Modified]]-Table_query[[#This Row],[Created]],0)</f>
        <v>20</v>
      </c>
      <c r="Z19" s="10" t="str">
        <f ca="1">IF(_xlfn.NUMBERVALUE(LEFT(Table_query[[#This Row],[Phase]],1))&lt;=2,"",IF(Table_query[[#This Row],[Due]]&lt;TODAY(),ROUND(TODAY()-Table_query[[#This Row],[Due]],0),""))</f>
        <v/>
      </c>
      <c r="AA19" s="6">
        <f ca="1">ROUND(TODAY()-Table_query[[#This Row],[Modified]],0)</f>
        <v>2</v>
      </c>
      <c r="AB19" s="4" t="e">
        <f>(Table_query[[#This Row],[Value $ ex GST]]*Table_query[[#This Row],[Margin]])/(DATEDIF(Table_query[[#This Row],[Start Date]],Table_query[[#This Row],[Expiry Date]],"m")+1)</f>
        <v>#NUM!</v>
      </c>
      <c r="AC19" t="e">
        <f>(Table_query[[#This Row],[Value $ ex GST]])/(DATEDIF(Table_query[[#This Row],[Start Date]],Table_query[[#This Row],[Expiry Date]],"m")+1)</f>
        <v>#NUM!</v>
      </c>
    </row>
    <row r="20" spans="1:29" x14ac:dyDescent="0.25">
      <c r="A20" s="1" t="s">
        <v>197</v>
      </c>
      <c r="B20" s="2" t="s">
        <v>192</v>
      </c>
      <c r="C20" s="3">
        <v>46295</v>
      </c>
      <c r="D20" s="4"/>
      <c r="E20" s="5"/>
      <c r="F20" s="2" t="s">
        <v>55</v>
      </c>
      <c r="G20" s="2" t="s">
        <v>17</v>
      </c>
      <c r="H20" s="2" t="s">
        <v>363</v>
      </c>
      <c r="I20" t="s">
        <v>487</v>
      </c>
      <c r="J20" s="1"/>
      <c r="K20" s="2" t="s">
        <v>492</v>
      </c>
      <c r="L20" s="2" t="s">
        <v>489</v>
      </c>
      <c r="M20" s="2" t="s">
        <v>34</v>
      </c>
      <c r="N20" s="6">
        <v>46296</v>
      </c>
      <c r="O20" s="6">
        <v>46568</v>
      </c>
      <c r="P20" s="2" t="s">
        <v>376</v>
      </c>
      <c r="Q20" s="3">
        <v>46054.647256944445</v>
      </c>
      <c r="R20" s="2" t="s">
        <v>378</v>
      </c>
      <c r="S20" s="3">
        <v>46044.61478009259</v>
      </c>
      <c r="T20" s="2" t="s">
        <v>462</v>
      </c>
      <c r="U20" s="2" t="s">
        <v>458</v>
      </c>
      <c r="V20" s="2" t="s">
        <v>30</v>
      </c>
      <c r="W20" s="2"/>
      <c r="X20" s="4">
        <f>Table_query[[#This Row],[Value $ ex GST]]*Table_query[[#This Row],[Margin]]</f>
        <v>0</v>
      </c>
      <c r="Y20">
        <f>ROUND(Table_query[[#This Row],[Modified]]-Table_query[[#This Row],[Created]],0)</f>
        <v>10</v>
      </c>
      <c r="Z20" s="6" t="str">
        <f ca="1">IF(_xlfn.NUMBERVALUE(LEFT(Table_query[[#This Row],[Phase]],1))&lt;=2,"",IF(Table_query[[#This Row],[Due]]&lt;TODAY(),ROUND(TODAY()-Table_query[[#This Row],[Due]],0),""))</f>
        <v/>
      </c>
      <c r="AA20" s="6">
        <f ca="1">ROUND(TODAY()-Table_query[[#This Row],[Modified]],0)</f>
        <v>21</v>
      </c>
      <c r="AB20" s="4">
        <f>(Table_query[[#This Row],[Value $ ex GST]]*Table_query[[#This Row],[Margin]])/(DATEDIF(Table_query[[#This Row],[Start Date]],Table_query[[#This Row],[Expiry Date]],"m")+1)</f>
        <v>0</v>
      </c>
      <c r="AC20">
        <f>(Table_query[[#This Row],[Value $ ex GST]])/(DATEDIF(Table_query[[#This Row],[Start Date]],Table_query[[#This Row],[Expiry Date]],"m")+1)</f>
        <v>0</v>
      </c>
    </row>
    <row r="21" spans="1:29" x14ac:dyDescent="0.25">
      <c r="A21" s="1" t="s">
        <v>198</v>
      </c>
      <c r="B21" s="2" t="s">
        <v>192</v>
      </c>
      <c r="C21" s="3">
        <v>46112</v>
      </c>
      <c r="D21" s="4">
        <v>25000</v>
      </c>
      <c r="E21" s="5">
        <v>0.25</v>
      </c>
      <c r="F21" s="2" t="s">
        <v>55</v>
      </c>
      <c r="G21" s="2" t="s">
        <v>17</v>
      </c>
      <c r="H21" s="2" t="s">
        <v>363</v>
      </c>
      <c r="I21" t="s">
        <v>487</v>
      </c>
      <c r="J21" s="1"/>
      <c r="K21" s="2"/>
      <c r="L21" s="2"/>
      <c r="M21" s="2" t="s">
        <v>34</v>
      </c>
      <c r="N21" s="6"/>
      <c r="O21" s="6"/>
      <c r="P21" s="2"/>
      <c r="Q21" s="3">
        <v>46070.488761574074</v>
      </c>
      <c r="R21" s="2" t="s">
        <v>378</v>
      </c>
      <c r="S21" s="3">
        <v>46054.64472222222</v>
      </c>
      <c r="T21" s="2" t="s">
        <v>378</v>
      </c>
      <c r="U21" s="2" t="s">
        <v>458</v>
      </c>
      <c r="V21" s="2" t="s">
        <v>30</v>
      </c>
      <c r="W21" s="2"/>
      <c r="X21" s="4">
        <f>Table_query[[#This Row],[Value $ ex GST]]*Table_query[[#This Row],[Margin]]</f>
        <v>6250</v>
      </c>
      <c r="Y21">
        <f>ROUND(Table_query[[#This Row],[Modified]]-Table_query[[#This Row],[Created]],0)</f>
        <v>16</v>
      </c>
      <c r="Z21" s="10" t="str">
        <f ca="1">IF(_xlfn.NUMBERVALUE(LEFT(Table_query[[#This Row],[Phase]],1))&lt;=2,"",IF(Table_query[[#This Row],[Due]]&lt;TODAY(),ROUND(TODAY()-Table_query[[#This Row],[Due]],0),""))</f>
        <v/>
      </c>
      <c r="AA21" s="10">
        <f ca="1">ROUND(TODAY()-Table_query[[#This Row],[Modified]],0)</f>
        <v>6</v>
      </c>
      <c r="AB21" s="4">
        <f>(Table_query[[#This Row],[Value $ ex GST]]*Table_query[[#This Row],[Margin]])/(DATEDIF(Table_query[[#This Row],[Start Date]],Table_query[[#This Row],[Expiry Date]],"m")+1)</f>
        <v>6250</v>
      </c>
      <c r="AC21">
        <f>(Table_query[[#This Row],[Value $ ex GST]])/(DATEDIF(Table_query[[#This Row],[Start Date]],Table_query[[#This Row],[Expiry Date]],"m")+1)</f>
        <v>25000</v>
      </c>
    </row>
    <row r="22" spans="1:29" x14ac:dyDescent="0.25">
      <c r="A22" s="1" t="s">
        <v>199</v>
      </c>
      <c r="B22" s="2" t="s">
        <v>192</v>
      </c>
      <c r="C22" s="3">
        <v>46082</v>
      </c>
      <c r="D22" s="4">
        <v>50000</v>
      </c>
      <c r="E22" s="5">
        <v>0.25</v>
      </c>
      <c r="F22" s="2" t="s">
        <v>55</v>
      </c>
      <c r="G22" s="2" t="s">
        <v>17</v>
      </c>
      <c r="H22" s="2" t="s">
        <v>363</v>
      </c>
      <c r="I22" t="s">
        <v>487</v>
      </c>
      <c r="J22" s="1"/>
      <c r="K22" s="2"/>
      <c r="L22" s="2"/>
      <c r="M22" s="2" t="s">
        <v>34</v>
      </c>
      <c r="N22" s="6"/>
      <c r="O22" s="6"/>
      <c r="P22" s="2"/>
      <c r="Q22" s="3">
        <v>46073.652442129627</v>
      </c>
      <c r="R22" s="2" t="s">
        <v>378</v>
      </c>
      <c r="S22" s="3">
        <v>46053.519178240742</v>
      </c>
      <c r="T22" s="2" t="s">
        <v>378</v>
      </c>
      <c r="U22" s="2" t="s">
        <v>458</v>
      </c>
      <c r="V22" s="2" t="s">
        <v>30</v>
      </c>
      <c r="W22" s="2"/>
      <c r="X22" s="4">
        <f>Table_query[[#This Row],[Value $ ex GST]]*Table_query[[#This Row],[Margin]]</f>
        <v>12500</v>
      </c>
      <c r="Y22">
        <f>ROUND(Table_query[[#This Row],[Modified]]-Table_query[[#This Row],[Created]],0)</f>
        <v>20</v>
      </c>
      <c r="Z22" s="10" t="str">
        <f ca="1">IF(_xlfn.NUMBERVALUE(LEFT(Table_query[[#This Row],[Phase]],1))&lt;=2,"",IF(Table_query[[#This Row],[Due]]&lt;TODAY(),ROUND(TODAY()-Table_query[[#This Row],[Due]],0),""))</f>
        <v/>
      </c>
      <c r="AA22" s="10">
        <f ca="1">ROUND(TODAY()-Table_query[[#This Row],[Modified]],0)</f>
        <v>2</v>
      </c>
      <c r="AB22" s="4">
        <f>(Table_query[[#This Row],[Value $ ex GST]]*Table_query[[#This Row],[Margin]])/(DATEDIF(Table_query[[#This Row],[Start Date]],Table_query[[#This Row],[Expiry Date]],"m")+1)</f>
        <v>12500</v>
      </c>
      <c r="AC22">
        <f>(Table_query[[#This Row],[Value $ ex GST]])/(DATEDIF(Table_query[[#This Row],[Start Date]],Table_query[[#This Row],[Expiry Date]],"m")+1)</f>
        <v>50000</v>
      </c>
    </row>
    <row r="23" spans="1:29" x14ac:dyDescent="0.25">
      <c r="A23" s="1" t="s">
        <v>616</v>
      </c>
      <c r="B23" s="2" t="s">
        <v>132</v>
      </c>
      <c r="C23" s="3">
        <v>46136</v>
      </c>
      <c r="D23" s="4">
        <v>100000</v>
      </c>
      <c r="E23" s="5">
        <v>0.25</v>
      </c>
      <c r="F23" s="2" t="s">
        <v>5</v>
      </c>
      <c r="G23" s="2" t="s">
        <v>17</v>
      </c>
      <c r="H23" s="2"/>
      <c r="I23" t="s">
        <v>251</v>
      </c>
      <c r="J23" s="1"/>
      <c r="K23" s="2"/>
      <c r="L23" s="2"/>
      <c r="M23" s="2" t="s">
        <v>34</v>
      </c>
      <c r="N23" s="6">
        <v>46146</v>
      </c>
      <c r="O23" s="6">
        <v>46192</v>
      </c>
      <c r="P23" s="2"/>
      <c r="Q23" s="3">
        <v>46073.650810185187</v>
      </c>
      <c r="R23" s="2" t="s">
        <v>378</v>
      </c>
      <c r="S23" s="3">
        <v>46070.487858796296</v>
      </c>
      <c r="T23" s="2" t="s">
        <v>378</v>
      </c>
      <c r="U23" s="2" t="s">
        <v>458</v>
      </c>
      <c r="V23" s="2" t="s">
        <v>30</v>
      </c>
      <c r="W23" s="2"/>
      <c r="X23" s="4">
        <f>Table_query[[#This Row],[Value $ ex GST]]*Table_query[[#This Row],[Margin]]</f>
        <v>25000</v>
      </c>
      <c r="Y23">
        <f>ROUND(Table_query[[#This Row],[Modified]]-Table_query[[#This Row],[Created]],0)</f>
        <v>3</v>
      </c>
      <c r="Z23" s="10" t="str">
        <f ca="1">IF(_xlfn.NUMBERVALUE(LEFT(Table_query[[#This Row],[Phase]],1))&lt;=2,"",IF(Table_query[[#This Row],[Due]]&lt;TODAY(),ROUND(TODAY()-Table_query[[#This Row],[Due]],0),""))</f>
        <v/>
      </c>
      <c r="AA23" s="6">
        <f ca="1">ROUND(TODAY()-Table_query[[#This Row],[Modified]],0)</f>
        <v>2</v>
      </c>
      <c r="AB23" s="4">
        <f>(Table_query[[#This Row],[Value $ ex GST]]*Table_query[[#This Row],[Margin]])/(DATEDIF(Table_query[[#This Row],[Start Date]],Table_query[[#This Row],[Expiry Date]],"m")+1)</f>
        <v>12500</v>
      </c>
      <c r="AC23">
        <f>(Table_query[[#This Row],[Value $ ex GST]])/(DATEDIF(Table_query[[#This Row],[Start Date]],Table_query[[#This Row],[Expiry Date]],"m")+1)</f>
        <v>50000</v>
      </c>
    </row>
    <row r="24" spans="1:29" x14ac:dyDescent="0.25">
      <c r="A24" s="1" t="s">
        <v>617</v>
      </c>
      <c r="B24" s="2" t="s">
        <v>192</v>
      </c>
      <c r="C24" s="3">
        <v>46094</v>
      </c>
      <c r="D24" s="4">
        <v>40000</v>
      </c>
      <c r="E24" s="5">
        <v>0.25</v>
      </c>
      <c r="F24" s="2" t="s">
        <v>55</v>
      </c>
      <c r="G24" s="2" t="s">
        <v>17</v>
      </c>
      <c r="H24" s="2"/>
      <c r="I24" t="s">
        <v>251</v>
      </c>
      <c r="J24" s="1"/>
      <c r="K24" s="2"/>
      <c r="L24" s="2"/>
      <c r="M24" s="2" t="s">
        <v>34</v>
      </c>
      <c r="N24" s="6"/>
      <c r="O24" s="6"/>
      <c r="P24" s="2"/>
      <c r="Q24" s="3">
        <v>46070.494618055556</v>
      </c>
      <c r="R24" s="2" t="s">
        <v>378</v>
      </c>
      <c r="S24" s="3">
        <v>46070.489965277775</v>
      </c>
      <c r="T24" s="2" t="s">
        <v>378</v>
      </c>
      <c r="U24" s="2" t="s">
        <v>458</v>
      </c>
      <c r="V24" s="2" t="s">
        <v>30</v>
      </c>
      <c r="W24" s="2"/>
      <c r="X24" s="4">
        <f>Table_query[[#This Row],[Value $ ex GST]]*Table_query[[#This Row],[Margin]]</f>
        <v>10000</v>
      </c>
      <c r="Y24">
        <f>ROUND(Table_query[[#This Row],[Modified]]-Table_query[[#This Row],[Created]],0)</f>
        <v>0</v>
      </c>
      <c r="Z24" s="10" t="str">
        <f ca="1">IF(_xlfn.NUMBERVALUE(LEFT(Table_query[[#This Row],[Phase]],1))&lt;=2,"",IF(Table_query[[#This Row],[Due]]&lt;TODAY(),ROUND(TODAY()-Table_query[[#This Row],[Due]],0),""))</f>
        <v/>
      </c>
      <c r="AA24" s="6">
        <f ca="1">ROUND(TODAY()-Table_query[[#This Row],[Modified]],0)</f>
        <v>6</v>
      </c>
      <c r="AB24" s="4">
        <f>(Table_query[[#This Row],[Value $ ex GST]]*Table_query[[#This Row],[Margin]])/(DATEDIF(Table_query[[#This Row],[Start Date]],Table_query[[#This Row],[Expiry Date]],"m")+1)</f>
        <v>10000</v>
      </c>
      <c r="AC24">
        <f>(Table_query[[#This Row],[Value $ ex GST]])/(DATEDIF(Table_query[[#This Row],[Start Date]],Table_query[[#This Row],[Expiry Date]],"m")+1)</f>
        <v>40000</v>
      </c>
    </row>
    <row r="25" spans="1:29" x14ac:dyDescent="0.25">
      <c r="A25" s="1" t="s">
        <v>618</v>
      </c>
      <c r="B25" s="2" t="s">
        <v>192</v>
      </c>
      <c r="C25" s="3">
        <v>46142</v>
      </c>
      <c r="D25" s="4">
        <v>40000</v>
      </c>
      <c r="E25" s="5">
        <v>0.25</v>
      </c>
      <c r="F25" s="2" t="s">
        <v>55</v>
      </c>
      <c r="G25" s="2" t="s">
        <v>17</v>
      </c>
      <c r="H25" s="2"/>
      <c r="I25" t="s">
        <v>251</v>
      </c>
      <c r="J25" s="1"/>
      <c r="K25" s="2"/>
      <c r="L25" s="2"/>
      <c r="M25" s="2" t="s">
        <v>34</v>
      </c>
      <c r="N25" s="6"/>
      <c r="O25" s="6"/>
      <c r="P25" s="2"/>
      <c r="Q25" s="3">
        <v>46070.494884259257</v>
      </c>
      <c r="R25" s="2" t="s">
        <v>378</v>
      </c>
      <c r="S25" s="3">
        <v>46070.491469907407</v>
      </c>
      <c r="T25" s="2" t="s">
        <v>378</v>
      </c>
      <c r="U25" s="2" t="s">
        <v>458</v>
      </c>
      <c r="V25" s="2" t="s">
        <v>30</v>
      </c>
      <c r="W25" s="2"/>
      <c r="X25" s="4">
        <f>Table_query[[#This Row],[Value $ ex GST]]*Table_query[[#This Row],[Margin]]</f>
        <v>10000</v>
      </c>
      <c r="Y25">
        <f>ROUND(Table_query[[#This Row],[Modified]]-Table_query[[#This Row],[Created]],0)</f>
        <v>0</v>
      </c>
      <c r="Z25" s="6" t="str">
        <f ca="1">IF(_xlfn.NUMBERVALUE(LEFT(Table_query[[#This Row],[Phase]],1))&lt;=2,"",IF(Table_query[[#This Row],[Due]]&lt;TODAY(),ROUND(TODAY()-Table_query[[#This Row],[Due]],0),""))</f>
        <v/>
      </c>
      <c r="AA25" s="6">
        <f ca="1">ROUND(TODAY()-Table_query[[#This Row],[Modified]],0)</f>
        <v>6</v>
      </c>
      <c r="AB25" s="4">
        <f>(Table_query[[#This Row],[Value $ ex GST]]*Table_query[[#This Row],[Margin]])/(DATEDIF(Table_query[[#This Row],[Start Date]],Table_query[[#This Row],[Expiry Date]],"m")+1)</f>
        <v>10000</v>
      </c>
      <c r="AC25">
        <f>(Table_query[[#This Row],[Value $ ex GST]])/(DATEDIF(Table_query[[#This Row],[Start Date]],Table_query[[#This Row],[Expiry Date]],"m")+1)</f>
        <v>40000</v>
      </c>
    </row>
    <row r="26" spans="1:29" x14ac:dyDescent="0.25">
      <c r="A26" s="1" t="s">
        <v>72</v>
      </c>
      <c r="B26" s="2" t="s">
        <v>66</v>
      </c>
      <c r="C26" s="3">
        <v>46142</v>
      </c>
      <c r="D26" s="4">
        <v>533310.75</v>
      </c>
      <c r="E26" s="5">
        <v>0.2</v>
      </c>
      <c r="F26" s="2" t="s">
        <v>44</v>
      </c>
      <c r="G26" s="2" t="s">
        <v>17</v>
      </c>
      <c r="H26" s="2" t="s">
        <v>363</v>
      </c>
      <c r="I26" t="s">
        <v>487</v>
      </c>
      <c r="J26" s="1"/>
      <c r="K26" s="2" t="s">
        <v>490</v>
      </c>
      <c r="L26" s="2" t="s">
        <v>493</v>
      </c>
      <c r="M26" s="2" t="s">
        <v>34</v>
      </c>
      <c r="N26" s="6">
        <v>46083</v>
      </c>
      <c r="O26" s="6">
        <v>46255</v>
      </c>
      <c r="P26" s="2" t="s">
        <v>376</v>
      </c>
      <c r="Q26" s="3">
        <v>46070.4528125</v>
      </c>
      <c r="R26" s="2" t="s">
        <v>378</v>
      </c>
      <c r="S26" s="3">
        <v>45966.56690972222</v>
      </c>
      <c r="T26" s="2" t="s">
        <v>462</v>
      </c>
      <c r="U26" s="2" t="s">
        <v>458</v>
      </c>
      <c r="V26" s="2" t="s">
        <v>30</v>
      </c>
      <c r="W26" s="2" t="s">
        <v>243</v>
      </c>
      <c r="X26" s="4">
        <f>Table_query[[#This Row],[Value $ ex GST]]*Table_query[[#This Row],[Margin]]</f>
        <v>106662.15000000001</v>
      </c>
      <c r="Y26">
        <f>ROUND(Table_query[[#This Row],[Modified]]-Table_query[[#This Row],[Created]],0)</f>
        <v>104</v>
      </c>
      <c r="Z26" s="6" t="str">
        <f ca="1">IF(_xlfn.NUMBERVALUE(LEFT(Table_query[[#This Row],[Phase]],1))&lt;=2,"",IF(Table_query[[#This Row],[Due]]&lt;TODAY(),ROUND(TODAY()-Table_query[[#This Row],[Due]],0),""))</f>
        <v/>
      </c>
      <c r="AA26" s="6">
        <f ca="1">ROUND(TODAY()-Table_query[[#This Row],[Modified]],0)</f>
        <v>6</v>
      </c>
      <c r="AB26" s="4">
        <f>(Table_query[[#This Row],[Value $ ex GST]]*Table_query[[#This Row],[Margin]])/(DATEDIF(Table_query[[#This Row],[Start Date]],Table_query[[#This Row],[Expiry Date]],"m")+1)</f>
        <v>17777.025000000001</v>
      </c>
      <c r="AC26">
        <f>(Table_query[[#This Row],[Value $ ex GST]])/(DATEDIF(Table_query[[#This Row],[Start Date]],Table_query[[#This Row],[Expiry Date]],"m")+1)</f>
        <v>88885.125</v>
      </c>
    </row>
    <row r="27" spans="1:29" x14ac:dyDescent="0.25">
      <c r="A27" s="1" t="s">
        <v>137</v>
      </c>
      <c r="B27" s="2" t="s">
        <v>132</v>
      </c>
      <c r="C27" s="3">
        <v>46066</v>
      </c>
      <c r="D27" s="4">
        <v>1000000</v>
      </c>
      <c r="E27" s="5">
        <v>0.25</v>
      </c>
      <c r="F27" s="2" t="s">
        <v>5</v>
      </c>
      <c r="G27" s="2" t="s">
        <v>17</v>
      </c>
      <c r="H27" s="2" t="s">
        <v>363</v>
      </c>
      <c r="I27" t="s">
        <v>487</v>
      </c>
      <c r="J27" s="1"/>
      <c r="K27" s="2"/>
      <c r="L27" s="2" t="s">
        <v>489</v>
      </c>
      <c r="M27" s="2" t="s">
        <v>31</v>
      </c>
      <c r="N27" s="6">
        <v>46146</v>
      </c>
      <c r="O27" s="6">
        <v>46356</v>
      </c>
      <c r="P27" s="2" t="s">
        <v>376</v>
      </c>
      <c r="Q27" s="3">
        <v>46072.60052083333</v>
      </c>
      <c r="R27" s="2" t="s">
        <v>378</v>
      </c>
      <c r="S27" s="3">
        <v>45918.65</v>
      </c>
      <c r="T27" s="2" t="s">
        <v>462</v>
      </c>
      <c r="U27" s="2" t="s">
        <v>458</v>
      </c>
      <c r="V27" s="2" t="s">
        <v>30</v>
      </c>
      <c r="W27" s="2"/>
      <c r="X27" s="4">
        <f>Table_query[[#This Row],[Value $ ex GST]]*Table_query[[#This Row],[Margin]]</f>
        <v>250000</v>
      </c>
      <c r="Y27">
        <f>ROUND(Table_query[[#This Row],[Modified]]-Table_query[[#This Row],[Created]],0)</f>
        <v>154</v>
      </c>
      <c r="Z27" s="10" t="str">
        <f ca="1">IF(_xlfn.NUMBERVALUE(LEFT(Table_query[[#This Row],[Phase]],1))&lt;=2,"",IF(Table_query[[#This Row],[Due]]&lt;TODAY(),ROUND(TODAY()-Table_query[[#This Row],[Due]],0),""))</f>
        <v/>
      </c>
      <c r="AA27" s="10">
        <f ca="1">ROUND(TODAY()-Table_query[[#This Row],[Modified]],0)</f>
        <v>3</v>
      </c>
      <c r="AB27" s="4">
        <f>(Table_query[[#This Row],[Value $ ex GST]]*Table_query[[#This Row],[Margin]])/(DATEDIF(Table_query[[#This Row],[Start Date]],Table_query[[#This Row],[Expiry Date]],"m")+1)</f>
        <v>35714.285714285717</v>
      </c>
      <c r="AC27">
        <f>(Table_query[[#This Row],[Value $ ex GST]])/(DATEDIF(Table_query[[#This Row],[Start Date]],Table_query[[#This Row],[Expiry Date]],"m")+1)</f>
        <v>142857.14285714287</v>
      </c>
    </row>
    <row r="28" spans="1:29" x14ac:dyDescent="0.25">
      <c r="A28" s="1" t="s">
        <v>79</v>
      </c>
      <c r="B28" s="2" t="s">
        <v>66</v>
      </c>
      <c r="C28" s="3">
        <v>45895.999305555553</v>
      </c>
      <c r="D28" s="4">
        <v>526240</v>
      </c>
      <c r="E28" s="5">
        <v>0.17</v>
      </c>
      <c r="F28" s="2" t="s">
        <v>44</v>
      </c>
      <c r="G28" s="2" t="s">
        <v>21</v>
      </c>
      <c r="H28" s="2" t="s">
        <v>468</v>
      </c>
      <c r="I28" t="s">
        <v>482</v>
      </c>
      <c r="J28" s="1"/>
      <c r="K28" s="2" t="s">
        <v>494</v>
      </c>
      <c r="L28" s="2" t="s">
        <v>493</v>
      </c>
      <c r="M28" s="2" t="s">
        <v>39</v>
      </c>
      <c r="N28" s="6">
        <v>46048</v>
      </c>
      <c r="O28" s="6">
        <v>46203</v>
      </c>
      <c r="P28" s="2" t="s">
        <v>394</v>
      </c>
      <c r="Q28" s="3">
        <v>46043.560439814813</v>
      </c>
      <c r="R28" s="2" t="s">
        <v>462</v>
      </c>
      <c r="S28" s="3">
        <v>45889.604722222219</v>
      </c>
      <c r="T28" s="2" t="s">
        <v>462</v>
      </c>
      <c r="U28" s="2" t="s">
        <v>458</v>
      </c>
      <c r="V28" s="2" t="s">
        <v>30</v>
      </c>
      <c r="W28" s="2" t="s">
        <v>245</v>
      </c>
      <c r="X28" s="4">
        <f>Table_query[[#This Row],[Value $ ex GST]]*Table_query[[#This Row],[Margin]]</f>
        <v>89460.800000000003</v>
      </c>
      <c r="Y28">
        <f>ROUND(Table_query[[#This Row],[Modified]]-Table_query[[#This Row],[Created]],0)</f>
        <v>154</v>
      </c>
      <c r="Z28" s="10">
        <f ca="1">IF(_xlfn.NUMBERVALUE(LEFT(Table_query[[#This Row],[Phase]],1))&lt;=2,"",IF(Table_query[[#This Row],[Due]]&lt;TODAY(),ROUND(TODAY()-Table_query[[#This Row],[Due]],0),""))</f>
        <v>180</v>
      </c>
      <c r="AA28" s="6">
        <f ca="1">ROUND(TODAY()-Table_query[[#This Row],[Modified]],0)</f>
        <v>32</v>
      </c>
      <c r="AB28" s="4">
        <f>(Table_query[[#This Row],[Value $ ex GST]]*Table_query[[#This Row],[Margin]])/(DATEDIF(Table_query[[#This Row],[Start Date]],Table_query[[#This Row],[Expiry Date]],"m")+1)</f>
        <v>14910.133333333333</v>
      </c>
      <c r="AC28">
        <f>(Table_query[[#This Row],[Value $ ex GST]])/(DATEDIF(Table_query[[#This Row],[Start Date]],Table_query[[#This Row],[Expiry Date]],"m")+1)</f>
        <v>87706.666666666672</v>
      </c>
    </row>
    <row r="29" spans="1:29" x14ac:dyDescent="0.25">
      <c r="A29" s="1" t="s">
        <v>80</v>
      </c>
      <c r="B29" s="2" t="s">
        <v>66</v>
      </c>
      <c r="C29" s="3">
        <v>45926.999305555553</v>
      </c>
      <c r="D29" s="4">
        <v>367840</v>
      </c>
      <c r="E29" s="5">
        <v>0.13</v>
      </c>
      <c r="F29" s="2" t="s">
        <v>44</v>
      </c>
      <c r="G29" s="2" t="s">
        <v>21</v>
      </c>
      <c r="H29" s="2" t="s">
        <v>468</v>
      </c>
      <c r="I29" t="s">
        <v>251</v>
      </c>
      <c r="J29" s="1"/>
      <c r="K29" s="2" t="s">
        <v>495</v>
      </c>
      <c r="L29" s="2" t="s">
        <v>466</v>
      </c>
      <c r="M29" s="2" t="s">
        <v>39</v>
      </c>
      <c r="N29" s="6">
        <v>46055</v>
      </c>
      <c r="O29" s="6">
        <v>46203</v>
      </c>
      <c r="P29" s="2" t="s">
        <v>394</v>
      </c>
      <c r="Q29" s="3">
        <v>46051.387118055558</v>
      </c>
      <c r="R29" s="2" t="s">
        <v>462</v>
      </c>
      <c r="S29" s="3">
        <v>45922.561435185184</v>
      </c>
      <c r="T29" s="2" t="s">
        <v>462</v>
      </c>
      <c r="U29" s="2" t="s">
        <v>458</v>
      </c>
      <c r="V29" s="2" t="s">
        <v>30</v>
      </c>
      <c r="W29" s="2" t="s">
        <v>245</v>
      </c>
      <c r="X29" s="4">
        <f>Table_query[[#This Row],[Value $ ex GST]]*Table_query[[#This Row],[Margin]]</f>
        <v>47819.200000000004</v>
      </c>
      <c r="Y29">
        <f>ROUND(Table_query[[#This Row],[Modified]]-Table_query[[#This Row],[Created]],0)</f>
        <v>129</v>
      </c>
      <c r="Z29" s="10">
        <f ca="1">IF(_xlfn.NUMBERVALUE(LEFT(Table_query[[#This Row],[Phase]],1))&lt;=2,"",IF(Table_query[[#This Row],[Due]]&lt;TODAY(),ROUND(TODAY()-Table_query[[#This Row],[Due]],0),""))</f>
        <v>149</v>
      </c>
      <c r="AA29" s="10">
        <f ca="1">ROUND(TODAY()-Table_query[[#This Row],[Modified]],0)</f>
        <v>25</v>
      </c>
      <c r="AB29" s="4">
        <f>(Table_query[[#This Row],[Value $ ex GST]]*Table_query[[#This Row],[Margin]])/(DATEDIF(Table_query[[#This Row],[Start Date]],Table_query[[#This Row],[Expiry Date]],"m")+1)</f>
        <v>9563.84</v>
      </c>
      <c r="AC29">
        <f>(Table_query[[#This Row],[Value $ ex GST]])/(DATEDIF(Table_query[[#This Row],[Start Date]],Table_query[[#This Row],[Expiry Date]],"m")+1)</f>
        <v>73568</v>
      </c>
    </row>
    <row r="30" spans="1:29" x14ac:dyDescent="0.25">
      <c r="A30" s="1" t="s">
        <v>81</v>
      </c>
      <c r="B30" s="2" t="s">
        <v>66</v>
      </c>
      <c r="C30" s="3">
        <v>45999.999305555553</v>
      </c>
      <c r="D30" s="4">
        <v>371616</v>
      </c>
      <c r="E30" s="5">
        <v>0.21199999999999999</v>
      </c>
      <c r="F30" s="2" t="s">
        <v>44</v>
      </c>
      <c r="G30" s="2" t="s">
        <v>21</v>
      </c>
      <c r="H30" s="2" t="s">
        <v>363</v>
      </c>
      <c r="I30" t="s">
        <v>482</v>
      </c>
      <c r="J30" s="1"/>
      <c r="K30" s="2" t="s">
        <v>496</v>
      </c>
      <c r="L30" s="2" t="s">
        <v>466</v>
      </c>
      <c r="M30" s="2" t="s">
        <v>35</v>
      </c>
      <c r="N30" s="6">
        <v>46055</v>
      </c>
      <c r="O30" s="6">
        <v>46371</v>
      </c>
      <c r="P30" s="2" t="s">
        <v>394</v>
      </c>
      <c r="Q30" s="3">
        <v>46051.386377314811</v>
      </c>
      <c r="R30" s="2" t="s">
        <v>462</v>
      </c>
      <c r="S30" s="3">
        <v>45978.652465277781</v>
      </c>
      <c r="T30" s="2" t="s">
        <v>462</v>
      </c>
      <c r="U30" s="2" t="s">
        <v>458</v>
      </c>
      <c r="V30" s="2" t="s">
        <v>30</v>
      </c>
      <c r="W30" s="2"/>
      <c r="X30" s="4">
        <f>Table_query[[#This Row],[Value $ ex GST]]*Table_query[[#This Row],[Margin]]</f>
        <v>78782.592000000004</v>
      </c>
      <c r="Y30">
        <f>ROUND(Table_query[[#This Row],[Modified]]-Table_query[[#This Row],[Created]],0)</f>
        <v>73</v>
      </c>
      <c r="Z30" s="10">
        <f ca="1">IF(_xlfn.NUMBERVALUE(LEFT(Table_query[[#This Row],[Phase]],1))&lt;=2,"",IF(Table_query[[#This Row],[Due]]&lt;TODAY(),ROUND(TODAY()-Table_query[[#This Row],[Due]],0),""))</f>
        <v>76</v>
      </c>
      <c r="AA30" s="10">
        <f ca="1">ROUND(TODAY()-Table_query[[#This Row],[Modified]],0)</f>
        <v>25</v>
      </c>
      <c r="AB30" s="4">
        <f>(Table_query[[#This Row],[Value $ ex GST]]*Table_query[[#This Row],[Margin]])/(DATEDIF(Table_query[[#This Row],[Start Date]],Table_query[[#This Row],[Expiry Date]],"m")+1)</f>
        <v>7162.0538181818183</v>
      </c>
      <c r="AC30">
        <f>(Table_query[[#This Row],[Value $ ex GST]])/(DATEDIF(Table_query[[#This Row],[Start Date]],Table_query[[#This Row],[Expiry Date]],"m")+1)</f>
        <v>33783.272727272728</v>
      </c>
    </row>
    <row r="31" spans="1:29" x14ac:dyDescent="0.25">
      <c r="A31" s="1" t="s">
        <v>219</v>
      </c>
      <c r="B31" s="2" t="s">
        <v>192</v>
      </c>
      <c r="C31" s="3">
        <v>46112.999305555553</v>
      </c>
      <c r="D31" s="4"/>
      <c r="E31" s="5"/>
      <c r="F31" s="2" t="s">
        <v>55</v>
      </c>
      <c r="G31" s="2" t="s">
        <v>21</v>
      </c>
      <c r="H31" s="2" t="s">
        <v>397</v>
      </c>
      <c r="I31" t="s">
        <v>482</v>
      </c>
      <c r="J31" s="1"/>
      <c r="K31" s="2" t="s">
        <v>497</v>
      </c>
      <c r="L31" s="2" t="s">
        <v>498</v>
      </c>
      <c r="M31" s="2" t="s">
        <v>34</v>
      </c>
      <c r="N31" s="6"/>
      <c r="O31" s="6"/>
      <c r="P31" s="2" t="s">
        <v>394</v>
      </c>
      <c r="Q31" s="3">
        <v>46067.36042824074</v>
      </c>
      <c r="R31" s="2" t="s">
        <v>457</v>
      </c>
      <c r="S31" s="3">
        <v>45804.560601851852</v>
      </c>
      <c r="T31" s="2" t="s">
        <v>420</v>
      </c>
      <c r="U31" s="2" t="s">
        <v>458</v>
      </c>
      <c r="V31" s="2" t="s">
        <v>30</v>
      </c>
      <c r="W31" s="2" t="s">
        <v>243</v>
      </c>
      <c r="X31" s="4">
        <f>Table_query[[#This Row],[Value $ ex GST]]*Table_query[[#This Row],[Margin]]</f>
        <v>0</v>
      </c>
      <c r="Y31">
        <f>ROUND(Table_query[[#This Row],[Modified]]-Table_query[[#This Row],[Created]],0)</f>
        <v>263</v>
      </c>
      <c r="Z31" s="10" t="str">
        <f ca="1">IF(_xlfn.NUMBERVALUE(LEFT(Table_query[[#This Row],[Phase]],1))&lt;=2,"",IF(Table_query[[#This Row],[Due]]&lt;TODAY(),ROUND(TODAY()-Table_query[[#This Row],[Due]],0),""))</f>
        <v/>
      </c>
      <c r="AA31" s="10">
        <f ca="1">ROUND(TODAY()-Table_query[[#This Row],[Modified]],0)</f>
        <v>9</v>
      </c>
      <c r="AB31" s="4">
        <f>(Table_query[[#This Row],[Value $ ex GST]]*Table_query[[#This Row],[Margin]])/(DATEDIF(Table_query[[#This Row],[Start Date]],Table_query[[#This Row],[Expiry Date]],"m")+1)</f>
        <v>0</v>
      </c>
      <c r="AC31">
        <f>(Table_query[[#This Row],[Value $ ex GST]])/(DATEDIF(Table_query[[#This Row],[Start Date]],Table_query[[#This Row],[Expiry Date]],"m")+1)</f>
        <v>0</v>
      </c>
    </row>
    <row r="32" spans="1:29" x14ac:dyDescent="0.25">
      <c r="A32" s="1" t="s">
        <v>82</v>
      </c>
      <c r="B32" s="2" t="s">
        <v>66</v>
      </c>
      <c r="C32" s="3">
        <v>46043.6875</v>
      </c>
      <c r="D32" s="4">
        <v>311572</v>
      </c>
      <c r="E32" s="5">
        <v>0.2</v>
      </c>
      <c r="F32" s="2" t="s">
        <v>44</v>
      </c>
      <c r="G32" s="2" t="s">
        <v>22</v>
      </c>
      <c r="H32" s="2" t="s">
        <v>363</v>
      </c>
      <c r="I32" t="s">
        <v>499</v>
      </c>
      <c r="J32" s="1"/>
      <c r="K32" s="2"/>
      <c r="L32" s="2" t="s">
        <v>498</v>
      </c>
      <c r="M32" s="2" t="s">
        <v>34</v>
      </c>
      <c r="N32" s="6">
        <v>46083</v>
      </c>
      <c r="O32" s="6">
        <v>46203</v>
      </c>
      <c r="P32" s="2" t="s">
        <v>500</v>
      </c>
      <c r="Q32" s="3">
        <v>46051.72896990741</v>
      </c>
      <c r="R32" s="2" t="s">
        <v>457</v>
      </c>
      <c r="S32" s="3">
        <v>45992.35665509259</v>
      </c>
      <c r="T32" s="2" t="s">
        <v>462</v>
      </c>
      <c r="U32" s="2" t="s">
        <v>458</v>
      </c>
      <c r="V32" s="2" t="s">
        <v>30</v>
      </c>
      <c r="W32" s="2" t="s">
        <v>243</v>
      </c>
      <c r="X32" s="4">
        <f>Table_query[[#This Row],[Value $ ex GST]]*Table_query[[#This Row],[Margin]]</f>
        <v>62314.400000000001</v>
      </c>
      <c r="Y32">
        <f>ROUND(Table_query[[#This Row],[Modified]]-Table_query[[#This Row],[Created]],0)</f>
        <v>59</v>
      </c>
      <c r="Z32" s="10">
        <f ca="1">IF(_xlfn.NUMBERVALUE(LEFT(Table_query[[#This Row],[Phase]],1))&lt;=2,"",IF(Table_query[[#This Row],[Due]]&lt;TODAY(),ROUND(TODAY()-Table_query[[#This Row],[Due]],0),""))</f>
        <v>32</v>
      </c>
      <c r="AA32" s="10">
        <f ca="1">ROUND(TODAY()-Table_query[[#This Row],[Modified]],0)</f>
        <v>24</v>
      </c>
      <c r="AB32" s="4">
        <f>(Table_query[[#This Row],[Value $ ex GST]]*Table_query[[#This Row],[Margin]])/(DATEDIF(Table_query[[#This Row],[Start Date]],Table_query[[#This Row],[Expiry Date]],"m")+1)</f>
        <v>15578.6</v>
      </c>
      <c r="AC32">
        <f>(Table_query[[#This Row],[Value $ ex GST]])/(DATEDIF(Table_query[[#This Row],[Start Date]],Table_query[[#This Row],[Expiry Date]],"m")+1)</f>
        <v>77893</v>
      </c>
    </row>
    <row r="33" spans="1:29" x14ac:dyDescent="0.25">
      <c r="A33" s="1" t="s">
        <v>220</v>
      </c>
      <c r="B33" s="2" t="s">
        <v>192</v>
      </c>
      <c r="C33" s="3">
        <v>46112.999305555553</v>
      </c>
      <c r="D33" s="4"/>
      <c r="E33" s="5"/>
      <c r="F33" s="2" t="s">
        <v>55</v>
      </c>
      <c r="G33" s="2" t="s">
        <v>21</v>
      </c>
      <c r="H33" s="2" t="s">
        <v>397</v>
      </c>
      <c r="I33" t="s">
        <v>482</v>
      </c>
      <c r="J33" s="1"/>
      <c r="K33" s="2" t="s">
        <v>501</v>
      </c>
      <c r="L33" s="2" t="s">
        <v>498</v>
      </c>
      <c r="M33" s="2" t="s">
        <v>34</v>
      </c>
      <c r="N33" s="6"/>
      <c r="O33" s="6"/>
      <c r="P33" s="2" t="s">
        <v>502</v>
      </c>
      <c r="Q33" s="3">
        <v>46067.36041666667</v>
      </c>
      <c r="R33" s="2" t="s">
        <v>457</v>
      </c>
      <c r="S33" s="3">
        <v>45803.903414351851</v>
      </c>
      <c r="T33" s="2" t="s">
        <v>420</v>
      </c>
      <c r="U33" s="2" t="s">
        <v>458</v>
      </c>
      <c r="V33" s="2" t="s">
        <v>30</v>
      </c>
      <c r="W33" s="2" t="s">
        <v>243</v>
      </c>
      <c r="X33" s="4">
        <f>Table_query[[#This Row],[Value $ ex GST]]*Table_query[[#This Row],[Margin]]</f>
        <v>0</v>
      </c>
      <c r="Y33">
        <f>ROUND(Table_query[[#This Row],[Modified]]-Table_query[[#This Row],[Created]],0)</f>
        <v>263</v>
      </c>
      <c r="Z33" s="10" t="str">
        <f ca="1">IF(_xlfn.NUMBERVALUE(LEFT(Table_query[[#This Row],[Phase]],1))&lt;=2,"",IF(Table_query[[#This Row],[Due]]&lt;TODAY(),ROUND(TODAY()-Table_query[[#This Row],[Due]],0),""))</f>
        <v/>
      </c>
      <c r="AA33" s="6">
        <f ca="1">ROUND(TODAY()-Table_query[[#This Row],[Modified]],0)</f>
        <v>9</v>
      </c>
      <c r="AB33" s="4">
        <f>(Table_query[[#This Row],[Value $ ex GST]]*Table_query[[#This Row],[Margin]])/(DATEDIF(Table_query[[#This Row],[Start Date]],Table_query[[#This Row],[Expiry Date]],"m")+1)</f>
        <v>0</v>
      </c>
      <c r="AC33">
        <f>(Table_query[[#This Row],[Value $ ex GST]])/(DATEDIF(Table_query[[#This Row],[Start Date]],Table_query[[#This Row],[Expiry Date]],"m")+1)</f>
        <v>0</v>
      </c>
    </row>
    <row r="34" spans="1:29" x14ac:dyDescent="0.25">
      <c r="A34" s="1" t="s">
        <v>142</v>
      </c>
      <c r="B34" s="2" t="s">
        <v>132</v>
      </c>
      <c r="C34" s="3">
        <v>46083.666666666664</v>
      </c>
      <c r="D34" s="4">
        <v>145440</v>
      </c>
      <c r="E34" s="5">
        <v>0.3</v>
      </c>
      <c r="F34" s="2" t="s">
        <v>55</v>
      </c>
      <c r="G34" s="2" t="s">
        <v>22</v>
      </c>
      <c r="H34" s="2" t="s">
        <v>363</v>
      </c>
      <c r="I34" t="s">
        <v>535</v>
      </c>
      <c r="J34" s="1"/>
      <c r="K34" s="2" t="s">
        <v>503</v>
      </c>
      <c r="L34" s="2" t="s">
        <v>455</v>
      </c>
      <c r="M34" s="2" t="s">
        <v>34</v>
      </c>
      <c r="N34" s="6">
        <v>46125</v>
      </c>
      <c r="O34" s="6">
        <v>46157</v>
      </c>
      <c r="P34" s="2" t="s">
        <v>504</v>
      </c>
      <c r="Q34" s="3">
        <v>46071.456631944442</v>
      </c>
      <c r="R34" s="2" t="s">
        <v>457</v>
      </c>
      <c r="S34" s="3">
        <v>45994.401377314818</v>
      </c>
      <c r="T34" s="2" t="s">
        <v>457</v>
      </c>
      <c r="U34" s="2" t="s">
        <v>458</v>
      </c>
      <c r="V34" s="2" t="s">
        <v>30</v>
      </c>
      <c r="W34" s="2" t="s">
        <v>243</v>
      </c>
      <c r="X34" s="4">
        <f>Table_query[[#This Row],[Value $ ex GST]]*Table_query[[#This Row],[Margin]]</f>
        <v>43632</v>
      </c>
      <c r="Y34">
        <f>ROUND(Table_query[[#This Row],[Modified]]-Table_query[[#This Row],[Created]],0)</f>
        <v>77</v>
      </c>
      <c r="Z34" s="10" t="str">
        <f ca="1">IF(_xlfn.NUMBERVALUE(LEFT(Table_query[[#This Row],[Phase]],1))&lt;=2,"",IF(Table_query[[#This Row],[Due]]&lt;TODAY(),ROUND(TODAY()-Table_query[[#This Row],[Due]],0),""))</f>
        <v/>
      </c>
      <c r="AA34" s="10">
        <f ca="1">ROUND(TODAY()-Table_query[[#This Row],[Modified]],0)</f>
        <v>5</v>
      </c>
      <c r="AB34" s="4">
        <f>(Table_query[[#This Row],[Value $ ex GST]]*Table_query[[#This Row],[Margin]])/(DATEDIF(Table_query[[#This Row],[Start Date]],Table_query[[#This Row],[Expiry Date]],"m")+1)</f>
        <v>21816</v>
      </c>
      <c r="AC34">
        <f>(Table_query[[#This Row],[Value $ ex GST]])/(DATEDIF(Table_query[[#This Row],[Start Date]],Table_query[[#This Row],[Expiry Date]],"m")+1)</f>
        <v>72720</v>
      </c>
    </row>
    <row r="35" spans="1:29" x14ac:dyDescent="0.25">
      <c r="A35" s="1" t="s">
        <v>45</v>
      </c>
      <c r="B35" s="2" t="s">
        <v>42</v>
      </c>
      <c r="C35" s="3">
        <v>46049.999305555553</v>
      </c>
      <c r="D35" s="4">
        <v>55200</v>
      </c>
      <c r="E35" s="5">
        <v>0.16400000000000001</v>
      </c>
      <c r="F35" s="2" t="s">
        <v>44</v>
      </c>
      <c r="G35" s="2" t="s">
        <v>22</v>
      </c>
      <c r="H35" s="2"/>
      <c r="I35" t="s">
        <v>505</v>
      </c>
      <c r="J35" s="1"/>
      <c r="K35" s="2" t="s">
        <v>506</v>
      </c>
      <c r="L35" s="2" t="s">
        <v>507</v>
      </c>
      <c r="M35" s="2" t="s">
        <v>34</v>
      </c>
      <c r="N35" s="6">
        <v>46069</v>
      </c>
      <c r="O35" s="6">
        <v>46108</v>
      </c>
      <c r="P35" s="2" t="s">
        <v>508</v>
      </c>
      <c r="Q35" s="3">
        <v>46062.544942129629</v>
      </c>
      <c r="R35" s="2" t="s">
        <v>481</v>
      </c>
      <c r="S35" s="3">
        <v>46041.382650462961</v>
      </c>
      <c r="T35" s="2" t="s">
        <v>462</v>
      </c>
      <c r="U35" s="2" t="s">
        <v>458</v>
      </c>
      <c r="V35" s="2" t="s">
        <v>30</v>
      </c>
      <c r="W35" s="2"/>
      <c r="X35" s="4">
        <f>Table_query[[#This Row],[Value $ ex GST]]*Table_query[[#This Row],[Margin]]</f>
        <v>9052.8000000000011</v>
      </c>
      <c r="Y35">
        <f>ROUND(Table_query[[#This Row],[Modified]]-Table_query[[#This Row],[Created]],0)</f>
        <v>21</v>
      </c>
      <c r="Z35" s="6">
        <f ca="1">IF(_xlfn.NUMBERVALUE(LEFT(Table_query[[#This Row],[Phase]],1))&lt;=2,"",IF(Table_query[[#This Row],[Due]]&lt;TODAY(),ROUND(TODAY()-Table_query[[#This Row],[Due]],0),""))</f>
        <v>26</v>
      </c>
      <c r="AA35" s="6">
        <f ca="1">ROUND(TODAY()-Table_query[[#This Row],[Modified]],0)</f>
        <v>13</v>
      </c>
      <c r="AB35" s="4">
        <f>(Table_query[[#This Row],[Value $ ex GST]]*Table_query[[#This Row],[Margin]])/(DATEDIF(Table_query[[#This Row],[Start Date]],Table_query[[#This Row],[Expiry Date]],"m")+1)</f>
        <v>4526.4000000000005</v>
      </c>
      <c r="AC35">
        <f>(Table_query[[#This Row],[Value $ ex GST]])/(DATEDIF(Table_query[[#This Row],[Start Date]],Table_query[[#This Row],[Expiry Date]],"m")+1)</f>
        <v>27600</v>
      </c>
    </row>
    <row r="36" spans="1:29" x14ac:dyDescent="0.25">
      <c r="A36" s="1" t="s">
        <v>140</v>
      </c>
      <c r="B36" s="2" t="s">
        <v>132</v>
      </c>
      <c r="C36" s="3">
        <v>46101</v>
      </c>
      <c r="D36" s="4">
        <v>3000000</v>
      </c>
      <c r="E36" s="5"/>
      <c r="F36" s="2" t="s">
        <v>5</v>
      </c>
      <c r="G36" s="2" t="s">
        <v>22</v>
      </c>
      <c r="H36" s="2" t="s">
        <v>397</v>
      </c>
      <c r="I36" t="s">
        <v>535</v>
      </c>
      <c r="J36" s="1"/>
      <c r="K36" s="2" t="s">
        <v>601</v>
      </c>
      <c r="L36" s="2" t="s">
        <v>455</v>
      </c>
      <c r="M36" s="2" t="s">
        <v>34</v>
      </c>
      <c r="N36" s="6"/>
      <c r="O36" s="6"/>
      <c r="P36" s="2"/>
      <c r="Q36" s="3">
        <v>46076.335509259261</v>
      </c>
      <c r="R36" s="2" t="s">
        <v>397</v>
      </c>
      <c r="S36" s="3">
        <v>46062.429768518516</v>
      </c>
      <c r="T36" s="2" t="s">
        <v>457</v>
      </c>
      <c r="U36" s="2" t="s">
        <v>458</v>
      </c>
      <c r="V36" s="2" t="s">
        <v>30</v>
      </c>
      <c r="W36" s="2" t="s">
        <v>602</v>
      </c>
      <c r="X36" s="4">
        <f>Table_query[[#This Row],[Value $ ex GST]]*Table_query[[#This Row],[Margin]]</f>
        <v>0</v>
      </c>
      <c r="Y36">
        <f>ROUND(Table_query[[#This Row],[Modified]]-Table_query[[#This Row],[Created]],0)</f>
        <v>14</v>
      </c>
      <c r="Z36" s="6" t="str">
        <f ca="1">IF(_xlfn.NUMBERVALUE(LEFT(Table_query[[#This Row],[Phase]],1))&lt;=2,"",IF(Table_query[[#This Row],[Due]]&lt;TODAY(),ROUND(TODAY()-Table_query[[#This Row],[Due]],0),""))</f>
        <v/>
      </c>
      <c r="AA36" s="6">
        <f ca="1">ROUND(TODAY()-Table_query[[#This Row],[Modified]],0)</f>
        <v>0</v>
      </c>
      <c r="AB36" s="4">
        <f>(Table_query[[#This Row],[Value $ ex GST]]*Table_query[[#This Row],[Margin]])/(DATEDIF(Table_query[[#This Row],[Start Date]],Table_query[[#This Row],[Expiry Date]],"m")+1)</f>
        <v>0</v>
      </c>
      <c r="AC36">
        <f>(Table_query[[#This Row],[Value $ ex GST]])/(DATEDIF(Table_query[[#This Row],[Start Date]],Table_query[[#This Row],[Expiry Date]],"m")+1)</f>
        <v>3000000</v>
      </c>
    </row>
    <row r="37" spans="1:29" x14ac:dyDescent="0.25">
      <c r="A37" s="1" t="s">
        <v>229</v>
      </c>
      <c r="B37" s="2" t="s">
        <v>192</v>
      </c>
      <c r="C37" s="3">
        <v>46142.999305555553</v>
      </c>
      <c r="D37" s="4"/>
      <c r="E37" s="5"/>
      <c r="F37" s="2"/>
      <c r="G37" s="2" t="s">
        <v>22</v>
      </c>
      <c r="H37" s="2" t="s">
        <v>363</v>
      </c>
      <c r="I37" t="s">
        <v>251</v>
      </c>
      <c r="J37" s="1"/>
      <c r="K37" s="2" t="s">
        <v>509</v>
      </c>
      <c r="L37" s="2" t="s">
        <v>510</v>
      </c>
      <c r="M37" s="2" t="s">
        <v>34</v>
      </c>
      <c r="N37" s="6"/>
      <c r="O37" s="6"/>
      <c r="P37" s="2" t="s">
        <v>511</v>
      </c>
      <c r="Q37" s="3">
        <v>46071.463773148149</v>
      </c>
      <c r="R37" s="2" t="s">
        <v>457</v>
      </c>
      <c r="S37" s="3">
        <v>45877.581006944441</v>
      </c>
      <c r="T37" s="2" t="s">
        <v>462</v>
      </c>
      <c r="U37" s="2" t="s">
        <v>458</v>
      </c>
      <c r="V37" s="2" t="s">
        <v>30</v>
      </c>
      <c r="W37" s="2"/>
      <c r="X37" s="4">
        <f>Table_query[[#This Row],[Value $ ex GST]]*Table_query[[#This Row],[Margin]]</f>
        <v>0</v>
      </c>
      <c r="Y37">
        <f>ROUND(Table_query[[#This Row],[Modified]]-Table_query[[#This Row],[Created]],0)</f>
        <v>194</v>
      </c>
      <c r="Z37" s="10" t="str">
        <f ca="1">IF(_xlfn.NUMBERVALUE(LEFT(Table_query[[#This Row],[Phase]],1))&lt;=2,"",IF(Table_query[[#This Row],[Due]]&lt;TODAY(),ROUND(TODAY()-Table_query[[#This Row],[Due]],0),""))</f>
        <v/>
      </c>
      <c r="AA37" s="6">
        <f ca="1">ROUND(TODAY()-Table_query[[#This Row],[Modified]],0)</f>
        <v>5</v>
      </c>
      <c r="AB37" s="4">
        <f>(Table_query[[#This Row],[Value $ ex GST]]*Table_query[[#This Row],[Margin]])/(DATEDIF(Table_query[[#This Row],[Start Date]],Table_query[[#This Row],[Expiry Date]],"m")+1)</f>
        <v>0</v>
      </c>
      <c r="AC37">
        <f>(Table_query[[#This Row],[Value $ ex GST]])/(DATEDIF(Table_query[[#This Row],[Start Date]],Table_query[[#This Row],[Expiry Date]],"m")+1)</f>
        <v>0</v>
      </c>
    </row>
    <row r="38" spans="1:29" x14ac:dyDescent="0.25">
      <c r="A38" s="1" t="s">
        <v>52</v>
      </c>
      <c r="B38" s="2" t="s">
        <v>42</v>
      </c>
      <c r="C38" s="3">
        <v>46003</v>
      </c>
      <c r="D38" s="4">
        <v>1000000</v>
      </c>
      <c r="E38" s="5">
        <v>0.3</v>
      </c>
      <c r="F38" s="2" t="s">
        <v>44</v>
      </c>
      <c r="G38" s="2" t="s">
        <v>21</v>
      </c>
      <c r="H38" s="2" t="s">
        <v>363</v>
      </c>
      <c r="I38" t="s">
        <v>512</v>
      </c>
      <c r="J38" s="1"/>
      <c r="K38" s="2" t="s">
        <v>513</v>
      </c>
      <c r="L38" s="2" t="s">
        <v>489</v>
      </c>
      <c r="M38" s="2" t="s">
        <v>34</v>
      </c>
      <c r="N38" s="6">
        <v>46097</v>
      </c>
      <c r="O38" s="6">
        <v>46203</v>
      </c>
      <c r="P38" s="2" t="s">
        <v>400</v>
      </c>
      <c r="Q38" s="3">
        <v>46065.584409722222</v>
      </c>
      <c r="R38" s="2" t="s">
        <v>471</v>
      </c>
      <c r="S38" s="3">
        <v>45993.696030092593</v>
      </c>
      <c r="T38" s="2" t="s">
        <v>471</v>
      </c>
      <c r="U38" s="2" t="s">
        <v>458</v>
      </c>
      <c r="V38" s="2" t="s">
        <v>30</v>
      </c>
      <c r="W38" s="2"/>
      <c r="X38" s="4">
        <f>Table_query[[#This Row],[Value $ ex GST]]*Table_query[[#This Row],[Margin]]</f>
        <v>300000</v>
      </c>
      <c r="Y38">
        <f>ROUND(Table_query[[#This Row],[Modified]]-Table_query[[#This Row],[Created]],0)</f>
        <v>72</v>
      </c>
      <c r="Z38" s="10">
        <f ca="1">IF(_xlfn.NUMBERVALUE(LEFT(Table_query[[#This Row],[Phase]],1))&lt;=2,"",IF(Table_query[[#This Row],[Due]]&lt;TODAY(),ROUND(TODAY()-Table_query[[#This Row],[Due]],0),""))</f>
        <v>73</v>
      </c>
      <c r="AA38" s="6">
        <f ca="1">ROUND(TODAY()-Table_query[[#This Row],[Modified]],0)</f>
        <v>10</v>
      </c>
      <c r="AB38" s="4">
        <f>(Table_query[[#This Row],[Value $ ex GST]]*Table_query[[#This Row],[Margin]])/(DATEDIF(Table_query[[#This Row],[Start Date]],Table_query[[#This Row],[Expiry Date]],"m")+1)</f>
        <v>75000</v>
      </c>
      <c r="AC38">
        <f>(Table_query[[#This Row],[Value $ ex GST]])/(DATEDIF(Table_query[[#This Row],[Start Date]],Table_query[[#This Row],[Expiry Date]],"m")+1)</f>
        <v>250000</v>
      </c>
    </row>
    <row r="39" spans="1:29" x14ac:dyDescent="0.25">
      <c r="A39" s="1" t="s">
        <v>54</v>
      </c>
      <c r="B39" s="2" t="s">
        <v>42</v>
      </c>
      <c r="C39" s="3">
        <v>46086</v>
      </c>
      <c r="D39" s="4">
        <v>465220</v>
      </c>
      <c r="E39" s="5">
        <v>0.61499999999999999</v>
      </c>
      <c r="F39" s="2" t="s">
        <v>55</v>
      </c>
      <c r="G39" s="2" t="s">
        <v>21</v>
      </c>
      <c r="H39" s="2"/>
      <c r="I39" t="s">
        <v>482</v>
      </c>
      <c r="J39" s="1"/>
      <c r="K39" s="2"/>
      <c r="L39" s="2" t="s">
        <v>514</v>
      </c>
      <c r="M39" s="2" t="s">
        <v>34</v>
      </c>
      <c r="N39" s="6">
        <v>46160</v>
      </c>
      <c r="O39" s="6">
        <v>46290</v>
      </c>
      <c r="P39" s="2" t="s">
        <v>400</v>
      </c>
      <c r="Q39" s="3">
        <v>46065.584733796299</v>
      </c>
      <c r="R39" s="2" t="s">
        <v>471</v>
      </c>
      <c r="S39" s="3">
        <v>46002.548807870371</v>
      </c>
      <c r="T39" s="2" t="s">
        <v>462</v>
      </c>
      <c r="U39" s="2" t="s">
        <v>458</v>
      </c>
      <c r="V39" s="2" t="s">
        <v>30</v>
      </c>
      <c r="W39" s="2"/>
      <c r="X39" s="4">
        <f>Table_query[[#This Row],[Value $ ex GST]]*Table_query[[#This Row],[Margin]]</f>
        <v>286110.3</v>
      </c>
      <c r="Y39">
        <f>ROUND(Table_query[[#This Row],[Modified]]-Table_query[[#This Row],[Created]],0)</f>
        <v>63</v>
      </c>
      <c r="Z39" s="10" t="str">
        <f ca="1">IF(_xlfn.NUMBERVALUE(LEFT(Table_query[[#This Row],[Phase]],1))&lt;=2,"",IF(Table_query[[#This Row],[Due]]&lt;TODAY(),ROUND(TODAY()-Table_query[[#This Row],[Due]],0),""))</f>
        <v/>
      </c>
      <c r="AA39" s="6">
        <f ca="1">ROUND(TODAY()-Table_query[[#This Row],[Modified]],0)</f>
        <v>10</v>
      </c>
      <c r="AB39" s="4">
        <f>(Table_query[[#This Row],[Value $ ex GST]]*Table_query[[#This Row],[Margin]])/(DATEDIF(Table_query[[#This Row],[Start Date]],Table_query[[#This Row],[Expiry Date]],"m")+1)</f>
        <v>57222.06</v>
      </c>
      <c r="AC39">
        <f>(Table_query[[#This Row],[Value $ ex GST]])/(DATEDIF(Table_query[[#This Row],[Start Date]],Table_query[[#This Row],[Expiry Date]],"m")+1)</f>
        <v>93044</v>
      </c>
    </row>
    <row r="40" spans="1:29" x14ac:dyDescent="0.25">
      <c r="A40" s="1" t="s">
        <v>221</v>
      </c>
      <c r="B40" s="2" t="s">
        <v>192</v>
      </c>
      <c r="C40" s="3">
        <v>46112</v>
      </c>
      <c r="D40" s="4"/>
      <c r="E40" s="5"/>
      <c r="F40" s="2"/>
      <c r="G40" s="2" t="s">
        <v>21</v>
      </c>
      <c r="H40" s="2" t="s">
        <v>363</v>
      </c>
      <c r="I40" t="s">
        <v>482</v>
      </c>
      <c r="J40" s="1"/>
      <c r="K40" s="2"/>
      <c r="L40" s="2" t="s">
        <v>515</v>
      </c>
      <c r="M40" s="2" t="s">
        <v>34</v>
      </c>
      <c r="N40" s="6"/>
      <c r="O40" s="6"/>
      <c r="P40" s="2" t="s">
        <v>400</v>
      </c>
      <c r="Q40" s="3">
        <v>46067.359155092592</v>
      </c>
      <c r="R40" s="2" t="s">
        <v>457</v>
      </c>
      <c r="S40" s="3">
        <v>45985.537083333336</v>
      </c>
      <c r="T40" s="2" t="s">
        <v>457</v>
      </c>
      <c r="U40" s="2" t="s">
        <v>458</v>
      </c>
      <c r="V40" s="2" t="s">
        <v>30</v>
      </c>
      <c r="W40" s="2" t="s">
        <v>242</v>
      </c>
      <c r="X40" s="4">
        <f>Table_query[[#This Row],[Value $ ex GST]]*Table_query[[#This Row],[Margin]]</f>
        <v>0</v>
      </c>
      <c r="Y40">
        <f>ROUND(Table_query[[#This Row],[Modified]]-Table_query[[#This Row],[Created]],0)</f>
        <v>82</v>
      </c>
      <c r="Z40" s="10" t="str">
        <f ca="1">IF(_xlfn.NUMBERVALUE(LEFT(Table_query[[#This Row],[Phase]],1))&lt;=2,"",IF(Table_query[[#This Row],[Due]]&lt;TODAY(),ROUND(TODAY()-Table_query[[#This Row],[Due]],0),""))</f>
        <v/>
      </c>
      <c r="AA40" s="8">
        <f ca="1">ROUND(TODAY()-Table_query[[#This Row],[Modified]],0)</f>
        <v>9</v>
      </c>
      <c r="AB40" s="4">
        <f>(Table_query[[#This Row],[Value $ ex GST]]*Table_query[[#This Row],[Margin]])/(DATEDIF(Table_query[[#This Row],[Start Date]],Table_query[[#This Row],[Expiry Date]],"m")+1)</f>
        <v>0</v>
      </c>
      <c r="AC40">
        <f>(Table_query[[#This Row],[Value $ ex GST]])/(DATEDIF(Table_query[[#This Row],[Start Date]],Table_query[[#This Row],[Expiry Date]],"m")+1)</f>
        <v>0</v>
      </c>
    </row>
    <row r="41" spans="1:29" x14ac:dyDescent="0.25">
      <c r="A41" s="1" t="s">
        <v>619</v>
      </c>
      <c r="B41" s="2" t="s">
        <v>66</v>
      </c>
      <c r="C41" s="3">
        <v>46052</v>
      </c>
      <c r="D41" s="4">
        <v>444574.24</v>
      </c>
      <c r="E41" s="5">
        <v>0.3</v>
      </c>
      <c r="F41" s="2" t="s">
        <v>5</v>
      </c>
      <c r="G41" s="2" t="s">
        <v>20</v>
      </c>
      <c r="H41" s="2" t="s">
        <v>363</v>
      </c>
      <c r="I41" t="s">
        <v>505</v>
      </c>
      <c r="J41" s="1"/>
      <c r="K41" s="2" t="s">
        <v>603</v>
      </c>
      <c r="L41" s="2" t="s">
        <v>493</v>
      </c>
      <c r="M41" s="2" t="s">
        <v>34</v>
      </c>
      <c r="N41" s="6">
        <v>46076</v>
      </c>
      <c r="O41" s="6">
        <v>46203</v>
      </c>
      <c r="P41" s="2" t="s">
        <v>403</v>
      </c>
      <c r="Q41" s="3">
        <v>46075.618946759256</v>
      </c>
      <c r="R41" s="2" t="s">
        <v>481</v>
      </c>
      <c r="S41" s="3">
        <v>45988.5778125</v>
      </c>
      <c r="T41" s="2" t="s">
        <v>471</v>
      </c>
      <c r="U41" s="2" t="s">
        <v>458</v>
      </c>
      <c r="V41" s="2" t="s">
        <v>30</v>
      </c>
      <c r="W41" s="2" t="s">
        <v>243</v>
      </c>
      <c r="X41" s="4">
        <f>Table_query[[#This Row],[Value $ ex GST]]*Table_query[[#This Row],[Margin]]</f>
        <v>133372.272</v>
      </c>
      <c r="Y41">
        <f>ROUND(Table_query[[#This Row],[Modified]]-Table_query[[#This Row],[Created]],0)</f>
        <v>87</v>
      </c>
      <c r="Z41" s="10">
        <f ca="1">IF(_xlfn.NUMBERVALUE(LEFT(Table_query[[#This Row],[Phase]],1))&lt;=2,"",IF(Table_query[[#This Row],[Due]]&lt;TODAY(),ROUND(TODAY()-Table_query[[#This Row],[Due]],0),""))</f>
        <v>24</v>
      </c>
      <c r="AA41" s="10">
        <f ca="1">ROUND(TODAY()-Table_query[[#This Row],[Modified]],0)</f>
        <v>0</v>
      </c>
      <c r="AB41" s="4">
        <f>(Table_query[[#This Row],[Value $ ex GST]]*Table_query[[#This Row],[Margin]])/(DATEDIF(Table_query[[#This Row],[Start Date]],Table_query[[#This Row],[Expiry Date]],"m")+1)</f>
        <v>26674.454399999999</v>
      </c>
      <c r="AC41">
        <f>(Table_query[[#This Row],[Value $ ex GST]])/(DATEDIF(Table_query[[#This Row],[Start Date]],Table_query[[#This Row],[Expiry Date]],"m")+1)</f>
        <v>88914.847999999998</v>
      </c>
    </row>
    <row r="42" spans="1:29" x14ac:dyDescent="0.25">
      <c r="A42" s="1" t="s">
        <v>620</v>
      </c>
      <c r="B42" s="2" t="s">
        <v>192</v>
      </c>
      <c r="C42" s="3">
        <v>46112.999305555553</v>
      </c>
      <c r="D42" s="4"/>
      <c r="E42" s="5"/>
      <c r="F42" s="2"/>
      <c r="G42" s="2" t="s">
        <v>20</v>
      </c>
      <c r="H42" s="2" t="s">
        <v>363</v>
      </c>
      <c r="I42" t="s">
        <v>516</v>
      </c>
      <c r="J42" s="1"/>
      <c r="K42" s="2" t="s">
        <v>604</v>
      </c>
      <c r="L42" s="2" t="s">
        <v>517</v>
      </c>
      <c r="M42" s="2" t="s">
        <v>34</v>
      </c>
      <c r="N42" s="6"/>
      <c r="O42" s="6"/>
      <c r="P42" s="2" t="s">
        <v>403</v>
      </c>
      <c r="Q42" s="3">
        <v>46071.614930555559</v>
      </c>
      <c r="R42" s="2" t="s">
        <v>481</v>
      </c>
      <c r="S42" s="3">
        <v>46010.479826388888</v>
      </c>
      <c r="T42" s="2" t="s">
        <v>462</v>
      </c>
      <c r="U42" s="2" t="s">
        <v>458</v>
      </c>
      <c r="V42" s="2" t="s">
        <v>30</v>
      </c>
      <c r="W42" s="2"/>
      <c r="X42" s="4">
        <f>Table_query[[#This Row],[Value $ ex GST]]*Table_query[[#This Row],[Margin]]</f>
        <v>0</v>
      </c>
      <c r="Y42">
        <f>ROUND(Table_query[[#This Row],[Modified]]-Table_query[[#This Row],[Created]],0)</f>
        <v>61</v>
      </c>
      <c r="Z42" s="10" t="str">
        <f ca="1">IF(_xlfn.NUMBERVALUE(LEFT(Table_query[[#This Row],[Phase]],1))&lt;=2,"",IF(Table_query[[#This Row],[Due]]&lt;TODAY(),ROUND(TODAY()-Table_query[[#This Row],[Due]],0),""))</f>
        <v/>
      </c>
      <c r="AA42" s="10">
        <f ca="1">ROUND(TODAY()-Table_query[[#This Row],[Modified]],0)</f>
        <v>4</v>
      </c>
      <c r="AB42" s="4">
        <f>(Table_query[[#This Row],[Value $ ex GST]]*Table_query[[#This Row],[Margin]])/(DATEDIF(Table_query[[#This Row],[Start Date]],Table_query[[#This Row],[Expiry Date]],"m")+1)</f>
        <v>0</v>
      </c>
      <c r="AC42">
        <f>(Table_query[[#This Row],[Value $ ex GST]])/(DATEDIF(Table_query[[#This Row],[Start Date]],Table_query[[#This Row],[Expiry Date]],"m")+1)</f>
        <v>0</v>
      </c>
    </row>
    <row r="43" spans="1:29" x14ac:dyDescent="0.25">
      <c r="A43" s="1" t="s">
        <v>57</v>
      </c>
      <c r="B43" s="2" t="s">
        <v>42</v>
      </c>
      <c r="C43" s="3">
        <v>46045</v>
      </c>
      <c r="D43" s="4">
        <v>175220</v>
      </c>
      <c r="E43" s="5">
        <v>0.43</v>
      </c>
      <c r="F43" s="2" t="s">
        <v>5</v>
      </c>
      <c r="G43" s="2" t="s">
        <v>17</v>
      </c>
      <c r="H43" s="2" t="s">
        <v>363</v>
      </c>
      <c r="I43" t="s">
        <v>487</v>
      </c>
      <c r="J43" s="1"/>
      <c r="K43" s="2" t="s">
        <v>518</v>
      </c>
      <c r="L43" s="2" t="s">
        <v>489</v>
      </c>
      <c r="M43" s="2" t="s">
        <v>34</v>
      </c>
      <c r="N43" s="6">
        <v>46069</v>
      </c>
      <c r="O43" s="6">
        <v>46203</v>
      </c>
      <c r="P43" s="2" t="s">
        <v>414</v>
      </c>
      <c r="Q43" s="3">
        <v>46071.45449074074</v>
      </c>
      <c r="R43" s="2" t="s">
        <v>457</v>
      </c>
      <c r="S43" s="3">
        <v>45996.506412037037</v>
      </c>
      <c r="T43" s="2" t="s">
        <v>462</v>
      </c>
      <c r="U43" s="2" t="s">
        <v>458</v>
      </c>
      <c r="V43" s="2" t="s">
        <v>30</v>
      </c>
      <c r="W43" s="2"/>
      <c r="X43" s="4">
        <f>Table_query[[#This Row],[Value $ ex GST]]*Table_query[[#This Row],[Margin]]</f>
        <v>75344.600000000006</v>
      </c>
      <c r="Y43">
        <f>ROUND(Table_query[[#This Row],[Modified]]-Table_query[[#This Row],[Created]],0)</f>
        <v>75</v>
      </c>
      <c r="Z43" s="10">
        <f ca="1">IF(_xlfn.NUMBERVALUE(LEFT(Table_query[[#This Row],[Phase]],1))&lt;=2,"",IF(Table_query[[#This Row],[Due]]&lt;TODAY(),ROUND(TODAY()-Table_query[[#This Row],[Due]],0),""))</f>
        <v>31</v>
      </c>
      <c r="AA43" s="8">
        <f ca="1">ROUND(TODAY()-Table_query[[#This Row],[Modified]],0)</f>
        <v>5</v>
      </c>
      <c r="AB43" s="4">
        <f>(Table_query[[#This Row],[Value $ ex GST]]*Table_query[[#This Row],[Margin]])/(DATEDIF(Table_query[[#This Row],[Start Date]],Table_query[[#This Row],[Expiry Date]],"m")+1)</f>
        <v>15068.920000000002</v>
      </c>
      <c r="AC43">
        <f>(Table_query[[#This Row],[Value $ ex GST]])/(DATEDIF(Table_query[[#This Row],[Start Date]],Table_query[[#This Row],[Expiry Date]],"m")+1)</f>
        <v>35044</v>
      </c>
    </row>
    <row r="44" spans="1:29" x14ac:dyDescent="0.25">
      <c r="A44" s="1" t="s">
        <v>519</v>
      </c>
      <c r="B44" s="2" t="s">
        <v>192</v>
      </c>
      <c r="C44" s="3">
        <v>46112.999305555553</v>
      </c>
      <c r="D44" s="4">
        <v>2342592</v>
      </c>
      <c r="E44" s="5">
        <v>0.28999999999999998</v>
      </c>
      <c r="F44" s="2" t="s">
        <v>5</v>
      </c>
      <c r="G44" s="2" t="s">
        <v>21</v>
      </c>
      <c r="H44" s="2" t="s">
        <v>363</v>
      </c>
      <c r="I44" t="s">
        <v>482</v>
      </c>
      <c r="J44" s="1" t="s">
        <v>520</v>
      </c>
      <c r="K44" s="2"/>
      <c r="L44" s="2" t="s">
        <v>241</v>
      </c>
      <c r="M44" s="2" t="s">
        <v>125</v>
      </c>
      <c r="N44" s="6"/>
      <c r="O44" s="6"/>
      <c r="P44" s="2" t="s">
        <v>521</v>
      </c>
      <c r="Q44" s="3">
        <v>46071.450092592589</v>
      </c>
      <c r="R44" s="2" t="s">
        <v>457</v>
      </c>
      <c r="S44" s="3">
        <v>45811.40116898148</v>
      </c>
      <c r="T44" s="2" t="s">
        <v>457</v>
      </c>
      <c r="U44" s="2" t="s">
        <v>458</v>
      </c>
      <c r="V44" s="2" t="s">
        <v>30</v>
      </c>
      <c r="W44" s="2" t="s">
        <v>415</v>
      </c>
      <c r="X44" s="4">
        <f>Table_query[[#This Row],[Value $ ex GST]]*Table_query[[#This Row],[Margin]]</f>
        <v>679351.67999999993</v>
      </c>
      <c r="Y44">
        <f>ROUND(Table_query[[#This Row],[Modified]]-Table_query[[#This Row],[Created]],0)</f>
        <v>260</v>
      </c>
      <c r="Z44" s="10" t="str">
        <f ca="1">IF(_xlfn.NUMBERVALUE(LEFT(Table_query[[#This Row],[Phase]],1))&lt;=2,"",IF(Table_query[[#This Row],[Due]]&lt;TODAY(),ROUND(TODAY()-Table_query[[#This Row],[Due]],0),""))</f>
        <v/>
      </c>
      <c r="AA44" s="10">
        <f ca="1">ROUND(TODAY()-Table_query[[#This Row],[Modified]],0)</f>
        <v>5</v>
      </c>
      <c r="AB44" s="4">
        <f>(Table_query[[#This Row],[Value $ ex GST]]*Table_query[[#This Row],[Margin]])/(DATEDIF(Table_query[[#This Row],[Start Date]],Table_query[[#This Row],[Expiry Date]],"m")+1)</f>
        <v>679351.67999999993</v>
      </c>
      <c r="AC44">
        <f>(Table_query[[#This Row],[Value $ ex GST]])/(DATEDIF(Table_query[[#This Row],[Start Date]],Table_query[[#This Row],[Expiry Date]],"m")+1)</f>
        <v>2342592</v>
      </c>
    </row>
    <row r="45" spans="1:29" x14ac:dyDescent="0.25">
      <c r="A45" s="1" t="s">
        <v>230</v>
      </c>
      <c r="B45" s="2" t="s">
        <v>192</v>
      </c>
      <c r="C45" s="3">
        <v>46203</v>
      </c>
      <c r="D45" s="4"/>
      <c r="E45" s="5"/>
      <c r="F45" s="2"/>
      <c r="G45" s="2" t="s">
        <v>22</v>
      </c>
      <c r="H45" s="2" t="s">
        <v>522</v>
      </c>
      <c r="I45" t="s">
        <v>251</v>
      </c>
      <c r="J45" s="1"/>
      <c r="K45" s="2"/>
      <c r="L45" s="2" t="s">
        <v>466</v>
      </c>
      <c r="M45" s="2"/>
      <c r="N45" s="6"/>
      <c r="O45" s="6"/>
      <c r="P45" s="2"/>
      <c r="Q45" s="3">
        <v>46059.681377314817</v>
      </c>
      <c r="R45" s="2" t="s">
        <v>523</v>
      </c>
      <c r="S45" s="3">
        <v>46059.677418981482</v>
      </c>
      <c r="T45" s="2" t="s">
        <v>523</v>
      </c>
      <c r="U45" s="2" t="s">
        <v>458</v>
      </c>
      <c r="V45" s="2" t="s">
        <v>30</v>
      </c>
      <c r="W45" s="2"/>
      <c r="X45" s="4">
        <f>Table_query[[#This Row],[Value $ ex GST]]*Table_query[[#This Row],[Margin]]</f>
        <v>0</v>
      </c>
      <c r="Y45">
        <f>ROUND(Table_query[[#This Row],[Modified]]-Table_query[[#This Row],[Created]],0)</f>
        <v>0</v>
      </c>
      <c r="Z45" s="6" t="str">
        <f ca="1">IF(_xlfn.NUMBERVALUE(LEFT(Table_query[[#This Row],[Phase]],1))&lt;=2,"",IF(Table_query[[#This Row],[Due]]&lt;TODAY(),ROUND(TODAY()-Table_query[[#This Row],[Due]],0),""))</f>
        <v/>
      </c>
      <c r="AA45" s="6">
        <f ca="1">ROUND(TODAY()-Table_query[[#This Row],[Modified]],0)</f>
        <v>16</v>
      </c>
      <c r="AB45" s="4">
        <f>(Table_query[[#This Row],[Value $ ex GST]]*Table_query[[#This Row],[Margin]])/(DATEDIF(Table_query[[#This Row],[Start Date]],Table_query[[#This Row],[Expiry Date]],"m")+1)</f>
        <v>0</v>
      </c>
      <c r="AC45">
        <f>(Table_query[[#This Row],[Value $ ex GST]])/(DATEDIF(Table_query[[#This Row],[Start Date]],Table_query[[#This Row],[Expiry Date]],"m")+1)</f>
        <v>0</v>
      </c>
    </row>
    <row r="46" spans="1:29" x14ac:dyDescent="0.25">
      <c r="A46" s="1" t="s">
        <v>231</v>
      </c>
      <c r="B46" s="2" t="s">
        <v>192</v>
      </c>
      <c r="C46" s="3">
        <v>46203</v>
      </c>
      <c r="D46" s="4"/>
      <c r="E46" s="5"/>
      <c r="F46" s="2"/>
      <c r="G46" s="2" t="s">
        <v>22</v>
      </c>
      <c r="H46" s="2" t="s">
        <v>522</v>
      </c>
      <c r="I46" t="s">
        <v>251</v>
      </c>
      <c r="J46" s="1"/>
      <c r="K46" s="2"/>
      <c r="L46" s="2" t="s">
        <v>466</v>
      </c>
      <c r="M46" s="2"/>
      <c r="N46" s="6"/>
      <c r="O46" s="6"/>
      <c r="P46" s="2"/>
      <c r="Q46" s="3">
        <v>46059.687997685185</v>
      </c>
      <c r="R46" s="2" t="s">
        <v>523</v>
      </c>
      <c r="S46" s="3">
        <v>46059.68546296296</v>
      </c>
      <c r="T46" s="2" t="s">
        <v>523</v>
      </c>
      <c r="U46" s="2" t="s">
        <v>458</v>
      </c>
      <c r="V46" s="2" t="s">
        <v>30</v>
      </c>
      <c r="W46" s="2"/>
      <c r="X46" s="4">
        <f>Table_query[[#This Row],[Value $ ex GST]]*Table_query[[#This Row],[Margin]]</f>
        <v>0</v>
      </c>
      <c r="Y46">
        <f>ROUND(Table_query[[#This Row],[Modified]]-Table_query[[#This Row],[Created]],0)</f>
        <v>0</v>
      </c>
      <c r="Z46" s="10" t="str">
        <f ca="1">IF(_xlfn.NUMBERVALUE(LEFT(Table_query[[#This Row],[Phase]],1))&lt;=2,"",IF(Table_query[[#This Row],[Due]]&lt;TODAY(),ROUND(TODAY()-Table_query[[#This Row],[Due]],0),""))</f>
        <v/>
      </c>
      <c r="AA46" s="10">
        <f ca="1">ROUND(TODAY()-Table_query[[#This Row],[Modified]],0)</f>
        <v>16</v>
      </c>
      <c r="AB46" s="4">
        <f>(Table_query[[#This Row],[Value $ ex GST]]*Table_query[[#This Row],[Margin]])/(DATEDIF(Table_query[[#This Row],[Start Date]],Table_query[[#This Row],[Expiry Date]],"m")+1)</f>
        <v>0</v>
      </c>
      <c r="AC46">
        <f>(Table_query[[#This Row],[Value $ ex GST]])/(DATEDIF(Table_query[[#This Row],[Start Date]],Table_query[[#This Row],[Expiry Date]],"m")+1)</f>
        <v>0</v>
      </c>
    </row>
    <row r="47" spans="1:29" x14ac:dyDescent="0.25">
      <c r="A47" s="1" t="s">
        <v>524</v>
      </c>
      <c r="B47" s="2" t="s">
        <v>192</v>
      </c>
      <c r="C47" s="3">
        <v>46171.583333333336</v>
      </c>
      <c r="D47" s="4"/>
      <c r="E47" s="5"/>
      <c r="F47" s="2"/>
      <c r="G47" s="2" t="s">
        <v>22</v>
      </c>
      <c r="H47" s="2" t="s">
        <v>457</v>
      </c>
      <c r="I47" t="s">
        <v>482</v>
      </c>
      <c r="J47" s="1"/>
      <c r="K47" s="2" t="s">
        <v>525</v>
      </c>
      <c r="L47" s="2" t="s">
        <v>514</v>
      </c>
      <c r="M47" s="2" t="s">
        <v>125</v>
      </c>
      <c r="N47" s="6">
        <v>46327</v>
      </c>
      <c r="O47" s="6">
        <v>47788</v>
      </c>
      <c r="P47" s="2" t="s">
        <v>467</v>
      </c>
      <c r="Q47" s="3">
        <v>46071.464699074073</v>
      </c>
      <c r="R47" s="2" t="s">
        <v>457</v>
      </c>
      <c r="S47" s="3">
        <v>45657.316458333335</v>
      </c>
      <c r="T47" s="2" t="s">
        <v>457</v>
      </c>
      <c r="U47" s="2" t="s">
        <v>458</v>
      </c>
      <c r="V47" s="2" t="s">
        <v>30</v>
      </c>
      <c r="W47" s="2"/>
      <c r="X47" s="4">
        <f>Table_query[[#This Row],[Value $ ex GST]]*Table_query[[#This Row],[Margin]]</f>
        <v>0</v>
      </c>
      <c r="Y47">
        <f>ROUND(Table_query[[#This Row],[Modified]]-Table_query[[#This Row],[Created]],0)</f>
        <v>414</v>
      </c>
      <c r="Z47" s="10" t="str">
        <f ca="1">IF(_xlfn.NUMBERVALUE(LEFT(Table_query[[#This Row],[Phase]],1))&lt;=2,"",IF(Table_query[[#This Row],[Due]]&lt;TODAY(),ROUND(TODAY()-Table_query[[#This Row],[Due]],0),""))</f>
        <v/>
      </c>
      <c r="AA47" s="6">
        <f ca="1">ROUND(TODAY()-Table_query[[#This Row],[Modified]],0)</f>
        <v>5</v>
      </c>
      <c r="AB47" s="4">
        <f>(Table_query[[#This Row],[Value $ ex GST]]*Table_query[[#This Row],[Margin]])/(DATEDIF(Table_query[[#This Row],[Start Date]],Table_query[[#This Row],[Expiry Date]],"m")+1)</f>
        <v>0</v>
      </c>
      <c r="AC47">
        <f>(Table_query[[#This Row],[Value $ ex GST]])/(DATEDIF(Table_query[[#This Row],[Start Date]],Table_query[[#This Row],[Expiry Date]],"m")+1)</f>
        <v>0</v>
      </c>
    </row>
    <row r="48" spans="1:29" x14ac:dyDescent="0.25">
      <c r="A48" s="1" t="s">
        <v>526</v>
      </c>
      <c r="B48" s="2" t="s">
        <v>192</v>
      </c>
      <c r="C48" s="3">
        <v>46171</v>
      </c>
      <c r="D48" s="4"/>
      <c r="E48" s="5"/>
      <c r="F48" s="2"/>
      <c r="G48" s="2" t="s">
        <v>22</v>
      </c>
      <c r="H48" s="2" t="s">
        <v>457</v>
      </c>
      <c r="I48" t="s">
        <v>251</v>
      </c>
      <c r="J48" s="1"/>
      <c r="K48" s="2"/>
      <c r="L48" s="2" t="s">
        <v>466</v>
      </c>
      <c r="M48" s="2" t="s">
        <v>125</v>
      </c>
      <c r="N48" s="6">
        <v>46357</v>
      </c>
      <c r="O48" s="6">
        <v>47818</v>
      </c>
      <c r="P48" s="2" t="s">
        <v>125</v>
      </c>
      <c r="Q48" s="3">
        <v>46008.345590277779</v>
      </c>
      <c r="R48" s="2" t="s">
        <v>457</v>
      </c>
      <c r="S48" s="3">
        <v>45954.592685185184</v>
      </c>
      <c r="T48" s="2" t="s">
        <v>457</v>
      </c>
      <c r="U48" s="2" t="s">
        <v>458</v>
      </c>
      <c r="V48" s="2" t="s">
        <v>30</v>
      </c>
      <c r="W48" s="2"/>
      <c r="X48" s="4">
        <f>Table_query[[#This Row],[Value $ ex GST]]*Table_query[[#This Row],[Margin]]</f>
        <v>0</v>
      </c>
      <c r="Y48">
        <f>ROUND(Table_query[[#This Row],[Modified]]-Table_query[[#This Row],[Created]],0)</f>
        <v>54</v>
      </c>
      <c r="Z48" s="10" t="str">
        <f ca="1">IF(_xlfn.NUMBERVALUE(LEFT(Table_query[[#This Row],[Phase]],1))&lt;=2,"",IF(Table_query[[#This Row],[Due]]&lt;TODAY(),ROUND(TODAY()-Table_query[[#This Row],[Due]],0),""))</f>
        <v/>
      </c>
      <c r="AA48" s="10">
        <f ca="1">ROUND(TODAY()-Table_query[[#This Row],[Modified]],0)</f>
        <v>68</v>
      </c>
      <c r="AB48" s="4">
        <f>(Table_query[[#This Row],[Value $ ex GST]]*Table_query[[#This Row],[Margin]])/(DATEDIF(Table_query[[#This Row],[Start Date]],Table_query[[#This Row],[Expiry Date]],"m")+1)</f>
        <v>0</v>
      </c>
      <c r="AC48">
        <f>(Table_query[[#This Row],[Value $ ex GST]])/(DATEDIF(Table_query[[#This Row],[Start Date]],Table_query[[#This Row],[Expiry Date]],"m")+1)</f>
        <v>0</v>
      </c>
    </row>
    <row r="49" spans="1:29" x14ac:dyDescent="0.25">
      <c r="A49" s="1" t="s">
        <v>124</v>
      </c>
      <c r="B49" s="2" t="s">
        <v>42</v>
      </c>
      <c r="C49" s="3">
        <v>45646.583333333336</v>
      </c>
      <c r="D49" s="4"/>
      <c r="E49" s="5"/>
      <c r="F49" s="2" t="s">
        <v>5</v>
      </c>
      <c r="G49" s="2" t="s">
        <v>22</v>
      </c>
      <c r="H49" s="2" t="s">
        <v>457</v>
      </c>
      <c r="I49" t="s">
        <v>482</v>
      </c>
      <c r="J49" s="1"/>
      <c r="K49" s="2" t="s">
        <v>527</v>
      </c>
      <c r="L49" s="2" t="s">
        <v>466</v>
      </c>
      <c r="M49" s="2" t="s">
        <v>125</v>
      </c>
      <c r="N49" s="6">
        <v>46083</v>
      </c>
      <c r="O49" s="6">
        <v>47487</v>
      </c>
      <c r="P49" s="2" t="s">
        <v>125</v>
      </c>
      <c r="Q49" s="3">
        <v>46062.431944444441</v>
      </c>
      <c r="R49" s="2" t="s">
        <v>471</v>
      </c>
      <c r="S49" s="3">
        <v>45421.286412037036</v>
      </c>
      <c r="T49" s="2" t="s">
        <v>457</v>
      </c>
      <c r="U49" s="2" t="s">
        <v>458</v>
      </c>
      <c r="V49" s="2" t="s">
        <v>30</v>
      </c>
      <c r="W49" s="2"/>
      <c r="X49" s="4">
        <f>Table_query[[#This Row],[Value $ ex GST]]*Table_query[[#This Row],[Margin]]</f>
        <v>0</v>
      </c>
      <c r="Y49">
        <f>ROUND(Table_query[[#This Row],[Modified]]-Table_query[[#This Row],[Created]],0)</f>
        <v>641</v>
      </c>
      <c r="Z49" s="10">
        <f ca="1">IF(_xlfn.NUMBERVALUE(LEFT(Table_query[[#This Row],[Phase]],1))&lt;=2,"",IF(Table_query[[#This Row],[Due]]&lt;TODAY(),ROUND(TODAY()-Table_query[[#This Row],[Due]],0),""))</f>
        <v>429</v>
      </c>
      <c r="AA49" s="6">
        <f ca="1">ROUND(TODAY()-Table_query[[#This Row],[Modified]],0)</f>
        <v>14</v>
      </c>
      <c r="AB49" s="4">
        <f>(Table_query[[#This Row],[Value $ ex GST]]*Table_query[[#This Row],[Margin]])/(DATEDIF(Table_query[[#This Row],[Start Date]],Table_query[[#This Row],[Expiry Date]],"m")+1)</f>
        <v>0</v>
      </c>
      <c r="AC49">
        <f>(Table_query[[#This Row],[Value $ ex GST]])/(DATEDIF(Table_query[[#This Row],[Start Date]],Table_query[[#This Row],[Expiry Date]],"m")+1)</f>
        <v>0</v>
      </c>
    </row>
    <row r="50" spans="1:29" x14ac:dyDescent="0.25">
      <c r="A50" s="1" t="s">
        <v>129</v>
      </c>
      <c r="B50" s="2" t="s">
        <v>66</v>
      </c>
      <c r="C50" s="3">
        <v>46013.583333333336</v>
      </c>
      <c r="D50" s="4"/>
      <c r="E50" s="5"/>
      <c r="F50" s="2" t="s">
        <v>55</v>
      </c>
      <c r="G50" s="2" t="s">
        <v>22</v>
      </c>
      <c r="H50" s="2" t="s">
        <v>363</v>
      </c>
      <c r="I50" t="s">
        <v>251</v>
      </c>
      <c r="J50" s="1"/>
      <c r="K50" s="2" t="s">
        <v>605</v>
      </c>
      <c r="L50" s="2" t="s">
        <v>466</v>
      </c>
      <c r="M50" s="2" t="s">
        <v>125</v>
      </c>
      <c r="N50" s="6">
        <v>46174</v>
      </c>
      <c r="O50" s="6">
        <v>48000</v>
      </c>
      <c r="P50" s="2" t="s">
        <v>528</v>
      </c>
      <c r="Q50" s="3">
        <v>46071.724027777775</v>
      </c>
      <c r="R50" s="2" t="s">
        <v>457</v>
      </c>
      <c r="S50" s="3">
        <v>45987.397118055553</v>
      </c>
      <c r="T50" s="2" t="s">
        <v>462</v>
      </c>
      <c r="U50" s="2" t="s">
        <v>458</v>
      </c>
      <c r="V50" s="2" t="s">
        <v>30</v>
      </c>
      <c r="W50" s="2"/>
      <c r="X50" s="4">
        <f>Table_query[[#This Row],[Value $ ex GST]]*Table_query[[#This Row],[Margin]]</f>
        <v>0</v>
      </c>
      <c r="Y50">
        <f>ROUND(Table_query[[#This Row],[Modified]]-Table_query[[#This Row],[Created]],0)</f>
        <v>84</v>
      </c>
      <c r="Z50" s="10">
        <f ca="1">IF(_xlfn.NUMBERVALUE(LEFT(Table_query[[#This Row],[Phase]],1))&lt;=2,"",IF(Table_query[[#This Row],[Due]]&lt;TODAY(),ROUND(TODAY()-Table_query[[#This Row],[Due]],0),""))</f>
        <v>62</v>
      </c>
      <c r="AA50" s="6">
        <f ca="1">ROUND(TODAY()-Table_query[[#This Row],[Modified]],0)</f>
        <v>4</v>
      </c>
      <c r="AB50" s="4">
        <f>(Table_query[[#This Row],[Value $ ex GST]]*Table_query[[#This Row],[Margin]])/(DATEDIF(Table_query[[#This Row],[Start Date]],Table_query[[#This Row],[Expiry Date]],"m")+1)</f>
        <v>0</v>
      </c>
      <c r="AC50">
        <f>(Table_query[[#This Row],[Value $ ex GST]])/(DATEDIF(Table_query[[#This Row],[Start Date]],Table_query[[#This Row],[Expiry Date]],"m")+1)</f>
        <v>0</v>
      </c>
    </row>
    <row r="51" spans="1:29" x14ac:dyDescent="0.25">
      <c r="A51" s="1" t="s">
        <v>127</v>
      </c>
      <c r="B51" s="2" t="s">
        <v>42</v>
      </c>
      <c r="C51" s="3">
        <v>45832.583333333336</v>
      </c>
      <c r="D51" s="4"/>
      <c r="E51" s="5"/>
      <c r="F51" s="2" t="s">
        <v>5</v>
      </c>
      <c r="G51" s="2" t="s">
        <v>22</v>
      </c>
      <c r="H51" s="2" t="s">
        <v>457</v>
      </c>
      <c r="I51" t="s">
        <v>251</v>
      </c>
      <c r="J51" s="1"/>
      <c r="K51" s="2" t="s">
        <v>529</v>
      </c>
      <c r="L51" s="2" t="s">
        <v>466</v>
      </c>
      <c r="M51" s="2" t="s">
        <v>125</v>
      </c>
      <c r="N51" s="6">
        <v>46082</v>
      </c>
      <c r="O51" s="6">
        <v>47391</v>
      </c>
      <c r="P51" s="2" t="s">
        <v>125</v>
      </c>
      <c r="Q51" s="3">
        <v>46057.392650462964</v>
      </c>
      <c r="R51" s="2" t="s">
        <v>457</v>
      </c>
      <c r="S51" s="3">
        <v>45675.316840277781</v>
      </c>
      <c r="T51" s="2" t="s">
        <v>457</v>
      </c>
      <c r="U51" s="2" t="s">
        <v>458</v>
      </c>
      <c r="V51" s="2" t="s">
        <v>30</v>
      </c>
      <c r="W51" s="2"/>
      <c r="X51" s="4">
        <f>Table_query[[#This Row],[Value $ ex GST]]*Table_query[[#This Row],[Margin]]</f>
        <v>0</v>
      </c>
      <c r="Y51">
        <f>ROUND(Table_query[[#This Row],[Modified]]-Table_query[[#This Row],[Created]],0)</f>
        <v>382</v>
      </c>
      <c r="Z51" s="10">
        <f ca="1">IF(_xlfn.NUMBERVALUE(LEFT(Table_query[[#This Row],[Phase]],1))&lt;=2,"",IF(Table_query[[#This Row],[Due]]&lt;TODAY(),ROUND(TODAY()-Table_query[[#This Row],[Due]],0),""))</f>
        <v>243</v>
      </c>
      <c r="AA51" s="6">
        <f ca="1">ROUND(TODAY()-Table_query[[#This Row],[Modified]],0)</f>
        <v>19</v>
      </c>
      <c r="AB51" s="4">
        <f>(Table_query[[#This Row],[Value $ ex GST]]*Table_query[[#This Row],[Margin]])/(DATEDIF(Table_query[[#This Row],[Start Date]],Table_query[[#This Row],[Expiry Date]],"m")+1)</f>
        <v>0</v>
      </c>
      <c r="AC51">
        <f>(Table_query[[#This Row],[Value $ ex GST]])/(DATEDIF(Table_query[[#This Row],[Start Date]],Table_query[[#This Row],[Expiry Date]],"m")+1)</f>
        <v>0</v>
      </c>
    </row>
    <row r="52" spans="1:29" x14ac:dyDescent="0.25">
      <c r="A52" s="1" t="s">
        <v>134</v>
      </c>
      <c r="B52" s="2" t="s">
        <v>132</v>
      </c>
      <c r="C52" s="3">
        <v>46108.666666666664</v>
      </c>
      <c r="D52" s="4"/>
      <c r="E52" s="5"/>
      <c r="F52" s="2" t="s">
        <v>5</v>
      </c>
      <c r="G52" s="2" t="s">
        <v>208</v>
      </c>
      <c r="H52" s="2" t="s">
        <v>363</v>
      </c>
      <c r="I52" t="s">
        <v>484</v>
      </c>
      <c r="J52" s="1"/>
      <c r="K52" s="2" t="s">
        <v>606</v>
      </c>
      <c r="L52" s="2" t="s">
        <v>466</v>
      </c>
      <c r="M52" s="2" t="s">
        <v>125</v>
      </c>
      <c r="N52" s="6">
        <v>46083</v>
      </c>
      <c r="O52" s="6">
        <v>47149</v>
      </c>
      <c r="P52" s="2" t="s">
        <v>125</v>
      </c>
      <c r="Q52" s="3">
        <v>46069.390138888892</v>
      </c>
      <c r="R52" s="2" t="s">
        <v>457</v>
      </c>
      <c r="S52" s="3">
        <v>45945.549305555556</v>
      </c>
      <c r="T52" s="2" t="s">
        <v>457</v>
      </c>
      <c r="U52" s="2" t="s">
        <v>458</v>
      </c>
      <c r="V52" s="2" t="s">
        <v>30</v>
      </c>
      <c r="W52" s="2" t="s">
        <v>243</v>
      </c>
      <c r="X52" s="4">
        <f>Table_query[[#This Row],[Value $ ex GST]]*Table_query[[#This Row],[Margin]]</f>
        <v>0</v>
      </c>
      <c r="Y52">
        <f>ROUND(Table_query[[#This Row],[Modified]]-Table_query[[#This Row],[Created]],0)</f>
        <v>124</v>
      </c>
      <c r="Z52" s="10" t="str">
        <f ca="1">IF(_xlfn.NUMBERVALUE(LEFT(Table_query[[#This Row],[Phase]],1))&lt;=2,"",IF(Table_query[[#This Row],[Due]]&lt;TODAY(),ROUND(TODAY()-Table_query[[#This Row],[Due]],0),""))</f>
        <v/>
      </c>
      <c r="AA52" s="6">
        <f ca="1">ROUND(TODAY()-Table_query[[#This Row],[Modified]],0)</f>
        <v>7</v>
      </c>
      <c r="AB52" s="4">
        <f>(Table_query[[#This Row],[Value $ ex GST]]*Table_query[[#This Row],[Margin]])/(DATEDIF(Table_query[[#This Row],[Start Date]],Table_query[[#This Row],[Expiry Date]],"m")+1)</f>
        <v>0</v>
      </c>
      <c r="AC52">
        <f>(Table_query[[#This Row],[Value $ ex GST]])/(DATEDIF(Table_query[[#This Row],[Start Date]],Table_query[[#This Row],[Expiry Date]],"m")+1)</f>
        <v>0</v>
      </c>
    </row>
    <row r="53" spans="1:29" x14ac:dyDescent="0.25">
      <c r="A53" s="1" t="s">
        <v>143</v>
      </c>
      <c r="B53" s="2" t="s">
        <v>132</v>
      </c>
      <c r="C53" s="3">
        <v>46097.666666666664</v>
      </c>
      <c r="D53" s="4"/>
      <c r="E53" s="5"/>
      <c r="F53" s="2" t="s">
        <v>5</v>
      </c>
      <c r="G53" s="2" t="s">
        <v>208</v>
      </c>
      <c r="H53" s="2" t="s">
        <v>522</v>
      </c>
      <c r="I53" t="s">
        <v>251</v>
      </c>
      <c r="J53" s="1"/>
      <c r="K53" s="2" t="s">
        <v>607</v>
      </c>
      <c r="L53" s="2" t="s">
        <v>466</v>
      </c>
      <c r="M53" s="2" t="s">
        <v>125</v>
      </c>
      <c r="N53" s="6">
        <v>46172</v>
      </c>
      <c r="O53" s="6"/>
      <c r="P53" s="2"/>
      <c r="Q53" s="3">
        <v>46069.392384259256</v>
      </c>
      <c r="R53" s="2" t="s">
        <v>457</v>
      </c>
      <c r="S53" s="3">
        <v>46059.652199074073</v>
      </c>
      <c r="T53" s="2" t="s">
        <v>523</v>
      </c>
      <c r="U53" s="2" t="s">
        <v>458</v>
      </c>
      <c r="V53" s="2" t="s">
        <v>30</v>
      </c>
      <c r="W53" s="2"/>
      <c r="X53" s="4">
        <f>Table_query[[#This Row],[Value $ ex GST]]*Table_query[[#This Row],[Margin]]</f>
        <v>0</v>
      </c>
      <c r="Y53">
        <f>ROUND(Table_query[[#This Row],[Modified]]-Table_query[[#This Row],[Created]],0)</f>
        <v>10</v>
      </c>
      <c r="Z53" s="10" t="str">
        <f ca="1">IF(_xlfn.NUMBERVALUE(LEFT(Table_query[[#This Row],[Phase]],1))&lt;=2,"",IF(Table_query[[#This Row],[Due]]&lt;TODAY(),ROUND(TODAY()-Table_query[[#This Row],[Due]],0),""))</f>
        <v/>
      </c>
      <c r="AA53" s="6">
        <f ca="1">ROUND(TODAY()-Table_query[[#This Row],[Modified]],0)</f>
        <v>7</v>
      </c>
      <c r="AB53" s="4" t="e">
        <f>(Table_query[[#This Row],[Value $ ex GST]]*Table_query[[#This Row],[Margin]])/(DATEDIF(Table_query[[#This Row],[Start Date]],Table_query[[#This Row],[Expiry Date]],"m")+1)</f>
        <v>#NUM!</v>
      </c>
      <c r="AC53" t="e">
        <f>(Table_query[[#This Row],[Value $ ex GST]])/(DATEDIF(Table_query[[#This Row],[Start Date]],Table_query[[#This Row],[Expiry Date]],"m")+1)</f>
        <v>#NUM!</v>
      </c>
    </row>
    <row r="54" spans="1:29" x14ac:dyDescent="0.25">
      <c r="A54" s="1" t="s">
        <v>128</v>
      </c>
      <c r="B54" s="2" t="s">
        <v>66</v>
      </c>
      <c r="C54" s="3">
        <v>46001.666666666664</v>
      </c>
      <c r="D54" s="4"/>
      <c r="E54" s="5"/>
      <c r="F54" s="2" t="s">
        <v>5</v>
      </c>
      <c r="G54" s="2" t="s">
        <v>208</v>
      </c>
      <c r="H54" s="2" t="s">
        <v>363</v>
      </c>
      <c r="I54" t="s">
        <v>484</v>
      </c>
      <c r="J54" s="1"/>
      <c r="K54" s="2" t="s">
        <v>530</v>
      </c>
      <c r="L54" s="2" t="s">
        <v>466</v>
      </c>
      <c r="M54" s="2" t="s">
        <v>125</v>
      </c>
      <c r="N54" s="6">
        <v>46296</v>
      </c>
      <c r="O54" s="6">
        <v>47391</v>
      </c>
      <c r="P54" s="2" t="s">
        <v>486</v>
      </c>
      <c r="Q54" s="3">
        <v>46029.732673611114</v>
      </c>
      <c r="R54" s="2" t="s">
        <v>471</v>
      </c>
      <c r="S54" s="3">
        <v>45882.344386574077</v>
      </c>
      <c r="T54" s="2" t="s">
        <v>462</v>
      </c>
      <c r="U54" s="2" t="s">
        <v>458</v>
      </c>
      <c r="V54" s="2" t="s">
        <v>30</v>
      </c>
      <c r="W54" s="2"/>
      <c r="X54" s="4">
        <f>Table_query[[#This Row],[Value $ ex GST]]*Table_query[[#This Row],[Margin]]</f>
        <v>0</v>
      </c>
      <c r="Y54">
        <f>ROUND(Table_query[[#This Row],[Modified]]-Table_query[[#This Row],[Created]],0)</f>
        <v>147</v>
      </c>
      <c r="Z54" s="10">
        <f ca="1">IF(_xlfn.NUMBERVALUE(LEFT(Table_query[[#This Row],[Phase]],1))&lt;=2,"",IF(Table_query[[#This Row],[Due]]&lt;TODAY(),ROUND(TODAY()-Table_query[[#This Row],[Due]],0),""))</f>
        <v>74</v>
      </c>
      <c r="AA54" s="6">
        <f ca="1">ROUND(TODAY()-Table_query[[#This Row],[Modified]],0)</f>
        <v>46</v>
      </c>
      <c r="AB54" s="4">
        <f>(Table_query[[#This Row],[Value $ ex GST]]*Table_query[[#This Row],[Margin]])/(DATEDIF(Table_query[[#This Row],[Start Date]],Table_query[[#This Row],[Expiry Date]],"m")+1)</f>
        <v>0</v>
      </c>
      <c r="AC54">
        <f>(Table_query[[#This Row],[Value $ ex GST]])/(DATEDIF(Table_query[[#This Row],[Start Date]],Table_query[[#This Row],[Expiry Date]],"m")+1)</f>
        <v>0</v>
      </c>
    </row>
    <row r="55" spans="1:29" x14ac:dyDescent="0.25">
      <c r="A55" s="1" t="s">
        <v>232</v>
      </c>
      <c r="B55" s="2" t="s">
        <v>192</v>
      </c>
      <c r="C55" s="3">
        <v>46203</v>
      </c>
      <c r="D55" s="4"/>
      <c r="E55" s="5"/>
      <c r="F55" s="2"/>
      <c r="G55" s="2" t="s">
        <v>22</v>
      </c>
      <c r="H55" s="2" t="s">
        <v>522</v>
      </c>
      <c r="I55" t="s">
        <v>251</v>
      </c>
      <c r="J55" s="1"/>
      <c r="K55" s="2"/>
      <c r="L55" s="2" t="s">
        <v>466</v>
      </c>
      <c r="M55" s="2"/>
      <c r="N55" s="6"/>
      <c r="O55" s="6"/>
      <c r="P55" s="2"/>
      <c r="Q55" s="3">
        <v>46059.953379629631</v>
      </c>
      <c r="R55" s="2" t="s">
        <v>457</v>
      </c>
      <c r="S55" s="3">
        <v>46059.681458333333</v>
      </c>
      <c r="T55" s="2" t="s">
        <v>523</v>
      </c>
      <c r="U55" s="2" t="s">
        <v>458</v>
      </c>
      <c r="V55" s="2" t="s">
        <v>30</v>
      </c>
      <c r="W55" s="2"/>
      <c r="X55" s="4">
        <f>Table_query[[#This Row],[Value $ ex GST]]*Table_query[[#This Row],[Margin]]</f>
        <v>0</v>
      </c>
      <c r="Y55">
        <f>ROUND(Table_query[[#This Row],[Modified]]-Table_query[[#This Row],[Created]],0)</f>
        <v>0</v>
      </c>
      <c r="Z55" s="10" t="str">
        <f ca="1">IF(_xlfn.NUMBERVALUE(LEFT(Table_query[[#This Row],[Phase]],1))&lt;=2,"",IF(Table_query[[#This Row],[Due]]&lt;TODAY(),ROUND(TODAY()-Table_query[[#This Row],[Due]],0),""))</f>
        <v/>
      </c>
      <c r="AA55" s="6">
        <f ca="1">ROUND(TODAY()-Table_query[[#This Row],[Modified]],0)</f>
        <v>16</v>
      </c>
      <c r="AB55" s="4">
        <f>(Table_query[[#This Row],[Value $ ex GST]]*Table_query[[#This Row],[Margin]])/(DATEDIF(Table_query[[#This Row],[Start Date]],Table_query[[#This Row],[Expiry Date]],"m")+1)</f>
        <v>0</v>
      </c>
      <c r="AC55">
        <f>(Table_query[[#This Row],[Value $ ex GST]])/(DATEDIF(Table_query[[#This Row],[Start Date]],Table_query[[#This Row],[Expiry Date]],"m")+1)</f>
        <v>0</v>
      </c>
    </row>
    <row r="56" spans="1:29" x14ac:dyDescent="0.25">
      <c r="A56" s="1" t="s">
        <v>531</v>
      </c>
      <c r="B56" s="2" t="s">
        <v>532</v>
      </c>
      <c r="C56" s="3"/>
      <c r="D56" s="4"/>
      <c r="E56" s="5"/>
      <c r="F56" s="2"/>
      <c r="G56" s="2"/>
      <c r="H56" s="2"/>
      <c r="I56" t="s">
        <v>251</v>
      </c>
      <c r="J56" s="1"/>
      <c r="K56" s="2"/>
      <c r="L56" s="2"/>
      <c r="M56" s="2"/>
      <c r="N56" s="6"/>
      <c r="O56" s="6"/>
      <c r="P56" s="2"/>
      <c r="Q56" s="3">
        <v>45501.725706018522</v>
      </c>
      <c r="R56" s="2" t="s">
        <v>457</v>
      </c>
      <c r="S56" s="3">
        <v>45501.725462962961</v>
      </c>
      <c r="T56" s="2" t="s">
        <v>457</v>
      </c>
      <c r="U56" s="2" t="s">
        <v>533</v>
      </c>
      <c r="V56" s="2" t="s">
        <v>30</v>
      </c>
      <c r="W56" s="2"/>
      <c r="X56" s="4">
        <f>Table_query[[#This Row],[Value $ ex GST]]*Table_query[[#This Row],[Margin]]</f>
        <v>0</v>
      </c>
      <c r="Y56">
        <f>ROUND(Table_query[[#This Row],[Modified]]-Table_query[[#This Row],[Created]],0)</f>
        <v>0</v>
      </c>
      <c r="Z56" s="10">
        <f ca="1">IF(_xlfn.NUMBERVALUE(LEFT(Table_query[[#This Row],[Phase]],1))&lt;=2,"",IF(Table_query[[#This Row],[Due]]&lt;TODAY(),ROUND(TODAY()-Table_query[[#This Row],[Due]],0),""))</f>
        <v>46076</v>
      </c>
      <c r="AA56" s="6">
        <f ca="1">ROUND(TODAY()-Table_query[[#This Row],[Modified]],0)</f>
        <v>574</v>
      </c>
      <c r="AB56" s="4">
        <f>(Table_query[[#This Row],[Value $ ex GST]]*Table_query[[#This Row],[Margin]])/(DATEDIF(Table_query[[#This Row],[Start Date]],Table_query[[#This Row],[Expiry Date]],"m")+1)</f>
        <v>0</v>
      </c>
      <c r="AC56">
        <f>(Table_query[[#This Row],[Value $ ex GST]])/(DATEDIF(Table_query[[#This Row],[Start Date]],Table_query[[#This Row],[Expiry Date]],"m")+1)</f>
        <v>0</v>
      </c>
    </row>
    <row r="57" spans="1:29" x14ac:dyDescent="0.25">
      <c r="A57" s="1" t="s">
        <v>59</v>
      </c>
      <c r="B57" s="2" t="s">
        <v>42</v>
      </c>
      <c r="C57" s="3">
        <v>46101</v>
      </c>
      <c r="D57" s="4">
        <v>129600</v>
      </c>
      <c r="E57" s="5">
        <v>0.14000000000000001</v>
      </c>
      <c r="F57" s="2" t="s">
        <v>5</v>
      </c>
      <c r="G57" s="2" t="s">
        <v>18</v>
      </c>
      <c r="H57" s="2"/>
      <c r="I57" t="s">
        <v>251</v>
      </c>
      <c r="J57" s="1"/>
      <c r="K57" s="2" t="s">
        <v>534</v>
      </c>
      <c r="L57" s="2"/>
      <c r="M57" s="2" t="s">
        <v>39</v>
      </c>
      <c r="N57" s="6">
        <v>46113</v>
      </c>
      <c r="O57" s="6">
        <v>46203</v>
      </c>
      <c r="P57" s="2"/>
      <c r="Q57" s="3">
        <v>46063.574282407404</v>
      </c>
      <c r="R57" s="2" t="s">
        <v>471</v>
      </c>
      <c r="S57" s="3">
        <v>45867.407534722224</v>
      </c>
      <c r="T57" s="2" t="s">
        <v>471</v>
      </c>
      <c r="U57" s="2" t="s">
        <v>458</v>
      </c>
      <c r="V57" s="2" t="s">
        <v>30</v>
      </c>
      <c r="W57" s="2"/>
      <c r="X57" s="4">
        <f>Table_query[[#This Row],[Value $ ex GST]]*Table_query[[#This Row],[Margin]]</f>
        <v>18144</v>
      </c>
      <c r="Y57">
        <f>ROUND(Table_query[[#This Row],[Modified]]-Table_query[[#This Row],[Created]],0)</f>
        <v>196</v>
      </c>
      <c r="Z57" s="10" t="str">
        <f ca="1">IF(_xlfn.NUMBERVALUE(LEFT(Table_query[[#This Row],[Phase]],1))&lt;=2,"",IF(Table_query[[#This Row],[Due]]&lt;TODAY(),ROUND(TODAY()-Table_query[[#This Row],[Due]],0),""))</f>
        <v/>
      </c>
      <c r="AA57" s="6">
        <f ca="1">ROUND(TODAY()-Table_query[[#This Row],[Modified]],0)</f>
        <v>12</v>
      </c>
      <c r="AB57" s="4">
        <f>(Table_query[[#This Row],[Value $ ex GST]]*Table_query[[#This Row],[Margin]])/(DATEDIF(Table_query[[#This Row],[Start Date]],Table_query[[#This Row],[Expiry Date]],"m")+1)</f>
        <v>6048</v>
      </c>
      <c r="AC57">
        <f>(Table_query[[#This Row],[Value $ ex GST]])/(DATEDIF(Table_query[[#This Row],[Start Date]],Table_query[[#This Row],[Expiry Date]],"m")+1)</f>
        <v>43200</v>
      </c>
    </row>
    <row r="58" spans="1:29" x14ac:dyDescent="0.25">
      <c r="A58" s="1" t="s">
        <v>133</v>
      </c>
      <c r="B58" s="2" t="s">
        <v>42</v>
      </c>
      <c r="C58" s="3">
        <v>46083</v>
      </c>
      <c r="D58" s="4">
        <v>412500</v>
      </c>
      <c r="E58" s="5">
        <v>0.28000000000000003</v>
      </c>
      <c r="F58" s="2" t="s">
        <v>5</v>
      </c>
      <c r="G58" s="2" t="s">
        <v>18</v>
      </c>
      <c r="H58" s="2" t="s">
        <v>420</v>
      </c>
      <c r="I58" t="s">
        <v>535</v>
      </c>
      <c r="J58" s="1" t="s">
        <v>536</v>
      </c>
      <c r="K58" s="2" t="s">
        <v>537</v>
      </c>
      <c r="L58" s="2" t="s">
        <v>514</v>
      </c>
      <c r="M58" s="2" t="s">
        <v>39</v>
      </c>
      <c r="N58" s="6">
        <v>46113</v>
      </c>
      <c r="O58" s="6">
        <v>46477</v>
      </c>
      <c r="P58" s="2" t="s">
        <v>18</v>
      </c>
      <c r="Q58" s="3">
        <v>46073.646574074075</v>
      </c>
      <c r="R58" s="2" t="s">
        <v>471</v>
      </c>
      <c r="S58" s="3">
        <v>45401.450046296297</v>
      </c>
      <c r="T58" s="2" t="s">
        <v>538</v>
      </c>
      <c r="U58" s="2" t="s">
        <v>458</v>
      </c>
      <c r="V58" s="2" t="s">
        <v>30</v>
      </c>
      <c r="W58" s="2"/>
      <c r="X58" s="4">
        <f>Table_query[[#This Row],[Value $ ex GST]]*Table_query[[#This Row],[Margin]]</f>
        <v>115500.00000000001</v>
      </c>
      <c r="Y58">
        <f>ROUND(Table_query[[#This Row],[Modified]]-Table_query[[#This Row],[Created]],0)</f>
        <v>672</v>
      </c>
      <c r="Z58" s="10" t="str">
        <f ca="1">IF(_xlfn.NUMBERVALUE(LEFT(Table_query[[#This Row],[Phase]],1))&lt;=2,"",IF(Table_query[[#This Row],[Due]]&lt;TODAY(),ROUND(TODAY()-Table_query[[#This Row],[Due]],0),""))</f>
        <v/>
      </c>
      <c r="AA58" s="6">
        <f ca="1">ROUND(TODAY()-Table_query[[#This Row],[Modified]],0)</f>
        <v>2</v>
      </c>
      <c r="AB58" s="4">
        <f>(Table_query[[#This Row],[Value $ ex GST]]*Table_query[[#This Row],[Margin]])/(DATEDIF(Table_query[[#This Row],[Start Date]],Table_query[[#This Row],[Expiry Date]],"m")+1)</f>
        <v>9625.0000000000018</v>
      </c>
      <c r="AC58">
        <f>(Table_query[[#This Row],[Value $ ex GST]])/(DATEDIF(Table_query[[#This Row],[Start Date]],Table_query[[#This Row],[Expiry Date]],"m")+1)</f>
        <v>34375</v>
      </c>
    </row>
    <row r="59" spans="1:29" x14ac:dyDescent="0.25">
      <c r="A59" s="1" t="s">
        <v>61</v>
      </c>
      <c r="B59" s="2" t="s">
        <v>42</v>
      </c>
      <c r="C59" s="3">
        <v>46101</v>
      </c>
      <c r="D59" s="4">
        <v>112108.24</v>
      </c>
      <c r="E59" s="5">
        <v>0.11</v>
      </c>
      <c r="F59" s="2" t="s">
        <v>5</v>
      </c>
      <c r="G59" s="2" t="s">
        <v>18</v>
      </c>
      <c r="H59" s="2"/>
      <c r="I59" t="s">
        <v>251</v>
      </c>
      <c r="J59" s="1"/>
      <c r="K59" s="2" t="s">
        <v>534</v>
      </c>
      <c r="L59" s="2"/>
      <c r="M59" s="2" t="s">
        <v>39</v>
      </c>
      <c r="N59" s="6">
        <v>46112</v>
      </c>
      <c r="O59" s="6">
        <v>46203</v>
      </c>
      <c r="P59" s="2"/>
      <c r="Q59" s="3">
        <v>46063.574201388888</v>
      </c>
      <c r="R59" s="2" t="s">
        <v>471</v>
      </c>
      <c r="S59" s="3">
        <v>46063.569340277776</v>
      </c>
      <c r="T59" s="2" t="s">
        <v>471</v>
      </c>
      <c r="U59" s="2" t="s">
        <v>458</v>
      </c>
      <c r="V59" s="2" t="s">
        <v>30</v>
      </c>
      <c r="W59" s="2"/>
      <c r="X59" s="4">
        <f>Table_query[[#This Row],[Value $ ex GST]]*Table_query[[#This Row],[Margin]]</f>
        <v>12331.9064</v>
      </c>
      <c r="Y59">
        <f>ROUND(Table_query[[#This Row],[Modified]]-Table_query[[#This Row],[Created]],0)</f>
        <v>0</v>
      </c>
      <c r="Z59" s="10" t="str">
        <f ca="1">IF(_xlfn.NUMBERVALUE(LEFT(Table_query[[#This Row],[Phase]],1))&lt;=2,"",IF(Table_query[[#This Row],[Due]]&lt;TODAY(),ROUND(TODAY()-Table_query[[#This Row],[Due]],0),""))</f>
        <v/>
      </c>
      <c r="AA59" s="6">
        <f ca="1">ROUND(TODAY()-Table_query[[#This Row],[Modified]],0)</f>
        <v>12</v>
      </c>
      <c r="AB59" s="4">
        <f>(Table_query[[#This Row],[Value $ ex GST]]*Table_query[[#This Row],[Margin]])/(DATEDIF(Table_query[[#This Row],[Start Date]],Table_query[[#This Row],[Expiry Date]],"m")+1)</f>
        <v>4110.6354666666666</v>
      </c>
      <c r="AC59">
        <f>(Table_query[[#This Row],[Value $ ex GST]])/(DATEDIF(Table_query[[#This Row],[Start Date]],Table_query[[#This Row],[Expiry Date]],"m")+1)</f>
        <v>37369.413333333338</v>
      </c>
    </row>
    <row r="60" spans="1:29" x14ac:dyDescent="0.25">
      <c r="A60" s="1" t="s">
        <v>206</v>
      </c>
      <c r="B60" s="2" t="s">
        <v>192</v>
      </c>
      <c r="C60" s="3">
        <v>46112</v>
      </c>
      <c r="D60" s="4">
        <v>3000000</v>
      </c>
      <c r="E60" s="5"/>
      <c r="F60" s="2" t="s">
        <v>55</v>
      </c>
      <c r="G60" s="2" t="s">
        <v>18</v>
      </c>
      <c r="H60" s="2" t="s">
        <v>397</v>
      </c>
      <c r="I60" t="s">
        <v>539</v>
      </c>
      <c r="J60" s="1"/>
      <c r="K60" s="2"/>
      <c r="L60" s="2" t="s">
        <v>493</v>
      </c>
      <c r="M60" s="2" t="s">
        <v>34</v>
      </c>
      <c r="N60" s="6">
        <v>46083</v>
      </c>
      <c r="O60" s="6">
        <v>46374</v>
      </c>
      <c r="P60" s="2" t="s">
        <v>18</v>
      </c>
      <c r="Q60" s="3">
        <v>46067.359143518515</v>
      </c>
      <c r="R60" s="2" t="s">
        <v>457</v>
      </c>
      <c r="S60" s="3">
        <v>45919.503344907411</v>
      </c>
      <c r="T60" s="2" t="s">
        <v>481</v>
      </c>
      <c r="U60" s="2" t="s">
        <v>458</v>
      </c>
      <c r="V60" s="2" t="s">
        <v>30</v>
      </c>
      <c r="W60" s="2" t="s">
        <v>540</v>
      </c>
      <c r="X60" s="4">
        <f>Table_query[[#This Row],[Value $ ex GST]]*Table_query[[#This Row],[Margin]]</f>
        <v>0</v>
      </c>
      <c r="Y60">
        <f>ROUND(Table_query[[#This Row],[Modified]]-Table_query[[#This Row],[Created]],0)</f>
        <v>148</v>
      </c>
      <c r="Z60" s="10" t="str">
        <f ca="1">IF(_xlfn.NUMBERVALUE(LEFT(Table_query[[#This Row],[Phase]],1))&lt;=2,"",IF(Table_query[[#This Row],[Due]]&lt;TODAY(),ROUND(TODAY()-Table_query[[#This Row],[Due]],0),""))</f>
        <v/>
      </c>
      <c r="AA60" s="6">
        <f ca="1">ROUND(TODAY()-Table_query[[#This Row],[Modified]],0)</f>
        <v>9</v>
      </c>
      <c r="AB60" s="4">
        <f>(Table_query[[#This Row],[Value $ ex GST]]*Table_query[[#This Row],[Margin]])/(DATEDIF(Table_query[[#This Row],[Start Date]],Table_query[[#This Row],[Expiry Date]],"m")+1)</f>
        <v>0</v>
      </c>
      <c r="AC60">
        <f>(Table_query[[#This Row],[Value $ ex GST]])/(DATEDIF(Table_query[[#This Row],[Start Date]],Table_query[[#This Row],[Expiry Date]],"m")+1)</f>
        <v>300000</v>
      </c>
    </row>
    <row r="61" spans="1:29" x14ac:dyDescent="0.25">
      <c r="A61" s="1" t="s">
        <v>203</v>
      </c>
      <c r="B61" s="2" t="s">
        <v>192</v>
      </c>
      <c r="C61" s="3">
        <v>46112.999305555553</v>
      </c>
      <c r="D61" s="4">
        <v>3000000</v>
      </c>
      <c r="E61" s="5"/>
      <c r="F61" s="2" t="s">
        <v>55</v>
      </c>
      <c r="G61" s="2" t="s">
        <v>18</v>
      </c>
      <c r="H61" s="2" t="s">
        <v>420</v>
      </c>
      <c r="I61" t="s">
        <v>535</v>
      </c>
      <c r="J61" s="1" t="s">
        <v>541</v>
      </c>
      <c r="K61" s="2" t="s">
        <v>542</v>
      </c>
      <c r="L61" s="2" t="s">
        <v>543</v>
      </c>
      <c r="M61" s="2" t="s">
        <v>34</v>
      </c>
      <c r="N61" s="6">
        <v>46204</v>
      </c>
      <c r="O61" s="6">
        <v>46934</v>
      </c>
      <c r="P61" s="2" t="s">
        <v>18</v>
      </c>
      <c r="Q61" s="3">
        <v>46067.36041666667</v>
      </c>
      <c r="R61" s="2" t="s">
        <v>457</v>
      </c>
      <c r="S61" s="3">
        <v>45800.386678240742</v>
      </c>
      <c r="T61" s="2" t="s">
        <v>420</v>
      </c>
      <c r="U61" s="2" t="s">
        <v>458</v>
      </c>
      <c r="V61" s="2" t="s">
        <v>30</v>
      </c>
      <c r="W61" s="2" t="s">
        <v>544</v>
      </c>
      <c r="X61" s="4">
        <f>Table_query[[#This Row],[Value $ ex GST]]*Table_query[[#This Row],[Margin]]</f>
        <v>0</v>
      </c>
      <c r="Y61">
        <f>ROUND(Table_query[[#This Row],[Modified]]-Table_query[[#This Row],[Created]],0)</f>
        <v>267</v>
      </c>
      <c r="Z61" s="10" t="str">
        <f ca="1">IF(_xlfn.NUMBERVALUE(LEFT(Table_query[[#This Row],[Phase]],1))&lt;=2,"",IF(Table_query[[#This Row],[Due]]&lt;TODAY(),ROUND(TODAY()-Table_query[[#This Row],[Due]],0),""))</f>
        <v/>
      </c>
      <c r="AA61" s="6">
        <f ca="1">ROUND(TODAY()-Table_query[[#This Row],[Modified]],0)</f>
        <v>9</v>
      </c>
      <c r="AB61" s="4">
        <f>(Table_query[[#This Row],[Value $ ex GST]]*Table_query[[#This Row],[Margin]])/(DATEDIF(Table_query[[#This Row],[Start Date]],Table_query[[#This Row],[Expiry Date]],"m")+1)</f>
        <v>0</v>
      </c>
      <c r="AC61">
        <f>(Table_query[[#This Row],[Value $ ex GST]])/(DATEDIF(Table_query[[#This Row],[Start Date]],Table_query[[#This Row],[Expiry Date]],"m")+1)</f>
        <v>125000</v>
      </c>
    </row>
    <row r="62" spans="1:29" x14ac:dyDescent="0.25">
      <c r="A62" s="1" t="s">
        <v>204</v>
      </c>
      <c r="B62" s="2" t="s">
        <v>192</v>
      </c>
      <c r="C62" s="3">
        <v>46112.999305555553</v>
      </c>
      <c r="D62" s="4">
        <v>559300</v>
      </c>
      <c r="E62" s="5">
        <v>0.27500000000000002</v>
      </c>
      <c r="F62" s="2" t="s">
        <v>55</v>
      </c>
      <c r="G62" s="2" t="s">
        <v>18</v>
      </c>
      <c r="H62" s="2" t="s">
        <v>420</v>
      </c>
      <c r="I62" t="s">
        <v>535</v>
      </c>
      <c r="J62" s="1" t="s">
        <v>545</v>
      </c>
      <c r="K62" s="2" t="s">
        <v>546</v>
      </c>
      <c r="L62" s="2" t="s">
        <v>466</v>
      </c>
      <c r="M62" s="2" t="s">
        <v>34</v>
      </c>
      <c r="N62" s="6">
        <v>46083</v>
      </c>
      <c r="O62" s="6">
        <v>46265</v>
      </c>
      <c r="P62" s="2" t="s">
        <v>18</v>
      </c>
      <c r="Q62" s="3">
        <v>46067.36042824074</v>
      </c>
      <c r="R62" s="2" t="s">
        <v>457</v>
      </c>
      <c r="S62" s="3">
        <v>45777.429097222222</v>
      </c>
      <c r="T62" s="2" t="s">
        <v>420</v>
      </c>
      <c r="U62" s="2" t="s">
        <v>458</v>
      </c>
      <c r="V62" s="2" t="s">
        <v>30</v>
      </c>
      <c r="W62" s="2"/>
      <c r="X62" s="4">
        <f>Table_query[[#This Row],[Value $ ex GST]]*Table_query[[#This Row],[Margin]]</f>
        <v>153807.5</v>
      </c>
      <c r="Y62">
        <f>ROUND(Table_query[[#This Row],[Modified]]-Table_query[[#This Row],[Created]],0)</f>
        <v>290</v>
      </c>
      <c r="Z62" s="10" t="str">
        <f ca="1">IF(_xlfn.NUMBERVALUE(LEFT(Table_query[[#This Row],[Phase]],1))&lt;=2,"",IF(Table_query[[#This Row],[Due]]&lt;TODAY(),ROUND(TODAY()-Table_query[[#This Row],[Due]],0),""))</f>
        <v/>
      </c>
      <c r="AA62" s="6">
        <f ca="1">ROUND(TODAY()-Table_query[[#This Row],[Modified]],0)</f>
        <v>9</v>
      </c>
      <c r="AB62" s="4">
        <f>(Table_query[[#This Row],[Value $ ex GST]]*Table_query[[#This Row],[Margin]])/(DATEDIF(Table_query[[#This Row],[Start Date]],Table_query[[#This Row],[Expiry Date]],"m")+1)</f>
        <v>25634.583333333332</v>
      </c>
      <c r="AC62">
        <f>(Table_query[[#This Row],[Value $ ex GST]])/(DATEDIF(Table_query[[#This Row],[Start Date]],Table_query[[#This Row],[Expiry Date]],"m")+1)</f>
        <v>93216.666666666672</v>
      </c>
    </row>
    <row r="63" spans="1:29" x14ac:dyDescent="0.25">
      <c r="A63" s="1" t="s">
        <v>621</v>
      </c>
      <c r="B63" s="2" t="s">
        <v>192</v>
      </c>
      <c r="C63" s="3">
        <v>46077.999305555553</v>
      </c>
      <c r="D63" s="4"/>
      <c r="E63" s="5"/>
      <c r="F63" s="2" t="s">
        <v>55</v>
      </c>
      <c r="G63" s="2" t="s">
        <v>18</v>
      </c>
      <c r="H63" s="2" t="s">
        <v>397</v>
      </c>
      <c r="I63" t="s">
        <v>539</v>
      </c>
      <c r="J63" s="1"/>
      <c r="K63" s="2" t="s">
        <v>608</v>
      </c>
      <c r="L63" s="2" t="s">
        <v>466</v>
      </c>
      <c r="M63" s="2" t="s">
        <v>39</v>
      </c>
      <c r="N63" s="6">
        <v>46132</v>
      </c>
      <c r="O63" s="6"/>
      <c r="P63" s="2" t="s">
        <v>18</v>
      </c>
      <c r="Q63" s="3">
        <v>46066.694097222222</v>
      </c>
      <c r="R63" s="2" t="s">
        <v>481</v>
      </c>
      <c r="S63" s="3">
        <v>46066.688391203701</v>
      </c>
      <c r="T63" s="2" t="s">
        <v>481</v>
      </c>
      <c r="U63" s="2" t="s">
        <v>458</v>
      </c>
      <c r="V63" s="2" t="s">
        <v>30</v>
      </c>
      <c r="W63" s="2"/>
      <c r="X63" s="4">
        <f>Table_query[[#This Row],[Value $ ex GST]]*Table_query[[#This Row],[Margin]]</f>
        <v>0</v>
      </c>
      <c r="Y63">
        <f>ROUND(Table_query[[#This Row],[Modified]]-Table_query[[#This Row],[Created]],0)</f>
        <v>0</v>
      </c>
      <c r="Z63" s="10" t="str">
        <f ca="1">IF(_xlfn.NUMBERVALUE(LEFT(Table_query[[#This Row],[Phase]],1))&lt;=2,"",IF(Table_query[[#This Row],[Due]]&lt;TODAY(),ROUND(TODAY()-Table_query[[#This Row],[Due]],0),""))</f>
        <v/>
      </c>
      <c r="AA63" s="6">
        <f ca="1">ROUND(TODAY()-Table_query[[#This Row],[Modified]],0)</f>
        <v>9</v>
      </c>
      <c r="AB63" s="4" t="e">
        <f>(Table_query[[#This Row],[Value $ ex GST]]*Table_query[[#This Row],[Margin]])/(DATEDIF(Table_query[[#This Row],[Start Date]],Table_query[[#This Row],[Expiry Date]],"m")+1)</f>
        <v>#NUM!</v>
      </c>
      <c r="AC63" t="e">
        <f>(Table_query[[#This Row],[Value $ ex GST]])/(DATEDIF(Table_query[[#This Row],[Start Date]],Table_query[[#This Row],[Expiry Date]],"m")+1)</f>
        <v>#NUM!</v>
      </c>
    </row>
    <row r="64" spans="1:29" x14ac:dyDescent="0.25">
      <c r="A64" s="1" t="s">
        <v>83</v>
      </c>
      <c r="B64" s="2" t="s">
        <v>66</v>
      </c>
      <c r="C64" s="3">
        <v>45898.999305555553</v>
      </c>
      <c r="D64" s="4">
        <v>2000000</v>
      </c>
      <c r="E64" s="5">
        <v>0.1</v>
      </c>
      <c r="F64" s="2" t="s">
        <v>44</v>
      </c>
      <c r="G64" s="2" t="s">
        <v>18</v>
      </c>
      <c r="H64" s="2" t="s">
        <v>397</v>
      </c>
      <c r="I64" t="s">
        <v>539</v>
      </c>
      <c r="J64" s="1" t="s">
        <v>547</v>
      </c>
      <c r="K64" s="2" t="s">
        <v>548</v>
      </c>
      <c r="L64" s="2" t="s">
        <v>466</v>
      </c>
      <c r="M64" s="2" t="s">
        <v>39</v>
      </c>
      <c r="N64" s="6">
        <v>46113</v>
      </c>
      <c r="O64" s="6">
        <v>46477</v>
      </c>
      <c r="P64" s="2" t="s">
        <v>18</v>
      </c>
      <c r="Q64" s="3">
        <v>46056.651620370372</v>
      </c>
      <c r="R64" s="2" t="s">
        <v>471</v>
      </c>
      <c r="S64" s="3">
        <v>45747.552349537036</v>
      </c>
      <c r="T64" s="2" t="s">
        <v>538</v>
      </c>
      <c r="U64" s="2" t="s">
        <v>458</v>
      </c>
      <c r="V64" s="2" t="s">
        <v>30</v>
      </c>
      <c r="W64" s="2"/>
      <c r="X64" s="4">
        <f>Table_query[[#This Row],[Value $ ex GST]]*Table_query[[#This Row],[Margin]]</f>
        <v>200000</v>
      </c>
      <c r="Y64">
        <f>ROUND(Table_query[[#This Row],[Modified]]-Table_query[[#This Row],[Created]],0)</f>
        <v>309</v>
      </c>
      <c r="Z64" s="10">
        <f ca="1">IF(_xlfn.NUMBERVALUE(LEFT(Table_query[[#This Row],[Phase]],1))&lt;=2,"",IF(Table_query[[#This Row],[Due]]&lt;TODAY(),ROUND(TODAY()-Table_query[[#This Row],[Due]],0),""))</f>
        <v>177</v>
      </c>
      <c r="AA64" s="8">
        <f ca="1">ROUND(TODAY()-Table_query[[#This Row],[Modified]],0)</f>
        <v>19</v>
      </c>
      <c r="AB64" s="4">
        <f>(Table_query[[#This Row],[Value $ ex GST]]*Table_query[[#This Row],[Margin]])/(DATEDIF(Table_query[[#This Row],[Start Date]],Table_query[[#This Row],[Expiry Date]],"m")+1)</f>
        <v>16666.666666666668</v>
      </c>
      <c r="AC64">
        <f>(Table_query[[#This Row],[Value $ ex GST]])/(DATEDIF(Table_query[[#This Row],[Start Date]],Table_query[[#This Row],[Expiry Date]],"m")+1)</f>
        <v>166666.66666666666</v>
      </c>
    </row>
    <row r="65" spans="1:29" x14ac:dyDescent="0.25">
      <c r="A65" s="1" t="s">
        <v>205</v>
      </c>
      <c r="B65" s="2" t="s">
        <v>192</v>
      </c>
      <c r="C65" s="3">
        <v>46112</v>
      </c>
      <c r="D65" s="4"/>
      <c r="E65" s="5"/>
      <c r="F65" s="2" t="s">
        <v>44</v>
      </c>
      <c r="G65" s="2" t="s">
        <v>18</v>
      </c>
      <c r="H65" s="2" t="s">
        <v>397</v>
      </c>
      <c r="I65" t="s">
        <v>535</v>
      </c>
      <c r="J65" s="1" t="s">
        <v>549</v>
      </c>
      <c r="K65" s="2" t="s">
        <v>550</v>
      </c>
      <c r="L65" s="2" t="s">
        <v>551</v>
      </c>
      <c r="M65" s="2" t="s">
        <v>31</v>
      </c>
      <c r="N65" s="6">
        <v>46083</v>
      </c>
      <c r="O65" s="6"/>
      <c r="P65" s="2" t="s">
        <v>18</v>
      </c>
      <c r="Q65" s="3">
        <v>46067.359560185185</v>
      </c>
      <c r="R65" s="2" t="s">
        <v>457</v>
      </c>
      <c r="S65" s="3">
        <v>45758.403900462959</v>
      </c>
      <c r="T65" s="2" t="s">
        <v>420</v>
      </c>
      <c r="U65" s="2" t="s">
        <v>458</v>
      </c>
      <c r="V65" s="2" t="s">
        <v>30</v>
      </c>
      <c r="W65" s="2"/>
      <c r="X65" s="4">
        <f>Table_query[[#This Row],[Value $ ex GST]]*Table_query[[#This Row],[Margin]]</f>
        <v>0</v>
      </c>
      <c r="Y65">
        <f>ROUND(Table_query[[#This Row],[Modified]]-Table_query[[#This Row],[Created]],0)</f>
        <v>309</v>
      </c>
      <c r="Z65" s="10" t="str">
        <f ca="1">IF(_xlfn.NUMBERVALUE(LEFT(Table_query[[#This Row],[Phase]],1))&lt;=2,"",IF(Table_query[[#This Row],[Due]]&lt;TODAY(),ROUND(TODAY()-Table_query[[#This Row],[Due]],0),""))</f>
        <v/>
      </c>
      <c r="AA65" s="6">
        <f ca="1">ROUND(TODAY()-Table_query[[#This Row],[Modified]],0)</f>
        <v>9</v>
      </c>
      <c r="AB65" s="4" t="e">
        <f>(Table_query[[#This Row],[Value $ ex GST]]*Table_query[[#This Row],[Margin]])/(DATEDIF(Table_query[[#This Row],[Start Date]],Table_query[[#This Row],[Expiry Date]],"m")+1)</f>
        <v>#NUM!</v>
      </c>
      <c r="AC65" t="e">
        <f>(Table_query[[#This Row],[Value $ ex GST]])/(DATEDIF(Table_query[[#This Row],[Start Date]],Table_query[[#This Row],[Expiry Date]],"m")+1)</f>
        <v>#NUM!</v>
      </c>
    </row>
    <row r="66" spans="1:29" x14ac:dyDescent="0.25">
      <c r="A66" s="1" t="s">
        <v>233</v>
      </c>
      <c r="B66" s="2" t="s">
        <v>192</v>
      </c>
      <c r="C66" s="3">
        <v>46203</v>
      </c>
      <c r="D66" s="4"/>
      <c r="E66" s="5"/>
      <c r="F66" s="2"/>
      <c r="G66" s="2" t="s">
        <v>22</v>
      </c>
      <c r="H66" s="2" t="s">
        <v>522</v>
      </c>
      <c r="I66" t="s">
        <v>251</v>
      </c>
      <c r="J66" s="1"/>
      <c r="K66" s="2"/>
      <c r="L66" s="2" t="s">
        <v>466</v>
      </c>
      <c r="M66" s="2"/>
      <c r="N66" s="6"/>
      <c r="O66" s="6"/>
      <c r="P66" s="2"/>
      <c r="Q66" s="3">
        <v>46059.68472222222</v>
      </c>
      <c r="R66" s="2" t="s">
        <v>523</v>
      </c>
      <c r="S66" s="3">
        <v>46059.683182870373</v>
      </c>
      <c r="T66" s="2" t="s">
        <v>523</v>
      </c>
      <c r="U66" s="2" t="s">
        <v>458</v>
      </c>
      <c r="V66" s="2" t="s">
        <v>30</v>
      </c>
      <c r="W66" s="2"/>
      <c r="X66" s="4">
        <f>Table_query[[#This Row],[Value $ ex GST]]*Table_query[[#This Row],[Margin]]</f>
        <v>0</v>
      </c>
      <c r="Y66">
        <f>ROUND(Table_query[[#This Row],[Modified]]-Table_query[[#This Row],[Created]],0)</f>
        <v>0</v>
      </c>
      <c r="Z66" s="10" t="str">
        <f ca="1">IF(_xlfn.NUMBERVALUE(LEFT(Table_query[[#This Row],[Phase]],1))&lt;=2,"",IF(Table_query[[#This Row],[Due]]&lt;TODAY(),ROUND(TODAY()-Table_query[[#This Row],[Due]],0),""))</f>
        <v/>
      </c>
      <c r="AA66" s="6">
        <f ca="1">ROUND(TODAY()-Table_query[[#This Row],[Modified]],0)</f>
        <v>16</v>
      </c>
      <c r="AB66" s="4">
        <f>(Table_query[[#This Row],[Value $ ex GST]]*Table_query[[#This Row],[Margin]])/(DATEDIF(Table_query[[#This Row],[Start Date]],Table_query[[#This Row],[Expiry Date]],"m")+1)</f>
        <v>0</v>
      </c>
      <c r="AC66">
        <f>(Table_query[[#This Row],[Value $ ex GST]])/(DATEDIF(Table_query[[#This Row],[Start Date]],Table_query[[#This Row],[Expiry Date]],"m")+1)</f>
        <v>0</v>
      </c>
    </row>
    <row r="67" spans="1:29" x14ac:dyDescent="0.25">
      <c r="A67" s="1" t="s">
        <v>234</v>
      </c>
      <c r="B67" s="2" t="s">
        <v>192</v>
      </c>
      <c r="C67" s="3">
        <v>46171</v>
      </c>
      <c r="D67" s="4">
        <v>3000000</v>
      </c>
      <c r="E67" s="5">
        <v>0.42</v>
      </c>
      <c r="F67" s="2"/>
      <c r="G67" s="2" t="s">
        <v>22</v>
      </c>
      <c r="H67" s="2" t="s">
        <v>397</v>
      </c>
      <c r="I67" t="s">
        <v>539</v>
      </c>
      <c r="J67" s="1"/>
      <c r="K67" s="2"/>
      <c r="L67" s="2" t="s">
        <v>460</v>
      </c>
      <c r="M67" s="2" t="s">
        <v>34</v>
      </c>
      <c r="N67" s="6"/>
      <c r="O67" s="6"/>
      <c r="P67" s="2" t="s">
        <v>552</v>
      </c>
      <c r="Q67" s="3">
        <v>46071.463854166665</v>
      </c>
      <c r="R67" s="2" t="s">
        <v>457</v>
      </c>
      <c r="S67" s="3">
        <v>45954.559131944443</v>
      </c>
      <c r="T67" s="2" t="s">
        <v>457</v>
      </c>
      <c r="U67" s="2" t="s">
        <v>458</v>
      </c>
      <c r="V67" s="2" t="s">
        <v>30</v>
      </c>
      <c r="W67" s="2" t="s">
        <v>242</v>
      </c>
      <c r="X67" s="4">
        <f>Table_query[[#This Row],[Value $ ex GST]]*Table_query[[#This Row],[Margin]]</f>
        <v>1260000</v>
      </c>
      <c r="Y67">
        <f>ROUND(Table_query[[#This Row],[Modified]]-Table_query[[#This Row],[Created]],0)</f>
        <v>117</v>
      </c>
      <c r="Z67" s="10" t="str">
        <f ca="1">IF(_xlfn.NUMBERVALUE(LEFT(Table_query[[#This Row],[Phase]],1))&lt;=2,"",IF(Table_query[[#This Row],[Due]]&lt;TODAY(),ROUND(TODAY()-Table_query[[#This Row],[Due]],0),""))</f>
        <v/>
      </c>
      <c r="AA67" s="6">
        <f ca="1">ROUND(TODAY()-Table_query[[#This Row],[Modified]],0)</f>
        <v>5</v>
      </c>
      <c r="AB67" s="4">
        <f>(Table_query[[#This Row],[Value $ ex GST]]*Table_query[[#This Row],[Margin]])/(DATEDIF(Table_query[[#This Row],[Start Date]],Table_query[[#This Row],[Expiry Date]],"m")+1)</f>
        <v>1260000</v>
      </c>
      <c r="AC67">
        <f>(Table_query[[#This Row],[Value $ ex GST]])/(DATEDIF(Table_query[[#This Row],[Start Date]],Table_query[[#This Row],[Expiry Date]],"m")+1)</f>
        <v>3000000</v>
      </c>
    </row>
    <row r="68" spans="1:29" x14ac:dyDescent="0.25">
      <c r="A68" s="1" t="s">
        <v>63</v>
      </c>
      <c r="B68" s="2" t="s">
        <v>42</v>
      </c>
      <c r="C68" s="3">
        <v>45981.999305555553</v>
      </c>
      <c r="D68" s="4">
        <v>10812528</v>
      </c>
      <c r="E68" s="5">
        <v>0.32</v>
      </c>
      <c r="F68" s="2" t="s">
        <v>5</v>
      </c>
      <c r="G68" s="2" t="s">
        <v>22</v>
      </c>
      <c r="H68" s="2" t="s">
        <v>397</v>
      </c>
      <c r="I68" t="s">
        <v>539</v>
      </c>
      <c r="J68" s="1"/>
      <c r="K68" s="2" t="s">
        <v>553</v>
      </c>
      <c r="L68" s="2" t="s">
        <v>460</v>
      </c>
      <c r="M68" s="2" t="s">
        <v>34</v>
      </c>
      <c r="N68" s="6">
        <v>46113</v>
      </c>
      <c r="O68" s="6">
        <v>46844</v>
      </c>
      <c r="P68" s="2" t="s">
        <v>554</v>
      </c>
      <c r="Q68" s="3">
        <v>46057.395787037036</v>
      </c>
      <c r="R68" s="2" t="s">
        <v>457</v>
      </c>
      <c r="S68" s="3">
        <v>45947.440300925926</v>
      </c>
      <c r="T68" s="2" t="s">
        <v>462</v>
      </c>
      <c r="U68" s="2" t="s">
        <v>458</v>
      </c>
      <c r="V68" s="2" t="s">
        <v>30</v>
      </c>
      <c r="W68" s="2" t="s">
        <v>242</v>
      </c>
      <c r="X68" s="4">
        <f>Table_query[[#This Row],[Value $ ex GST]]*Table_query[[#This Row],[Margin]]</f>
        <v>3460008.96</v>
      </c>
      <c r="Y68">
        <f>ROUND(Table_query[[#This Row],[Modified]]-Table_query[[#This Row],[Created]],0)</f>
        <v>110</v>
      </c>
      <c r="Z68" s="10">
        <f ca="1">IF(_xlfn.NUMBERVALUE(LEFT(Table_query[[#This Row],[Phase]],1))&lt;=2,"",IF(Table_query[[#This Row],[Due]]&lt;TODAY(),ROUND(TODAY()-Table_query[[#This Row],[Due]],0),""))</f>
        <v>94</v>
      </c>
      <c r="AA68" s="6">
        <f ca="1">ROUND(TODAY()-Table_query[[#This Row],[Modified]],0)</f>
        <v>19</v>
      </c>
      <c r="AB68" s="4">
        <f>(Table_query[[#This Row],[Value $ ex GST]]*Table_query[[#This Row],[Margin]])/(DATEDIF(Table_query[[#This Row],[Start Date]],Table_query[[#This Row],[Expiry Date]],"m")+1)</f>
        <v>138400.3584</v>
      </c>
      <c r="AC68">
        <f>(Table_query[[#This Row],[Value $ ex GST]])/(DATEDIF(Table_query[[#This Row],[Start Date]],Table_query[[#This Row],[Expiry Date]],"m")+1)</f>
        <v>432501.12</v>
      </c>
    </row>
    <row r="69" spans="1:29" x14ac:dyDescent="0.25">
      <c r="A69" s="1" t="s">
        <v>235</v>
      </c>
      <c r="B69" s="2" t="s">
        <v>192</v>
      </c>
      <c r="C69" s="3">
        <v>46171</v>
      </c>
      <c r="D69" s="4">
        <v>3000000</v>
      </c>
      <c r="E69" s="5">
        <v>0.42</v>
      </c>
      <c r="F69" s="2"/>
      <c r="G69" s="2" t="s">
        <v>22</v>
      </c>
      <c r="H69" s="2" t="s">
        <v>397</v>
      </c>
      <c r="I69" t="s">
        <v>539</v>
      </c>
      <c r="J69" s="1"/>
      <c r="K69" s="2"/>
      <c r="L69" s="2" t="s">
        <v>460</v>
      </c>
      <c r="M69" s="2" t="s">
        <v>34</v>
      </c>
      <c r="N69" s="6"/>
      <c r="O69" s="6"/>
      <c r="P69" s="2" t="s">
        <v>555</v>
      </c>
      <c r="Q69" s="3">
        <v>46071.464050925926</v>
      </c>
      <c r="R69" s="2" t="s">
        <v>457</v>
      </c>
      <c r="S69" s="3">
        <v>45954.559131944443</v>
      </c>
      <c r="T69" s="2" t="s">
        <v>457</v>
      </c>
      <c r="U69" s="2" t="s">
        <v>458</v>
      </c>
      <c r="V69" s="2" t="s">
        <v>30</v>
      </c>
      <c r="W69" s="2" t="s">
        <v>242</v>
      </c>
      <c r="X69" s="4">
        <f>Table_query[[#This Row],[Value $ ex GST]]*Table_query[[#This Row],[Margin]]</f>
        <v>1260000</v>
      </c>
      <c r="Y69">
        <f>ROUND(Table_query[[#This Row],[Modified]]-Table_query[[#This Row],[Created]],0)</f>
        <v>117</v>
      </c>
      <c r="Z69" s="10" t="str">
        <f ca="1">IF(_xlfn.NUMBERVALUE(LEFT(Table_query[[#This Row],[Phase]],1))&lt;=2,"",IF(Table_query[[#This Row],[Due]]&lt;TODAY(),ROUND(TODAY()-Table_query[[#This Row],[Due]],0),""))</f>
        <v/>
      </c>
      <c r="AA69" s="6">
        <f ca="1">ROUND(TODAY()-Table_query[[#This Row],[Modified]],0)</f>
        <v>5</v>
      </c>
      <c r="AB69" s="4">
        <f>(Table_query[[#This Row],[Value $ ex GST]]*Table_query[[#This Row],[Margin]])/(DATEDIF(Table_query[[#This Row],[Start Date]],Table_query[[#This Row],[Expiry Date]],"m")+1)</f>
        <v>1260000</v>
      </c>
      <c r="AC69">
        <f>(Table_query[[#This Row],[Value $ ex GST]])/(DATEDIF(Table_query[[#This Row],[Start Date]],Table_query[[#This Row],[Expiry Date]],"m")+1)</f>
        <v>3000000</v>
      </c>
    </row>
    <row r="70" spans="1:29" x14ac:dyDescent="0.25">
      <c r="A70" s="1" t="s">
        <v>64</v>
      </c>
      <c r="B70" s="2" t="s">
        <v>42</v>
      </c>
      <c r="C70" s="3">
        <v>45902.5</v>
      </c>
      <c r="D70" s="4">
        <v>4188470</v>
      </c>
      <c r="E70" s="5">
        <v>0.4</v>
      </c>
      <c r="F70" s="2" t="s">
        <v>5</v>
      </c>
      <c r="G70" s="2" t="s">
        <v>22</v>
      </c>
      <c r="H70" s="2" t="s">
        <v>397</v>
      </c>
      <c r="I70" t="s">
        <v>539</v>
      </c>
      <c r="J70" s="1" t="s">
        <v>556</v>
      </c>
      <c r="K70" s="2" t="s">
        <v>609</v>
      </c>
      <c r="L70" s="2" t="s">
        <v>460</v>
      </c>
      <c r="M70" s="2" t="s">
        <v>34</v>
      </c>
      <c r="N70" s="6">
        <v>46113</v>
      </c>
      <c r="O70" s="6">
        <v>46600</v>
      </c>
      <c r="P70" s="2" t="s">
        <v>557</v>
      </c>
      <c r="Q70" s="3">
        <v>46071.454895833333</v>
      </c>
      <c r="R70" s="2" t="s">
        <v>457</v>
      </c>
      <c r="S70" s="3">
        <v>45673.572430555556</v>
      </c>
      <c r="T70" s="2" t="s">
        <v>420</v>
      </c>
      <c r="U70" s="2" t="s">
        <v>458</v>
      </c>
      <c r="V70" s="2" t="s">
        <v>30</v>
      </c>
      <c r="W70" s="2" t="s">
        <v>242</v>
      </c>
      <c r="X70" s="4">
        <f>Table_query[[#This Row],[Value $ ex GST]]*Table_query[[#This Row],[Margin]]</f>
        <v>1675388</v>
      </c>
      <c r="Y70">
        <f>ROUND(Table_query[[#This Row],[Modified]]-Table_query[[#This Row],[Created]],0)</f>
        <v>398</v>
      </c>
      <c r="Z70" s="10">
        <f ca="1">IF(_xlfn.NUMBERVALUE(LEFT(Table_query[[#This Row],[Phase]],1))&lt;=2,"",IF(Table_query[[#This Row],[Due]]&lt;TODAY(),ROUND(TODAY()-Table_query[[#This Row],[Due]],0),""))</f>
        <v>174</v>
      </c>
      <c r="AA70" s="6">
        <f ca="1">ROUND(TODAY()-Table_query[[#This Row],[Modified]],0)</f>
        <v>5</v>
      </c>
      <c r="AB70" s="4">
        <f>(Table_query[[#This Row],[Value $ ex GST]]*Table_query[[#This Row],[Margin]])/(DATEDIF(Table_query[[#This Row],[Start Date]],Table_query[[#This Row],[Expiry Date]],"m")+1)</f>
        <v>98552.23529411765</v>
      </c>
      <c r="AC70">
        <f>(Table_query[[#This Row],[Value $ ex GST]])/(DATEDIF(Table_query[[#This Row],[Start Date]],Table_query[[#This Row],[Expiry Date]],"m")+1)</f>
        <v>246380.58823529413</v>
      </c>
    </row>
    <row r="71" spans="1:29" x14ac:dyDescent="0.25">
      <c r="A71" s="1" t="s">
        <v>236</v>
      </c>
      <c r="B71" s="2" t="s">
        <v>192</v>
      </c>
      <c r="C71" s="3">
        <v>46171</v>
      </c>
      <c r="D71" s="4">
        <v>3000000</v>
      </c>
      <c r="E71" s="5">
        <v>0.42</v>
      </c>
      <c r="F71" s="2"/>
      <c r="G71" s="2" t="s">
        <v>22</v>
      </c>
      <c r="H71" s="2" t="s">
        <v>397</v>
      </c>
      <c r="I71" t="s">
        <v>539</v>
      </c>
      <c r="J71" s="1"/>
      <c r="K71" s="2"/>
      <c r="L71" s="2" t="s">
        <v>460</v>
      </c>
      <c r="M71" s="2" t="s">
        <v>34</v>
      </c>
      <c r="N71" s="6"/>
      <c r="O71" s="6"/>
      <c r="P71" s="2" t="s">
        <v>558</v>
      </c>
      <c r="Q71" s="3">
        <v>46071.463333333333</v>
      </c>
      <c r="R71" s="2" t="s">
        <v>457</v>
      </c>
      <c r="S71" s="3">
        <v>45954.559131944443</v>
      </c>
      <c r="T71" s="2" t="s">
        <v>457</v>
      </c>
      <c r="U71" s="2" t="s">
        <v>458</v>
      </c>
      <c r="V71" s="2" t="s">
        <v>30</v>
      </c>
      <c r="W71" s="2" t="s">
        <v>242</v>
      </c>
      <c r="X71" s="4">
        <f>Table_query[[#This Row],[Value $ ex GST]]*Table_query[[#This Row],[Margin]]</f>
        <v>1260000</v>
      </c>
      <c r="Y71">
        <f>ROUND(Table_query[[#This Row],[Modified]]-Table_query[[#This Row],[Created]],0)</f>
        <v>117</v>
      </c>
      <c r="Z71" s="10" t="str">
        <f ca="1">IF(_xlfn.NUMBERVALUE(LEFT(Table_query[[#This Row],[Phase]],1))&lt;=2,"",IF(Table_query[[#This Row],[Due]]&lt;TODAY(),ROUND(TODAY()-Table_query[[#This Row],[Due]],0),""))</f>
        <v/>
      </c>
      <c r="AA71" s="6">
        <f ca="1">ROUND(TODAY()-Table_query[[#This Row],[Modified]],0)</f>
        <v>5</v>
      </c>
      <c r="AB71" s="4">
        <f>(Table_query[[#This Row],[Value $ ex GST]]*Table_query[[#This Row],[Margin]])/(DATEDIF(Table_query[[#This Row],[Start Date]],Table_query[[#This Row],[Expiry Date]],"m")+1)</f>
        <v>1260000</v>
      </c>
      <c r="AC71">
        <f>(Table_query[[#This Row],[Value $ ex GST]])/(DATEDIF(Table_query[[#This Row],[Start Date]],Table_query[[#This Row],[Expiry Date]],"m")+1)</f>
        <v>3000000</v>
      </c>
    </row>
    <row r="72" spans="1:29" x14ac:dyDescent="0.25">
      <c r="A72" s="1" t="s">
        <v>237</v>
      </c>
      <c r="B72" s="2" t="s">
        <v>192</v>
      </c>
      <c r="C72" s="3">
        <v>46171</v>
      </c>
      <c r="D72" s="4">
        <v>3000000</v>
      </c>
      <c r="E72" s="5">
        <v>0.42</v>
      </c>
      <c r="F72" s="2"/>
      <c r="G72" s="2" t="s">
        <v>22</v>
      </c>
      <c r="H72" s="2" t="s">
        <v>397</v>
      </c>
      <c r="I72" t="s">
        <v>539</v>
      </c>
      <c r="J72" s="1"/>
      <c r="K72" s="2" t="s">
        <v>559</v>
      </c>
      <c r="L72" s="2" t="s">
        <v>460</v>
      </c>
      <c r="M72" s="2" t="s">
        <v>34</v>
      </c>
      <c r="N72" s="6">
        <v>46054</v>
      </c>
      <c r="O72" s="6">
        <v>46326</v>
      </c>
      <c r="P72" s="2" t="s">
        <v>560</v>
      </c>
      <c r="Q72" s="3">
        <v>46071.464259259257</v>
      </c>
      <c r="R72" s="2" t="s">
        <v>457</v>
      </c>
      <c r="S72" s="3">
        <v>45954.558437500003</v>
      </c>
      <c r="T72" s="2" t="s">
        <v>457</v>
      </c>
      <c r="U72" s="2" t="s">
        <v>458</v>
      </c>
      <c r="V72" s="2" t="s">
        <v>30</v>
      </c>
      <c r="W72" s="2" t="s">
        <v>242</v>
      </c>
      <c r="X72" s="4">
        <f>Table_query[[#This Row],[Value $ ex GST]]*Table_query[[#This Row],[Margin]]</f>
        <v>1260000</v>
      </c>
      <c r="Y72">
        <f>ROUND(Table_query[[#This Row],[Modified]]-Table_query[[#This Row],[Created]],0)</f>
        <v>117</v>
      </c>
      <c r="Z72" s="10" t="str">
        <f ca="1">IF(_xlfn.NUMBERVALUE(LEFT(Table_query[[#This Row],[Phase]],1))&lt;=2,"",IF(Table_query[[#This Row],[Due]]&lt;TODAY(),ROUND(TODAY()-Table_query[[#This Row],[Due]],0),""))</f>
        <v/>
      </c>
      <c r="AA72" s="6">
        <f ca="1">ROUND(TODAY()-Table_query[[#This Row],[Modified]],0)</f>
        <v>5</v>
      </c>
      <c r="AB72" s="4">
        <f>(Table_query[[#This Row],[Value $ ex GST]]*Table_query[[#This Row],[Margin]])/(DATEDIF(Table_query[[#This Row],[Start Date]],Table_query[[#This Row],[Expiry Date]],"m")+1)</f>
        <v>140000</v>
      </c>
      <c r="AC72">
        <f>(Table_query[[#This Row],[Value $ ex GST]])/(DATEDIF(Table_query[[#This Row],[Start Date]],Table_query[[#This Row],[Expiry Date]],"m")+1)</f>
        <v>333333.33333333331</v>
      </c>
    </row>
    <row r="73" spans="1:29" x14ac:dyDescent="0.25">
      <c r="A73" s="1" t="s">
        <v>130</v>
      </c>
      <c r="B73" s="2" t="s">
        <v>66</v>
      </c>
      <c r="C73" s="3">
        <v>46059.999305555553</v>
      </c>
      <c r="D73" s="4"/>
      <c r="E73" s="5"/>
      <c r="F73" s="2" t="s">
        <v>5</v>
      </c>
      <c r="G73" s="2" t="s">
        <v>22</v>
      </c>
      <c r="H73" s="2" t="s">
        <v>397</v>
      </c>
      <c r="I73" t="s">
        <v>251</v>
      </c>
      <c r="J73" s="1"/>
      <c r="K73" s="2" t="s">
        <v>561</v>
      </c>
      <c r="L73" s="2" t="s">
        <v>562</v>
      </c>
      <c r="M73" s="2" t="s">
        <v>131</v>
      </c>
      <c r="N73" s="6"/>
      <c r="O73" s="6"/>
      <c r="P73" s="2" t="s">
        <v>563</v>
      </c>
      <c r="Q73" s="3">
        <v>46066.580648148149</v>
      </c>
      <c r="R73" s="2" t="s">
        <v>471</v>
      </c>
      <c r="S73" s="3">
        <v>46010.40587962963</v>
      </c>
      <c r="T73" s="2" t="s">
        <v>462</v>
      </c>
      <c r="U73" s="2" t="s">
        <v>458</v>
      </c>
      <c r="V73" s="2" t="s">
        <v>30</v>
      </c>
      <c r="W73" s="2" t="s">
        <v>243</v>
      </c>
      <c r="X73" s="4">
        <f>Table_query[[#This Row],[Value $ ex GST]]*Table_query[[#This Row],[Margin]]</f>
        <v>0</v>
      </c>
      <c r="Y73">
        <f>ROUND(Table_query[[#This Row],[Modified]]-Table_query[[#This Row],[Created]],0)</f>
        <v>56</v>
      </c>
      <c r="Z73" s="10">
        <f ca="1">IF(_xlfn.NUMBERVALUE(LEFT(Table_query[[#This Row],[Phase]],1))&lt;=2,"",IF(Table_query[[#This Row],[Due]]&lt;TODAY(),ROUND(TODAY()-Table_query[[#This Row],[Due]],0),""))</f>
        <v>16</v>
      </c>
      <c r="AA73" s="6">
        <f ca="1">ROUND(TODAY()-Table_query[[#This Row],[Modified]],0)</f>
        <v>9</v>
      </c>
      <c r="AB73" s="4">
        <f>(Table_query[[#This Row],[Value $ ex GST]]*Table_query[[#This Row],[Margin]])/(DATEDIF(Table_query[[#This Row],[Start Date]],Table_query[[#This Row],[Expiry Date]],"m")+1)</f>
        <v>0</v>
      </c>
      <c r="AC73">
        <f>(Table_query[[#This Row],[Value $ ex GST]])/(DATEDIF(Table_query[[#This Row],[Start Date]],Table_query[[#This Row],[Expiry Date]],"m")+1)</f>
        <v>0</v>
      </c>
    </row>
    <row r="74" spans="1:29" x14ac:dyDescent="0.25">
      <c r="A74" s="1" t="s">
        <v>193</v>
      </c>
      <c r="B74" s="2" t="s">
        <v>192</v>
      </c>
      <c r="C74" s="3">
        <v>45474</v>
      </c>
      <c r="D74" s="4"/>
      <c r="E74" s="5"/>
      <c r="F74" s="2"/>
      <c r="G74" s="2" t="s">
        <v>17</v>
      </c>
      <c r="H74" s="2" t="s">
        <v>420</v>
      </c>
      <c r="I74" t="s">
        <v>487</v>
      </c>
      <c r="J74" s="1"/>
      <c r="K74" s="2" t="s">
        <v>564</v>
      </c>
      <c r="L74" s="2"/>
      <c r="M74" s="2"/>
      <c r="N74" s="6"/>
      <c r="O74" s="6"/>
      <c r="P74" s="2" t="s">
        <v>376</v>
      </c>
      <c r="Q74" s="3">
        <v>45948.448831018519</v>
      </c>
      <c r="R74" s="2" t="s">
        <v>457</v>
      </c>
      <c r="S74" s="3">
        <v>45640.917175925926</v>
      </c>
      <c r="T74" s="2" t="s">
        <v>457</v>
      </c>
      <c r="U74" s="2" t="s">
        <v>458</v>
      </c>
      <c r="V74" s="2" t="s">
        <v>30</v>
      </c>
      <c r="W74" s="2"/>
      <c r="X74" s="4">
        <f>Table_query[[#This Row],[Value $ ex GST]]*Table_query[[#This Row],[Margin]]</f>
        <v>0</v>
      </c>
      <c r="Y74">
        <f>ROUND(Table_query[[#This Row],[Modified]]-Table_query[[#This Row],[Created]],0)</f>
        <v>308</v>
      </c>
      <c r="Z74" s="10" t="str">
        <f ca="1">IF(_xlfn.NUMBERVALUE(LEFT(Table_query[[#This Row],[Phase]],1))&lt;=2,"",IF(Table_query[[#This Row],[Due]]&lt;TODAY(),ROUND(TODAY()-Table_query[[#This Row],[Due]],0),""))</f>
        <v/>
      </c>
      <c r="AA74" s="6">
        <f ca="1">ROUND(TODAY()-Table_query[[#This Row],[Modified]],0)</f>
        <v>128</v>
      </c>
      <c r="AB74" s="4">
        <f>(Table_query[[#This Row],[Value $ ex GST]]*Table_query[[#This Row],[Margin]])/(DATEDIF(Table_query[[#This Row],[Start Date]],Table_query[[#This Row],[Expiry Date]],"m")+1)</f>
        <v>0</v>
      </c>
      <c r="AC74">
        <f>(Table_query[[#This Row],[Value $ ex GST]])/(DATEDIF(Table_query[[#This Row],[Start Date]],Table_query[[#This Row],[Expiry Date]],"m")+1)</f>
        <v>0</v>
      </c>
    </row>
    <row r="75" spans="1:29" x14ac:dyDescent="0.25">
      <c r="A75" s="1" t="s">
        <v>565</v>
      </c>
      <c r="B75" s="2" t="s">
        <v>192</v>
      </c>
      <c r="C75" s="3">
        <v>45474</v>
      </c>
      <c r="D75" s="4"/>
      <c r="E75" s="5"/>
      <c r="F75" s="2"/>
      <c r="G75" s="2" t="s">
        <v>18</v>
      </c>
      <c r="H75" s="2" t="s">
        <v>420</v>
      </c>
      <c r="I75" t="s">
        <v>539</v>
      </c>
      <c r="J75" s="1"/>
      <c r="K75" s="2" t="s">
        <v>564</v>
      </c>
      <c r="L75" s="2"/>
      <c r="M75" s="2"/>
      <c r="N75" s="6"/>
      <c r="O75" s="6"/>
      <c r="P75" s="2" t="s">
        <v>18</v>
      </c>
      <c r="Q75" s="3">
        <v>45948.448888888888</v>
      </c>
      <c r="R75" s="2" t="s">
        <v>457</v>
      </c>
      <c r="S75" s="3">
        <v>45640.917013888888</v>
      </c>
      <c r="T75" s="2" t="s">
        <v>457</v>
      </c>
      <c r="U75" s="2" t="s">
        <v>458</v>
      </c>
      <c r="V75" s="2" t="s">
        <v>30</v>
      </c>
      <c r="W75" s="2"/>
      <c r="X75" s="4">
        <f>Table_query[[#This Row],[Value $ ex GST]]*Table_query[[#This Row],[Margin]]</f>
        <v>0</v>
      </c>
      <c r="Y75">
        <f>ROUND(Table_query[[#This Row],[Modified]]-Table_query[[#This Row],[Created]],0)</f>
        <v>308</v>
      </c>
      <c r="Z75" s="10" t="str">
        <f ca="1">IF(_xlfn.NUMBERVALUE(LEFT(Table_query[[#This Row],[Phase]],1))&lt;=2,"",IF(Table_query[[#This Row],[Due]]&lt;TODAY(),ROUND(TODAY()-Table_query[[#This Row],[Due]],0),""))</f>
        <v/>
      </c>
      <c r="AA75" s="6">
        <f ca="1">ROUND(TODAY()-Table_query[[#This Row],[Modified]],0)</f>
        <v>128</v>
      </c>
      <c r="AB75" s="4">
        <f>(Table_query[[#This Row],[Value $ ex GST]]*Table_query[[#This Row],[Margin]])/(DATEDIF(Table_query[[#This Row],[Start Date]],Table_query[[#This Row],[Expiry Date]],"m")+1)</f>
        <v>0</v>
      </c>
      <c r="AC75">
        <f>(Table_query[[#This Row],[Value $ ex GST]])/(DATEDIF(Table_query[[#This Row],[Start Date]],Table_query[[#This Row],[Expiry Date]],"m")+1)</f>
        <v>0</v>
      </c>
    </row>
    <row r="76" spans="1:29" x14ac:dyDescent="0.25">
      <c r="A76" s="1" t="s">
        <v>566</v>
      </c>
      <c r="B76" s="2" t="s">
        <v>192</v>
      </c>
      <c r="C76" s="3">
        <v>45474</v>
      </c>
      <c r="D76" s="4"/>
      <c r="E76" s="5"/>
      <c r="F76" s="2"/>
      <c r="G76" s="2" t="s">
        <v>208</v>
      </c>
      <c r="H76" s="2" t="s">
        <v>457</v>
      </c>
      <c r="I76" t="s">
        <v>567</v>
      </c>
      <c r="J76" s="1"/>
      <c r="K76" s="2" t="s">
        <v>564</v>
      </c>
      <c r="L76" s="2"/>
      <c r="M76" s="2"/>
      <c r="N76" s="6"/>
      <c r="O76" s="6"/>
      <c r="P76" s="2" t="s">
        <v>486</v>
      </c>
      <c r="Q76" s="3">
        <v>45959.59783564815</v>
      </c>
      <c r="R76" s="2" t="s">
        <v>471</v>
      </c>
      <c r="S76" s="3">
        <v>45640.919386574074</v>
      </c>
      <c r="T76" s="2" t="s">
        <v>457</v>
      </c>
      <c r="U76" s="2" t="s">
        <v>458</v>
      </c>
      <c r="V76" s="2" t="s">
        <v>30</v>
      </c>
      <c r="W76" s="2"/>
      <c r="X76" s="4">
        <f>Table_query[[#This Row],[Value $ ex GST]]*Table_query[[#This Row],[Margin]]</f>
        <v>0</v>
      </c>
      <c r="Y76">
        <f>ROUND(Table_query[[#This Row],[Modified]]-Table_query[[#This Row],[Created]],0)</f>
        <v>319</v>
      </c>
      <c r="Z76" s="10" t="str">
        <f ca="1">IF(_xlfn.NUMBERVALUE(LEFT(Table_query[[#This Row],[Phase]],1))&lt;=2,"",IF(Table_query[[#This Row],[Due]]&lt;TODAY(),ROUND(TODAY()-Table_query[[#This Row],[Due]],0),""))</f>
        <v/>
      </c>
      <c r="AA76" s="6">
        <f ca="1">ROUND(TODAY()-Table_query[[#This Row],[Modified]],0)</f>
        <v>116</v>
      </c>
      <c r="AB76" s="4">
        <f>(Table_query[[#This Row],[Value $ ex GST]]*Table_query[[#This Row],[Margin]])/(DATEDIF(Table_query[[#This Row],[Start Date]],Table_query[[#This Row],[Expiry Date]],"m")+1)</f>
        <v>0</v>
      </c>
      <c r="AC76">
        <f>(Table_query[[#This Row],[Value $ ex GST]])/(DATEDIF(Table_query[[#This Row],[Start Date]],Table_query[[#This Row],[Expiry Date]],"m")+1)</f>
        <v>0</v>
      </c>
    </row>
    <row r="77" spans="1:29" x14ac:dyDescent="0.25">
      <c r="A77" s="1" t="s">
        <v>238</v>
      </c>
      <c r="B77" s="2" t="s">
        <v>192</v>
      </c>
      <c r="C77" s="3">
        <v>45474</v>
      </c>
      <c r="D77" s="4"/>
      <c r="E77" s="5"/>
      <c r="F77" s="2"/>
      <c r="G77" s="2" t="s">
        <v>22</v>
      </c>
      <c r="H77" s="2" t="s">
        <v>457</v>
      </c>
      <c r="I77" t="s">
        <v>482</v>
      </c>
      <c r="J77" s="1"/>
      <c r="K77" s="2" t="s">
        <v>564</v>
      </c>
      <c r="L77" s="2"/>
      <c r="M77" s="2"/>
      <c r="N77" s="6"/>
      <c r="O77" s="6"/>
      <c r="P77" s="2" t="s">
        <v>504</v>
      </c>
      <c r="Q77" s="3">
        <v>45948.448900462965</v>
      </c>
      <c r="R77" s="2" t="s">
        <v>457</v>
      </c>
      <c r="S77" s="3">
        <v>45641.557870370372</v>
      </c>
      <c r="T77" s="2" t="s">
        <v>457</v>
      </c>
      <c r="U77" s="2" t="s">
        <v>458</v>
      </c>
      <c r="V77" s="2" t="s">
        <v>30</v>
      </c>
      <c r="W77" s="2"/>
      <c r="X77" s="4">
        <f>Table_query[[#This Row],[Value $ ex GST]]*Table_query[[#This Row],[Margin]]</f>
        <v>0</v>
      </c>
      <c r="Y77">
        <f>ROUND(Table_query[[#This Row],[Modified]]-Table_query[[#This Row],[Created]],0)</f>
        <v>307</v>
      </c>
      <c r="Z77" s="10" t="str">
        <f ca="1">IF(_xlfn.NUMBERVALUE(LEFT(Table_query[[#This Row],[Phase]],1))&lt;=2,"",IF(Table_query[[#This Row],[Due]]&lt;TODAY(),ROUND(TODAY()-Table_query[[#This Row],[Due]],0),""))</f>
        <v/>
      </c>
      <c r="AA77" s="6">
        <f ca="1">ROUND(TODAY()-Table_query[[#This Row],[Modified]],0)</f>
        <v>128</v>
      </c>
      <c r="AB77" s="4">
        <f>(Table_query[[#This Row],[Value $ ex GST]]*Table_query[[#This Row],[Margin]])/(DATEDIF(Table_query[[#This Row],[Start Date]],Table_query[[#This Row],[Expiry Date]],"m")+1)</f>
        <v>0</v>
      </c>
      <c r="AC77">
        <f>(Table_query[[#This Row],[Value $ ex GST]])/(DATEDIF(Table_query[[#This Row],[Start Date]],Table_query[[#This Row],[Expiry Date]],"m")+1)</f>
        <v>0</v>
      </c>
    </row>
    <row r="78" spans="1:29" x14ac:dyDescent="0.25">
      <c r="A78" s="1" t="s">
        <v>217</v>
      </c>
      <c r="B78" s="2" t="s">
        <v>192</v>
      </c>
      <c r="C78" s="3">
        <v>45474</v>
      </c>
      <c r="D78" s="4"/>
      <c r="E78" s="5"/>
      <c r="F78" s="2"/>
      <c r="G78" s="2" t="s">
        <v>20</v>
      </c>
      <c r="H78" s="2" t="s">
        <v>457</v>
      </c>
      <c r="I78" t="s">
        <v>505</v>
      </c>
      <c r="J78" s="1"/>
      <c r="K78" s="2" t="s">
        <v>564</v>
      </c>
      <c r="L78" s="2"/>
      <c r="M78" s="2"/>
      <c r="N78" s="6"/>
      <c r="O78" s="6"/>
      <c r="P78" s="2" t="s">
        <v>403</v>
      </c>
      <c r="Q78" s="3">
        <v>46034.405462962961</v>
      </c>
      <c r="R78" s="2" t="s">
        <v>457</v>
      </c>
      <c r="S78" s="3">
        <v>45972.548391203702</v>
      </c>
      <c r="T78" s="2" t="s">
        <v>462</v>
      </c>
      <c r="U78" s="2" t="s">
        <v>458</v>
      </c>
      <c r="V78" s="2" t="s">
        <v>30</v>
      </c>
      <c r="W78" s="2"/>
      <c r="X78" s="4">
        <f>Table_query[[#This Row],[Value $ ex GST]]*Table_query[[#This Row],[Margin]]</f>
        <v>0</v>
      </c>
      <c r="Y78">
        <f>ROUND(Table_query[[#This Row],[Modified]]-Table_query[[#This Row],[Created]],0)</f>
        <v>62</v>
      </c>
      <c r="Z78" s="10" t="str">
        <f ca="1">IF(_xlfn.NUMBERVALUE(LEFT(Table_query[[#This Row],[Phase]],1))&lt;=2,"",IF(Table_query[[#This Row],[Due]]&lt;TODAY(),ROUND(TODAY()-Table_query[[#This Row],[Due]],0),""))</f>
        <v/>
      </c>
      <c r="AA78" s="6">
        <f ca="1">ROUND(TODAY()-Table_query[[#This Row],[Modified]],0)</f>
        <v>42</v>
      </c>
      <c r="AB78" s="4">
        <f>(Table_query[[#This Row],[Value $ ex GST]]*Table_query[[#This Row],[Margin]])/(DATEDIF(Table_query[[#This Row],[Start Date]],Table_query[[#This Row],[Expiry Date]],"m")+1)</f>
        <v>0</v>
      </c>
      <c r="AC78">
        <f>(Table_query[[#This Row],[Value $ ex GST]])/(DATEDIF(Table_query[[#This Row],[Start Date]],Table_query[[#This Row],[Expiry Date]],"m")+1)</f>
        <v>0</v>
      </c>
    </row>
    <row r="79" spans="1:29" x14ac:dyDescent="0.25">
      <c r="A79" s="1" t="s">
        <v>222</v>
      </c>
      <c r="B79" s="2" t="s">
        <v>192</v>
      </c>
      <c r="C79" s="3">
        <v>45474</v>
      </c>
      <c r="D79" s="4"/>
      <c r="E79" s="5"/>
      <c r="F79" s="2"/>
      <c r="G79" s="2" t="s">
        <v>21</v>
      </c>
      <c r="H79" s="2" t="s">
        <v>363</v>
      </c>
      <c r="I79" t="s">
        <v>535</v>
      </c>
      <c r="J79" s="1"/>
      <c r="K79" s="2" t="s">
        <v>564</v>
      </c>
      <c r="L79" s="2"/>
      <c r="M79" s="2"/>
      <c r="N79" s="6"/>
      <c r="O79" s="6"/>
      <c r="P79" s="2" t="s">
        <v>504</v>
      </c>
      <c r="Q79" s="3">
        <v>46034.374016203707</v>
      </c>
      <c r="R79" s="2" t="s">
        <v>457</v>
      </c>
      <c r="S79" s="3">
        <v>46006.452418981484</v>
      </c>
      <c r="T79" s="2" t="s">
        <v>457</v>
      </c>
      <c r="U79" s="2" t="s">
        <v>458</v>
      </c>
      <c r="V79" s="2" t="s">
        <v>30</v>
      </c>
      <c r="W79" s="2"/>
      <c r="X79" s="4">
        <f>Table_query[[#This Row],[Value $ ex GST]]*Table_query[[#This Row],[Margin]]</f>
        <v>0</v>
      </c>
      <c r="Y79">
        <f>ROUND(Table_query[[#This Row],[Modified]]-Table_query[[#This Row],[Created]],0)</f>
        <v>28</v>
      </c>
      <c r="Z79" s="10" t="str">
        <f ca="1">IF(_xlfn.NUMBERVALUE(LEFT(Table_query[[#This Row],[Phase]],1))&lt;=2,"",IF(Table_query[[#This Row],[Due]]&lt;TODAY(),ROUND(TODAY()-Table_query[[#This Row],[Due]],0),""))</f>
        <v/>
      </c>
      <c r="AA79" s="6">
        <f ca="1">ROUND(TODAY()-Table_query[[#This Row],[Modified]],0)</f>
        <v>42</v>
      </c>
      <c r="AB79" s="4">
        <f>(Table_query[[#This Row],[Value $ ex GST]]*Table_query[[#This Row],[Margin]])/(DATEDIF(Table_query[[#This Row],[Start Date]],Table_query[[#This Row],[Expiry Date]],"m")+1)</f>
        <v>0</v>
      </c>
      <c r="AC79">
        <f>(Table_query[[#This Row],[Value $ ex GST]])/(DATEDIF(Table_query[[#This Row],[Start Date]],Table_query[[#This Row],[Expiry Date]],"m")+1)</f>
        <v>0</v>
      </c>
    </row>
    <row r="80" spans="1:29" x14ac:dyDescent="0.25">
      <c r="A80" s="1" t="s">
        <v>141</v>
      </c>
      <c r="B80" s="2" t="s">
        <v>66</v>
      </c>
      <c r="C80" s="3">
        <v>46073</v>
      </c>
      <c r="D80" s="4">
        <v>135839</v>
      </c>
      <c r="E80" s="5">
        <v>0.06</v>
      </c>
      <c r="F80" s="2" t="s">
        <v>5</v>
      </c>
      <c r="G80" s="2" t="s">
        <v>208</v>
      </c>
      <c r="H80" s="2" t="s">
        <v>522</v>
      </c>
      <c r="I80" t="s">
        <v>251</v>
      </c>
      <c r="J80" s="1"/>
      <c r="K80" s="2" t="s">
        <v>568</v>
      </c>
      <c r="L80" s="2" t="s">
        <v>466</v>
      </c>
      <c r="M80" s="2" t="s">
        <v>34</v>
      </c>
      <c r="N80" s="6">
        <v>46090</v>
      </c>
      <c r="O80" s="6">
        <v>46171</v>
      </c>
      <c r="P80" s="2"/>
      <c r="Q80" s="3">
        <v>46073.632060185184</v>
      </c>
      <c r="R80" s="2" t="s">
        <v>457</v>
      </c>
      <c r="S80" s="3">
        <v>46059.644189814811</v>
      </c>
      <c r="T80" s="2" t="s">
        <v>523</v>
      </c>
      <c r="U80" s="2" t="s">
        <v>458</v>
      </c>
      <c r="V80" s="2" t="s">
        <v>30</v>
      </c>
      <c r="W80" s="2"/>
      <c r="X80" s="4">
        <f>Table_query[[#This Row],[Value $ ex GST]]*Table_query[[#This Row],[Margin]]</f>
        <v>8150.34</v>
      </c>
      <c r="Y80">
        <f>ROUND(Table_query[[#This Row],[Modified]]-Table_query[[#This Row],[Created]],0)</f>
        <v>14</v>
      </c>
      <c r="Z80" s="10">
        <f ca="1">IF(_xlfn.NUMBERVALUE(LEFT(Table_query[[#This Row],[Phase]],1))&lt;=2,"",IF(Table_query[[#This Row],[Due]]&lt;TODAY(),ROUND(TODAY()-Table_query[[#This Row],[Due]],0),""))</f>
        <v>3</v>
      </c>
      <c r="AA80" s="6">
        <f ca="1">ROUND(TODAY()-Table_query[[#This Row],[Modified]],0)</f>
        <v>2</v>
      </c>
      <c r="AB80" s="4">
        <f>(Table_query[[#This Row],[Value $ ex GST]]*Table_query[[#This Row],[Margin]])/(DATEDIF(Table_query[[#This Row],[Start Date]],Table_query[[#This Row],[Expiry Date]],"m")+1)</f>
        <v>2716.78</v>
      </c>
      <c r="AC80">
        <f>(Table_query[[#This Row],[Value $ ex GST]])/(DATEDIF(Table_query[[#This Row],[Start Date]],Table_query[[#This Row],[Expiry Date]],"m")+1)</f>
        <v>45279.666666666664</v>
      </c>
    </row>
    <row r="81" spans="1:29" x14ac:dyDescent="0.25">
      <c r="A81" s="1" t="s">
        <v>65</v>
      </c>
      <c r="B81" s="2" t="s">
        <v>42</v>
      </c>
      <c r="C81" s="3">
        <v>46072.708333333336</v>
      </c>
      <c r="D81" s="4">
        <v>3000000</v>
      </c>
      <c r="E81" s="5">
        <v>0.12</v>
      </c>
      <c r="F81" s="2" t="s">
        <v>5</v>
      </c>
      <c r="G81" s="2" t="s">
        <v>208</v>
      </c>
      <c r="H81" s="2" t="s">
        <v>363</v>
      </c>
      <c r="I81" t="s">
        <v>484</v>
      </c>
      <c r="J81" s="1"/>
      <c r="K81" s="2" t="s">
        <v>569</v>
      </c>
      <c r="L81" s="2" t="s">
        <v>543</v>
      </c>
      <c r="M81" s="2" t="s">
        <v>34</v>
      </c>
      <c r="N81" s="6">
        <v>46069</v>
      </c>
      <c r="O81" s="6">
        <v>46630</v>
      </c>
      <c r="P81" s="2" t="s">
        <v>486</v>
      </c>
      <c r="Q81" s="3">
        <v>46069.436863425923</v>
      </c>
      <c r="R81" s="2" t="s">
        <v>481</v>
      </c>
      <c r="S81" s="3">
        <v>45902.616678240738</v>
      </c>
      <c r="T81" s="2" t="s">
        <v>462</v>
      </c>
      <c r="U81" s="2" t="s">
        <v>458</v>
      </c>
      <c r="V81" s="2" t="s">
        <v>30</v>
      </c>
      <c r="W81" s="2" t="s">
        <v>245</v>
      </c>
      <c r="X81" s="4">
        <f>Table_query[[#This Row],[Value $ ex GST]]*Table_query[[#This Row],[Margin]]</f>
        <v>360000</v>
      </c>
      <c r="Y81">
        <f>ROUND(Table_query[[#This Row],[Modified]]-Table_query[[#This Row],[Created]],0)</f>
        <v>167</v>
      </c>
      <c r="Z81" s="10">
        <f ca="1">IF(_xlfn.NUMBERVALUE(LEFT(Table_query[[#This Row],[Phase]],1))&lt;=2,"",IF(Table_query[[#This Row],[Due]]&lt;TODAY(),ROUND(TODAY()-Table_query[[#This Row],[Due]],0),""))</f>
        <v>3</v>
      </c>
      <c r="AA81" s="6">
        <f ca="1">ROUND(TODAY()-Table_query[[#This Row],[Modified]],0)</f>
        <v>7</v>
      </c>
      <c r="AB81" s="4">
        <f>(Table_query[[#This Row],[Value $ ex GST]]*Table_query[[#This Row],[Margin]])/(DATEDIF(Table_query[[#This Row],[Start Date]],Table_query[[#This Row],[Expiry Date]],"m")+1)</f>
        <v>18947.36842105263</v>
      </c>
      <c r="AC81">
        <f>(Table_query[[#This Row],[Value $ ex GST]])/(DATEDIF(Table_query[[#This Row],[Start Date]],Table_query[[#This Row],[Expiry Date]],"m")+1)</f>
        <v>157894.73684210525</v>
      </c>
    </row>
    <row r="82" spans="1:29" x14ac:dyDescent="0.25">
      <c r="A82" s="1" t="s">
        <v>211</v>
      </c>
      <c r="B82" s="2" t="s">
        <v>192</v>
      </c>
      <c r="C82" s="3">
        <v>46108</v>
      </c>
      <c r="D82" s="4"/>
      <c r="E82" s="5"/>
      <c r="F82" s="2"/>
      <c r="G82" s="2" t="s">
        <v>208</v>
      </c>
      <c r="H82" s="2" t="s">
        <v>522</v>
      </c>
      <c r="I82" t="s">
        <v>251</v>
      </c>
      <c r="J82" s="1"/>
      <c r="K82" s="2"/>
      <c r="L82" s="2" t="s">
        <v>455</v>
      </c>
      <c r="M82" s="2" t="s">
        <v>31</v>
      </c>
      <c r="N82" s="6"/>
      <c r="O82" s="6"/>
      <c r="P82" s="2"/>
      <c r="Q82" s="3">
        <v>46059.519386574073</v>
      </c>
      <c r="R82" s="2" t="s">
        <v>457</v>
      </c>
      <c r="S82" s="3">
        <v>46059.513344907406</v>
      </c>
      <c r="T82" s="2" t="s">
        <v>457</v>
      </c>
      <c r="U82" s="2" t="s">
        <v>458</v>
      </c>
      <c r="V82" s="2" t="s">
        <v>30</v>
      </c>
      <c r="W82" s="2"/>
      <c r="X82" s="4">
        <f>Table_query[[#This Row],[Value $ ex GST]]*Table_query[[#This Row],[Margin]]</f>
        <v>0</v>
      </c>
      <c r="Y82">
        <f>ROUND(Table_query[[#This Row],[Modified]]-Table_query[[#This Row],[Created]],0)</f>
        <v>0</v>
      </c>
      <c r="Z82" s="10" t="str">
        <f ca="1">IF(_xlfn.NUMBERVALUE(LEFT(Table_query[[#This Row],[Phase]],1))&lt;=2,"",IF(Table_query[[#This Row],[Due]]&lt;TODAY(),ROUND(TODAY()-Table_query[[#This Row],[Due]],0),""))</f>
        <v/>
      </c>
      <c r="AA82" s="6">
        <f ca="1">ROUND(TODAY()-Table_query[[#This Row],[Modified]],0)</f>
        <v>16</v>
      </c>
      <c r="AB82" s="4">
        <f>(Table_query[[#This Row],[Value $ ex GST]]*Table_query[[#This Row],[Margin]])/(DATEDIF(Table_query[[#This Row],[Start Date]],Table_query[[#This Row],[Expiry Date]],"m")+1)</f>
        <v>0</v>
      </c>
      <c r="AC82">
        <f>(Table_query[[#This Row],[Value $ ex GST]])/(DATEDIF(Table_query[[#This Row],[Start Date]],Table_query[[#This Row],[Expiry Date]],"m")+1)</f>
        <v>0</v>
      </c>
    </row>
    <row r="83" spans="1:29" x14ac:dyDescent="0.25">
      <c r="A83" s="1" t="s">
        <v>210</v>
      </c>
      <c r="B83" s="2" t="s">
        <v>192</v>
      </c>
      <c r="C83" s="3">
        <v>46112.999305555553</v>
      </c>
      <c r="D83" s="4"/>
      <c r="E83" s="5"/>
      <c r="F83" s="2"/>
      <c r="G83" s="2" t="s">
        <v>208</v>
      </c>
      <c r="H83" s="2" t="s">
        <v>522</v>
      </c>
      <c r="I83" t="s">
        <v>535</v>
      </c>
      <c r="J83" s="1"/>
      <c r="K83" s="2" t="s">
        <v>570</v>
      </c>
      <c r="L83" s="2" t="s">
        <v>510</v>
      </c>
      <c r="M83" s="2" t="s">
        <v>34</v>
      </c>
      <c r="N83" s="6"/>
      <c r="O83" s="6"/>
      <c r="P83" s="2" t="s">
        <v>486</v>
      </c>
      <c r="Q83" s="3">
        <v>46067.360439814816</v>
      </c>
      <c r="R83" s="2" t="s">
        <v>457</v>
      </c>
      <c r="S83" s="3">
        <v>46034.389965277776</v>
      </c>
      <c r="T83" s="2" t="s">
        <v>457</v>
      </c>
      <c r="U83" s="2" t="s">
        <v>458</v>
      </c>
      <c r="V83" s="2" t="s">
        <v>30</v>
      </c>
      <c r="W83" s="2"/>
      <c r="X83" s="4">
        <f>Table_query[[#This Row],[Value $ ex GST]]*Table_query[[#This Row],[Margin]]</f>
        <v>0</v>
      </c>
      <c r="Y83">
        <f>ROUND(Table_query[[#This Row],[Modified]]-Table_query[[#This Row],[Created]],0)</f>
        <v>33</v>
      </c>
      <c r="Z83" s="6" t="str">
        <f ca="1">IF(_xlfn.NUMBERVALUE(LEFT(Table_query[[#This Row],[Phase]],1))&lt;=2,"",IF(Table_query[[#This Row],[Due]]&lt;TODAY(),ROUND(TODAY()-Table_query[[#This Row],[Due]],0),""))</f>
        <v/>
      </c>
      <c r="AA83" s="6">
        <f ca="1">ROUND(TODAY()-Table_query[[#This Row],[Modified]],0)</f>
        <v>9</v>
      </c>
      <c r="AB83" s="4">
        <f>(Table_query[[#This Row],[Value $ ex GST]]*Table_query[[#This Row],[Margin]])/(DATEDIF(Table_query[[#This Row],[Start Date]],Table_query[[#This Row],[Expiry Date]],"m")+1)</f>
        <v>0</v>
      </c>
      <c r="AC83">
        <f>(Table_query[[#This Row],[Value $ ex GST]])/(DATEDIF(Table_query[[#This Row],[Start Date]],Table_query[[#This Row],[Expiry Date]],"m")+1)</f>
        <v>0</v>
      </c>
    </row>
    <row r="84" spans="1:29" x14ac:dyDescent="0.25">
      <c r="A84" s="1" t="s">
        <v>135</v>
      </c>
      <c r="B84" s="2" t="s">
        <v>132</v>
      </c>
      <c r="C84" s="3">
        <v>46108.666666666664</v>
      </c>
      <c r="D84" s="4">
        <v>600000</v>
      </c>
      <c r="E84" s="5">
        <v>0.15</v>
      </c>
      <c r="F84" s="2" t="s">
        <v>5</v>
      </c>
      <c r="G84" s="2" t="s">
        <v>208</v>
      </c>
      <c r="H84" s="2" t="s">
        <v>363</v>
      </c>
      <c r="I84" t="s">
        <v>484</v>
      </c>
      <c r="J84" s="1"/>
      <c r="K84" s="2" t="s">
        <v>610</v>
      </c>
      <c r="L84" s="2" t="s">
        <v>466</v>
      </c>
      <c r="M84" s="2" t="s">
        <v>35</v>
      </c>
      <c r="N84" s="6">
        <v>46069</v>
      </c>
      <c r="O84" s="6">
        <v>46203</v>
      </c>
      <c r="P84" s="2" t="s">
        <v>486</v>
      </c>
      <c r="Q84" s="3">
        <v>46069.390277777777</v>
      </c>
      <c r="R84" s="2" t="s">
        <v>457</v>
      </c>
      <c r="S84" s="3">
        <v>45945.549710648149</v>
      </c>
      <c r="T84" s="2" t="s">
        <v>457</v>
      </c>
      <c r="U84" s="2" t="s">
        <v>458</v>
      </c>
      <c r="V84" s="2" t="s">
        <v>30</v>
      </c>
      <c r="W84" s="2"/>
      <c r="X84" s="4">
        <f>Table_query[[#This Row],[Value $ ex GST]]*Table_query[[#This Row],[Margin]]</f>
        <v>90000</v>
      </c>
      <c r="Y84">
        <f>ROUND(Table_query[[#This Row],[Modified]]-Table_query[[#This Row],[Created]],0)</f>
        <v>124</v>
      </c>
      <c r="Z84" s="6" t="str">
        <f ca="1">IF(_xlfn.NUMBERVALUE(LEFT(Table_query[[#This Row],[Phase]],1))&lt;=2,"",IF(Table_query[[#This Row],[Due]]&lt;TODAY(),ROUND(TODAY()-Table_query[[#This Row],[Due]],0),""))</f>
        <v/>
      </c>
      <c r="AA84" s="6">
        <f ca="1">ROUND(TODAY()-Table_query[[#This Row],[Modified]],0)</f>
        <v>7</v>
      </c>
      <c r="AB84" s="4">
        <f>(Table_query[[#This Row],[Value $ ex GST]]*Table_query[[#This Row],[Margin]])/(DATEDIF(Table_query[[#This Row],[Start Date]],Table_query[[#This Row],[Expiry Date]],"m")+1)</f>
        <v>18000</v>
      </c>
      <c r="AC84">
        <f>(Table_query[[#This Row],[Value $ ex GST]])/(DATEDIF(Table_query[[#This Row],[Start Date]],Table_query[[#This Row],[Expiry Date]],"m")+1)</f>
        <v>120000</v>
      </c>
    </row>
    <row r="85" spans="1:29" x14ac:dyDescent="0.25">
      <c r="A85" s="1" t="s">
        <v>136</v>
      </c>
      <c r="B85" s="2" t="s">
        <v>132</v>
      </c>
      <c r="C85" s="3">
        <v>46108.666666666664</v>
      </c>
      <c r="D85" s="4">
        <v>1200000</v>
      </c>
      <c r="E85" s="5">
        <v>0.2</v>
      </c>
      <c r="F85" s="2" t="s">
        <v>55</v>
      </c>
      <c r="G85" s="2" t="s">
        <v>208</v>
      </c>
      <c r="H85" s="2" t="s">
        <v>363</v>
      </c>
      <c r="I85" t="s">
        <v>484</v>
      </c>
      <c r="J85" s="1"/>
      <c r="K85" s="2" t="s">
        <v>611</v>
      </c>
      <c r="L85" s="2" t="s">
        <v>466</v>
      </c>
      <c r="M85" s="2" t="s">
        <v>34</v>
      </c>
      <c r="N85" s="6">
        <v>46097</v>
      </c>
      <c r="O85" s="6">
        <v>46276</v>
      </c>
      <c r="P85" s="2" t="s">
        <v>486</v>
      </c>
      <c r="Q85" s="3">
        <v>46069.390914351854</v>
      </c>
      <c r="R85" s="2" t="s">
        <v>457</v>
      </c>
      <c r="S85" s="3">
        <v>45945.549710648149</v>
      </c>
      <c r="T85" s="2" t="s">
        <v>457</v>
      </c>
      <c r="U85" s="2" t="s">
        <v>458</v>
      </c>
      <c r="V85" s="2" t="s">
        <v>30</v>
      </c>
      <c r="W85" s="2"/>
      <c r="X85" s="4">
        <f>Table_query[[#This Row],[Value $ ex GST]]*Table_query[[#This Row],[Margin]]</f>
        <v>240000</v>
      </c>
      <c r="Y85">
        <f>ROUND(Table_query[[#This Row],[Modified]]-Table_query[[#This Row],[Created]],0)</f>
        <v>124</v>
      </c>
      <c r="Z85" s="6" t="str">
        <f ca="1">IF(_xlfn.NUMBERVALUE(LEFT(Table_query[[#This Row],[Phase]],1))&lt;=2,"",IF(Table_query[[#This Row],[Due]]&lt;TODAY(),ROUND(TODAY()-Table_query[[#This Row],[Due]],0),""))</f>
        <v/>
      </c>
      <c r="AA85" s="6">
        <f ca="1">ROUND(TODAY()-Table_query[[#This Row],[Modified]],0)</f>
        <v>7</v>
      </c>
      <c r="AB85" s="4">
        <f>(Table_query[[#This Row],[Value $ ex GST]]*Table_query[[#This Row],[Margin]])/(DATEDIF(Table_query[[#This Row],[Start Date]],Table_query[[#This Row],[Expiry Date]],"m")+1)</f>
        <v>40000</v>
      </c>
      <c r="AC85">
        <f>(Table_query[[#This Row],[Value $ ex GST]])/(DATEDIF(Table_query[[#This Row],[Start Date]],Table_query[[#This Row],[Expiry Date]],"m")+1)</f>
        <v>200000</v>
      </c>
    </row>
    <row r="86" spans="1:29" x14ac:dyDescent="0.25">
      <c r="A86" s="1" t="s">
        <v>571</v>
      </c>
      <c r="B86" s="2" t="s">
        <v>192</v>
      </c>
      <c r="C86" s="3">
        <v>46203</v>
      </c>
      <c r="D86" s="4"/>
      <c r="E86" s="5"/>
      <c r="F86" s="2"/>
      <c r="G86" s="2" t="s">
        <v>208</v>
      </c>
      <c r="H86" s="2" t="s">
        <v>522</v>
      </c>
      <c r="I86" t="s">
        <v>251</v>
      </c>
      <c r="J86" s="1"/>
      <c r="K86" s="2"/>
      <c r="L86" s="2" t="s">
        <v>466</v>
      </c>
      <c r="M86" s="2"/>
      <c r="N86" s="6"/>
      <c r="O86" s="6"/>
      <c r="P86" s="2"/>
      <c r="Q86" s="3">
        <v>46059.694421296299</v>
      </c>
      <c r="R86" s="2" t="s">
        <v>523</v>
      </c>
      <c r="S86" s="3">
        <v>46059.688078703701</v>
      </c>
      <c r="T86" s="2" t="s">
        <v>523</v>
      </c>
      <c r="U86" s="2" t="s">
        <v>458</v>
      </c>
      <c r="V86" s="2" t="s">
        <v>30</v>
      </c>
      <c r="W86" s="2"/>
      <c r="X86" s="4">
        <f>Table_query[[#This Row],[Value $ ex GST]]*Table_query[[#This Row],[Margin]]</f>
        <v>0</v>
      </c>
      <c r="Y86">
        <f>ROUND(Table_query[[#This Row],[Modified]]-Table_query[[#This Row],[Created]],0)</f>
        <v>0</v>
      </c>
      <c r="Z86" s="6" t="str">
        <f ca="1">IF(_xlfn.NUMBERVALUE(LEFT(Table_query[[#This Row],[Phase]],1))&lt;=2,"",IF(Table_query[[#This Row],[Due]]&lt;TODAY(),ROUND(TODAY()-Table_query[[#This Row],[Due]],0),""))</f>
        <v/>
      </c>
      <c r="AA86" s="6">
        <f ca="1">ROUND(TODAY()-Table_query[[#This Row],[Modified]],0)</f>
        <v>16</v>
      </c>
      <c r="AB86" s="4">
        <f>(Table_query[[#This Row],[Value $ ex GST]]*Table_query[[#This Row],[Margin]])/(DATEDIF(Table_query[[#This Row],[Start Date]],Table_query[[#This Row],[Expiry Date]],"m")+1)</f>
        <v>0</v>
      </c>
      <c r="AC86">
        <f>(Table_query[[#This Row],[Value $ ex GST]])/(DATEDIF(Table_query[[#This Row],[Start Date]],Table_query[[#This Row],[Expiry Date]],"m")+1)</f>
        <v>0</v>
      </c>
    </row>
    <row r="87" spans="1:29" x14ac:dyDescent="0.25">
      <c r="A87" s="1" t="s">
        <v>212</v>
      </c>
      <c r="B87" s="2" t="s">
        <v>192</v>
      </c>
      <c r="C87" s="3">
        <v>46112</v>
      </c>
      <c r="D87" s="4"/>
      <c r="E87" s="5"/>
      <c r="F87" s="2"/>
      <c r="G87" s="2" t="s">
        <v>208</v>
      </c>
      <c r="H87" s="2" t="s">
        <v>522</v>
      </c>
      <c r="I87" t="s">
        <v>251</v>
      </c>
      <c r="J87" s="1"/>
      <c r="K87" s="2"/>
      <c r="L87" s="2" t="s">
        <v>466</v>
      </c>
      <c r="M87" s="2" t="s">
        <v>34</v>
      </c>
      <c r="N87" s="6"/>
      <c r="O87" s="6"/>
      <c r="P87" s="2"/>
      <c r="Q87" s="3">
        <v>46059.64984953704</v>
      </c>
      <c r="R87" s="2" t="s">
        <v>523</v>
      </c>
      <c r="S87" s="3">
        <v>46059.647870370369</v>
      </c>
      <c r="T87" s="2" t="s">
        <v>523</v>
      </c>
      <c r="U87" s="2" t="s">
        <v>458</v>
      </c>
      <c r="V87" s="2" t="s">
        <v>30</v>
      </c>
      <c r="W87" s="2"/>
      <c r="X87" s="4">
        <f>Table_query[[#This Row],[Value $ ex GST]]*Table_query[[#This Row],[Margin]]</f>
        <v>0</v>
      </c>
      <c r="Y87">
        <f>ROUND(Table_query[[#This Row],[Modified]]-Table_query[[#This Row],[Created]],0)</f>
        <v>0</v>
      </c>
      <c r="Z87" s="6" t="str">
        <f ca="1">IF(_xlfn.NUMBERVALUE(LEFT(Table_query[[#This Row],[Phase]],1))&lt;=2,"",IF(Table_query[[#This Row],[Due]]&lt;TODAY(),ROUND(TODAY()-Table_query[[#This Row],[Due]],0),""))</f>
        <v/>
      </c>
      <c r="AA87" s="6">
        <f ca="1">ROUND(TODAY()-Table_query[[#This Row],[Modified]],0)</f>
        <v>16</v>
      </c>
      <c r="AB87" s="4">
        <f>(Table_query[[#This Row],[Value $ ex GST]]*Table_query[[#This Row],[Margin]])/(DATEDIF(Table_query[[#This Row],[Start Date]],Table_query[[#This Row],[Expiry Date]],"m")+1)</f>
        <v>0</v>
      </c>
      <c r="AC87">
        <f>(Table_query[[#This Row],[Value $ ex GST]])/(DATEDIF(Table_query[[#This Row],[Start Date]],Table_query[[#This Row],[Expiry Date]],"m")+1)</f>
        <v>0</v>
      </c>
    </row>
    <row r="88" spans="1:29" x14ac:dyDescent="0.25">
      <c r="A88" s="1" t="s">
        <v>144</v>
      </c>
      <c r="B88" s="2" t="s">
        <v>132</v>
      </c>
      <c r="C88" s="3">
        <v>46078.583333333336</v>
      </c>
      <c r="D88" s="4"/>
      <c r="E88" s="5"/>
      <c r="F88" s="2" t="s">
        <v>5</v>
      </c>
      <c r="G88" s="2" t="s">
        <v>208</v>
      </c>
      <c r="H88" s="2" t="s">
        <v>522</v>
      </c>
      <c r="I88" t="s">
        <v>251</v>
      </c>
      <c r="J88" s="1"/>
      <c r="K88" s="2" t="s">
        <v>572</v>
      </c>
      <c r="L88" s="2" t="s">
        <v>455</v>
      </c>
      <c r="M88" s="2" t="s">
        <v>131</v>
      </c>
      <c r="N88" s="6"/>
      <c r="O88" s="6"/>
      <c r="P88" s="2"/>
      <c r="Q88" s="3">
        <v>46066.580914351849</v>
      </c>
      <c r="R88" s="2" t="s">
        <v>471</v>
      </c>
      <c r="S88" s="3">
        <v>46059.581203703703</v>
      </c>
      <c r="T88" s="2" t="s">
        <v>523</v>
      </c>
      <c r="U88" s="2" t="s">
        <v>458</v>
      </c>
      <c r="V88" s="2" t="s">
        <v>30</v>
      </c>
      <c r="W88" s="2" t="s">
        <v>244</v>
      </c>
      <c r="X88" s="4">
        <f>Table_query[[#This Row],[Value $ ex GST]]*Table_query[[#This Row],[Margin]]</f>
        <v>0</v>
      </c>
      <c r="Y88">
        <f>ROUND(Table_query[[#This Row],[Modified]]-Table_query[[#This Row],[Created]],0)</f>
        <v>7</v>
      </c>
      <c r="Z88" s="6" t="str">
        <f ca="1">IF(_xlfn.NUMBERVALUE(LEFT(Table_query[[#This Row],[Phase]],1))&lt;=2,"",IF(Table_query[[#This Row],[Due]]&lt;TODAY(),ROUND(TODAY()-Table_query[[#This Row],[Due]],0),""))</f>
        <v/>
      </c>
      <c r="AA88" s="6">
        <f ca="1">ROUND(TODAY()-Table_query[[#This Row],[Modified]],0)</f>
        <v>9</v>
      </c>
      <c r="AB88" s="4">
        <f>(Table_query[[#This Row],[Value $ ex GST]]*Table_query[[#This Row],[Margin]])/(DATEDIF(Table_query[[#This Row],[Start Date]],Table_query[[#This Row],[Expiry Date]],"m")+1)</f>
        <v>0</v>
      </c>
      <c r="AC88">
        <f>(Table_query[[#This Row],[Value $ ex GST]])/(DATEDIF(Table_query[[#This Row],[Start Date]],Table_query[[#This Row],[Expiry Date]],"m")+1)</f>
        <v>0</v>
      </c>
    </row>
    <row r="89" spans="1:29" x14ac:dyDescent="0.25">
      <c r="A89" s="1" t="s">
        <v>213</v>
      </c>
      <c r="B89" s="2" t="s">
        <v>192</v>
      </c>
      <c r="C89" s="3">
        <v>46112</v>
      </c>
      <c r="D89" s="4"/>
      <c r="E89" s="5"/>
      <c r="F89" s="2"/>
      <c r="G89" s="2" t="s">
        <v>208</v>
      </c>
      <c r="H89" s="2" t="s">
        <v>522</v>
      </c>
      <c r="I89" t="s">
        <v>251</v>
      </c>
      <c r="J89" s="1"/>
      <c r="K89" s="2"/>
      <c r="L89" s="2" t="s">
        <v>466</v>
      </c>
      <c r="M89" s="2" t="s">
        <v>34</v>
      </c>
      <c r="N89" s="6"/>
      <c r="O89" s="6"/>
      <c r="P89" s="2"/>
      <c r="Q89" s="3">
        <v>46059.651921296296</v>
      </c>
      <c r="R89" s="2" t="s">
        <v>523</v>
      </c>
      <c r="S89" s="3">
        <v>46059.650613425925</v>
      </c>
      <c r="T89" s="2" t="s">
        <v>523</v>
      </c>
      <c r="U89" s="2" t="s">
        <v>458</v>
      </c>
      <c r="V89" s="2" t="s">
        <v>30</v>
      </c>
      <c r="W89" s="2"/>
      <c r="X89" s="4">
        <f>Table_query[[#This Row],[Value $ ex GST]]*Table_query[[#This Row],[Margin]]</f>
        <v>0</v>
      </c>
      <c r="Y89">
        <f>ROUND(Table_query[[#This Row],[Modified]]-Table_query[[#This Row],[Created]],0)</f>
        <v>0</v>
      </c>
      <c r="Z89" s="6" t="str">
        <f ca="1">IF(_xlfn.NUMBERVALUE(LEFT(Table_query[[#This Row],[Phase]],1))&lt;=2,"",IF(Table_query[[#This Row],[Due]]&lt;TODAY(),ROUND(TODAY()-Table_query[[#This Row],[Due]],0),""))</f>
        <v/>
      </c>
      <c r="AA89" s="6">
        <f ca="1">ROUND(TODAY()-Table_query[[#This Row],[Modified]],0)</f>
        <v>16</v>
      </c>
      <c r="AB89" s="4">
        <f>(Table_query[[#This Row],[Value $ ex GST]]*Table_query[[#This Row],[Margin]])/(DATEDIF(Table_query[[#This Row],[Start Date]],Table_query[[#This Row],[Expiry Date]],"m")+1)</f>
        <v>0</v>
      </c>
      <c r="AC89">
        <f>(Table_query[[#This Row],[Value $ ex GST]])/(DATEDIF(Table_query[[#This Row],[Start Date]],Table_query[[#This Row],[Expiry Date]],"m")+1)</f>
        <v>0</v>
      </c>
    </row>
    <row r="90" spans="1:29" x14ac:dyDescent="0.25">
      <c r="A90" s="1" t="s">
        <v>214</v>
      </c>
      <c r="B90" s="2" t="s">
        <v>192</v>
      </c>
      <c r="C90" s="3">
        <v>46084.583333333336</v>
      </c>
      <c r="D90" s="4"/>
      <c r="E90" s="5"/>
      <c r="F90" s="2"/>
      <c r="G90" s="2" t="s">
        <v>208</v>
      </c>
      <c r="H90" s="2" t="s">
        <v>522</v>
      </c>
      <c r="I90" t="s">
        <v>251</v>
      </c>
      <c r="J90" s="1"/>
      <c r="K90" s="2"/>
      <c r="L90" s="2" t="s">
        <v>466</v>
      </c>
      <c r="M90" s="2" t="s">
        <v>34</v>
      </c>
      <c r="N90" s="6">
        <v>46173</v>
      </c>
      <c r="O90" s="6">
        <v>46537</v>
      </c>
      <c r="P90" s="2"/>
      <c r="Q90" s="3">
        <v>46059.498136574075</v>
      </c>
      <c r="R90" s="2" t="s">
        <v>457</v>
      </c>
      <c r="S90" s="3">
        <v>46059.492777777778</v>
      </c>
      <c r="T90" s="2" t="s">
        <v>457</v>
      </c>
      <c r="U90" s="2" t="s">
        <v>458</v>
      </c>
      <c r="V90" s="2" t="s">
        <v>30</v>
      </c>
      <c r="W90" s="2"/>
      <c r="X90" s="4">
        <f>Table_query[[#This Row],[Value $ ex GST]]*Table_query[[#This Row],[Margin]]</f>
        <v>0</v>
      </c>
      <c r="Y90">
        <f>ROUND(Table_query[[#This Row],[Modified]]-Table_query[[#This Row],[Created]],0)</f>
        <v>0</v>
      </c>
      <c r="Z90" s="6" t="str">
        <f ca="1">IF(_xlfn.NUMBERVALUE(LEFT(Table_query[[#This Row],[Phase]],1))&lt;=2,"",IF(Table_query[[#This Row],[Due]]&lt;TODAY(),ROUND(TODAY()-Table_query[[#This Row],[Due]],0),""))</f>
        <v/>
      </c>
      <c r="AA90" s="6">
        <f ca="1">ROUND(TODAY()-Table_query[[#This Row],[Modified]],0)</f>
        <v>17</v>
      </c>
      <c r="AB90" s="4">
        <f>(Table_query[[#This Row],[Value $ ex GST]]*Table_query[[#This Row],[Margin]])/(DATEDIF(Table_query[[#This Row],[Start Date]],Table_query[[#This Row],[Expiry Date]],"m")+1)</f>
        <v>0</v>
      </c>
      <c r="AC90">
        <f>(Table_query[[#This Row],[Value $ ex GST]])/(DATEDIF(Table_query[[#This Row],[Start Date]],Table_query[[#This Row],[Expiry Date]],"m")+1)</f>
        <v>0</v>
      </c>
    </row>
    <row r="91" spans="1:29" x14ac:dyDescent="0.25">
      <c r="A91" s="1" t="s">
        <v>215</v>
      </c>
      <c r="B91" s="2" t="s">
        <v>192</v>
      </c>
      <c r="C91" s="3">
        <v>46108</v>
      </c>
      <c r="D91" s="4"/>
      <c r="E91" s="5"/>
      <c r="F91" s="2"/>
      <c r="G91" s="2" t="s">
        <v>208</v>
      </c>
      <c r="H91" s="2" t="s">
        <v>522</v>
      </c>
      <c r="I91" t="s">
        <v>251</v>
      </c>
      <c r="J91" s="1"/>
      <c r="K91" s="2"/>
      <c r="L91" s="2" t="s">
        <v>466</v>
      </c>
      <c r="M91" s="2" t="s">
        <v>34</v>
      </c>
      <c r="N91" s="6"/>
      <c r="O91" s="6"/>
      <c r="P91" s="2"/>
      <c r="Q91" s="3">
        <v>46072.460543981484</v>
      </c>
      <c r="R91" s="2" t="s">
        <v>523</v>
      </c>
      <c r="S91" s="3">
        <v>46059.512916666667</v>
      </c>
      <c r="T91" s="2" t="s">
        <v>457</v>
      </c>
      <c r="U91" s="2" t="s">
        <v>458</v>
      </c>
      <c r="V91" s="2" t="s">
        <v>30</v>
      </c>
      <c r="W91" s="2" t="s">
        <v>243</v>
      </c>
      <c r="X91" s="4">
        <f>Table_query[[#This Row],[Value $ ex GST]]*Table_query[[#This Row],[Margin]]</f>
        <v>0</v>
      </c>
      <c r="Y91">
        <f>ROUND(Table_query[[#This Row],[Modified]]-Table_query[[#This Row],[Created]],0)</f>
        <v>13</v>
      </c>
      <c r="Z91" s="6" t="str">
        <f ca="1">IF(_xlfn.NUMBERVALUE(LEFT(Table_query[[#This Row],[Phase]],1))&lt;=2,"",IF(Table_query[[#This Row],[Due]]&lt;TODAY(),ROUND(TODAY()-Table_query[[#This Row],[Due]],0),""))</f>
        <v/>
      </c>
      <c r="AA91" s="6">
        <f ca="1">ROUND(TODAY()-Table_query[[#This Row],[Modified]],0)</f>
        <v>4</v>
      </c>
      <c r="AB91" s="4">
        <f>(Table_query[[#This Row],[Value $ ex GST]]*Table_query[[#This Row],[Margin]])/(DATEDIF(Table_query[[#This Row],[Start Date]],Table_query[[#This Row],[Expiry Date]],"m")+1)</f>
        <v>0</v>
      </c>
      <c r="AC91">
        <f>(Table_query[[#This Row],[Value $ ex GST]])/(DATEDIF(Table_query[[#This Row],[Start Date]],Table_query[[#This Row],[Expiry Date]],"m")+1)</f>
        <v>0</v>
      </c>
    </row>
    <row r="92" spans="1:29" x14ac:dyDescent="0.25">
      <c r="A92" s="1" t="s">
        <v>209</v>
      </c>
      <c r="B92" s="2" t="s">
        <v>192</v>
      </c>
      <c r="C92" s="3">
        <v>46112</v>
      </c>
      <c r="D92" s="4"/>
      <c r="E92" s="5"/>
      <c r="F92" s="2"/>
      <c r="G92" s="2" t="s">
        <v>208</v>
      </c>
      <c r="H92" s="2" t="s">
        <v>411</v>
      </c>
      <c r="I92" t="s">
        <v>251</v>
      </c>
      <c r="J92" s="1"/>
      <c r="K92" s="2"/>
      <c r="L92" s="2" t="s">
        <v>455</v>
      </c>
      <c r="M92" s="2" t="s">
        <v>31</v>
      </c>
      <c r="N92" s="6"/>
      <c r="O92" s="6"/>
      <c r="P92" s="2" t="s">
        <v>486</v>
      </c>
      <c r="Q92" s="3">
        <v>46067.359155092592</v>
      </c>
      <c r="R92" s="2" t="s">
        <v>457</v>
      </c>
      <c r="S92" s="3">
        <v>45987.621689814812</v>
      </c>
      <c r="T92" s="2" t="s">
        <v>462</v>
      </c>
      <c r="U92" s="2" t="s">
        <v>458</v>
      </c>
      <c r="V92" s="2" t="s">
        <v>30</v>
      </c>
      <c r="W92" s="2" t="s">
        <v>243</v>
      </c>
      <c r="X92" s="4">
        <f>Table_query[[#This Row],[Value $ ex GST]]*Table_query[[#This Row],[Margin]]</f>
        <v>0</v>
      </c>
      <c r="Y92">
        <f>ROUND(Table_query[[#This Row],[Modified]]-Table_query[[#This Row],[Created]],0)</f>
        <v>80</v>
      </c>
      <c r="Z92" s="6" t="str">
        <f ca="1">IF(_xlfn.NUMBERVALUE(LEFT(Table_query[[#This Row],[Phase]],1))&lt;=2,"",IF(Table_query[[#This Row],[Due]]&lt;TODAY(),ROUND(TODAY()-Table_query[[#This Row],[Due]],0),""))</f>
        <v/>
      </c>
      <c r="AA92" s="6">
        <f ca="1">ROUND(TODAY()-Table_query[[#This Row],[Modified]],0)</f>
        <v>9</v>
      </c>
      <c r="AB92" s="4">
        <f>(Table_query[[#This Row],[Value $ ex GST]]*Table_query[[#This Row],[Margin]])/(DATEDIF(Table_query[[#This Row],[Start Date]],Table_query[[#This Row],[Expiry Date]],"m")+1)</f>
        <v>0</v>
      </c>
      <c r="AC92">
        <f>(Table_query[[#This Row],[Value $ ex GST]])/(DATEDIF(Table_query[[#This Row],[Start Date]],Table_query[[#This Row],[Expiry Date]],"m")+1)</f>
        <v>0</v>
      </c>
    </row>
    <row r="93" spans="1:29" x14ac:dyDescent="0.25">
      <c r="A93" s="1" t="s">
        <v>573</v>
      </c>
      <c r="B93" s="2" t="s">
        <v>532</v>
      </c>
      <c r="C93" s="3"/>
      <c r="D93" s="4"/>
      <c r="E93" s="5"/>
      <c r="F93" s="2"/>
      <c r="G93" s="2"/>
      <c r="H93" s="2"/>
      <c r="I93" t="s">
        <v>251</v>
      </c>
      <c r="J93" s="1"/>
      <c r="K93" s="2"/>
      <c r="L93" s="2"/>
      <c r="M93" s="2"/>
      <c r="N93" s="6"/>
      <c r="O93" s="6"/>
      <c r="P93" s="2"/>
      <c r="Q93" s="3">
        <v>45905.669745370367</v>
      </c>
      <c r="R93" s="2" t="s">
        <v>471</v>
      </c>
      <c r="S93" s="3">
        <v>45204.49046296296</v>
      </c>
      <c r="T93" s="2" t="s">
        <v>471</v>
      </c>
      <c r="U93" s="2" t="s">
        <v>458</v>
      </c>
      <c r="V93" s="2" t="s">
        <v>30</v>
      </c>
      <c r="W93" s="2"/>
      <c r="X93" s="4">
        <f>Table_query[[#This Row],[Value $ ex GST]]*Table_query[[#This Row],[Margin]]</f>
        <v>0</v>
      </c>
      <c r="Y93">
        <f>ROUND(Table_query[[#This Row],[Modified]]-Table_query[[#This Row],[Created]],0)</f>
        <v>701</v>
      </c>
      <c r="Z93" s="6">
        <f ca="1">IF(_xlfn.NUMBERVALUE(LEFT(Table_query[[#This Row],[Phase]],1))&lt;=2,"",IF(Table_query[[#This Row],[Due]]&lt;TODAY(),ROUND(TODAY()-Table_query[[#This Row],[Due]],0),""))</f>
        <v>46076</v>
      </c>
      <c r="AA93" s="6">
        <f ca="1">ROUND(TODAY()-Table_query[[#This Row],[Modified]],0)</f>
        <v>170</v>
      </c>
      <c r="AB93" s="4">
        <f>(Table_query[[#This Row],[Value $ ex GST]]*Table_query[[#This Row],[Margin]])/(DATEDIF(Table_query[[#This Row],[Start Date]],Table_query[[#This Row],[Expiry Date]],"m")+1)</f>
        <v>0</v>
      </c>
      <c r="AC93">
        <f>(Table_query[[#This Row],[Value $ ex GST]])/(DATEDIF(Table_query[[#This Row],[Start Date]],Table_query[[#This Row],[Expiry Date]],"m")+1)</f>
        <v>0</v>
      </c>
    </row>
    <row r="94" spans="1:29" x14ac:dyDescent="0.25">
      <c r="A94" s="1" t="s">
        <v>574</v>
      </c>
      <c r="B94" s="2"/>
      <c r="C94" s="3"/>
      <c r="D94" s="4"/>
      <c r="E94" s="5"/>
      <c r="F94" s="2"/>
      <c r="G94" s="2"/>
      <c r="H94" s="2"/>
      <c r="I94" t="s">
        <v>251</v>
      </c>
      <c r="J94" s="1"/>
      <c r="K94" s="2"/>
      <c r="L94" s="2"/>
      <c r="M94" s="2"/>
      <c r="N94" s="6"/>
      <c r="O94" s="6"/>
      <c r="P94" s="2"/>
      <c r="Q94" s="3">
        <v>46064.395509259259</v>
      </c>
      <c r="R94" s="2" t="s">
        <v>471</v>
      </c>
      <c r="S94" s="3">
        <v>46064.393310185187</v>
      </c>
      <c r="T94" s="2" t="s">
        <v>471</v>
      </c>
      <c r="U94" s="2" t="s">
        <v>458</v>
      </c>
      <c r="V94" s="2" t="s">
        <v>30</v>
      </c>
      <c r="W94" s="2"/>
      <c r="X94" s="4">
        <f>Table_query[[#This Row],[Value $ ex GST]]*Table_query[[#This Row],[Margin]]</f>
        <v>0</v>
      </c>
      <c r="Y94">
        <f>ROUND(Table_query[[#This Row],[Modified]]-Table_query[[#This Row],[Created]],0)</f>
        <v>0</v>
      </c>
      <c r="Z94" s="6" t="str">
        <f ca="1">IF(_xlfn.NUMBERVALUE(LEFT(Table_query[[#This Row],[Phase]],1))&lt;=2,"",IF(Table_query[[#This Row],[Due]]&lt;TODAY(),ROUND(TODAY()-Table_query[[#This Row],[Due]],0),""))</f>
        <v/>
      </c>
      <c r="AA94" s="6">
        <f ca="1">ROUND(TODAY()-Table_query[[#This Row],[Modified]],0)</f>
        <v>12</v>
      </c>
      <c r="AB94" s="4">
        <f>(Table_query[[#This Row],[Value $ ex GST]]*Table_query[[#This Row],[Margin]])/(DATEDIF(Table_query[[#This Row],[Start Date]],Table_query[[#This Row],[Expiry Date]],"m")+1)</f>
        <v>0</v>
      </c>
      <c r="AC94">
        <f>(Table_query[[#This Row],[Value $ ex GST]])/(DATEDIF(Table_query[[#This Row],[Start Date]],Table_query[[#This Row],[Expiry Date]],"m")+1)</f>
        <v>0</v>
      </c>
    </row>
  </sheetData>
  <hyperlinks>
    <hyperlink ref="A95" r:id="rId1" display="Open Job Plan Template in Excel Desktop Application directly.docx" xr:uid="{CDF8C1B7-8677-48D6-904F-97EE6F815BF8}"/>
    <hyperlink ref="A2" r:id="rId2" xr:uid="{89B96DA9-65FD-42E5-AEB6-6AF7224B5614}"/>
    <hyperlink ref="A3" r:id="rId3" xr:uid="{5711EA1C-2005-4809-B2DC-C75175065942}"/>
    <hyperlink ref="A4" r:id="rId4" xr:uid="{68E08A04-F3E8-474F-A24E-E560170AC995}"/>
    <hyperlink ref="A5" r:id="rId5" xr:uid="{F0FC2E29-2216-4E4A-AE99-ED99059604BC}"/>
    <hyperlink ref="A6" r:id="rId6" xr:uid="{B84EA098-3C5B-4E75-9975-574D18535FDC}"/>
    <hyperlink ref="A7" r:id="rId7" xr:uid="{CABBECE7-3B3F-4F76-B1C1-D080D2782FC0}"/>
    <hyperlink ref="A8" r:id="rId8" xr:uid="{D15EDC00-0ECE-44C9-AC95-066FD4849764}"/>
    <hyperlink ref="A9" r:id="rId9" xr:uid="{6ACF999B-C934-4B05-823B-E426FF138B28}"/>
    <hyperlink ref="A10" r:id="rId10" xr:uid="{71BA0918-4849-4C38-865F-A5A3F186A017}"/>
    <hyperlink ref="A11" r:id="rId11" xr:uid="{8274FCDF-4293-408A-A328-C46ED125ADCA}"/>
    <hyperlink ref="A12" r:id="rId12" xr:uid="{613159CA-51A1-4938-AB78-E59C32D4C682}"/>
    <hyperlink ref="A13" r:id="rId13" xr:uid="{ADB06D62-8CD0-494B-B35F-28D049AC79F8}"/>
    <hyperlink ref="A14" r:id="rId14" xr:uid="{A279E67F-8CD7-4BA4-8E1C-60E341C34E31}"/>
    <hyperlink ref="A15" r:id="rId15" xr:uid="{6FEDD79D-B989-4BC6-A2FB-1D89726E4FCA}"/>
    <hyperlink ref="A16" r:id="rId16" xr:uid="{5ECC229F-BA08-4171-8230-B646665433CB}"/>
    <hyperlink ref="A17" r:id="rId17" xr:uid="{5594A698-250F-45B3-962C-1366D4527448}"/>
    <hyperlink ref="A18" r:id="rId18" xr:uid="{0099D651-2314-4327-8AED-3AD9A3F15589}"/>
    <hyperlink ref="A19" r:id="rId19" xr:uid="{8B2944F2-777C-4936-BF0F-96F458DFEA0A}"/>
    <hyperlink ref="A20" r:id="rId20" xr:uid="{1378A893-B0BC-44B9-A46E-218D5B905CB8}"/>
    <hyperlink ref="A21" r:id="rId21" xr:uid="{8FE0E0B5-6B98-4327-9D24-FB6EA1A2FCA1}"/>
    <hyperlink ref="A22" r:id="rId22" xr:uid="{918EED9F-C378-431C-9BC3-577D90D8AB71}"/>
    <hyperlink ref="A23" r:id="rId23" xr:uid="{D06ABC2D-C265-4A0D-9EAA-A5A76B046566}"/>
    <hyperlink ref="A24" r:id="rId24" xr:uid="{B6605940-4685-4568-958A-3CA9CB0EB963}"/>
    <hyperlink ref="A25" r:id="rId25" xr:uid="{7FCED5B1-EB16-432F-A365-068F9D5F9BCF}"/>
    <hyperlink ref="A26" r:id="rId26" xr:uid="{8E5C4DBC-6CC3-4ED5-A3E6-19C357792EDC}"/>
    <hyperlink ref="A27" r:id="rId27" xr:uid="{485AE741-01C0-4B1F-88C9-F22A78DFE2EC}"/>
    <hyperlink ref="A28" r:id="rId28" xr:uid="{F4C0CAA9-3934-47DB-B0CF-159A2F5BE65B}"/>
    <hyperlink ref="A29" r:id="rId29" xr:uid="{5C0BA976-B9B1-4FFA-BDA8-98D076169E8A}"/>
    <hyperlink ref="A30" r:id="rId30" xr:uid="{23EC9B66-FF35-4E47-A733-61E32B98270C}"/>
    <hyperlink ref="A31" r:id="rId31" xr:uid="{9235FC91-43DA-4B11-94F2-29F0FBFC1626}"/>
    <hyperlink ref="A32" r:id="rId32" xr:uid="{3BC488A3-E48D-448C-9590-0A6055AD27D7}"/>
    <hyperlink ref="A33" r:id="rId33" xr:uid="{9578FFD0-4915-4FD2-8555-9778289988FE}"/>
    <hyperlink ref="A34" r:id="rId34" xr:uid="{0EB987F3-6596-4647-9D00-CB0EA81A0870}"/>
    <hyperlink ref="A35" r:id="rId35" xr:uid="{5F2FF4BC-B301-4372-8ACA-154C54B6BD1A}"/>
    <hyperlink ref="A36" r:id="rId36" xr:uid="{85FE5B41-0186-4143-A45D-DCAAF8A630B2}"/>
    <hyperlink ref="A37" r:id="rId37" xr:uid="{AAE3EB9F-96C7-460A-A496-DAD365FB7FEE}"/>
    <hyperlink ref="A38" r:id="rId38" xr:uid="{88EAB474-6C1E-4C5A-961A-E0D157D9A4D8}"/>
    <hyperlink ref="A39" r:id="rId39" xr:uid="{B6FAF75F-B0AD-4DB5-A6E6-F30144CC4E98}"/>
    <hyperlink ref="A40" r:id="rId40" xr:uid="{8D844F3D-7013-4B71-8AD0-CEE23C36EB92}"/>
    <hyperlink ref="A41" r:id="rId41" xr:uid="{6F609C58-9876-44C0-8AC2-6A4C24C77A79}"/>
    <hyperlink ref="A42" r:id="rId42" xr:uid="{E5423F41-C626-47E7-B575-DE3807021894}"/>
    <hyperlink ref="A43" r:id="rId43" xr:uid="{986034C3-2055-4CD9-BA71-AF676E9F396C}"/>
    <hyperlink ref="A44" r:id="rId44" xr:uid="{8E0573C8-DB97-4B7E-803E-64156319026D}"/>
    <hyperlink ref="A45" r:id="rId45" xr:uid="{430E8378-9DDE-4ACD-9AAB-A1D07508A7D7}"/>
    <hyperlink ref="A46" r:id="rId46" xr:uid="{933C2DB5-2D54-4904-8AE6-16E4C27778D4}"/>
    <hyperlink ref="A47" r:id="rId47" xr:uid="{1E9685F9-8461-4B13-B69F-42EB6C501091}"/>
    <hyperlink ref="A48" r:id="rId48" xr:uid="{8A149C69-FC41-4FF6-9476-A17AD6194B6D}"/>
    <hyperlink ref="A49" r:id="rId49" xr:uid="{A5EC46C9-231F-4520-AA74-5DC686F9632E}"/>
    <hyperlink ref="A50" r:id="rId50" xr:uid="{CDF3FF5A-4C00-4B90-A58F-6984E094601A}"/>
    <hyperlink ref="A51" r:id="rId51" xr:uid="{EB613AC7-82D4-4BD4-BD19-3A31CD9E3C5F}"/>
    <hyperlink ref="A52" r:id="rId52" xr:uid="{39953D44-3AFE-45FE-BEE6-E0E57CF718A4}"/>
    <hyperlink ref="A53" r:id="rId53" xr:uid="{36B5D570-4422-4D5C-B032-4A63CC68B44D}"/>
    <hyperlink ref="A54" r:id="rId54" xr:uid="{24C5ACB3-5986-444A-AFA7-A7991245FD57}"/>
    <hyperlink ref="A55" r:id="rId55" xr:uid="{51A9C779-996D-4417-82ED-C054E963A8CD}"/>
    <hyperlink ref="A56" r:id="rId56" xr:uid="{DD6BEE3B-01D8-4382-B2A8-8BD12992A44D}"/>
    <hyperlink ref="A57" r:id="rId57" xr:uid="{81D72767-BCFC-4591-96C9-379B9A476EE1}"/>
    <hyperlink ref="A58" r:id="rId58" xr:uid="{ED3D781B-81F4-4998-9FAA-CF2F8B52DA3A}"/>
    <hyperlink ref="A59" r:id="rId59" xr:uid="{01F94CC3-81F1-40C5-BA06-14E54B1609A0}"/>
    <hyperlink ref="A60" r:id="rId60" xr:uid="{45DBE5E4-C5B9-4DAC-8105-6B0FE32A9AC0}"/>
    <hyperlink ref="A61" r:id="rId61" xr:uid="{395E85E2-1840-4EF0-9560-1E292D490F6E}"/>
    <hyperlink ref="A62" r:id="rId62" xr:uid="{CAA37FF7-21C7-4FE5-B452-D71F0A4B36A3}"/>
    <hyperlink ref="A63" r:id="rId63" xr:uid="{80ABD9A3-27C5-4C59-ACBB-5E93B9CE6BDD}"/>
    <hyperlink ref="A64" r:id="rId64" xr:uid="{2F586F0D-657C-4F67-B81C-C08C08EBC78A}"/>
    <hyperlink ref="A65" r:id="rId65" xr:uid="{30F15B92-8F75-4C22-8526-233DCDD660DD}"/>
    <hyperlink ref="A66" r:id="rId66" xr:uid="{8E55E527-8B2A-4807-B9BC-71A45DBA9155}"/>
    <hyperlink ref="A67" r:id="rId67" xr:uid="{B69A4BFC-2468-44CF-A8F1-BBA9D633BEDA}"/>
    <hyperlink ref="A68" r:id="rId68" xr:uid="{600B3B1C-53EC-4855-8229-9EC7110A7248}"/>
    <hyperlink ref="A69" r:id="rId69" xr:uid="{ABF9384F-F44C-444C-A801-BD67606DB14F}"/>
    <hyperlink ref="A70" r:id="rId70" xr:uid="{813C7341-A9C2-4D0D-A655-C20796351F64}"/>
    <hyperlink ref="A71" r:id="rId71" xr:uid="{A8E32231-ABD5-4A89-96B9-F39629D543E4}"/>
    <hyperlink ref="A72" r:id="rId72" xr:uid="{3A676DC8-0A11-4A65-B9A5-99EAC1E0DE2D}"/>
    <hyperlink ref="A73" r:id="rId73" xr:uid="{ABF8B8B5-2F93-4CD4-A19A-D2A3580B5365}"/>
    <hyperlink ref="A74" r:id="rId74" xr:uid="{7DB6FDB0-5E2D-4682-9820-185A169ADA13}"/>
    <hyperlink ref="A75" r:id="rId75" xr:uid="{7C951133-5FFC-4979-8275-95D1DDC26197}"/>
    <hyperlink ref="A76" r:id="rId76" xr:uid="{9F86EEF7-D937-483F-A864-A9FF408F4A5A}"/>
    <hyperlink ref="A77" r:id="rId77" xr:uid="{F1F5FF62-CB21-4254-9C36-6001B5BAA681}"/>
    <hyperlink ref="A78" r:id="rId78" xr:uid="{53612EA5-38CA-4527-A14F-D0721846A670}"/>
    <hyperlink ref="A79" r:id="rId79" xr:uid="{016ABA7C-B7AE-4BD3-AF90-6AEE6F5346C9}"/>
    <hyperlink ref="A80" r:id="rId80" xr:uid="{5E1C559F-EADE-4C2C-B8AE-6F617CABBD2A}"/>
    <hyperlink ref="A81" r:id="rId81" xr:uid="{49A4BDFC-B5E2-40DD-A009-0BFD4E3DD197}"/>
    <hyperlink ref="A82" r:id="rId82" xr:uid="{AB97589D-C27C-4C7E-B42E-21163E9A2CD1}"/>
    <hyperlink ref="A83" r:id="rId83" xr:uid="{2747D8B6-F88F-4722-8035-8CF718C9ED47}"/>
    <hyperlink ref="A84" r:id="rId84" xr:uid="{680B233F-EFEA-4680-B749-CB7459F4614A}"/>
    <hyperlink ref="A85" r:id="rId85" xr:uid="{63EA3D63-29AD-4551-97EA-5BBDF6112687}"/>
    <hyperlink ref="A86" r:id="rId86" xr:uid="{6EFA3F15-28C4-4D02-BB2C-443F3EA55716}"/>
    <hyperlink ref="A87" r:id="rId87" xr:uid="{978BE572-1BB1-4E52-A97F-54EC842CAC94}"/>
    <hyperlink ref="A88" r:id="rId88" xr:uid="{05E69B23-1417-46F9-974E-AC0EE26D356D}"/>
    <hyperlink ref="A89" r:id="rId89" xr:uid="{518132C7-8B5B-4B29-82AE-B44810A78AD9}"/>
    <hyperlink ref="A90" r:id="rId90" xr:uid="{D36E4DBC-E6DC-4ABB-BD2C-B1F0A7A91DC0}"/>
    <hyperlink ref="A91" r:id="rId91" xr:uid="{7BF304B9-A113-4763-8603-AC19F904A3DC}"/>
    <hyperlink ref="A92" r:id="rId92" xr:uid="{60B20141-B7ED-4C6E-BC9E-55BFB9EC939A}"/>
    <hyperlink ref="A93" r:id="rId93" xr:uid="{E93C9321-6C94-4764-BB98-5A0D789F3937}"/>
    <hyperlink ref="A94" r:id="rId94" xr:uid="{46F96E1A-E0A7-4792-BE21-B3EE44117A51}"/>
    <hyperlink ref="J2" r:id="rId95" xr:uid="{55EB381C-3EC8-4BBD-81CF-97CD3EE8E50C}"/>
    <hyperlink ref="J6" r:id="rId96" xr:uid="{1AE53251-C462-48AF-BD32-4075527DE78D}"/>
    <hyperlink ref="J44" r:id="rId97" xr:uid="{DF23782E-9D4E-4B17-A7E9-75B2A5A3AC0E}"/>
    <hyperlink ref="J58" r:id="rId98" xr:uid="{6B79E4C3-D9E0-42E8-901D-36393C4591D2}"/>
    <hyperlink ref="J61" r:id="rId99" xr:uid="{1A706E38-7041-4697-905C-462DE67FC82A}"/>
    <hyperlink ref="J62" r:id="rId100" xr:uid="{388A86BB-0300-4E9A-88F6-9255A568713E}"/>
    <hyperlink ref="J64" r:id="rId101" xr:uid="{CFFD69ED-E3D7-4099-875F-FDD37FE5A67D}"/>
    <hyperlink ref="J65" r:id="rId102" xr:uid="{E2E701A7-4949-4637-ACF1-5486AE92B1C4}"/>
    <hyperlink ref="J70" r:id="rId103" xr:uid="{135EEBC4-78A8-49DA-83CD-972AC3DCBDAD}"/>
  </hyperlinks>
  <pageMargins left="0.7" right="0.7" top="0.75" bottom="0.75" header="0.3" footer="0.3"/>
  <tableParts count="1">
    <tablePart r:id="rId10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7C829-A8FA-4238-9B6B-06CE34FB50D6}">
  <sheetPr>
    <tabColor theme="1"/>
  </sheetPr>
  <dimension ref="A1:B6"/>
  <sheetViews>
    <sheetView workbookViewId="0"/>
  </sheetViews>
  <sheetFormatPr defaultRowHeight="15" x14ac:dyDescent="0.25"/>
  <cols>
    <col min="1" max="1" width="16.140625" customWidth="1"/>
    <col min="2" max="2" width="18.140625" customWidth="1"/>
  </cols>
  <sheetData>
    <row r="1" spans="1:2" x14ac:dyDescent="0.25">
      <c r="A1" t="s">
        <v>575</v>
      </c>
      <c r="B1" t="s">
        <v>576</v>
      </c>
    </row>
    <row r="2" spans="1:2" x14ac:dyDescent="0.25">
      <c r="A2" t="s">
        <v>74</v>
      </c>
      <c r="B2" t="s">
        <v>192</v>
      </c>
    </row>
    <row r="3" spans="1:2" x14ac:dyDescent="0.25">
      <c r="A3" t="s">
        <v>75</v>
      </c>
      <c r="B3" t="s">
        <v>132</v>
      </c>
    </row>
    <row r="4" spans="1:2" x14ac:dyDescent="0.25">
      <c r="A4" t="s">
        <v>76</v>
      </c>
      <c r="B4" t="s">
        <v>66</v>
      </c>
    </row>
    <row r="5" spans="1:2" x14ac:dyDescent="0.25">
      <c r="A5" t="s">
        <v>77</v>
      </c>
      <c r="B5" t="s">
        <v>42</v>
      </c>
    </row>
    <row r="6" spans="1:2" x14ac:dyDescent="0.25">
      <c r="A6" t="s">
        <v>78</v>
      </c>
      <c r="B6" t="s">
        <v>40</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98EB0-7FEB-448B-A115-BE5D62345947}">
  <sheetPr>
    <tabColor theme="1"/>
  </sheetPr>
  <dimension ref="A1:P35"/>
  <sheetViews>
    <sheetView workbookViewId="0">
      <selection activeCell="E23" sqref="E23"/>
    </sheetView>
  </sheetViews>
  <sheetFormatPr defaultRowHeight="18.75" x14ac:dyDescent="0.3"/>
  <cols>
    <col min="1" max="1" width="13.140625" customWidth="1"/>
    <col min="2" max="2" width="14.42578125" customWidth="1"/>
    <col min="3" max="3" width="18" customWidth="1"/>
    <col min="4" max="4" width="28.140625" customWidth="1"/>
    <col min="5" max="5" width="15" customWidth="1"/>
    <col min="6" max="6" width="17" style="93" customWidth="1"/>
    <col min="7" max="8" width="15" customWidth="1"/>
    <col min="10" max="10" width="9.5703125" style="94" bestFit="1" customWidth="1"/>
    <col min="11" max="11" width="13.85546875" style="94" customWidth="1"/>
    <col min="12" max="12" width="12.42578125" style="94" customWidth="1"/>
    <col min="13" max="13" width="8.140625" style="95" customWidth="1"/>
    <col min="14" max="14" width="8.140625" style="8" customWidth="1"/>
    <col min="15" max="16" width="8.140625" style="95" customWidth="1"/>
  </cols>
  <sheetData>
    <row r="1" spans="1:16" s="39" customFormat="1" x14ac:dyDescent="0.25">
      <c r="A1" s="45"/>
      <c r="B1" s="46" t="s">
        <v>577</v>
      </c>
      <c r="C1" s="45" t="s">
        <v>578</v>
      </c>
      <c r="D1" s="45" t="s">
        <v>579</v>
      </c>
      <c r="E1" s="47" t="s">
        <v>4</v>
      </c>
      <c r="F1" s="48" t="s">
        <v>5</v>
      </c>
      <c r="G1" s="49" t="s">
        <v>6</v>
      </c>
      <c r="H1" s="50" t="s">
        <v>7</v>
      </c>
      <c r="J1" s="51" t="s">
        <v>16</v>
      </c>
      <c r="K1" s="52" t="s">
        <v>577</v>
      </c>
      <c r="L1" s="51" t="s">
        <v>580</v>
      </c>
      <c r="M1" s="53" t="s">
        <v>4</v>
      </c>
      <c r="N1" s="54" t="s">
        <v>5</v>
      </c>
      <c r="O1" s="55" t="s">
        <v>6</v>
      </c>
      <c r="P1" s="56" t="s">
        <v>7</v>
      </c>
    </row>
    <row r="2" spans="1:16" s="39" customFormat="1" x14ac:dyDescent="0.25">
      <c r="A2" s="57" t="s">
        <v>115</v>
      </c>
      <c r="B2" s="58" t="s">
        <v>581</v>
      </c>
      <c r="C2" s="57" t="s">
        <v>582</v>
      </c>
      <c r="D2" s="57" t="s">
        <v>583</v>
      </c>
      <c r="E2" s="59">
        <f>SUMIF($D7:$D30,$D2,E7:E30)</f>
        <v>7080000</v>
      </c>
      <c r="F2" s="60">
        <f>SUMIF($D7:$D30,$D2,F7:F30)</f>
        <v>10130000</v>
      </c>
      <c r="G2" s="59">
        <f>SUMIF($D7:$D30,$D2,G7:G30)</f>
        <v>13100000</v>
      </c>
      <c r="H2" s="59">
        <f>SUMIF($D7:$D30,$D2,H7:H30)</f>
        <v>16425000</v>
      </c>
      <c r="J2" s="61" t="s">
        <v>1</v>
      </c>
      <c r="K2" s="62" t="s">
        <v>581</v>
      </c>
      <c r="L2" s="63">
        <f>SUMIF($D7:$D21,$D2,L7:L21)</f>
        <v>4203000</v>
      </c>
      <c r="M2" s="64">
        <f t="shared" ref="M2:P4" si="0">E2/$L2</f>
        <v>1.6845110635260527</v>
      </c>
      <c r="N2" s="65">
        <f t="shared" si="0"/>
        <v>2.410183202474423</v>
      </c>
      <c r="O2" s="64">
        <f t="shared" si="0"/>
        <v>3.1168213181061146</v>
      </c>
      <c r="P2" s="64">
        <f t="shared" si="0"/>
        <v>3.9079229122055676</v>
      </c>
    </row>
    <row r="3" spans="1:16" s="39" customFormat="1" x14ac:dyDescent="0.25">
      <c r="A3" s="57" t="s">
        <v>115</v>
      </c>
      <c r="C3" s="66" t="s">
        <v>584</v>
      </c>
      <c r="D3" s="66" t="s">
        <v>585</v>
      </c>
      <c r="E3" s="67">
        <f>E2/E4</f>
        <v>0.2872397123923382</v>
      </c>
      <c r="F3" s="68">
        <f>F2/F4</f>
        <v>0.29840850835915683</v>
      </c>
      <c r="G3" s="69">
        <f>G2/G4</f>
        <v>0.3047969178858308</v>
      </c>
      <c r="H3" s="70">
        <f>H2/H4</f>
        <v>0.3542733890536533</v>
      </c>
      <c r="J3" s="71"/>
      <c r="K3" s="72"/>
      <c r="L3" s="73">
        <f>L2/L4</f>
        <v>0.28571368240490697</v>
      </c>
      <c r="M3" s="64">
        <f t="shared" si="0"/>
        <v>1.0053411162342185</v>
      </c>
      <c r="N3" s="65">
        <f t="shared" si="0"/>
        <v>1.0444319846616903</v>
      </c>
      <c r="O3" s="64">
        <f t="shared" si="0"/>
        <v>1.0667914652189443</v>
      </c>
      <c r="P3" s="64">
        <f t="shared" si="0"/>
        <v>1.2399594799649289</v>
      </c>
    </row>
    <row r="4" spans="1:16" s="39" customFormat="1" x14ac:dyDescent="0.25">
      <c r="A4" s="57" t="s">
        <v>115</v>
      </c>
      <c r="C4" s="66" t="s">
        <v>584</v>
      </c>
      <c r="D4" s="66" t="s">
        <v>3</v>
      </c>
      <c r="E4" s="74">
        <f>SUMIF($D9:$D30,$D4,E9:E30)</f>
        <v>24648402.343229931</v>
      </c>
      <c r="F4" s="75">
        <f>SUMIF($D9:$D30,$D4,F9:F30)</f>
        <v>33946753.246753246</v>
      </c>
      <c r="G4" s="74">
        <f>SUMIF($D9:$D30,$D4,G9:G30)</f>
        <v>42979437.229437232</v>
      </c>
      <c r="H4" s="74">
        <f>SUMIF($D9:$D30,$D4,H9:H30)</f>
        <v>46362500</v>
      </c>
      <c r="J4" s="71"/>
      <c r="K4" s="72"/>
      <c r="L4" s="76">
        <f>SUMIF($D9:$D21,$D4,L9:L21)</f>
        <v>14710531.062504748</v>
      </c>
      <c r="M4" s="64">
        <f t="shared" si="0"/>
        <v>1.6755616937620654</v>
      </c>
      <c r="N4" s="65">
        <f t="shared" si="0"/>
        <v>2.3076497444255533</v>
      </c>
      <c r="O4" s="64">
        <f t="shared" si="0"/>
        <v>2.9216781533459586</v>
      </c>
      <c r="P4" s="64">
        <f t="shared" si="0"/>
        <v>3.1516537236491788</v>
      </c>
    </row>
    <row r="5" spans="1:16" s="39" customFormat="1" x14ac:dyDescent="0.25">
      <c r="F5" s="77"/>
      <c r="J5" s="72"/>
      <c r="K5" s="72"/>
      <c r="L5" s="72"/>
      <c r="M5" s="78"/>
      <c r="N5" s="12"/>
      <c r="O5" s="78"/>
      <c r="P5" s="78"/>
    </row>
    <row r="6" spans="1:16" s="39" customFormat="1" x14ac:dyDescent="0.25">
      <c r="A6" s="45" t="s">
        <v>16</v>
      </c>
      <c r="B6" s="46" t="s">
        <v>577</v>
      </c>
      <c r="C6" s="45" t="s">
        <v>578</v>
      </c>
      <c r="D6" s="45" t="s">
        <v>579</v>
      </c>
      <c r="E6" s="47" t="s">
        <v>4</v>
      </c>
      <c r="F6" s="79" t="s">
        <v>5</v>
      </c>
      <c r="G6" s="49" t="s">
        <v>6</v>
      </c>
      <c r="H6" s="50" t="s">
        <v>7</v>
      </c>
      <c r="J6" s="51" t="s">
        <v>16</v>
      </c>
      <c r="K6" s="52" t="s">
        <v>577</v>
      </c>
      <c r="L6" s="80" t="s">
        <v>586</v>
      </c>
      <c r="M6" s="53" t="s">
        <v>4</v>
      </c>
      <c r="N6" s="54" t="s">
        <v>5</v>
      </c>
      <c r="O6" s="55" t="s">
        <v>6</v>
      </c>
      <c r="P6" s="56" t="s">
        <v>7</v>
      </c>
    </row>
    <row r="7" spans="1:16" s="39" customFormat="1" x14ac:dyDescent="0.25">
      <c r="A7" s="270" t="s">
        <v>17</v>
      </c>
      <c r="B7" s="58" t="s">
        <v>587</v>
      </c>
      <c r="C7" s="57" t="s">
        <v>582</v>
      </c>
      <c r="D7" s="57" t="s">
        <v>583</v>
      </c>
      <c r="E7" s="59">
        <v>1800000</v>
      </c>
      <c r="F7" s="60">
        <v>2250000</v>
      </c>
      <c r="G7" s="59">
        <v>2700000</v>
      </c>
      <c r="H7" s="59">
        <v>3150000</v>
      </c>
      <c r="J7" s="81" t="s">
        <v>17</v>
      </c>
      <c r="K7" s="82" t="s">
        <v>588</v>
      </c>
      <c r="L7" s="83">
        <v>2000000</v>
      </c>
      <c r="M7" s="64">
        <f t="shared" ref="M7:P9" si="1">E7/$L7</f>
        <v>0.9</v>
      </c>
      <c r="N7" s="65">
        <f t="shared" si="1"/>
        <v>1.125</v>
      </c>
      <c r="O7" s="64">
        <f t="shared" si="1"/>
        <v>1.35</v>
      </c>
      <c r="P7" s="64">
        <f t="shared" si="1"/>
        <v>1.575</v>
      </c>
    </row>
    <row r="8" spans="1:16" s="39" customFormat="1" x14ac:dyDescent="0.25">
      <c r="A8" s="57" t="s">
        <v>17</v>
      </c>
      <c r="C8" s="66" t="s">
        <v>584</v>
      </c>
      <c r="D8" s="66" t="s">
        <v>585</v>
      </c>
      <c r="E8" s="67">
        <v>0.35</v>
      </c>
      <c r="F8" s="68">
        <v>0.35</v>
      </c>
      <c r="G8" s="69">
        <v>0.35</v>
      </c>
      <c r="H8" s="70">
        <v>0.4</v>
      </c>
      <c r="J8" s="71"/>
      <c r="K8" s="72"/>
      <c r="L8" s="84">
        <v>0.35</v>
      </c>
      <c r="M8" s="64">
        <f t="shared" si="1"/>
        <v>1</v>
      </c>
      <c r="N8" s="85">
        <f t="shared" si="1"/>
        <v>1</v>
      </c>
      <c r="O8" s="64">
        <f t="shared" si="1"/>
        <v>1</v>
      </c>
      <c r="P8" s="64">
        <f t="shared" si="1"/>
        <v>1.142857142857143</v>
      </c>
    </row>
    <row r="9" spans="1:16" s="39" customFormat="1" x14ac:dyDescent="0.25">
      <c r="A9" s="57" t="s">
        <v>17</v>
      </c>
      <c r="C9" s="66" t="s">
        <v>584</v>
      </c>
      <c r="D9" s="66" t="s">
        <v>3</v>
      </c>
      <c r="E9" s="74">
        <f>E7/E8</f>
        <v>5142857.1428571427</v>
      </c>
      <c r="F9" s="75">
        <f>F7/F8</f>
        <v>6428571.4285714291</v>
      </c>
      <c r="G9" s="74">
        <f>G7/G8</f>
        <v>7714285.7142857146</v>
      </c>
      <c r="H9" s="74">
        <f>H7/H8</f>
        <v>7875000</v>
      </c>
      <c r="J9" s="71"/>
      <c r="K9" s="72"/>
      <c r="L9" s="76">
        <f>L7/L8</f>
        <v>5714285.7142857146</v>
      </c>
      <c r="M9" s="64">
        <f t="shared" si="1"/>
        <v>0.89999999999999991</v>
      </c>
      <c r="N9" s="85">
        <f t="shared" si="1"/>
        <v>1.125</v>
      </c>
      <c r="O9" s="64">
        <f t="shared" si="1"/>
        <v>1.35</v>
      </c>
      <c r="P9" s="64">
        <f t="shared" si="1"/>
        <v>1.378125</v>
      </c>
    </row>
    <row r="10" spans="1:16" s="39" customFormat="1" x14ac:dyDescent="0.25">
      <c r="A10" s="66"/>
      <c r="C10" s="86"/>
      <c r="D10" s="87"/>
      <c r="E10" s="88"/>
      <c r="F10" s="75"/>
      <c r="G10" s="88"/>
      <c r="H10" s="88"/>
      <c r="J10" s="71"/>
      <c r="K10" s="72"/>
      <c r="L10" s="76"/>
      <c r="M10" s="64"/>
      <c r="N10" s="65"/>
      <c r="O10" s="64"/>
      <c r="P10" s="64"/>
    </row>
    <row r="11" spans="1:16" s="39" customFormat="1" x14ac:dyDescent="0.25">
      <c r="A11" s="270" t="s">
        <v>19</v>
      </c>
      <c r="B11" s="58" t="s">
        <v>589</v>
      </c>
      <c r="C11" s="57" t="s">
        <v>582</v>
      </c>
      <c r="D11" s="57" t="s">
        <v>583</v>
      </c>
      <c r="E11" s="59">
        <v>1800000</v>
      </c>
      <c r="F11" s="60">
        <v>2250000</v>
      </c>
      <c r="G11" s="59">
        <v>2700000</v>
      </c>
      <c r="H11" s="59">
        <v>3150000</v>
      </c>
      <c r="J11" s="81" t="s">
        <v>590</v>
      </c>
      <c r="K11" s="82" t="s">
        <v>589</v>
      </c>
      <c r="L11" s="83">
        <v>680000</v>
      </c>
      <c r="M11" s="64">
        <f t="shared" ref="M11:P13" si="2">E11/$L11</f>
        <v>2.6470588235294117</v>
      </c>
      <c r="N11" s="65">
        <f t="shared" si="2"/>
        <v>3.3088235294117645</v>
      </c>
      <c r="O11" s="64">
        <f t="shared" si="2"/>
        <v>3.9705882352941178</v>
      </c>
      <c r="P11" s="64">
        <f t="shared" si="2"/>
        <v>4.632352941176471</v>
      </c>
    </row>
    <row r="12" spans="1:16" s="39" customFormat="1" x14ac:dyDescent="0.25">
      <c r="A12" s="57" t="s">
        <v>19</v>
      </c>
      <c r="C12" s="66" t="s">
        <v>584</v>
      </c>
      <c r="D12" s="89" t="s">
        <v>585</v>
      </c>
      <c r="E12" s="67">
        <v>0.3</v>
      </c>
      <c r="F12" s="68">
        <v>0.33</v>
      </c>
      <c r="G12" s="69">
        <v>0.33</v>
      </c>
      <c r="H12" s="70">
        <v>0.35</v>
      </c>
      <c r="J12" s="71"/>
      <c r="K12" s="72"/>
      <c r="L12" s="84">
        <v>0.22</v>
      </c>
      <c r="M12" s="64">
        <f t="shared" si="2"/>
        <v>1.3636363636363635</v>
      </c>
      <c r="N12" s="85">
        <f t="shared" si="2"/>
        <v>1.5</v>
      </c>
      <c r="O12" s="64">
        <f t="shared" si="2"/>
        <v>1.5</v>
      </c>
      <c r="P12" s="64">
        <f t="shared" si="2"/>
        <v>1.5909090909090908</v>
      </c>
    </row>
    <row r="13" spans="1:16" s="39" customFormat="1" x14ac:dyDescent="0.25">
      <c r="A13" s="57" t="s">
        <v>19</v>
      </c>
      <c r="C13" s="66" t="s">
        <v>584</v>
      </c>
      <c r="D13" s="89" t="s">
        <v>3</v>
      </c>
      <c r="E13" s="74">
        <f>E11/E12</f>
        <v>6000000</v>
      </c>
      <c r="F13" s="75">
        <f>F11/F12</f>
        <v>6818181.8181818174</v>
      </c>
      <c r="G13" s="74">
        <f>G11/G12</f>
        <v>8181818.1818181816</v>
      </c>
      <c r="H13" s="74">
        <f>H11/H12</f>
        <v>9000000</v>
      </c>
      <c r="J13" s="71"/>
      <c r="K13" s="72"/>
      <c r="L13" s="76">
        <f>L11/L12</f>
        <v>3090909.0909090908</v>
      </c>
      <c r="M13" s="64">
        <f t="shared" si="2"/>
        <v>1.9411764705882353</v>
      </c>
      <c r="N13" s="85">
        <f t="shared" si="2"/>
        <v>2.2058823529411762</v>
      </c>
      <c r="O13" s="64">
        <f t="shared" si="2"/>
        <v>2.6470588235294117</v>
      </c>
      <c r="P13" s="64">
        <f t="shared" si="2"/>
        <v>2.9117647058823528</v>
      </c>
    </row>
    <row r="14" spans="1:16" s="39" customFormat="1" x14ac:dyDescent="0.25">
      <c r="A14" s="66"/>
      <c r="C14" s="86"/>
      <c r="D14" s="87"/>
      <c r="E14" s="88"/>
      <c r="F14" s="75"/>
      <c r="G14" s="88"/>
      <c r="H14" s="88"/>
      <c r="J14" s="71"/>
      <c r="K14" s="72"/>
      <c r="L14" s="76"/>
      <c r="M14" s="64"/>
      <c r="N14" s="65"/>
      <c r="O14" s="64"/>
      <c r="P14" s="64"/>
    </row>
    <row r="15" spans="1:16" s="39" customFormat="1" x14ac:dyDescent="0.25">
      <c r="A15" s="57" t="s">
        <v>18</v>
      </c>
      <c r="B15" s="58" t="s">
        <v>591</v>
      </c>
      <c r="C15" s="57" t="s">
        <v>582</v>
      </c>
      <c r="D15" s="57" t="s">
        <v>583</v>
      </c>
      <c r="E15" s="59">
        <v>900000</v>
      </c>
      <c r="F15" s="60">
        <v>1350000</v>
      </c>
      <c r="G15" s="59">
        <v>1800000</v>
      </c>
      <c r="H15" s="59">
        <v>2250000</v>
      </c>
      <c r="J15" s="81" t="s">
        <v>18</v>
      </c>
      <c r="K15" s="82" t="s">
        <v>592</v>
      </c>
      <c r="L15" s="83">
        <v>623000</v>
      </c>
      <c r="M15" s="64">
        <f t="shared" ref="M15:P17" si="3">E15/$L15</f>
        <v>1.4446227929373996</v>
      </c>
      <c r="N15" s="65">
        <f t="shared" si="3"/>
        <v>2.1669341894060996</v>
      </c>
      <c r="O15" s="64">
        <f t="shared" si="3"/>
        <v>2.8892455858747992</v>
      </c>
      <c r="P15" s="64">
        <f t="shared" si="3"/>
        <v>3.6115569823434992</v>
      </c>
    </row>
    <row r="16" spans="1:16" s="39" customFormat="1" x14ac:dyDescent="0.25">
      <c r="A16" s="57" t="s">
        <v>18</v>
      </c>
      <c r="C16" s="66" t="s">
        <v>584</v>
      </c>
      <c r="D16" s="66" t="s">
        <v>3</v>
      </c>
      <c r="E16" s="74">
        <f>E15/E17</f>
        <v>6206896.5517241387</v>
      </c>
      <c r="F16" s="75">
        <f>F15/F17</f>
        <v>9000000</v>
      </c>
      <c r="G16" s="74">
        <f>G15/G17</f>
        <v>12000000</v>
      </c>
      <c r="H16" s="74">
        <f>H15/H17</f>
        <v>11250000</v>
      </c>
      <c r="J16" s="71"/>
      <c r="K16" s="72"/>
      <c r="L16" s="76">
        <f>L15/L17</f>
        <v>4326388.888888889</v>
      </c>
      <c r="M16" s="64">
        <f t="shared" si="3"/>
        <v>1.4346598771240384</v>
      </c>
      <c r="N16" s="85">
        <f t="shared" si="3"/>
        <v>2.0802568218298556</v>
      </c>
      <c r="O16" s="64">
        <f t="shared" si="3"/>
        <v>2.7736757624398072</v>
      </c>
      <c r="P16" s="64">
        <f t="shared" si="3"/>
        <v>2.6003210272873192</v>
      </c>
    </row>
    <row r="17" spans="1:16" s="39" customFormat="1" x14ac:dyDescent="0.25">
      <c r="A17" s="57" t="s">
        <v>18</v>
      </c>
      <c r="C17" s="66" t="s">
        <v>584</v>
      </c>
      <c r="D17" s="66" t="s">
        <v>585</v>
      </c>
      <c r="E17" s="67">
        <v>0.14499999999999999</v>
      </c>
      <c r="F17" s="68">
        <v>0.15</v>
      </c>
      <c r="G17" s="69">
        <v>0.15</v>
      </c>
      <c r="H17" s="70">
        <v>0.2</v>
      </c>
      <c r="J17" s="71"/>
      <c r="K17" s="72"/>
      <c r="L17" s="84">
        <v>0.14399999999999999</v>
      </c>
      <c r="M17" s="64">
        <f t="shared" si="3"/>
        <v>1.0069444444444444</v>
      </c>
      <c r="N17" s="85">
        <f t="shared" si="3"/>
        <v>1.0416666666666667</v>
      </c>
      <c r="O17" s="64">
        <f t="shared" si="3"/>
        <v>1.0416666666666667</v>
      </c>
      <c r="P17" s="64">
        <f t="shared" si="3"/>
        <v>1.3888888888888891</v>
      </c>
    </row>
    <row r="18" spans="1:16" s="39" customFormat="1" x14ac:dyDescent="0.25">
      <c r="A18" s="66"/>
      <c r="C18" s="86"/>
      <c r="D18" s="87"/>
      <c r="E18" s="88"/>
      <c r="F18" s="75"/>
      <c r="G18" s="88"/>
      <c r="H18" s="88"/>
      <c r="J18" s="71"/>
      <c r="K18" s="72"/>
      <c r="L18" s="76"/>
      <c r="M18" s="64"/>
      <c r="N18" s="65"/>
      <c r="O18" s="64"/>
      <c r="P18" s="64"/>
    </row>
    <row r="19" spans="1:16" s="39" customFormat="1" x14ac:dyDescent="0.25">
      <c r="A19" s="270" t="s">
        <v>22</v>
      </c>
      <c r="B19" s="58" t="s">
        <v>593</v>
      </c>
      <c r="C19" s="57" t="s">
        <v>582</v>
      </c>
      <c r="D19" s="57" t="s">
        <v>583</v>
      </c>
      <c r="E19" s="59">
        <v>1350000</v>
      </c>
      <c r="F19" s="60">
        <v>2200000</v>
      </c>
      <c r="G19" s="59">
        <v>3300000.0000000005</v>
      </c>
      <c r="H19" s="59">
        <v>4400000</v>
      </c>
      <c r="J19" s="81" t="s">
        <v>22</v>
      </c>
      <c r="K19" s="72" t="s">
        <v>594</v>
      </c>
      <c r="L19" s="83">
        <v>900000</v>
      </c>
      <c r="M19" s="64">
        <f>E19/$L19</f>
        <v>1.5</v>
      </c>
      <c r="N19" s="85">
        <f t="shared" ref="N19:N21" si="4">F19/$L19</f>
        <v>2.4444444444444446</v>
      </c>
      <c r="O19" s="64">
        <f t="shared" ref="O19:O21" si="5">G19/$L19</f>
        <v>3.666666666666667</v>
      </c>
      <c r="P19" s="64">
        <f t="shared" ref="P19:P21" si="6">H19/$L19</f>
        <v>4.8888888888888893</v>
      </c>
    </row>
    <row r="20" spans="1:16" s="39" customFormat="1" x14ac:dyDescent="0.25">
      <c r="A20" s="57" t="s">
        <v>22</v>
      </c>
      <c r="C20" s="66" t="s">
        <v>584</v>
      </c>
      <c r="D20" s="66" t="s">
        <v>585</v>
      </c>
      <c r="E20" s="67">
        <v>0.37</v>
      </c>
      <c r="F20" s="68">
        <v>0.4</v>
      </c>
      <c r="G20" s="69">
        <v>0.45</v>
      </c>
      <c r="H20" s="70">
        <v>0.5</v>
      </c>
      <c r="J20" s="71" t="s">
        <v>22</v>
      </c>
      <c r="K20" s="72" t="s">
        <v>594</v>
      </c>
      <c r="L20" s="84">
        <v>0.56999999999999995</v>
      </c>
      <c r="M20" s="64">
        <f>E20/$L20</f>
        <v>0.64912280701754388</v>
      </c>
      <c r="N20" s="85">
        <f t="shared" si="4"/>
        <v>0.70175438596491235</v>
      </c>
      <c r="O20" s="64">
        <f t="shared" si="5"/>
        <v>0.78947368421052644</v>
      </c>
      <c r="P20" s="64">
        <f t="shared" si="6"/>
        <v>0.87719298245614041</v>
      </c>
    </row>
    <row r="21" spans="1:16" s="39" customFormat="1" x14ac:dyDescent="0.25">
      <c r="A21" s="57" t="s">
        <v>22</v>
      </c>
      <c r="C21" s="66" t="s">
        <v>584</v>
      </c>
      <c r="D21" s="66" t="s">
        <v>3</v>
      </c>
      <c r="E21" s="74">
        <f>E19/E20</f>
        <v>3648648.6486486485</v>
      </c>
      <c r="F21" s="90">
        <f>F19/F20</f>
        <v>5500000</v>
      </c>
      <c r="G21" s="74">
        <f>G19/G20</f>
        <v>7333333.333333334</v>
      </c>
      <c r="H21" s="74">
        <f>H19/H20</f>
        <v>8800000</v>
      </c>
      <c r="J21" s="71" t="s">
        <v>22</v>
      </c>
      <c r="K21" s="72" t="s">
        <v>594</v>
      </c>
      <c r="L21" s="76">
        <f>L19/L20</f>
        <v>1578947.3684210528</v>
      </c>
      <c r="M21" s="64">
        <f>E21/$L21</f>
        <v>2.3108108108108105</v>
      </c>
      <c r="N21" s="85">
        <f t="shared" si="4"/>
        <v>3.4833333333333329</v>
      </c>
      <c r="O21" s="64">
        <f t="shared" si="5"/>
        <v>4.6444444444444439</v>
      </c>
      <c r="P21" s="64">
        <f t="shared" si="6"/>
        <v>5.5733333333333324</v>
      </c>
    </row>
    <row r="22" spans="1:16" s="39" customFormat="1" x14ac:dyDescent="0.25">
      <c r="A22" s="66"/>
      <c r="C22" s="66"/>
      <c r="D22" s="66"/>
      <c r="E22" s="74"/>
      <c r="F22" s="91"/>
      <c r="G22" s="74"/>
      <c r="H22" s="74"/>
      <c r="J22" s="71"/>
      <c r="K22" s="72"/>
      <c r="L22" s="76"/>
      <c r="M22" s="64"/>
      <c r="N22" s="85"/>
      <c r="O22" s="64"/>
      <c r="P22" s="64"/>
    </row>
    <row r="23" spans="1:16" x14ac:dyDescent="0.25">
      <c r="A23" s="270" t="s">
        <v>21</v>
      </c>
      <c r="B23" s="39" t="s">
        <v>595</v>
      </c>
      <c r="C23" s="57" t="s">
        <v>582</v>
      </c>
      <c r="D23" s="57" t="s">
        <v>583</v>
      </c>
      <c r="E23" s="247">
        <v>540000</v>
      </c>
      <c r="F23" s="248">
        <v>880000.00000000012</v>
      </c>
      <c r="G23" s="247">
        <v>1100000</v>
      </c>
      <c r="H23" s="247">
        <v>1375000</v>
      </c>
      <c r="I23" s="39"/>
      <c r="J23" s="81" t="s">
        <v>596</v>
      </c>
      <c r="K23" s="72" t="s">
        <v>597</v>
      </c>
      <c r="L23" s="83">
        <v>321000</v>
      </c>
      <c r="M23" s="64">
        <f t="shared" ref="M23:P25" si="7">E23/$L23</f>
        <v>1.6822429906542056</v>
      </c>
      <c r="N23" s="85">
        <f t="shared" si="7"/>
        <v>2.7414330218068539</v>
      </c>
      <c r="O23" s="64">
        <f t="shared" si="7"/>
        <v>3.4267912772585669</v>
      </c>
      <c r="P23" s="64">
        <f t="shared" si="7"/>
        <v>4.2834890965732084</v>
      </c>
    </row>
    <row r="24" spans="1:16" x14ac:dyDescent="0.25">
      <c r="A24" s="89" t="s">
        <v>21</v>
      </c>
      <c r="B24" s="39" t="s">
        <v>595</v>
      </c>
      <c r="C24" s="66" t="s">
        <v>584</v>
      </c>
      <c r="D24" s="66" t="s">
        <v>585</v>
      </c>
      <c r="E24" s="249">
        <v>0.4</v>
      </c>
      <c r="F24" s="250">
        <v>0.4</v>
      </c>
      <c r="G24" s="249">
        <v>0.4</v>
      </c>
      <c r="H24" s="249">
        <v>0.4</v>
      </c>
      <c r="I24" s="39"/>
      <c r="J24" s="71" t="s">
        <v>596</v>
      </c>
      <c r="K24" s="72" t="s">
        <v>597</v>
      </c>
      <c r="L24" s="84">
        <v>0.39</v>
      </c>
      <c r="M24" s="64">
        <f t="shared" si="7"/>
        <v>1.0256410256410258</v>
      </c>
      <c r="N24" s="85">
        <f t="shared" si="7"/>
        <v>1.0256410256410258</v>
      </c>
      <c r="O24" s="64">
        <f t="shared" si="7"/>
        <v>1.0256410256410258</v>
      </c>
      <c r="P24" s="64">
        <f t="shared" si="7"/>
        <v>1.0256410256410258</v>
      </c>
    </row>
    <row r="25" spans="1:16" x14ac:dyDescent="0.25">
      <c r="A25" s="89" t="s">
        <v>21</v>
      </c>
      <c r="B25" s="39" t="s">
        <v>595</v>
      </c>
      <c r="C25" s="66" t="s">
        <v>584</v>
      </c>
      <c r="D25" s="66" t="s">
        <v>3</v>
      </c>
      <c r="E25" s="251">
        <f>E23/E24</f>
        <v>1350000</v>
      </c>
      <c r="F25" s="252">
        <f>F23/F24</f>
        <v>2200000</v>
      </c>
      <c r="G25" s="251">
        <f>G23/G24</f>
        <v>2750000</v>
      </c>
      <c r="H25" s="251">
        <f>H23/H24</f>
        <v>3437500</v>
      </c>
      <c r="I25" s="39"/>
      <c r="J25" s="71" t="s">
        <v>596</v>
      </c>
      <c r="K25" s="72" t="s">
        <v>597</v>
      </c>
      <c r="L25" s="76">
        <f>L23/L24</f>
        <v>823076.92307692301</v>
      </c>
      <c r="M25" s="64">
        <f t="shared" si="7"/>
        <v>1.6401869158878506</v>
      </c>
      <c r="N25" s="85">
        <f t="shared" si="7"/>
        <v>2.6728971962616823</v>
      </c>
      <c r="O25" s="64">
        <f t="shared" si="7"/>
        <v>3.3411214953271031</v>
      </c>
      <c r="P25" s="64">
        <f t="shared" si="7"/>
        <v>4.1764018691588785</v>
      </c>
    </row>
    <row r="26" spans="1:16" x14ac:dyDescent="0.25">
      <c r="A26" s="66"/>
      <c r="B26" s="39"/>
      <c r="C26" s="86"/>
      <c r="D26" s="87"/>
      <c r="E26" s="88"/>
      <c r="F26" s="91"/>
      <c r="G26" s="88"/>
      <c r="H26" s="88"/>
      <c r="I26" s="39"/>
      <c r="J26" s="71"/>
      <c r="K26" s="72"/>
      <c r="L26" s="76"/>
      <c r="M26" s="64"/>
      <c r="N26" s="92"/>
      <c r="O26" s="64"/>
      <c r="P26" s="64"/>
    </row>
    <row r="28" spans="1:16" x14ac:dyDescent="0.25">
      <c r="A28" s="270" t="s">
        <v>20</v>
      </c>
      <c r="B28" s="58" t="s">
        <v>598</v>
      </c>
      <c r="C28" s="57" t="s">
        <v>582</v>
      </c>
      <c r="D28" s="57" t="s">
        <v>583</v>
      </c>
      <c r="E28" s="60">
        <f>E29*E30</f>
        <v>690000</v>
      </c>
      <c r="F28" s="60">
        <f>F29*F30</f>
        <v>1200000</v>
      </c>
      <c r="G28" s="60">
        <f>G29*G30</f>
        <v>1500000</v>
      </c>
      <c r="H28" s="60">
        <f>H29*H30</f>
        <v>2100000</v>
      </c>
      <c r="J28" s="81" t="s">
        <v>20</v>
      </c>
      <c r="K28" s="72" t="s">
        <v>599</v>
      </c>
    </row>
    <row r="29" spans="1:16" x14ac:dyDescent="0.25">
      <c r="A29" s="57" t="s">
        <v>20</v>
      </c>
      <c r="B29" s="39"/>
      <c r="C29" s="66" t="s">
        <v>584</v>
      </c>
      <c r="D29" s="66" t="s">
        <v>585</v>
      </c>
      <c r="E29" s="67">
        <v>0.3</v>
      </c>
      <c r="F29" s="68">
        <v>0.3</v>
      </c>
      <c r="G29" s="69">
        <v>0.3</v>
      </c>
      <c r="H29" s="70">
        <v>0.35</v>
      </c>
      <c r="J29" s="81" t="s">
        <v>20</v>
      </c>
      <c r="K29" s="72" t="s">
        <v>599</v>
      </c>
    </row>
    <row r="30" spans="1:16" x14ac:dyDescent="0.25">
      <c r="A30" s="57" t="s">
        <v>20</v>
      </c>
      <c r="B30" s="39"/>
      <c r="C30" s="66" t="s">
        <v>584</v>
      </c>
      <c r="D30" s="66" t="s">
        <v>3</v>
      </c>
      <c r="E30" s="74">
        <v>2300000</v>
      </c>
      <c r="F30" s="90">
        <v>4000000</v>
      </c>
      <c r="G30" s="74">
        <v>5000000</v>
      </c>
      <c r="H30" s="74">
        <v>6000000</v>
      </c>
      <c r="J30" s="81" t="s">
        <v>20</v>
      </c>
      <c r="K30" s="72" t="s">
        <v>599</v>
      </c>
    </row>
    <row r="33" spans="5:6" ht="15" x14ac:dyDescent="0.25">
      <c r="E33" s="216">
        <f>E30+E25+E21</f>
        <v>7298648.6486486485</v>
      </c>
      <c r="F33" s="216">
        <f>F30+F25+F21</f>
        <v>11700000</v>
      </c>
    </row>
    <row r="34" spans="5:6" ht="15" x14ac:dyDescent="0.25">
      <c r="E34" s="216">
        <f>E28+E23+E19</f>
        <v>2580000</v>
      </c>
      <c r="F34" s="216">
        <f>F28+F23+F19</f>
        <v>4280000</v>
      </c>
    </row>
    <row r="35" spans="5:6" ht="15" x14ac:dyDescent="0.25">
      <c r="E35">
        <f>E34/E33</f>
        <v>0.353490094426958</v>
      </c>
      <c r="F35">
        <f>F34/F33</f>
        <v>0.36581196581196579</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ABC50B30E2A874D82CCAF0892FAC865" ma:contentTypeVersion="91" ma:contentTypeDescription="Create a new document." ma:contentTypeScope="" ma:versionID="aa95d23bc25fa5627cdde3d577d5eb3d">
  <xsd:schema xmlns:xsd="http://www.w3.org/2001/XMLSchema" xmlns:xs="http://www.w3.org/2001/XMLSchema" xmlns:p="http://schemas.microsoft.com/office/2006/metadata/properties" xmlns:ns2="e9c3cd92-b027-4ff7-9fac-8318082c9a48" xmlns:ns3="d805e6c2-e826-4dc1-805f-b239819d192c" xmlns:ns4="c2f07cc6-f89f-4dac-8e13-150af89b91fa" targetNamespace="http://schemas.microsoft.com/office/2006/metadata/properties" ma:root="true" ma:fieldsID="fd19c96ed0771321ae6f07f4f64f4d93" ns2:_="" ns3:_="" ns4:_="">
    <xsd:import namespace="e9c3cd92-b027-4ff7-9fac-8318082c9a48"/>
    <xsd:import namespace="d805e6c2-e826-4dc1-805f-b239819d192c"/>
    <xsd:import namespace="c2f07cc6-f89f-4dac-8e13-150af89b91fa"/>
    <xsd:element name="properties">
      <xsd:complexType>
        <xsd:sequence>
          <xsd:element name="documentManagement">
            <xsd:complexType>
              <xsd:all>
                <xsd:element ref="ns2:_dlc_DocId" minOccurs="0"/>
                <xsd:element ref="ns2:_dlc_DocIdUrl" minOccurs="0"/>
                <xsd:element ref="ns2:_dlc_DocIdPersistId" minOccurs="0"/>
                <xsd:element ref="ns3:SharedWithUsers" minOccurs="0"/>
                <xsd:element ref="ns3:SharedWithDetails"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Location" minOccurs="0"/>
                <xsd:element ref="ns4:MediaServiceEventHashCode" minOccurs="0"/>
                <xsd:element ref="ns4:MediaServiceGenerationTime" minOccurs="0"/>
                <xsd:element ref="ns4:Description0" minOccurs="0"/>
                <xsd:element ref="ns4:MediaServiceAutoKeyPoints" minOccurs="0"/>
                <xsd:element ref="ns4:MediaServiceKeyPoints"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c3cd92-b027-4ff7-9fac-8318082c9a48"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d805e6c2-e826-4dc1-805f-b239819d192c"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2f07cc6-f89f-4dac-8e13-150af89b91fa"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MediaServiceAutoTags" ma:internalName="MediaServiceAutoTags"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Location" ma:index="18" nillable="true" ma:displayName="MediaServiceLocation" ma:internalName="MediaServiceLocation"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Description0" ma:index="21" nillable="true" ma:displayName="Description" ma:format="Dropdown" ma:internalName="Description0">
      <xsd:simpleType>
        <xsd:restriction base="dms:Note">
          <xsd:maxLength value="255"/>
        </xsd:restriction>
      </xsd:simple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internalName="MediaServiceKeyPoints" ma:readOnly="true">
      <xsd:simpleType>
        <xsd:restriction base="dms:Note">
          <xsd:maxLength value="255"/>
        </xsd:restrictio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
</file>

<file path=customXml/item5.xml><?xml version="1.0" encoding="utf-8"?>
<p:properties xmlns:p="http://schemas.microsoft.com/office/2006/metadata/properties" xmlns:xsi="http://www.w3.org/2001/XMLSchema-instance" xmlns:pc="http://schemas.microsoft.com/office/infopath/2007/PartnerControls">
  <documentManagement>
    <Description0 xmlns="c2f07cc6-f89f-4dac-8e13-150af89b91fa" xsi:nil="true"/>
    <_dlc_DocId xmlns="e9c3cd92-b027-4ff7-9fac-8318082c9a48">YSRDPVRMYZZF-1085297123-50041</_dlc_DocId>
    <_dlc_DocIdUrl xmlns="e9c3cd92-b027-4ff7-9fac-8318082c9a48">
      <Url>https://reasongroup.sharepoint.com/sites/business/Sales/_layouts/15/DocIdRedir.aspx?ID=YSRDPVRMYZZF-1085297123-50041</Url>
      <Description>YSRDPVRMYZZF-1085297123-50041</Description>
    </_dlc_DocIdUrl>
  </documentManagement>
</p:properties>
</file>

<file path=customXml/itemProps1.xml><?xml version="1.0" encoding="utf-8"?>
<ds:datastoreItem xmlns:ds="http://schemas.openxmlformats.org/officeDocument/2006/customXml" ds:itemID="{F3E1FC96-848F-422D-8C23-FA8C3F3757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c3cd92-b027-4ff7-9fac-8318082c9a48"/>
    <ds:schemaRef ds:uri="d805e6c2-e826-4dc1-805f-b239819d192c"/>
    <ds:schemaRef ds:uri="c2f07cc6-f89f-4dac-8e13-150af89b91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03B0271-36C3-41E4-827D-48F374398340}">
  <ds:schemaRefs>
    <ds:schemaRef ds:uri="http://schemas.microsoft.com/sharepoint/v3/contenttype/forms"/>
  </ds:schemaRefs>
</ds:datastoreItem>
</file>

<file path=customXml/itemProps3.xml><?xml version="1.0" encoding="utf-8"?>
<ds:datastoreItem xmlns:ds="http://schemas.openxmlformats.org/officeDocument/2006/customXml" ds:itemID="{D5FC93D9-713E-4193-BA4C-52703D02BF46}">
  <ds:schemaRefs>
    <ds:schemaRef ds:uri="http://schemas.microsoft.com/sharepoint/events"/>
  </ds:schemaRefs>
</ds:datastoreItem>
</file>

<file path=customXml/itemProps4.xml><?xml version="1.0" encoding="utf-8"?>
<ds:datastoreItem xmlns:ds="http://schemas.openxmlformats.org/officeDocument/2006/customXml" ds:itemID="{5A30C6A3-9C0B-4A1B-A842-57E685D1D3FA}">
  <ds:schemaRefs>
    <ds:schemaRef ds:uri="http://schemas.microsoft.com/DataMashup"/>
  </ds:schemaRefs>
</ds:datastoreItem>
</file>

<file path=customXml/itemProps5.xml><?xml version="1.0" encoding="utf-8"?>
<ds:datastoreItem xmlns:ds="http://schemas.openxmlformats.org/officeDocument/2006/customXml" ds:itemID="{917F36BC-E1F5-4602-80E8-FE5288F3C827}">
  <ds:schemaRefs>
    <ds:schemaRef ds:uri="http://schemas.microsoft.com/office/2006/documentManagement/types"/>
    <ds:schemaRef ds:uri="http://www.w3.org/XML/1998/namespace"/>
    <ds:schemaRef ds:uri="e9c3cd92-b027-4ff7-9fac-8318082c9a48"/>
    <ds:schemaRef ds:uri="http://purl.org/dc/dcmitype/"/>
    <ds:schemaRef ds:uri="d805e6c2-e826-4dc1-805f-b239819d192c"/>
    <ds:schemaRef ds:uri="http://purl.org/dc/elements/1.1/"/>
    <ds:schemaRef ds:uri="http://schemas.openxmlformats.org/package/2006/metadata/core-properties"/>
    <ds:schemaRef ds:uri="http://purl.org/dc/terms/"/>
    <ds:schemaRef ds:uri="c2f07cc6-f89f-4dac-8e13-150af89b91fa"/>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31</vt:i4>
      </vt:variant>
    </vt:vector>
  </HeadingPairs>
  <TitlesOfParts>
    <vt:vector size="48" baseType="lpstr">
      <vt:lpstr>Summary</vt:lpstr>
      <vt:lpstr>COMPANY Spread</vt:lpstr>
      <vt:lpstr>Open Opps Summary</vt:lpstr>
      <vt:lpstr>DAFF VAT Summary</vt:lpstr>
      <vt:lpstr>SAU VAT Summary</vt:lpstr>
      <vt:lpstr>VIC VAT Summary</vt:lpstr>
      <vt:lpstr>DISR VAT Summary</vt:lpstr>
      <vt:lpstr>EMERGING VAT Summary</vt:lpstr>
      <vt:lpstr>GROWTH VAT Summary</vt:lpstr>
      <vt:lpstr>Partner View</vt:lpstr>
      <vt:lpstr>Rev Spread Data</vt:lpstr>
      <vt:lpstr>Q Spread Calculation</vt:lpstr>
      <vt:lpstr>All GM Con Data</vt:lpstr>
      <vt:lpstr>Job_Status</vt:lpstr>
      <vt:lpstr>Pipeline Data</vt:lpstr>
      <vt:lpstr>Variable</vt:lpstr>
      <vt:lpstr>FY2526 VAT Financial KPIs</vt:lpstr>
      <vt:lpstr>CompanyFairToggle</vt:lpstr>
      <vt:lpstr>CompanyGoodToggle</vt:lpstr>
      <vt:lpstr>CompanyRiskToggle</vt:lpstr>
      <vt:lpstr>DAFFFairToggle</vt:lpstr>
      <vt:lpstr>DAFFGoodToggle</vt:lpstr>
      <vt:lpstr>DAFFRiskToggle</vt:lpstr>
      <vt:lpstr>DISRFairToggle</vt:lpstr>
      <vt:lpstr>DISRGoodToggle</vt:lpstr>
      <vt:lpstr>DISRRiskToggle</vt:lpstr>
      <vt:lpstr>EmergingFairToggle</vt:lpstr>
      <vt:lpstr>EmergingGoodToggle</vt:lpstr>
      <vt:lpstr>EmergingRiskToggle</vt:lpstr>
      <vt:lpstr>FairToggle</vt:lpstr>
      <vt:lpstr>GoodToggle</vt:lpstr>
      <vt:lpstr>GROWTHFairToggle</vt:lpstr>
      <vt:lpstr>GROWTHGoodToggle</vt:lpstr>
      <vt:lpstr>GROWTHRiskToggle</vt:lpstr>
      <vt:lpstr>RiskToggle</vt:lpstr>
      <vt:lpstr>'DISR VAT Summary'!SAUFairToggle</vt:lpstr>
      <vt:lpstr>'EMERGING VAT Summary'!SAUFairToggle</vt:lpstr>
      <vt:lpstr>SAUFairToggle</vt:lpstr>
      <vt:lpstr>'DISR VAT Summary'!SAUGoodToggle</vt:lpstr>
      <vt:lpstr>'EMERGING VAT Summary'!SAUGoodToggle</vt:lpstr>
      <vt:lpstr>SAUGoodToggle</vt:lpstr>
      <vt:lpstr>'DISR VAT Summary'!SAURiskToggle</vt:lpstr>
      <vt:lpstr>'EMERGING VAT Summary'!SAURiskToggle</vt:lpstr>
      <vt:lpstr>SAURiskToggle</vt:lpstr>
      <vt:lpstr>VATSelector</vt:lpstr>
      <vt:lpstr>VICFairToggle</vt:lpstr>
      <vt:lpstr>VICGoodToggle</vt:lpstr>
      <vt:lpstr>VICRiskToggle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Aleksandar Vranesevic</dc:creator>
  <cp:keywords/>
  <dc:description/>
  <cp:lastModifiedBy>Siddhartha Sengupta</cp:lastModifiedBy>
  <cp:revision/>
  <dcterms:created xsi:type="dcterms:W3CDTF">2025-05-28T02:23:34Z</dcterms:created>
  <dcterms:modified xsi:type="dcterms:W3CDTF">2026-02-22T23:06:24Z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0x0101003ABC50B30E2A874D82CCAF0892FAC865</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_dlc_DocIdItemGuid">
    <vt:lpwstr>d3c1d14c-c917-4574-a333-f5cc0965a036</vt:lpwstr>
  </property>
</Properties>
</file>